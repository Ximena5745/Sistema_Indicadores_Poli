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2" pivotButton="0" quotePrefix="0" xfId="0"/>
    <xf numFmtId="10" fontId="0" fillId="0" borderId="2" pivotButton="0" quotePrefix="0" xfId="2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67" fontId="0" fillId="4" borderId="1" pivotButton="0" quotePrefix="0" xfId="2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S2706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8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 hidden="1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 hidden="1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 hidden="1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 hidden="1">
      <c r="A9" s="26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68-2025-12-31</t>
        </is>
      </c>
    </row>
    <row r="10" hidden="1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4" t="n">
        <v>1.001004016064262</v>
      </c>
      <c r="M10" s="14" t="n">
        <v>1.001004016064262</v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69-2022-03-31</t>
        </is>
      </c>
    </row>
    <row r="11" hidden="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4" t="n">
        <v>1.08530405405405</v>
      </c>
      <c r="M11" s="14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 hidden="1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9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4" t="n">
        <v>1.064113980409612</v>
      </c>
      <c r="M12" s="14" t="n">
        <v>1.064113980409612</v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69-2022-09-30</t>
        </is>
      </c>
    </row>
    <row r="13" hidden="1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09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4" t="n">
        <v>1.046931407942238</v>
      </c>
      <c r="M13" s="14" t="n">
        <v>1.046931407942238</v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1</v>
      </c>
      <c r="R13" s="5" t="inlineStr">
        <is>
          <t>69-2022-12-31</t>
        </is>
      </c>
    </row>
    <row r="14" hidden="1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8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4" t="n">
        <v>1.006019793898578</v>
      </c>
      <c r="M14" s="14" t="n">
        <v>1.006019793898578</v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69-2023-03-31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4" t="n">
        <v>1.004418579588322</v>
      </c>
      <c r="M15" s="14" t="n">
        <v>1.004418579588322</v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69-2023-06-30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9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4" t="n">
        <v>1.032111111111111</v>
      </c>
      <c r="M16" s="14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 hidden="1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9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4" t="n">
        <v>1.031</v>
      </c>
      <c r="M17" s="14" t="n">
        <v>1.031</v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69-2023-12-31</t>
        </is>
      </c>
    </row>
    <row r="18" hidden="1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8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4" t="n">
        <v>1.014666666666667</v>
      </c>
      <c r="M18" s="14" t="n">
        <v>1.014666666666667</v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69-2024-03-31</t>
        </is>
      </c>
    </row>
    <row r="19" hidden="1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9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4" t="n">
        <v>1.014777777777778</v>
      </c>
      <c r="M19" s="14" t="n">
        <v>1.014777777777778</v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69-2024-06-30</t>
        </is>
      </c>
    </row>
    <row r="20" hidden="1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9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4" t="n">
        <v>1.018555555555556</v>
      </c>
      <c r="M20" s="14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 hidden="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09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4" t="n">
        <v>1.005555555555556</v>
      </c>
      <c r="M21" s="14" t="n">
        <v>1.005555555555556</v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0</v>
      </c>
      <c r="R21" s="5" t="inlineStr">
        <is>
          <t>69-2024-12-31</t>
        </is>
      </c>
    </row>
    <row r="22" hidden="1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9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4" t="n">
        <v>1.008333333333333</v>
      </c>
      <c r="M22" s="14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 hidden="1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9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4" t="n">
        <v>1.008666666666667</v>
      </c>
      <c r="M23" s="14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 hidden="1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9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4" t="n">
        <v>1.001555555555556</v>
      </c>
      <c r="M24" s="14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 hidden="1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09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4" t="n">
        <v>1.016888888888889</v>
      </c>
      <c r="M25" s="14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 hidden="1">
      <c r="A26" s="5" t="n">
        <v>69</v>
      </c>
      <c r="B26" s="5" t="inlineStr">
        <is>
          <t>Oportunidad de Respuesta Solicitudes de Compra No Licitadas</t>
        </is>
      </c>
      <c r="C26" s="5" t="inlineStr">
        <is>
          <t>GESTIÓN DE ABASTECIMIENTO</t>
        </is>
      </c>
      <c r="D26" s="5" t="inlineStr">
        <is>
          <t>Semestral</t>
        </is>
      </c>
      <c r="E26" s="5" t="inlineStr">
        <is>
          <t>Positivo</t>
        </is>
      </c>
      <c r="F26" s="109" t="n">
        <v>46112</v>
      </c>
      <c r="G26" s="5" t="n">
        <v>2026</v>
      </c>
      <c r="H26" s="5" t="inlineStr">
        <is>
          <t>Marzo</t>
        </is>
      </c>
      <c r="I26" s="6" t="inlineStr">
        <is>
          <t>2026-1</t>
        </is>
      </c>
      <c r="J26" s="5" t="n">
        <v>90</v>
      </c>
      <c r="K26" s="5" t="n">
        <v>90.45999999999999</v>
      </c>
      <c r="L26" s="14" t="n">
        <v>1.005111111111111</v>
      </c>
      <c r="M26" s="14" t="n">
        <v>1.005111111111111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1</v>
      </c>
      <c r="R26" s="5" t="inlineStr">
        <is>
          <t>69-2026-03-31</t>
        </is>
      </c>
    </row>
    <row r="27" hidden="1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09" t="n">
        <v>44742</v>
      </c>
      <c r="G27" s="5" t="n">
        <v>2022</v>
      </c>
      <c r="H27" s="5" t="inlineStr">
        <is>
          <t>Junio</t>
        </is>
      </c>
      <c r="I27" s="6" t="inlineStr">
        <is>
          <t>2022-1</t>
        </is>
      </c>
      <c r="J27" s="5" t="n">
        <v>20</v>
      </c>
      <c r="K27" s="5" t="n">
        <v>17.67</v>
      </c>
      <c r="L27" s="14" t="n">
        <v>1.131861912846633</v>
      </c>
      <c r="M27" s="14" t="n">
        <v>1.131861912846633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73-2022-06-30</t>
        </is>
      </c>
    </row>
    <row r="28" hidden="1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Trimestral</t>
        </is>
      </c>
      <c r="E28" s="5" t="inlineStr">
        <is>
          <t>Negativo</t>
        </is>
      </c>
      <c r="F28" s="109" t="n">
        <v>44926</v>
      </c>
      <c r="G28" s="5" t="n">
        <v>2022</v>
      </c>
      <c r="H28" s="5" t="inlineStr">
        <is>
          <t>Diciembre</t>
        </is>
      </c>
      <c r="I28" s="6" t="inlineStr">
        <is>
          <t>2022-2</t>
        </is>
      </c>
      <c r="J28" s="5" t="n">
        <v>20</v>
      </c>
      <c r="K28" s="5" t="n">
        <v>20</v>
      </c>
      <c r="L28" s="14" t="n">
        <v>1</v>
      </c>
      <c r="M28" s="14" t="n">
        <v>1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73-2022-12-31</t>
        </is>
      </c>
    </row>
    <row r="29" hidden="1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9" t="n">
        <v>45107</v>
      </c>
      <c r="G29" s="5" t="n">
        <v>2023</v>
      </c>
      <c r="H29" s="5" t="inlineStr">
        <is>
          <t>Junio</t>
        </is>
      </c>
      <c r="I29" s="6" t="inlineStr">
        <is>
          <t>2023-1</t>
        </is>
      </c>
      <c r="J29" s="5" t="n">
        <v>20</v>
      </c>
      <c r="K29" s="5" t="n">
        <v>19</v>
      </c>
      <c r="L29" s="14" t="n">
        <v>1.052631578947368</v>
      </c>
      <c r="M29" s="14" t="n">
        <v>1.052631578947368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73-2023-06-30</t>
        </is>
      </c>
    </row>
    <row r="30" hidden="1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9" t="n">
        <v>45291</v>
      </c>
      <c r="G30" s="5" t="n">
        <v>2023</v>
      </c>
      <c r="H30" s="5" t="inlineStr">
        <is>
          <t>Diciembre</t>
        </is>
      </c>
      <c r="I30" s="6" t="inlineStr">
        <is>
          <t>2023-2</t>
        </is>
      </c>
      <c r="J30" s="5" t="n">
        <v>20</v>
      </c>
      <c r="K30" s="5" t="n">
        <v>17</v>
      </c>
      <c r="L30" s="14" t="n">
        <v>1.176470588235294</v>
      </c>
      <c r="M30" s="14" t="n">
        <v>1.176470588235294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73-2023-12-31</t>
        </is>
      </c>
    </row>
    <row r="31" hidden="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09" t="n">
        <v>45473</v>
      </c>
      <c r="G31" s="5" t="n">
        <v>2024</v>
      </c>
      <c r="H31" s="5" t="inlineStr">
        <is>
          <t>Junio</t>
        </is>
      </c>
      <c r="I31" s="6" t="inlineStr">
        <is>
          <t>2024-1</t>
        </is>
      </c>
      <c r="J31" s="5" t="n">
        <v>20</v>
      </c>
      <c r="K31" s="5" t="n">
        <v>20</v>
      </c>
      <c r="L31" s="14" t="n">
        <v>1</v>
      </c>
      <c r="M31" s="14" t="n">
        <v>1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73-2024-06-30</t>
        </is>
      </c>
    </row>
    <row r="32" hidden="1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Semestral</t>
        </is>
      </c>
      <c r="E32" s="5" t="inlineStr">
        <is>
          <t>Negativo</t>
        </is>
      </c>
      <c r="F32" s="109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20</v>
      </c>
      <c r="K32" s="5" t="n">
        <v>17</v>
      </c>
      <c r="L32" s="14" t="n">
        <v>1.176470588235294</v>
      </c>
      <c r="M32" s="14" t="n">
        <v>1.176470588235294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73-2024-12-31</t>
        </is>
      </c>
    </row>
    <row r="33" hidden="1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09" t="n">
        <v>45838</v>
      </c>
      <c r="G33" s="5" t="n">
        <v>2025</v>
      </c>
      <c r="H33" s="5" t="inlineStr">
        <is>
          <t>Junio</t>
        </is>
      </c>
      <c r="I33" s="6" t="inlineStr">
        <is>
          <t>2025-1</t>
        </is>
      </c>
      <c r="J33" s="5" t="n">
        <v>20</v>
      </c>
      <c r="K33" s="5" t="n">
        <v>19</v>
      </c>
      <c r="L33" s="14" t="n">
        <v>1.052631578947368</v>
      </c>
      <c r="M33" s="14" t="n">
        <v>1.052631578947368</v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73-2025-06-30</t>
        </is>
      </c>
    </row>
    <row r="34" hidden="1">
      <c r="A34" s="21" t="n">
        <v>73</v>
      </c>
      <c r="B34" s="5" t="inlineStr">
        <is>
          <t>Tiempo respuesta selección y contratación de colaboradores de planta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Negativo</t>
        </is>
      </c>
      <c r="F34" s="109" t="n">
        <v>46022</v>
      </c>
      <c r="G34" s="5" t="n">
        <v>2025</v>
      </c>
      <c r="H34" s="5" t="inlineStr">
        <is>
          <t>Diciembre</t>
        </is>
      </c>
      <c r="I34" s="6" t="inlineStr">
        <is>
          <t>2025-2</t>
        </is>
      </c>
      <c r="J34" s="5" t="n">
        <v>20</v>
      </c>
      <c r="K34" s="10" t="n">
        <v>20</v>
      </c>
      <c r="L34" s="14" t="n">
        <v>1</v>
      </c>
      <c r="M34" s="14" t="n">
        <v>1</v>
      </c>
      <c r="N34" s="5" t="inlineStr">
        <is>
          <t>Días</t>
        </is>
      </c>
      <c r="O34" s="5" t="inlineStr">
        <is>
          <t>Días</t>
        </is>
      </c>
      <c r="P34" s="15" t="n">
        <v>0</v>
      </c>
      <c r="Q34" s="15" t="n">
        <v>0</v>
      </c>
      <c r="R34" s="5" t="inlineStr">
        <is>
          <t>73-2025-12-31</t>
        </is>
      </c>
    </row>
    <row r="35" hidden="1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08" t="n">
        <v>44742</v>
      </c>
      <c r="G35" s="5" t="n">
        <v>2022</v>
      </c>
      <c r="H35" s="5" t="inlineStr">
        <is>
          <t>Junio</t>
        </is>
      </c>
      <c r="I35" s="6" t="inlineStr">
        <is>
          <t>2022-1</t>
        </is>
      </c>
      <c r="J35" s="5" t="n">
        <v>80</v>
      </c>
      <c r="K35" s="10" t="n">
        <v>88</v>
      </c>
      <c r="L35" s="14" t="n">
        <v>1.1</v>
      </c>
      <c r="M35" s="14" t="n">
        <v>1.1</v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74-2022-06-30</t>
        </is>
      </c>
    </row>
    <row r="36" hidden="1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Trimestral</t>
        </is>
      </c>
      <c r="E36" s="5" t="inlineStr">
        <is>
          <t>Positivo</t>
        </is>
      </c>
      <c r="F36" s="109" t="n">
        <v>44926</v>
      </c>
      <c r="G36" s="5" t="n">
        <v>2022</v>
      </c>
      <c r="H36" s="5" t="inlineStr">
        <is>
          <t>Diciembre</t>
        </is>
      </c>
      <c r="I36" s="6" t="inlineStr">
        <is>
          <t>2022-2</t>
        </is>
      </c>
      <c r="J36" s="5" t="n">
        <v>80</v>
      </c>
      <c r="K36" s="10" t="n">
        <v>82.894736842105</v>
      </c>
      <c r="L36" s="14" t="n">
        <v>1.036184210526313</v>
      </c>
      <c r="M36" s="14" t="n">
        <v>1.036184210526313</v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74-2022-12-31</t>
        </is>
      </c>
    </row>
    <row r="37" hidden="1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9" t="n">
        <v>45107</v>
      </c>
      <c r="G37" s="5" t="n">
        <v>2023</v>
      </c>
      <c r="H37" s="5" t="inlineStr">
        <is>
          <t>Junio</t>
        </is>
      </c>
      <c r="I37" s="6" t="inlineStr">
        <is>
          <t>2023-1</t>
        </is>
      </c>
      <c r="J37" s="5" t="n">
        <v>80</v>
      </c>
      <c r="K37" s="10" t="n">
        <v>87.179487179487</v>
      </c>
      <c r="L37" s="14" t="n">
        <v>1.089743589743587</v>
      </c>
      <c r="M37" s="14" t="n">
        <v>1.089743589743587</v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74-2023-06-30</t>
        </is>
      </c>
    </row>
    <row r="38" hidden="1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9" t="n">
        <v>45291</v>
      </c>
      <c r="G38" s="5" t="n">
        <v>2023</v>
      </c>
      <c r="H38" s="5" t="inlineStr">
        <is>
          <t>Diciembre</t>
        </is>
      </c>
      <c r="I38" s="6" t="inlineStr">
        <is>
          <t>2023-2</t>
        </is>
      </c>
      <c r="J38" s="5" t="n">
        <v>80</v>
      </c>
      <c r="K38" s="10" t="n">
        <v>94.64</v>
      </c>
      <c r="L38" s="14" t="n">
        <v>1.183</v>
      </c>
      <c r="M38" s="14" t="n">
        <v>1.183</v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74-2023-12-31</t>
        </is>
      </c>
    </row>
    <row r="39" hidden="1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09" t="n">
        <v>45473</v>
      </c>
      <c r="G39" s="5" t="n">
        <v>2024</v>
      </c>
      <c r="H39" s="5" t="inlineStr">
        <is>
          <t>Junio</t>
        </is>
      </c>
      <c r="I39" s="6" t="inlineStr">
        <is>
          <t>2024-1</t>
        </is>
      </c>
      <c r="J39" s="5" t="n">
        <v>80</v>
      </c>
      <c r="K39" s="10" t="n">
        <v>91.53</v>
      </c>
      <c r="L39" s="14" t="n">
        <v>1.144125</v>
      </c>
      <c r="M39" s="14" t="n">
        <v>1.144125</v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74-2024-06-30</t>
        </is>
      </c>
    </row>
    <row r="40" hidden="1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Semestral</t>
        </is>
      </c>
      <c r="E40" s="5" t="inlineStr">
        <is>
          <t>Positivo</t>
        </is>
      </c>
      <c r="F40" s="109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80</v>
      </c>
      <c r="K40" s="10" t="n">
        <v>95.45</v>
      </c>
      <c r="L40" s="14" t="n">
        <v>1.193125</v>
      </c>
      <c r="M40" s="14" t="n">
        <v>1.193125</v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74-2024-12-31</t>
        </is>
      </c>
    </row>
    <row r="41" hidden="1">
      <c r="A41" s="21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09" t="n">
        <v>45838</v>
      </c>
      <c r="G41" s="5" t="n">
        <v>2025</v>
      </c>
      <c r="H41" s="5" t="inlineStr">
        <is>
          <t>Junio</t>
        </is>
      </c>
      <c r="I41" s="6" t="inlineStr">
        <is>
          <t>2025-1</t>
        </is>
      </c>
      <c r="J41" s="5" t="n">
        <v>80</v>
      </c>
      <c r="K41" s="10" t="n">
        <v>91.48999999999999</v>
      </c>
      <c r="L41" s="14" t="n">
        <v>1.143625</v>
      </c>
      <c r="M41" s="14" t="n">
        <v>1.143625</v>
      </c>
      <c r="N41" s="5" t="inlineStr">
        <is>
          <t>%</t>
        </is>
      </c>
      <c r="O41" s="5" t="inlineStr">
        <is>
          <t>%</t>
        </is>
      </c>
      <c r="P41" s="15" t="n">
        <v>0</v>
      </c>
      <c r="Q41" s="15" t="n">
        <v>0</v>
      </c>
      <c r="R41" s="5" t="inlineStr">
        <is>
          <t>74-2025-06-30</t>
        </is>
      </c>
    </row>
    <row r="42" hidden="1">
      <c r="A42" s="21" t="n">
        <v>74</v>
      </c>
      <c r="B42" s="5" t="inlineStr">
        <is>
          <t>Efectividad en las contrataciones</t>
        </is>
      </c>
      <c r="C42" s="5" t="inlineStr">
        <is>
          <t>GESTIÓN Y DESARROLLO DEL TALENTO HUMANO</t>
        </is>
      </c>
      <c r="D42" s="5" t="inlineStr">
        <is>
          <t>Trimestral</t>
        </is>
      </c>
      <c r="E42" s="5" t="inlineStr">
        <is>
          <t>Positivo</t>
        </is>
      </c>
      <c r="F42" s="109" t="n">
        <v>46022</v>
      </c>
      <c r="G42" s="5" t="n">
        <v>2025</v>
      </c>
      <c r="H42" s="5" t="inlineStr">
        <is>
          <t>Diciembre</t>
        </is>
      </c>
      <c r="I42" s="6" t="inlineStr">
        <is>
          <t>2025-2</t>
        </is>
      </c>
      <c r="J42" s="5" t="n">
        <v>80</v>
      </c>
      <c r="K42" s="10" t="n">
        <v>90.31999999999999</v>
      </c>
      <c r="L42" s="14" t="n">
        <v>1.129</v>
      </c>
      <c r="M42" s="14" t="n">
        <v>1.129</v>
      </c>
      <c r="N42" s="5" t="inlineStr">
        <is>
          <t>%</t>
        </is>
      </c>
      <c r="O42" s="5" t="inlineStr">
        <is>
          <t>%</t>
        </is>
      </c>
      <c r="P42" s="15" t="n">
        <v>0</v>
      </c>
      <c r="Q42" s="15" t="n">
        <v>0</v>
      </c>
      <c r="R42" s="5" t="inlineStr">
        <is>
          <t>74-2025-12-31</t>
        </is>
      </c>
    </row>
    <row r="43" hidden="1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9" t="n">
        <v>44592</v>
      </c>
      <c r="G43" s="5" t="n">
        <v>2022</v>
      </c>
      <c r="H43" s="5" t="inlineStr">
        <is>
          <t>Enero</t>
        </is>
      </c>
      <c r="I43" s="6" t="inlineStr">
        <is>
          <t>2022-1</t>
        </is>
      </c>
      <c r="J43" s="5" t="n">
        <v>97</v>
      </c>
      <c r="K43" s="10" t="n">
        <v>98.2</v>
      </c>
      <c r="L43" s="14" t="n">
        <v>1.012371134020619</v>
      </c>
      <c r="M43" s="14" t="n">
        <v>1.012371134020619</v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77-2022-01-31</t>
        </is>
      </c>
    </row>
    <row r="44" hidden="1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9" t="n">
        <v>44620</v>
      </c>
      <c r="G44" s="5" t="n">
        <v>2022</v>
      </c>
      <c r="H44" s="5" t="inlineStr">
        <is>
          <t>Febrero</t>
        </is>
      </c>
      <c r="I44" s="6" t="inlineStr">
        <is>
          <t>2022-1</t>
        </is>
      </c>
      <c r="J44" s="5" t="n">
        <v>97</v>
      </c>
      <c r="K44" s="10" t="n">
        <v>96.09999999999999</v>
      </c>
      <c r="L44" s="14" t="n">
        <v>0.990721649484536</v>
      </c>
      <c r="M44" s="14" t="n">
        <v>0.990721649484536</v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77-2022-02-28</t>
        </is>
      </c>
    </row>
    <row r="45" hidden="1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9" t="n">
        <v>44651</v>
      </c>
      <c r="G45" s="5" t="n">
        <v>2022</v>
      </c>
      <c r="H45" s="5" t="inlineStr">
        <is>
          <t>Marzo</t>
        </is>
      </c>
      <c r="I45" s="6" t="inlineStr">
        <is>
          <t>2022-1</t>
        </is>
      </c>
      <c r="J45" s="5" t="n">
        <v>97</v>
      </c>
      <c r="K45" s="10" t="n">
        <v>99.09999999999999</v>
      </c>
      <c r="L45" s="14" t="n">
        <v>1.021649484536082</v>
      </c>
      <c r="M45" s="14" t="n">
        <v>1.021649484536082</v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77-2022-03-31</t>
        </is>
      </c>
    </row>
    <row r="46" hidden="1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9" t="n">
        <v>44681</v>
      </c>
      <c r="G46" s="5" t="n">
        <v>2022</v>
      </c>
      <c r="H46" s="5" t="inlineStr">
        <is>
          <t>Abril</t>
        </is>
      </c>
      <c r="I46" s="6" t="inlineStr">
        <is>
          <t>2022-1</t>
        </is>
      </c>
      <c r="J46" s="5" t="n">
        <v>97</v>
      </c>
      <c r="K46" s="10" t="n">
        <v>96.5</v>
      </c>
      <c r="L46" s="14" t="n">
        <v>0.9948453608247423</v>
      </c>
      <c r="M46" s="14" t="n">
        <v>0.9948453608247423</v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77-2022-04-30</t>
        </is>
      </c>
    </row>
    <row r="47" hidden="1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9" t="n">
        <v>44712</v>
      </c>
      <c r="G47" s="5" t="n">
        <v>2022</v>
      </c>
      <c r="H47" s="5" t="inlineStr">
        <is>
          <t>Mayo</t>
        </is>
      </c>
      <c r="I47" s="6" t="inlineStr">
        <is>
          <t>2022-1</t>
        </is>
      </c>
      <c r="J47" s="5" t="n">
        <v>97</v>
      </c>
      <c r="K47" s="10" t="n">
        <v>97.40000000000001</v>
      </c>
      <c r="L47" s="14" t="n">
        <v>1.004123711340206</v>
      </c>
      <c r="M47" s="14" t="n">
        <v>1.004123711340206</v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77-2022-05-31</t>
        </is>
      </c>
    </row>
    <row r="48" hidden="1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9" t="n">
        <v>44742</v>
      </c>
      <c r="G48" s="5" t="n">
        <v>2022</v>
      </c>
      <c r="H48" s="5" t="inlineStr">
        <is>
          <t>Junio</t>
        </is>
      </c>
      <c r="I48" s="6" t="inlineStr">
        <is>
          <t>2022-1</t>
        </is>
      </c>
      <c r="J48" s="5" t="n">
        <v>97</v>
      </c>
      <c r="K48" s="10" t="n">
        <v>98.8</v>
      </c>
      <c r="L48" s="14" t="n">
        <v>1.018556701030928</v>
      </c>
      <c r="M48" s="14" t="n">
        <v>1.018556701030928</v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77-2022-06-30</t>
        </is>
      </c>
    </row>
    <row r="49" hidden="1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9" t="n">
        <v>44773</v>
      </c>
      <c r="G49" s="5" t="n">
        <v>2022</v>
      </c>
      <c r="H49" s="5" t="inlineStr">
        <is>
          <t>Julio</t>
        </is>
      </c>
      <c r="I49" s="6" t="inlineStr">
        <is>
          <t>2022-2</t>
        </is>
      </c>
      <c r="J49" s="5" t="n">
        <v>97</v>
      </c>
      <c r="K49" s="10" t="n">
        <v>97.09</v>
      </c>
      <c r="L49" s="14" t="n">
        <v>1.000927835051546</v>
      </c>
      <c r="M49" s="14" t="n">
        <v>1.000927835051546</v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77-2022-07-31</t>
        </is>
      </c>
    </row>
    <row r="50" hidden="1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9" t="n">
        <v>44804</v>
      </c>
      <c r="G50" s="5" t="n">
        <v>2022</v>
      </c>
      <c r="H50" s="5" t="inlineStr">
        <is>
          <t>Agosto</t>
        </is>
      </c>
      <c r="I50" s="6" t="inlineStr">
        <is>
          <t>2022-2</t>
        </is>
      </c>
      <c r="J50" s="5" t="n">
        <v>97</v>
      </c>
      <c r="K50" s="10" t="n">
        <v>99.01000000000001</v>
      </c>
      <c r="L50" s="14" t="n">
        <v>1.020721649484536</v>
      </c>
      <c r="M50" s="14" t="n">
        <v>1.020721649484536</v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77-2022-08-31</t>
        </is>
      </c>
    </row>
    <row r="51" hidden="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9" t="n">
        <v>44834</v>
      </c>
      <c r="G51" s="5" t="n">
        <v>2022</v>
      </c>
      <c r="H51" s="5" t="inlineStr">
        <is>
          <t>Septiembre</t>
        </is>
      </c>
      <c r="I51" s="6" t="inlineStr">
        <is>
          <t>2022-2</t>
        </is>
      </c>
      <c r="J51" s="5" t="n">
        <v>97</v>
      </c>
      <c r="K51" s="10" t="n">
        <v>98.59999999999999</v>
      </c>
      <c r="L51" s="14" t="n">
        <v>1.016494845360825</v>
      </c>
      <c r="M51" s="14" t="n">
        <v>1.016494845360825</v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77-2022-09-30</t>
        </is>
      </c>
    </row>
    <row r="52" hidden="1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9" t="n">
        <v>44865</v>
      </c>
      <c r="G52" s="5" t="n">
        <v>2022</v>
      </c>
      <c r="H52" s="5" t="inlineStr">
        <is>
          <t>Octubre</t>
        </is>
      </c>
      <c r="I52" s="6" t="inlineStr">
        <is>
          <t>2022-2</t>
        </is>
      </c>
      <c r="J52" s="5" t="n">
        <v>97</v>
      </c>
      <c r="K52" s="10" t="n">
        <v>98.3</v>
      </c>
      <c r="L52" s="14" t="n">
        <v>1.01340206185567</v>
      </c>
      <c r="M52" s="14" t="n">
        <v>1.01340206185567</v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77-2022-10-31</t>
        </is>
      </c>
    </row>
    <row r="53" hidden="1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9" t="n">
        <v>44895</v>
      </c>
      <c r="G53" s="5" t="n">
        <v>2022</v>
      </c>
      <c r="H53" s="5" t="inlineStr">
        <is>
          <t>Noviembre</t>
        </is>
      </c>
      <c r="I53" s="6" t="inlineStr">
        <is>
          <t>2022-2</t>
        </is>
      </c>
      <c r="J53" s="5" t="n">
        <v>97</v>
      </c>
      <c r="K53" s="10" t="n">
        <v>98.2</v>
      </c>
      <c r="L53" s="14" t="n">
        <v>1.012371134020619</v>
      </c>
      <c r="M53" s="14" t="n">
        <v>1.012371134020619</v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77-2022-11-30</t>
        </is>
      </c>
    </row>
    <row r="54" hidden="1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9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97</v>
      </c>
      <c r="K54" s="10" t="n">
        <v>97.5</v>
      </c>
      <c r="L54" s="14" t="n">
        <v>1.005154639175258</v>
      </c>
      <c r="M54" s="14" t="n">
        <v>1.005154639175258</v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77-2022-12-31</t>
        </is>
      </c>
    </row>
    <row r="55" hidden="1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9" t="n">
        <v>44957</v>
      </c>
      <c r="G55" s="5" t="n">
        <v>2023</v>
      </c>
      <c r="H55" s="5" t="inlineStr">
        <is>
          <t>Enero</t>
        </is>
      </c>
      <c r="I55" s="6" t="inlineStr">
        <is>
          <t>2023-1</t>
        </is>
      </c>
      <c r="J55" s="5" t="n">
        <v>97</v>
      </c>
      <c r="K55" s="10" t="n">
        <v>97.5</v>
      </c>
      <c r="L55" s="14" t="n">
        <v>1.005154639175258</v>
      </c>
      <c r="M55" s="14" t="n">
        <v>1.005154639175258</v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77-2023-01-31</t>
        </is>
      </c>
    </row>
    <row r="56" hidden="1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09" t="n">
        <v>44985</v>
      </c>
      <c r="G56" s="5" t="n">
        <v>2023</v>
      </c>
      <c r="H56" s="5" t="inlineStr">
        <is>
          <t>Febrero</t>
        </is>
      </c>
      <c r="I56" s="6" t="inlineStr">
        <is>
          <t>2023-1</t>
        </is>
      </c>
      <c r="J56" s="5" t="n">
        <v>97</v>
      </c>
      <c r="K56" s="10" t="n">
        <v>97.2</v>
      </c>
      <c r="L56" s="14" t="n">
        <v>1.002061855670103</v>
      </c>
      <c r="M56" s="14" t="n">
        <v>1.002061855670103</v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77-2023-02-28</t>
        </is>
      </c>
    </row>
    <row r="57" hidden="1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110" t="n">
        <v>45016</v>
      </c>
      <c r="G57" s="43" t="n">
        <v>2023</v>
      </c>
      <c r="H57" s="43" t="inlineStr">
        <is>
          <t>Marzo</t>
        </is>
      </c>
      <c r="I57" s="44" t="inlineStr">
        <is>
          <t>2023-1</t>
        </is>
      </c>
      <c r="J57" s="43" t="n">
        <v>97</v>
      </c>
      <c r="K57" s="45" t="n">
        <v>97.8</v>
      </c>
      <c r="L57" s="46" t="n">
        <v>1.008247422680412</v>
      </c>
      <c r="M57" s="46" t="n">
        <v>1.008247422680412</v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77-2023-03-31</t>
        </is>
      </c>
    </row>
    <row r="58" hidden="1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8" t="n">
        <v>45046</v>
      </c>
      <c r="G58" s="5" t="n">
        <v>2023</v>
      </c>
      <c r="H58" s="5" t="inlineStr">
        <is>
          <t>Abril</t>
        </is>
      </c>
      <c r="I58" s="6" t="inlineStr">
        <is>
          <t>2023-1</t>
        </is>
      </c>
      <c r="J58" s="5" t="n">
        <v>97</v>
      </c>
      <c r="K58" s="10" t="n">
        <v>95.59999999999999</v>
      </c>
      <c r="L58" s="14" t="n">
        <v>0.9855670103092783</v>
      </c>
      <c r="M58" s="14" t="n">
        <v>0.9855670103092783</v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77-2023-04-30</t>
        </is>
      </c>
    </row>
    <row r="59" hidden="1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9" t="n">
        <v>45077</v>
      </c>
      <c r="G59" s="5" t="n">
        <v>2023</v>
      </c>
      <c r="H59" s="5" t="inlineStr">
        <is>
          <t>Mayo</t>
        </is>
      </c>
      <c r="I59" s="6" t="inlineStr">
        <is>
          <t>2023-1</t>
        </is>
      </c>
      <c r="J59" s="5" t="n">
        <v>97</v>
      </c>
      <c r="K59" s="10" t="n">
        <v>99.40000000000001</v>
      </c>
      <c r="L59" s="14" t="n">
        <v>1.024742268041237</v>
      </c>
      <c r="M59" s="14" t="n">
        <v>1.024742268041237</v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77-2023-05-31</t>
        </is>
      </c>
    </row>
    <row r="60" hidden="1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9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5" t="n">
        <v>97</v>
      </c>
      <c r="K60" s="10" t="n">
        <v>98.59999999999999</v>
      </c>
      <c r="L60" s="14" t="n">
        <v>1.016494845360825</v>
      </c>
      <c r="M60" s="14" t="n">
        <v>1.016494845360825</v>
      </c>
      <c r="N60" s="5" t="inlineStr">
        <is>
          <t>%</t>
        </is>
      </c>
      <c r="O60" s="5" t="inlineStr">
        <is>
          <t>%</t>
        </is>
      </c>
      <c r="P60" s="15" t="n">
        <v>1</v>
      </c>
      <c r="Q60" s="15" t="n">
        <v>1</v>
      </c>
      <c r="R60" s="5" t="inlineStr">
        <is>
          <t>77-2023-06-30</t>
        </is>
      </c>
    </row>
    <row r="61" hidden="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9" t="n">
        <v>45138</v>
      </c>
      <c r="G61" s="5" t="n">
        <v>2023</v>
      </c>
      <c r="H61" s="5" t="inlineStr">
        <is>
          <t>Julio</t>
        </is>
      </c>
      <c r="I61" s="6" t="inlineStr">
        <is>
          <t>2023-2</t>
        </is>
      </c>
      <c r="J61" s="5" t="n">
        <v>97</v>
      </c>
      <c r="K61" s="10" t="n">
        <v>96.7</v>
      </c>
      <c r="L61" s="14" t="n">
        <v>0.9969072164948454</v>
      </c>
      <c r="M61" s="14" t="n">
        <v>0.9969072164948454</v>
      </c>
      <c r="N61" s="5" t="inlineStr">
        <is>
          <t>%</t>
        </is>
      </c>
      <c r="O61" s="5" t="inlineStr">
        <is>
          <t>%</t>
        </is>
      </c>
      <c r="P61" s="15" t="n">
        <v>1</v>
      </c>
      <c r="Q61" s="15" t="n">
        <v>1</v>
      </c>
      <c r="R61" s="5" t="inlineStr">
        <is>
          <t>77-2023-07-31</t>
        </is>
      </c>
    </row>
    <row r="62" hidden="1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9" t="n">
        <v>45169</v>
      </c>
      <c r="G62" s="5" t="n">
        <v>2023</v>
      </c>
      <c r="H62" s="5" t="inlineStr">
        <is>
          <t>Agosto</t>
        </is>
      </c>
      <c r="I62" s="6" t="inlineStr">
        <is>
          <t>2023-2</t>
        </is>
      </c>
      <c r="J62" s="5" t="n">
        <v>97</v>
      </c>
      <c r="K62" s="10" t="n">
        <v>98</v>
      </c>
      <c r="L62" s="14" t="n">
        <v>1.010309278350515</v>
      </c>
      <c r="M62" s="14" t="n">
        <v>1.010309278350515</v>
      </c>
      <c r="N62" s="5" t="inlineStr">
        <is>
          <t>%</t>
        </is>
      </c>
      <c r="O62" s="5" t="inlineStr">
        <is>
          <t>%</t>
        </is>
      </c>
      <c r="P62" s="15" t="n">
        <v>0</v>
      </c>
      <c r="Q62" s="15" t="n">
        <v>0</v>
      </c>
      <c r="R62" s="5" t="inlineStr">
        <is>
          <t>77-2023-08-31</t>
        </is>
      </c>
    </row>
    <row r="63" hidden="1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9" t="n">
        <v>45199</v>
      </c>
      <c r="G63" s="5" t="n">
        <v>2023</v>
      </c>
      <c r="H63" s="5" t="inlineStr">
        <is>
          <t>Septiembre</t>
        </is>
      </c>
      <c r="I63" s="6" t="inlineStr">
        <is>
          <t>2023-2</t>
        </is>
      </c>
      <c r="J63" s="5" t="n">
        <v>97</v>
      </c>
      <c r="K63" s="10" t="n">
        <v>97.40000000000001</v>
      </c>
      <c r="L63" s="14" t="n">
        <v>1.004123711340206</v>
      </c>
      <c r="M63" s="14" t="n">
        <v>1.004123711340206</v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77-2023-09-30</t>
        </is>
      </c>
    </row>
    <row r="64" hidden="1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9" t="n">
        <v>45230</v>
      </c>
      <c r="G64" s="5" t="n">
        <v>2023</v>
      </c>
      <c r="H64" s="5" t="inlineStr">
        <is>
          <t>Octubre</t>
        </is>
      </c>
      <c r="I64" s="6" t="inlineStr">
        <is>
          <t>2023-2</t>
        </is>
      </c>
      <c r="J64" s="5" t="n">
        <v>97</v>
      </c>
      <c r="K64" s="5" t="n">
        <v>97.5</v>
      </c>
      <c r="L64" s="14" t="n">
        <v>1.005154639175258</v>
      </c>
      <c r="M64" s="14" t="n">
        <v>1.005154639175258</v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77-2023-10-31</t>
        </is>
      </c>
    </row>
    <row r="65" hidden="1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9" t="n">
        <v>45260</v>
      </c>
      <c r="G65" s="5" t="n">
        <v>2023</v>
      </c>
      <c r="H65" s="5" t="inlineStr">
        <is>
          <t>Noviembre</t>
        </is>
      </c>
      <c r="I65" s="6" t="inlineStr">
        <is>
          <t>2023-2</t>
        </is>
      </c>
      <c r="J65" s="5" t="n">
        <v>97</v>
      </c>
      <c r="K65" s="10" t="n">
        <v>97.3</v>
      </c>
      <c r="L65" s="14" t="n">
        <v>1.003092783505155</v>
      </c>
      <c r="M65" s="14" t="n">
        <v>1.003092783505155</v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77-2023-11-30</t>
        </is>
      </c>
    </row>
    <row r="66" hidden="1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9" t="n">
        <v>45291</v>
      </c>
      <c r="G66" s="5" t="n">
        <v>2023</v>
      </c>
      <c r="H66" s="5" t="inlineStr">
        <is>
          <t>Diciembre</t>
        </is>
      </c>
      <c r="I66" s="6" t="inlineStr">
        <is>
          <t>2023-2</t>
        </is>
      </c>
      <c r="J66" s="5" t="n">
        <v>97</v>
      </c>
      <c r="K66" s="10" t="n">
        <v>98.59999999999999</v>
      </c>
      <c r="L66" s="14" t="n">
        <v>1.016494845360825</v>
      </c>
      <c r="M66" s="14" t="n">
        <v>1.016494845360825</v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77-2023-12-31</t>
        </is>
      </c>
    </row>
    <row r="67" hidden="1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9" t="n">
        <v>45322</v>
      </c>
      <c r="G67" s="5" t="n">
        <v>2024</v>
      </c>
      <c r="H67" s="5" t="inlineStr">
        <is>
          <t>Enero</t>
        </is>
      </c>
      <c r="I67" s="6" t="inlineStr">
        <is>
          <t>2024-1</t>
        </is>
      </c>
      <c r="J67" s="5" t="n">
        <v>97</v>
      </c>
      <c r="K67" s="10" t="n">
        <v>97</v>
      </c>
      <c r="L67" s="14" t="n">
        <v>1</v>
      </c>
      <c r="M67" s="14" t="n">
        <v>1</v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77-2024-01-31</t>
        </is>
      </c>
    </row>
    <row r="68" hidden="1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9" t="n">
        <v>45351</v>
      </c>
      <c r="G68" s="5" t="n">
        <v>2024</v>
      </c>
      <c r="H68" s="5" t="inlineStr">
        <is>
          <t>Febrero</t>
        </is>
      </c>
      <c r="I68" s="6" t="inlineStr">
        <is>
          <t>2024-1</t>
        </is>
      </c>
      <c r="J68" s="5" t="n">
        <v>97</v>
      </c>
      <c r="K68" s="10" t="n">
        <v>98</v>
      </c>
      <c r="L68" s="14" t="n">
        <v>1.010309278350515</v>
      </c>
      <c r="M68" s="14" t="n">
        <v>1.010309278350515</v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77-2024-02-29</t>
        </is>
      </c>
    </row>
    <row r="69" hidden="1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8" t="n">
        <v>45382</v>
      </c>
      <c r="G69" s="5" t="n">
        <v>2024</v>
      </c>
      <c r="H69" s="5" t="inlineStr">
        <is>
          <t>Marzo</t>
        </is>
      </c>
      <c r="I69" s="6" t="inlineStr">
        <is>
          <t>2024-1</t>
        </is>
      </c>
      <c r="J69" s="5" t="n">
        <v>97</v>
      </c>
      <c r="K69" s="10" t="n">
        <v>99.09999999999999</v>
      </c>
      <c r="L69" s="14" t="n">
        <v>1.021649484536082</v>
      </c>
      <c r="M69" s="14" t="n">
        <v>1.021649484536082</v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77-2024-03-31</t>
        </is>
      </c>
    </row>
    <row r="70" hidden="1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9" t="n">
        <v>45412</v>
      </c>
      <c r="G70" s="5" t="n">
        <v>2024</v>
      </c>
      <c r="H70" s="5" t="inlineStr">
        <is>
          <t>Abril</t>
        </is>
      </c>
      <c r="I70" s="6" t="inlineStr">
        <is>
          <t>2024-1</t>
        </is>
      </c>
      <c r="J70" s="5" t="n">
        <v>97</v>
      </c>
      <c r="K70" s="10" t="n">
        <v>98.09</v>
      </c>
      <c r="L70" s="14" t="n">
        <v>1.011237113402062</v>
      </c>
      <c r="M70" s="14" t="n">
        <v>1.011237113402062</v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77-2024-04-30</t>
        </is>
      </c>
    </row>
    <row r="71" hidden="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9" t="n">
        <v>45443</v>
      </c>
      <c r="G71" s="5" t="n">
        <v>2024</v>
      </c>
      <c r="H71" s="5" t="inlineStr">
        <is>
          <t>Mayo</t>
        </is>
      </c>
      <c r="I71" s="6" t="inlineStr">
        <is>
          <t>2024-1</t>
        </is>
      </c>
      <c r="J71" s="5" t="n">
        <v>97</v>
      </c>
      <c r="K71" s="10" t="n">
        <v>98.8</v>
      </c>
      <c r="L71" s="14" t="n">
        <v>1.018556701030928</v>
      </c>
      <c r="M71" s="14" t="n">
        <v>1.018556701030928</v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77-2024-05-31</t>
        </is>
      </c>
    </row>
    <row r="72" hidden="1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9" t="n">
        <v>45473</v>
      </c>
      <c r="G72" s="5" t="n">
        <v>2024</v>
      </c>
      <c r="H72" s="5" t="inlineStr">
        <is>
          <t>Junio</t>
        </is>
      </c>
      <c r="I72" s="6" t="inlineStr">
        <is>
          <t>2024-1</t>
        </is>
      </c>
      <c r="J72" s="5" t="n">
        <v>97</v>
      </c>
      <c r="K72" s="10" t="n">
        <v>99</v>
      </c>
      <c r="L72" s="14" t="n">
        <v>1.020618556701031</v>
      </c>
      <c r="M72" s="14" t="n">
        <v>1.020618556701031</v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77-2024-06-30</t>
        </is>
      </c>
    </row>
    <row r="73" hidden="1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9" t="n">
        <v>45504</v>
      </c>
      <c r="G73" s="5" t="n">
        <v>2024</v>
      </c>
      <c r="H73" s="5" t="inlineStr">
        <is>
          <t>Julio</t>
        </is>
      </c>
      <c r="I73" s="6" t="inlineStr">
        <is>
          <t>2024-2</t>
        </is>
      </c>
      <c r="J73" s="5" t="n">
        <v>97</v>
      </c>
      <c r="K73" s="10" t="n">
        <v>97</v>
      </c>
      <c r="L73" s="14" t="n">
        <v>1</v>
      </c>
      <c r="M73" s="14" t="n">
        <v>1</v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77-2024-07-31</t>
        </is>
      </c>
    </row>
    <row r="74" hidden="1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9" t="n">
        <v>45535</v>
      </c>
      <c r="G74" s="5" t="n">
        <v>2024</v>
      </c>
      <c r="H74" s="5" t="inlineStr">
        <is>
          <t>Agosto</t>
        </is>
      </c>
      <c r="I74" s="6" t="inlineStr">
        <is>
          <t>2024-2</t>
        </is>
      </c>
      <c r="J74" s="5" t="n">
        <v>97</v>
      </c>
      <c r="K74" s="10" t="n">
        <v>92.7</v>
      </c>
      <c r="L74" s="14" t="n">
        <v>0.9556701030927836</v>
      </c>
      <c r="M74" s="14" t="n">
        <v>0.9556701030927836</v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77-2024-08-31</t>
        </is>
      </c>
    </row>
    <row r="75" hidden="1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9" t="n">
        <v>45565</v>
      </c>
      <c r="G75" s="5" t="n">
        <v>2024</v>
      </c>
      <c r="H75" s="5" t="inlineStr">
        <is>
          <t>Septiembre</t>
        </is>
      </c>
      <c r="I75" s="6" t="inlineStr">
        <is>
          <t>2024-2</t>
        </is>
      </c>
      <c r="J75" s="5" t="n">
        <v>97</v>
      </c>
      <c r="K75" s="10" t="n">
        <v>97</v>
      </c>
      <c r="L75" s="1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77-2024-09-30</t>
        </is>
      </c>
    </row>
    <row r="76" hidden="1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8" t="n">
        <v>45596</v>
      </c>
      <c r="G76" s="5" t="n">
        <v>2024</v>
      </c>
      <c r="H76" s="5" t="inlineStr">
        <is>
          <t>Octubre</t>
        </is>
      </c>
      <c r="I76" s="6" t="inlineStr">
        <is>
          <t>2024-2</t>
        </is>
      </c>
      <c r="J76" s="5" t="n">
        <v>97</v>
      </c>
      <c r="K76" s="10" t="n">
        <v>97.3</v>
      </c>
      <c r="L76" s="14" t="n">
        <v>1.003092783505155</v>
      </c>
      <c r="M76" s="14" t="n">
        <v>1.003092783505155</v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77-2024-10-31</t>
        </is>
      </c>
    </row>
    <row r="77" hidden="1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9" t="n">
        <v>45626</v>
      </c>
      <c r="G77" s="5" t="n">
        <v>2024</v>
      </c>
      <c r="H77" s="5" t="inlineStr">
        <is>
          <t>Noviembre</t>
        </is>
      </c>
      <c r="I77" s="6" t="inlineStr">
        <is>
          <t>2024-2</t>
        </is>
      </c>
      <c r="J77" s="5" t="n">
        <v>97</v>
      </c>
      <c r="K77" s="10" t="n">
        <v>97</v>
      </c>
      <c r="L77" s="14" t="n">
        <v>1</v>
      </c>
      <c r="M77" s="14" t="n">
        <v>1</v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77-2024-11-30</t>
        </is>
      </c>
    </row>
    <row r="78" hidden="1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9" t="n">
        <v>45657</v>
      </c>
      <c r="G78" s="5" t="n">
        <v>2024</v>
      </c>
      <c r="H78" s="5" t="inlineStr">
        <is>
          <t>Diciembre</t>
        </is>
      </c>
      <c r="I78" s="6" t="inlineStr">
        <is>
          <t>2024-2</t>
        </is>
      </c>
      <c r="J78" s="5" t="n">
        <v>97</v>
      </c>
      <c r="K78" s="5" t="n">
        <v>98.2</v>
      </c>
      <c r="L78" s="14" t="n">
        <v>1.012371134020619</v>
      </c>
      <c r="M78" s="14" t="n">
        <v>1.012371134020619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77-2024-12-31</t>
        </is>
      </c>
    </row>
    <row r="79" hidden="1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9" t="n">
        <v>45688</v>
      </c>
      <c r="G79" s="5" t="n">
        <v>2025</v>
      </c>
      <c r="H79" s="5" t="inlineStr">
        <is>
          <t>Enero</t>
        </is>
      </c>
      <c r="I79" s="6" t="inlineStr">
        <is>
          <t>2025-1</t>
        </is>
      </c>
      <c r="J79" s="5" t="n">
        <v>97</v>
      </c>
      <c r="K79" s="10" t="n">
        <v>96</v>
      </c>
      <c r="L79" s="14" t="n">
        <v>0.9896907216494846</v>
      </c>
      <c r="M79" s="14" t="n">
        <v>0.9896907216494846</v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77-2025-01-31</t>
        </is>
      </c>
    </row>
    <row r="80" hidden="1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9" t="n">
        <v>45716</v>
      </c>
      <c r="G80" s="5" t="n">
        <v>2025</v>
      </c>
      <c r="H80" s="5" t="inlineStr">
        <is>
          <t>Febrero</t>
        </is>
      </c>
      <c r="I80" s="6" t="inlineStr">
        <is>
          <t>2025-1</t>
        </is>
      </c>
      <c r="J80" s="5" t="n">
        <v>97</v>
      </c>
      <c r="K80" s="10" t="n">
        <v>94</v>
      </c>
      <c r="L80" s="14" t="n">
        <v>0.9690721649484536</v>
      </c>
      <c r="M80" s="14" t="n">
        <v>0.9690721649484536</v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77-2025-02-28</t>
        </is>
      </c>
    </row>
    <row r="81" hidden="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9" t="n">
        <v>45747</v>
      </c>
      <c r="G81" s="5" t="n">
        <v>2025</v>
      </c>
      <c r="H81" s="5" t="inlineStr">
        <is>
          <t>Marzo</t>
        </is>
      </c>
      <c r="I81" s="6" t="inlineStr">
        <is>
          <t>2025-1</t>
        </is>
      </c>
      <c r="J81" s="5" t="n">
        <v>97</v>
      </c>
      <c r="K81" s="10" t="n">
        <v>97</v>
      </c>
      <c r="L81" s="14" t="n">
        <v>1</v>
      </c>
      <c r="M81" s="14" t="n">
        <v>1</v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77-2025-03-31</t>
        </is>
      </c>
    </row>
    <row r="82" hidden="1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9" t="n">
        <v>45777</v>
      </c>
      <c r="G82" s="5" t="n">
        <v>2025</v>
      </c>
      <c r="H82" s="5" t="inlineStr">
        <is>
          <t>Abril</t>
        </is>
      </c>
      <c r="I82" s="6" t="inlineStr">
        <is>
          <t>2025-1</t>
        </is>
      </c>
      <c r="J82" s="5" t="n">
        <v>97</v>
      </c>
      <c r="K82" s="10" t="n">
        <v>87.7</v>
      </c>
      <c r="L82" s="14" t="n">
        <v>0.9041237113402062</v>
      </c>
      <c r="M82" s="14" t="n">
        <v>0.9041237113402062</v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77-2025-04-30</t>
        </is>
      </c>
    </row>
    <row r="83" hidden="1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9" t="n">
        <v>45808</v>
      </c>
      <c r="G83" s="5" t="n">
        <v>2025</v>
      </c>
      <c r="H83" s="5" t="inlineStr">
        <is>
          <t>Mayo</t>
        </is>
      </c>
      <c r="I83" s="6" t="inlineStr">
        <is>
          <t>2025-1</t>
        </is>
      </c>
      <c r="J83" s="5" t="n">
        <v>97</v>
      </c>
      <c r="K83" s="10" t="n">
        <v>97</v>
      </c>
      <c r="L83" s="14" t="n">
        <v>1</v>
      </c>
      <c r="M83" s="14" t="n">
        <v>1</v>
      </c>
      <c r="N83" s="5" t="inlineStr">
        <is>
          <t>%</t>
        </is>
      </c>
      <c r="O83" s="5" t="inlineStr">
        <is>
          <t>%</t>
        </is>
      </c>
      <c r="P83" s="15" t="n">
        <v>1</v>
      </c>
      <c r="Q83" s="15" t="n">
        <v>1</v>
      </c>
      <c r="R83" s="5" t="inlineStr">
        <is>
          <t>77-2025-05-31</t>
        </is>
      </c>
    </row>
    <row r="84" hidden="1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9" t="n">
        <v>45838</v>
      </c>
      <c r="G84" s="5" t="n">
        <v>2025</v>
      </c>
      <c r="H84" s="5" t="inlineStr">
        <is>
          <t>Junio</t>
        </is>
      </c>
      <c r="I84" s="6" t="inlineStr">
        <is>
          <t>2025-1</t>
        </is>
      </c>
      <c r="J84" s="5" t="n">
        <v>97</v>
      </c>
      <c r="K84" s="10" t="n">
        <v>96.2</v>
      </c>
      <c r="L84" s="14" t="n">
        <v>0.9917525773195877</v>
      </c>
      <c r="M84" s="14" t="n">
        <v>0.9917525773195877</v>
      </c>
      <c r="N84" s="5" t="inlineStr">
        <is>
          <t>%</t>
        </is>
      </c>
      <c r="O84" s="5" t="inlineStr">
        <is>
          <t>%</t>
        </is>
      </c>
      <c r="P84" s="15" t="n">
        <v>1</v>
      </c>
      <c r="Q84" s="15" t="n">
        <v>1</v>
      </c>
      <c r="R84" s="5" t="inlineStr">
        <is>
          <t>77-2025-06-30</t>
        </is>
      </c>
    </row>
    <row r="85" hidden="1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9" t="n">
        <v>45869</v>
      </c>
      <c r="G85" s="5" t="n">
        <v>2025</v>
      </c>
      <c r="H85" s="5" t="inlineStr">
        <is>
          <t>Julio</t>
        </is>
      </c>
      <c r="I85" s="6" t="inlineStr">
        <is>
          <t>2025-2</t>
        </is>
      </c>
      <c r="J85" s="5" t="n">
        <v>97</v>
      </c>
      <c r="K85" s="10" t="n">
        <v>98.7</v>
      </c>
      <c r="L85" s="14" t="n">
        <v>1.017525773195876</v>
      </c>
      <c r="M85" s="14" t="n">
        <v>1.017525773195876</v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77-2025-07-31</t>
        </is>
      </c>
    </row>
    <row r="86" hidden="1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9" t="n">
        <v>45900</v>
      </c>
      <c r="G86" s="5" t="n">
        <v>2025</v>
      </c>
      <c r="H86" s="5" t="inlineStr">
        <is>
          <t>Agosto</t>
        </is>
      </c>
      <c r="I86" s="6" t="inlineStr">
        <is>
          <t>2025-2</t>
        </is>
      </c>
      <c r="J86" s="5" t="n">
        <v>97</v>
      </c>
      <c r="K86" s="10" t="n">
        <v>97.09999999999999</v>
      </c>
      <c r="L86" s="14" t="n">
        <v>1.001030927835052</v>
      </c>
      <c r="M86" s="14" t="n">
        <v>1.001030927835052</v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77-2025-08-31</t>
        </is>
      </c>
    </row>
    <row r="87" hidden="1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9" t="n">
        <v>45930</v>
      </c>
      <c r="G87" s="5" t="n">
        <v>2025</v>
      </c>
      <c r="H87" s="5" t="inlineStr">
        <is>
          <t>Septiembre</t>
        </is>
      </c>
      <c r="I87" s="6" t="inlineStr">
        <is>
          <t>2025-2</t>
        </is>
      </c>
      <c r="J87" s="5" t="n">
        <v>97</v>
      </c>
      <c r="K87" s="10" t="n">
        <v>98.40000000000001</v>
      </c>
      <c r="L87" s="14" t="n">
        <v>1.014432989690722</v>
      </c>
      <c r="M87" s="14" t="n">
        <v>1.014432989690722</v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77-2025-09-30</t>
        </is>
      </c>
    </row>
    <row r="88" hidden="1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9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97</v>
      </c>
      <c r="K88" s="10" t="n">
        <v>97.7</v>
      </c>
      <c r="L88" s="14" t="n">
        <v>1.007216494845361</v>
      </c>
      <c r="M88" s="14" t="n">
        <v>1.007216494845361</v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77-2025-10-31</t>
        </is>
      </c>
    </row>
    <row r="89" hidden="1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09" t="n">
        <v>45991</v>
      </c>
      <c r="G89" s="5" t="n">
        <v>2025</v>
      </c>
      <c r="H89" s="5" t="inlineStr">
        <is>
          <t>Noviembre</t>
        </is>
      </c>
      <c r="I89" s="6" t="inlineStr">
        <is>
          <t>2025-2</t>
        </is>
      </c>
      <c r="J89" s="5" t="n">
        <v>97</v>
      </c>
      <c r="K89" s="10" t="n">
        <v>93.40000000000001</v>
      </c>
      <c r="L89" s="14" t="n">
        <v>0.9628865979381444</v>
      </c>
      <c r="M89" s="14" t="n">
        <v>0.9628865979381444</v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77-2025-11-30</t>
        </is>
      </c>
    </row>
    <row r="90" hidden="1">
      <c r="A90" s="21" t="n">
        <v>77</v>
      </c>
      <c r="B90" s="5" t="inlineStr">
        <is>
          <t>Disponibilidad de servicios tecnológicos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109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97</v>
      </c>
      <c r="K90" s="10" t="n">
        <v>95.40000000000001</v>
      </c>
      <c r="L90" s="14" t="n">
        <v>0.9835051546391753</v>
      </c>
      <c r="M90" s="14" t="n">
        <v>0.9835051546391753</v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1</v>
      </c>
      <c r="R90" s="5" t="inlineStr">
        <is>
          <t>77-2025-12-31</t>
        </is>
      </c>
    </row>
    <row r="91" hidden="1">
      <c r="A91" s="21" t="n">
        <v>77</v>
      </c>
      <c r="B91" s="5" t="inlineStr">
        <is>
          <t>Disponibilidad de servicios tecnológicos</t>
        </is>
      </c>
      <c r="C91" s="5" t="inlineStr">
        <is>
          <t>GESTIÓN DE LA TECNOLOGÍA E INNOVACIÓN DIGITAL</t>
        </is>
      </c>
      <c r="D91" s="5" t="inlineStr">
        <is>
          <t>Mensual</t>
        </is>
      </c>
      <c r="E91" s="5" t="inlineStr">
        <is>
          <t>Positivo</t>
        </is>
      </c>
      <c r="F91" s="108" t="n">
        <v>46053</v>
      </c>
      <c r="G91" s="5" t="n">
        <v>2026</v>
      </c>
      <c r="H91" s="5" t="inlineStr">
        <is>
          <t>Enero</t>
        </is>
      </c>
      <c r="I91" s="6" t="inlineStr">
        <is>
          <t>2026-1</t>
        </is>
      </c>
      <c r="J91" s="5" t="n">
        <v>97</v>
      </c>
      <c r="K91" s="10" t="n">
        <v>94.90000000000001</v>
      </c>
      <c r="L91" s="14" t="n">
        <v>0.9783505154639176</v>
      </c>
      <c r="M91" s="14" t="n">
        <v>0.9783505154639176</v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1</v>
      </c>
      <c r="R91" s="5" t="inlineStr">
        <is>
          <t>77-2026-01-31</t>
        </is>
      </c>
    </row>
    <row r="92" hidden="1">
      <c r="A92" s="26" t="n">
        <v>77</v>
      </c>
      <c r="B92" s="5" t="inlineStr">
        <is>
          <t>Disponibilidad de servicios tecnológicos</t>
        </is>
      </c>
      <c r="C92" s="5" t="inlineStr">
        <is>
          <t>GESTIÓN DE LA TECNOLOGÍA E INNOVACIÓN DIGITAL</t>
        </is>
      </c>
      <c r="D92" s="5" t="inlineStr">
        <is>
          <t>Mensual</t>
        </is>
      </c>
      <c r="E92" s="5" t="inlineStr">
        <is>
          <t>Positivo</t>
        </is>
      </c>
      <c r="F92" s="109" t="n">
        <v>46081</v>
      </c>
      <c r="G92" s="5" t="n">
        <v>2026</v>
      </c>
      <c r="H92" s="5" t="inlineStr">
        <is>
          <t>Febrero</t>
        </is>
      </c>
      <c r="I92" s="6" t="inlineStr">
        <is>
          <t>2026-1</t>
        </is>
      </c>
      <c r="J92" s="5" t="n">
        <v>97</v>
      </c>
      <c r="K92" s="10" t="n">
        <v>95.2</v>
      </c>
      <c r="L92" s="14" t="n">
        <v>0.9814432989690722</v>
      </c>
      <c r="M92" s="14" t="n">
        <v>0.9814432989690722</v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1</v>
      </c>
      <c r="R92" s="5" t="inlineStr">
        <is>
          <t>77-2026-02-28</t>
        </is>
      </c>
    </row>
    <row r="93" hidden="1">
      <c r="A93" s="5" t="n">
        <v>77</v>
      </c>
      <c r="B93" s="5" t="inlineStr">
        <is>
          <t>Disponibilidad de servicios tecnológicos</t>
        </is>
      </c>
      <c r="C93" s="5" t="inlineStr">
        <is>
          <t>GESTIÓN DE LA TECNOLOGÍA E INNOVACIÓN DIGITAL</t>
        </is>
      </c>
      <c r="D93" s="5" t="inlineStr">
        <is>
          <t>Mensual</t>
        </is>
      </c>
      <c r="E93" s="5" t="inlineStr">
        <is>
          <t>Positivo</t>
        </is>
      </c>
      <c r="F93" s="109" t="n">
        <v>46112</v>
      </c>
      <c r="G93" s="5" t="n">
        <v>2026</v>
      </c>
      <c r="H93" s="5" t="inlineStr">
        <is>
          <t>Marzo</t>
        </is>
      </c>
      <c r="I93" s="6" t="inlineStr">
        <is>
          <t>2026-1</t>
        </is>
      </c>
      <c r="J93" s="5" t="n">
        <v>97</v>
      </c>
      <c r="K93" s="5" t="n">
        <v>98.2</v>
      </c>
      <c r="L93" s="14" t="n">
        <v>1.012371134020619</v>
      </c>
      <c r="M93" s="14" t="n">
        <v>1.012371134020619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1</v>
      </c>
      <c r="R93" s="5" t="inlineStr">
        <is>
          <t>77-2026-03-31</t>
        </is>
      </c>
    </row>
    <row r="94" hidden="1">
      <c r="A94" s="21" t="n">
        <v>77</v>
      </c>
      <c r="B94" s="5" t="inlineStr">
        <is>
          <t>Disponibilidad de servicios tecnológicos</t>
        </is>
      </c>
      <c r="C94" s="5" t="inlineStr">
        <is>
          <t>GESTIÓN DE LA TECNOLOGÍA E INNOVACIÓN DIGITAL</t>
        </is>
      </c>
      <c r="D94" s="5" t="inlineStr">
        <is>
          <t>Mensual</t>
        </is>
      </c>
      <c r="E94" s="5" t="inlineStr">
        <is>
          <t>Positivo</t>
        </is>
      </c>
      <c r="F94" s="109" t="n">
        <v>46142</v>
      </c>
      <c r="G94" s="5" t="n">
        <v>2026</v>
      </c>
      <c r="H94" s="5" t="inlineStr">
        <is>
          <t>Abril</t>
        </is>
      </c>
      <c r="I94" s="6" t="inlineStr">
        <is>
          <t>2026-1</t>
        </is>
      </c>
      <c r="J94" s="5" t="n">
        <v>97</v>
      </c>
      <c r="K94" s="10" t="n">
        <v>89.7</v>
      </c>
      <c r="L94" s="14" t="n">
        <v>0.9247422680412372</v>
      </c>
      <c r="M94" s="14" t="n">
        <v>0.9247422680412372</v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1</v>
      </c>
      <c r="R94" s="5" t="inlineStr">
        <is>
          <t>77-2026-04-30</t>
        </is>
      </c>
    </row>
    <row r="95" hidden="1">
      <c r="A95" s="5" t="n">
        <v>78</v>
      </c>
      <c r="B95" s="20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9" t="n">
        <v>45046</v>
      </c>
      <c r="G95" s="5" t="n">
        <v>2023</v>
      </c>
      <c r="H95" s="5" t="inlineStr">
        <is>
          <t>Abril</t>
        </is>
      </c>
      <c r="I95" s="6" t="inlineStr">
        <is>
          <t>2023-1</t>
        </is>
      </c>
      <c r="J95" s="5" t="n">
        <v>100</v>
      </c>
      <c r="K95" s="5" t="n">
        <v>100</v>
      </c>
      <c r="L95" s="14" t="n">
        <v>1</v>
      </c>
      <c r="M95" s="14" t="n">
        <v>1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78-2023-04-30</t>
        </is>
      </c>
    </row>
    <row r="96" hidden="1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9" t="n">
        <v>45107</v>
      </c>
      <c r="G96" s="5" t="n">
        <v>2023</v>
      </c>
      <c r="H96" s="5" t="inlineStr">
        <is>
          <t>Junio</t>
        </is>
      </c>
      <c r="I96" s="6" t="inlineStr">
        <is>
          <t>2023-1</t>
        </is>
      </c>
      <c r="J96" s="5" t="n">
        <v>100</v>
      </c>
      <c r="K96" s="10" t="n">
        <v>100</v>
      </c>
      <c r="L96" s="14" t="n">
        <v>1</v>
      </c>
      <c r="M96" s="14" t="n">
        <v>1</v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78-2023-06-30</t>
        </is>
      </c>
    </row>
    <row r="97" hidden="1">
      <c r="A97" s="21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9" t="n">
        <v>45169</v>
      </c>
      <c r="G97" s="5" t="n">
        <v>2023</v>
      </c>
      <c r="H97" s="5" t="inlineStr">
        <is>
          <t>Agosto</t>
        </is>
      </c>
      <c r="I97" s="6" t="inlineStr">
        <is>
          <t>2023-2</t>
        </is>
      </c>
      <c r="J97" s="5" t="n">
        <v>100</v>
      </c>
      <c r="K97" s="10" t="n">
        <v>100</v>
      </c>
      <c r="L97" s="14" t="n">
        <v>1</v>
      </c>
      <c r="M97" s="14" t="n">
        <v>1</v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78-2023-08-31</t>
        </is>
      </c>
    </row>
    <row r="98" hidden="1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9" t="n">
        <v>45230</v>
      </c>
      <c r="G98" s="5" t="n">
        <v>2023</v>
      </c>
      <c r="H98" s="5" t="inlineStr">
        <is>
          <t>Octubre</t>
        </is>
      </c>
      <c r="I98" s="6" t="inlineStr">
        <is>
          <t>2023-2</t>
        </is>
      </c>
      <c r="J98" s="5" t="n">
        <v>100</v>
      </c>
      <c r="K98" s="10" t="n">
        <v>100</v>
      </c>
      <c r="L98" s="14" t="n">
        <v>1</v>
      </c>
      <c r="M98" s="14" t="n">
        <v>1</v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78-2023-10-31</t>
        </is>
      </c>
    </row>
    <row r="99" hidden="1">
      <c r="A99" s="21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9" t="n">
        <v>45291</v>
      </c>
      <c r="G99" s="5" t="n">
        <v>2023</v>
      </c>
      <c r="H99" s="5" t="inlineStr">
        <is>
          <t>Diciembre</t>
        </is>
      </c>
      <c r="I99" s="6" t="inlineStr">
        <is>
          <t>2023-2</t>
        </is>
      </c>
      <c r="J99" s="5" t="n">
        <v>100</v>
      </c>
      <c r="K99" s="10" t="n">
        <v>122.22</v>
      </c>
      <c r="L99" s="14" t="n">
        <v>1.2222</v>
      </c>
      <c r="M99" s="14" t="n">
        <v>1.2222</v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78-2023-12-31</t>
        </is>
      </c>
    </row>
    <row r="100" hidden="1">
      <c r="A100" s="26" t="n">
        <v>78</v>
      </c>
      <c r="B100" s="5" t="inlineStr">
        <is>
          <t>Cumplimiento programa de auditoría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9" t="n">
        <v>45412</v>
      </c>
      <c r="G100" s="5" t="n">
        <v>2024</v>
      </c>
      <c r="H100" s="5" t="inlineStr">
        <is>
          <t>Abril</t>
        </is>
      </c>
      <c r="I100" s="6" t="inlineStr">
        <is>
          <t>2024-1</t>
        </is>
      </c>
      <c r="J100" s="73" t="n">
        <v>100</v>
      </c>
      <c r="K100" s="10" t="n">
        <v>100</v>
      </c>
      <c r="L100" s="14" t="n">
        <v>1</v>
      </c>
      <c r="M100" s="14" t="n">
        <v>1</v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78-2024-04-30</t>
        </is>
      </c>
    </row>
    <row r="101" hidden="1">
      <c r="A101" s="21" t="n">
        <v>78</v>
      </c>
      <c r="B101" s="5" t="inlineStr">
        <is>
          <t>Cumplimiento programa de auditoría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9" t="n">
        <v>45473</v>
      </c>
      <c r="G101" s="5" t="n">
        <v>2024</v>
      </c>
      <c r="H101" s="5" t="inlineStr">
        <is>
          <t>Junio</t>
        </is>
      </c>
      <c r="I101" s="6" t="inlineStr">
        <is>
          <t>2024-1</t>
        </is>
      </c>
      <c r="J101" s="5" t="n">
        <v>100</v>
      </c>
      <c r="K101" s="10" t="n">
        <v>80</v>
      </c>
      <c r="L101" s="14" t="n">
        <v>0.8</v>
      </c>
      <c r="M101" s="14" t="n">
        <v>0.8</v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78-2024-06-30</t>
        </is>
      </c>
    </row>
    <row r="102" hidden="1">
      <c r="A102" s="5" t="n">
        <v>78</v>
      </c>
      <c r="B102" s="5" t="inlineStr">
        <is>
          <t>Cumplimiento programa de auditoría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9" t="n">
        <v>45535</v>
      </c>
      <c r="G102" s="5" t="n">
        <v>2024</v>
      </c>
      <c r="H102" s="5" t="inlineStr">
        <is>
          <t>Agosto</t>
        </is>
      </c>
      <c r="I102" s="6" t="inlineStr">
        <is>
          <t>2024-2</t>
        </is>
      </c>
      <c r="J102" s="5" t="n">
        <v>100</v>
      </c>
      <c r="K102" s="5" t="n">
        <v>100</v>
      </c>
      <c r="L102" s="74" t="n">
        <v>1</v>
      </c>
      <c r="M102" s="14" t="n">
        <v>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78-2024-08-31</t>
        </is>
      </c>
    </row>
    <row r="103" hidden="1">
      <c r="A103" s="21" t="n">
        <v>78</v>
      </c>
      <c r="B103" s="5" t="inlineStr">
        <is>
          <t>Cumplimiento programa de auditoría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09" t="n">
        <v>45596</v>
      </c>
      <c r="G103" s="5" t="n">
        <v>2024</v>
      </c>
      <c r="H103" s="5" t="inlineStr">
        <is>
          <t>Octubre</t>
        </is>
      </c>
      <c r="I103" s="6" t="inlineStr">
        <is>
          <t>2024-2</t>
        </is>
      </c>
      <c r="J103" s="5" t="n">
        <v>100</v>
      </c>
      <c r="K103" s="10" t="n">
        <v>100</v>
      </c>
      <c r="L103" s="14" t="n">
        <v>1</v>
      </c>
      <c r="M103" s="14" t="n">
        <v>1</v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78-2024-10-31</t>
        </is>
      </c>
    </row>
    <row r="104" hidden="1">
      <c r="A104" s="5" t="n">
        <v>78</v>
      </c>
      <c r="B104" s="5" t="inlineStr">
        <is>
          <t>Cumplimiento programa de auditoría</t>
        </is>
      </c>
      <c r="C104" s="5" t="inlineStr">
        <is>
          <t>AUDITORÍA INTERNA</t>
        </is>
      </c>
      <c r="D104" s="5" t="inlineStr">
        <is>
          <t>Bimestral</t>
        </is>
      </c>
      <c r="E104" s="5" t="inlineStr">
        <is>
          <t>Positivo</t>
        </is>
      </c>
      <c r="F104" s="109" t="n">
        <v>45657</v>
      </c>
      <c r="G104" s="5" t="n">
        <v>2024</v>
      </c>
      <c r="H104" s="5" t="inlineStr">
        <is>
          <t>Diciembre</t>
        </is>
      </c>
      <c r="I104" s="6" t="inlineStr">
        <is>
          <t>2024-2</t>
        </is>
      </c>
      <c r="J104" s="5" t="n">
        <v>100</v>
      </c>
      <c r="K104" s="5" t="n">
        <v>112.5</v>
      </c>
      <c r="L104" s="14" t="n">
        <v>1.125</v>
      </c>
      <c r="M104" s="14" t="n">
        <v>1.125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78-2024-12-31</t>
        </is>
      </c>
    </row>
    <row r="105" hidden="1">
      <c r="A105" s="21" t="n">
        <v>79</v>
      </c>
      <c r="B105" s="5" t="inlineStr">
        <is>
          <t>Cierre Eficaz De Oportunidades De Mejora De Auditoria Interna</t>
        </is>
      </c>
      <c r="C105" s="5" t="inlineStr">
        <is>
          <t>AUDITORÍA INTERNA</t>
        </is>
      </c>
      <c r="D105" s="5" t="inlineStr">
        <is>
          <t>Bimestral</t>
        </is>
      </c>
      <c r="E105" s="5" t="inlineStr">
        <is>
          <t>Positivo</t>
        </is>
      </c>
      <c r="F105" s="109" t="n">
        <v>45107</v>
      </c>
      <c r="G105" s="5" t="n">
        <v>2023</v>
      </c>
      <c r="H105" s="5" t="inlineStr">
        <is>
          <t>Junio</t>
        </is>
      </c>
      <c r="I105" s="6" t="inlineStr">
        <is>
          <t>2023-1</t>
        </is>
      </c>
      <c r="J105" s="5" t="n">
        <v>85</v>
      </c>
      <c r="K105" s="10" t="n">
        <v>100</v>
      </c>
      <c r="L105" s="14" t="n">
        <v>1.176470588235294</v>
      </c>
      <c r="M105" s="14" t="n">
        <v>1.176470588235294</v>
      </c>
      <c r="N105" s="5" t="inlineStr">
        <is>
          <t>%</t>
        </is>
      </c>
      <c r="O105" s="5" t="inlineStr">
        <is>
          <t>%</t>
        </is>
      </c>
      <c r="P105" s="15" t="n">
        <v>0</v>
      </c>
      <c r="Q105" s="15" t="n">
        <v>0</v>
      </c>
      <c r="R105" s="5" t="inlineStr">
        <is>
          <t>79-2023-06-30</t>
        </is>
      </c>
    </row>
    <row r="106" hidden="1">
      <c r="A106" s="21" t="n">
        <v>79</v>
      </c>
      <c r="B106" s="5" t="inlineStr">
        <is>
          <t>Cierre Eficaz De Oportunidades De Mejora De Auditoria Interna</t>
        </is>
      </c>
      <c r="C106" s="5" t="inlineStr">
        <is>
          <t>AUDITORÍA INTERNA</t>
        </is>
      </c>
      <c r="D106" s="5" t="inlineStr">
        <is>
          <t>Bimestral</t>
        </is>
      </c>
      <c r="E106" s="5" t="inlineStr">
        <is>
          <t>Positivo</t>
        </is>
      </c>
      <c r="F106" s="109" t="n">
        <v>45169</v>
      </c>
      <c r="G106" s="5" t="n">
        <v>2023</v>
      </c>
      <c r="H106" s="5" t="inlineStr">
        <is>
          <t>Agosto</t>
        </is>
      </c>
      <c r="I106" s="6" t="inlineStr">
        <is>
          <t>2023-2</t>
        </is>
      </c>
      <c r="J106" s="5" t="n">
        <v>85</v>
      </c>
      <c r="K106" s="10" t="n">
        <v>100</v>
      </c>
      <c r="L106" s="14" t="n">
        <v>1.176470588235294</v>
      </c>
      <c r="M106" s="14" t="n">
        <v>1.176470588235294</v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79-2023-08-31</t>
        </is>
      </c>
    </row>
    <row r="107" hidden="1">
      <c r="A107" s="28" t="n">
        <v>79</v>
      </c>
      <c r="B107" s="5" t="inlineStr">
        <is>
          <t>Cierre Eficaz De Oportunidades De Mejora De Auditoria Interna</t>
        </is>
      </c>
      <c r="C107" s="5" t="inlineStr">
        <is>
          <t>AUDITORÍA INTERNA</t>
        </is>
      </c>
      <c r="D107" s="5" t="inlineStr">
        <is>
          <t>Bimestral</t>
        </is>
      </c>
      <c r="E107" s="5" t="inlineStr">
        <is>
          <t>Positivo</t>
        </is>
      </c>
      <c r="F107" s="109" t="n">
        <v>45230</v>
      </c>
      <c r="G107" s="5" t="n">
        <v>2023</v>
      </c>
      <c r="H107" s="5" t="inlineStr">
        <is>
          <t>Octubre</t>
        </is>
      </c>
      <c r="I107" s="6" t="inlineStr">
        <is>
          <t>2023-2</t>
        </is>
      </c>
      <c r="J107" s="5" t="n">
        <v>85</v>
      </c>
      <c r="K107" s="10" t="n">
        <v>100</v>
      </c>
      <c r="L107" s="14" t="n">
        <v>1.176470588235294</v>
      </c>
      <c r="M107" s="14" t="n">
        <v>1.176470588235294</v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79-2023-10-31</t>
        </is>
      </c>
    </row>
    <row r="108" hidden="1">
      <c r="A108" s="26" t="n">
        <v>79</v>
      </c>
      <c r="B108" s="5" t="inlineStr">
        <is>
          <t>Cierre Eficaz De Oportunidades De Mejora De Auditoria Interna</t>
        </is>
      </c>
      <c r="C108" s="5" t="inlineStr">
        <is>
          <t>AUDITORÍA INTERNA</t>
        </is>
      </c>
      <c r="D108" s="5" t="inlineStr">
        <is>
          <t>Bimestral</t>
        </is>
      </c>
      <c r="E108" s="5" t="inlineStr">
        <is>
          <t>Positivo</t>
        </is>
      </c>
      <c r="F108" s="109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85</v>
      </c>
      <c r="K108" s="10" t="n">
        <v>95.45</v>
      </c>
      <c r="L108" s="14" t="n">
        <v>1.122941176470588</v>
      </c>
      <c r="M108" s="14" t="n">
        <v>1.122941176470588</v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79-2023-12-31</t>
        </is>
      </c>
    </row>
    <row r="109" hidden="1">
      <c r="A109" s="21" t="n">
        <v>84</v>
      </c>
      <c r="B109" s="5" t="inlineStr">
        <is>
          <t>Funcionamiento del COPASST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9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100</v>
      </c>
      <c r="K109" s="10" t="n">
        <v>100</v>
      </c>
      <c r="L109" s="14" t="n">
        <v>1</v>
      </c>
      <c r="M109" s="14" t="n">
        <v>1</v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84-2022-12-31</t>
        </is>
      </c>
    </row>
    <row r="110" hidden="1">
      <c r="A110" s="5" t="n">
        <v>84</v>
      </c>
      <c r="B110" s="5" t="inlineStr">
        <is>
          <t>Funcionamiento del COPASST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100</v>
      </c>
      <c r="K110" s="5" t="n">
        <v>100</v>
      </c>
      <c r="L110" s="14" t="n">
        <v>1</v>
      </c>
      <c r="M110" s="14" t="n">
        <v>1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84-2023-12-31</t>
        </is>
      </c>
    </row>
    <row r="111" hidden="1">
      <c r="A111" s="21" t="n">
        <v>84</v>
      </c>
      <c r="B111" s="5" t="inlineStr">
        <is>
          <t>Funcionamiento del COPASST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100</v>
      </c>
      <c r="K111" s="10" t="n">
        <v>100</v>
      </c>
      <c r="L111" s="14" t="n">
        <v>1</v>
      </c>
      <c r="M111" s="14" t="n">
        <v>1</v>
      </c>
      <c r="N111" s="5" t="inlineStr">
        <is>
          <t>%</t>
        </is>
      </c>
      <c r="O111" s="5" t="inlineStr">
        <is>
          <t>%</t>
        </is>
      </c>
      <c r="P111" s="15" t="n">
        <v>0</v>
      </c>
      <c r="Q111" s="15" t="n">
        <v>0</v>
      </c>
      <c r="R111" s="5" t="inlineStr">
        <is>
          <t>84-2024-12-31</t>
        </is>
      </c>
    </row>
    <row r="112" hidden="1">
      <c r="A112" s="21" t="n">
        <v>84</v>
      </c>
      <c r="B112" s="5" t="inlineStr">
        <is>
          <t>Funcionamiento del COPASST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9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100</v>
      </c>
      <c r="K112" s="10" t="n">
        <v>100</v>
      </c>
      <c r="L112" s="14" t="n">
        <v>1</v>
      </c>
      <c r="M112" s="14" t="n">
        <v>1</v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84-2025-12-31</t>
        </is>
      </c>
    </row>
    <row r="113" hidden="1">
      <c r="A113" s="5" t="n">
        <v>85</v>
      </c>
      <c r="B113" s="5" t="inlineStr">
        <is>
          <t>Plan de Emergencias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Positivo</t>
        </is>
      </c>
      <c r="F113" s="109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5" t="n">
        <v>100</v>
      </c>
      <c r="L113" s="74" t="n">
        <v>1</v>
      </c>
      <c r="M113" s="14" t="n">
        <v>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85-2022-12-31</t>
        </is>
      </c>
    </row>
    <row r="114" hidden="1">
      <c r="A114" s="21" t="n">
        <v>85</v>
      </c>
      <c r="B114" s="5" t="inlineStr">
        <is>
          <t>Plan de Emergencias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Positivo</t>
        </is>
      </c>
      <c r="F114" s="109" t="n">
        <v>45291</v>
      </c>
      <c r="G114" s="5" t="n">
        <v>2023</v>
      </c>
      <c r="H114" s="5" t="inlineStr">
        <is>
          <t>Diciembre</t>
        </is>
      </c>
      <c r="I114" s="6" t="inlineStr">
        <is>
          <t>2023-2</t>
        </is>
      </c>
      <c r="J114" s="5" t="n">
        <v>100</v>
      </c>
      <c r="K114" s="5" t="n">
        <v>100</v>
      </c>
      <c r="L114" s="14" t="n">
        <v>1</v>
      </c>
      <c r="M114" s="14" t="n">
        <v>1</v>
      </c>
      <c r="N114" s="5" t="inlineStr">
        <is>
          <t>%</t>
        </is>
      </c>
      <c r="O114" s="5" t="inlineStr">
        <is>
          <t>%</t>
        </is>
      </c>
      <c r="P114" s="15" t="n">
        <v>0</v>
      </c>
      <c r="Q114" s="15" t="n">
        <v>0</v>
      </c>
      <c r="R114" s="5" t="inlineStr">
        <is>
          <t>85-2023-12-31</t>
        </is>
      </c>
    </row>
    <row r="115" hidden="1">
      <c r="A115" s="21" t="n">
        <v>85</v>
      </c>
      <c r="B115" s="5" t="inlineStr">
        <is>
          <t>Plan de Emergencias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Positivo</t>
        </is>
      </c>
      <c r="F115" s="109" t="n">
        <v>45657</v>
      </c>
      <c r="G115" s="5" t="n">
        <v>2024</v>
      </c>
      <c r="H115" s="5" t="inlineStr">
        <is>
          <t>Diciembre</t>
        </is>
      </c>
      <c r="I115" s="6" t="inlineStr">
        <is>
          <t>2024-2</t>
        </is>
      </c>
      <c r="J115" s="5" t="n">
        <v>100</v>
      </c>
      <c r="K115" s="10" t="n">
        <v>100</v>
      </c>
      <c r="L115" s="14" t="n">
        <v>1</v>
      </c>
      <c r="M115" s="14" t="n">
        <v>1</v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85-2024-12-31</t>
        </is>
      </c>
    </row>
    <row r="116" hidden="1">
      <c r="A116" s="5" t="n">
        <v>85</v>
      </c>
      <c r="B116" s="5" t="inlineStr">
        <is>
          <t>Plan de Emergencias</t>
        </is>
      </c>
      <c r="C116" s="5" t="inlineStr">
        <is>
          <t>GESTIÓN DE SEGURIDAD Y SALUD EN EL TRABAJO</t>
        </is>
      </c>
      <c r="D116" s="5" t="inlineStr">
        <is>
          <t>Anual</t>
        </is>
      </c>
      <c r="E116" s="5" t="inlineStr">
        <is>
          <t>Positivo</t>
        </is>
      </c>
      <c r="F116" s="109" t="n">
        <v>46022</v>
      </c>
      <c r="G116" s="5" t="n">
        <v>2025</v>
      </c>
      <c r="H116" s="5" t="inlineStr">
        <is>
          <t>Diciembre</t>
        </is>
      </c>
      <c r="I116" s="6" t="inlineStr">
        <is>
          <t>2025-2</t>
        </is>
      </c>
      <c r="J116" s="5" t="n">
        <v>100</v>
      </c>
      <c r="K116" s="5" t="n">
        <v>100</v>
      </c>
      <c r="L116" s="74" t="n">
        <v>1</v>
      </c>
      <c r="M116" s="14" t="n">
        <v>1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85-2025-12-31</t>
        </is>
      </c>
    </row>
    <row r="117" hidden="1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Trimestral</t>
        </is>
      </c>
      <c r="E117" s="5" t="inlineStr">
        <is>
          <t>Positivo</t>
        </is>
      </c>
      <c r="F117" s="109" t="n">
        <v>44742</v>
      </c>
      <c r="G117" s="5" t="n">
        <v>2022</v>
      </c>
      <c r="H117" s="5" t="inlineStr">
        <is>
          <t>Junio</t>
        </is>
      </c>
      <c r="I117" s="6" t="inlineStr">
        <is>
          <t>2022-1</t>
        </is>
      </c>
      <c r="J117" s="5" t="n">
        <v>100</v>
      </c>
      <c r="K117" s="5" t="n">
        <v>100</v>
      </c>
      <c r="L117" s="14" t="n">
        <v>1</v>
      </c>
      <c r="M117" s="14" t="n">
        <v>1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86-2022-06-30</t>
        </is>
      </c>
    </row>
    <row r="118" hidden="1">
      <c r="A118" s="21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Trimestral</t>
        </is>
      </c>
      <c r="E118" s="5" t="inlineStr">
        <is>
          <t>Positivo</t>
        </is>
      </c>
      <c r="F118" s="109" t="n">
        <v>44926</v>
      </c>
      <c r="G118" s="5" t="n">
        <v>2022</v>
      </c>
      <c r="H118" s="5" t="inlineStr">
        <is>
          <t>Diciembre</t>
        </is>
      </c>
      <c r="I118" s="6" t="inlineStr">
        <is>
          <t>2022-2</t>
        </is>
      </c>
      <c r="J118" s="5" t="n">
        <v>100</v>
      </c>
      <c r="K118" s="10" t="n">
        <v>100</v>
      </c>
      <c r="L118" s="14" t="n">
        <v>1</v>
      </c>
      <c r="M118" s="14" t="n">
        <v>1</v>
      </c>
      <c r="N118" s="5" t="inlineStr">
        <is>
          <t>%</t>
        </is>
      </c>
      <c r="O118" s="5" t="inlineStr">
        <is>
          <t>%</t>
        </is>
      </c>
      <c r="P118" s="15" t="n">
        <v>0</v>
      </c>
      <c r="Q118" s="15" t="n">
        <v>0</v>
      </c>
      <c r="R118" s="5" t="inlineStr">
        <is>
          <t>86-2022-12-31</t>
        </is>
      </c>
    </row>
    <row r="119" hidden="1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Semestral</t>
        </is>
      </c>
      <c r="E119" s="5" t="inlineStr">
        <is>
          <t>Positivo</t>
        </is>
      </c>
      <c r="F119" s="109" t="n">
        <v>45107</v>
      </c>
      <c r="G119" s="5" t="n">
        <v>2023</v>
      </c>
      <c r="H119" s="5" t="inlineStr">
        <is>
          <t>Junio</t>
        </is>
      </c>
      <c r="I119" s="6" t="inlineStr">
        <is>
          <t>2023-1</t>
        </is>
      </c>
      <c r="J119" s="5" t="n">
        <v>100</v>
      </c>
      <c r="K119" s="5" t="n">
        <v>100</v>
      </c>
      <c r="L119" s="74" t="n">
        <v>1</v>
      </c>
      <c r="M119" s="14" t="n">
        <v>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86-2023-06-30</t>
        </is>
      </c>
    </row>
    <row r="120" hidden="1">
      <c r="A120" s="21" t="n">
        <v>86</v>
      </c>
      <c r="B120" s="5" t="inlineStr">
        <is>
          <t>Reporte e investigación</t>
        </is>
      </c>
      <c r="C120" s="5" t="inlineStr">
        <is>
          <t>GESTIÓN DE SEGURIDAD Y SALUD EN EL TRABAJO</t>
        </is>
      </c>
      <c r="D120" s="5" t="inlineStr">
        <is>
          <t>Semestral</t>
        </is>
      </c>
      <c r="E120" s="5" t="inlineStr">
        <is>
          <t>Positivo</t>
        </is>
      </c>
      <c r="F120" s="109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100</v>
      </c>
      <c r="K120" s="10" t="n">
        <v>100</v>
      </c>
      <c r="L120" s="14" t="n">
        <v>1</v>
      </c>
      <c r="M120" s="14" t="n">
        <v>1</v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86-2023-12-31</t>
        </is>
      </c>
    </row>
    <row r="121" hidden="1">
      <c r="A121" s="21" t="n">
        <v>86</v>
      </c>
      <c r="B121" s="5" t="inlineStr">
        <is>
          <t>Reporte e investigación</t>
        </is>
      </c>
      <c r="C121" s="5" t="inlineStr">
        <is>
          <t>GESTIÓN DE SEGURIDAD Y SALUD EN EL TRABAJO</t>
        </is>
      </c>
      <c r="D121" s="5" t="inlineStr">
        <is>
          <t>Semestral</t>
        </is>
      </c>
      <c r="E121" s="5" t="inlineStr">
        <is>
          <t>Positivo</t>
        </is>
      </c>
      <c r="F121" s="109" t="n">
        <v>45473</v>
      </c>
      <c r="G121" s="5" t="n">
        <v>2024</v>
      </c>
      <c r="H121" s="5" t="inlineStr">
        <is>
          <t>Junio</t>
        </is>
      </c>
      <c r="I121" s="6" t="inlineStr">
        <is>
          <t>2024-1</t>
        </is>
      </c>
      <c r="J121" s="5" t="n">
        <v>100</v>
      </c>
      <c r="K121" s="10" t="n">
        <v>100</v>
      </c>
      <c r="L121" s="14" t="n">
        <v>1</v>
      </c>
      <c r="M121" s="14" t="n">
        <v>1</v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86-2024-06-30</t>
        </is>
      </c>
    </row>
    <row r="122" hidden="1">
      <c r="A122" s="26" t="n">
        <v>86</v>
      </c>
      <c r="B122" s="5" t="inlineStr">
        <is>
          <t>Reporte e investigación</t>
        </is>
      </c>
      <c r="C122" s="5" t="inlineStr">
        <is>
          <t>GESTIÓN DE SEGURIDAD Y SALUD EN EL TRABAJO</t>
        </is>
      </c>
      <c r="D122" s="5" t="inlineStr">
        <is>
          <t>Semestral</t>
        </is>
      </c>
      <c r="E122" s="5" t="inlineStr">
        <is>
          <t>Positivo</t>
        </is>
      </c>
      <c r="F122" s="109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100</v>
      </c>
      <c r="K122" s="10" t="n">
        <v>100</v>
      </c>
      <c r="L122" s="14" t="n">
        <v>1</v>
      </c>
      <c r="M122" s="14" t="n">
        <v>1</v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86-2024-12-31</t>
        </is>
      </c>
    </row>
    <row r="123" hidden="1">
      <c r="A123" s="5" t="n">
        <v>86</v>
      </c>
      <c r="B123" s="5" t="inlineStr">
        <is>
          <t>Reporte e investigación</t>
        </is>
      </c>
      <c r="C123" s="5" t="inlineStr">
        <is>
          <t>GESTIÓN DE SEGURIDAD Y SALUD EN EL TRABAJO</t>
        </is>
      </c>
      <c r="D123" s="5" t="inlineStr">
        <is>
          <t>Semestral</t>
        </is>
      </c>
      <c r="E123" s="5" t="inlineStr">
        <is>
          <t>Positivo</t>
        </is>
      </c>
      <c r="F123" s="109" t="n">
        <v>45838</v>
      </c>
      <c r="G123" s="5" t="n">
        <v>2025</v>
      </c>
      <c r="H123" s="5" t="inlineStr">
        <is>
          <t>Junio</t>
        </is>
      </c>
      <c r="I123" s="6" t="inlineStr">
        <is>
          <t>2025-1</t>
        </is>
      </c>
      <c r="J123" s="5" t="n">
        <v>100</v>
      </c>
      <c r="K123" s="5" t="n">
        <v>100</v>
      </c>
      <c r="L123" s="14" t="n">
        <v>1</v>
      </c>
      <c r="M123" s="14" t="n">
        <v>1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86-2025-06-30</t>
        </is>
      </c>
    </row>
    <row r="124" hidden="1">
      <c r="A124" s="21" t="n">
        <v>86</v>
      </c>
      <c r="B124" s="5" t="inlineStr">
        <is>
          <t>Reporte e investigación</t>
        </is>
      </c>
      <c r="C124" s="5" t="inlineStr">
        <is>
          <t>GESTIÓN DE SEGURIDAD Y SALUD EN EL TRABAJO</t>
        </is>
      </c>
      <c r="D124" s="5" t="inlineStr">
        <is>
          <t>Trimestral</t>
        </is>
      </c>
      <c r="E124" s="5" t="inlineStr">
        <is>
          <t>Positivo</t>
        </is>
      </c>
      <c r="F124" s="108" t="n">
        <v>46022</v>
      </c>
      <c r="G124" s="5" t="n">
        <v>2025</v>
      </c>
      <c r="H124" s="5" t="inlineStr">
        <is>
          <t>Diciembre</t>
        </is>
      </c>
      <c r="I124" s="6" t="inlineStr">
        <is>
          <t>2025-2</t>
        </is>
      </c>
      <c r="J124" s="5" t="n">
        <v>100</v>
      </c>
      <c r="K124" s="10" t="n">
        <v>100</v>
      </c>
      <c r="L124" s="14" t="n">
        <v>1</v>
      </c>
      <c r="M124" s="14" t="n">
        <v>1</v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86-2025-12-31</t>
        </is>
      </c>
    </row>
    <row r="125" hidden="1">
      <c r="A125" s="21" t="n">
        <v>87</v>
      </c>
      <c r="B125" s="5" t="inlineStr">
        <is>
          <t>Autoevaluación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9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80</v>
      </c>
      <c r="K125" s="10" t="n">
        <v>99</v>
      </c>
      <c r="L125" s="14" t="n">
        <v>1.2375</v>
      </c>
      <c r="M125" s="14" t="n">
        <v>1.2375</v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87-2022-12-31</t>
        </is>
      </c>
    </row>
    <row r="126" hidden="1">
      <c r="A126" s="21" t="n">
        <v>87</v>
      </c>
      <c r="B126" s="5" t="inlineStr">
        <is>
          <t>Autoevaluación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9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90</v>
      </c>
      <c r="K126" s="10" t="n">
        <v>100</v>
      </c>
      <c r="L126" s="14" t="n">
        <v>1.111111111111111</v>
      </c>
      <c r="M126" s="14" t="n">
        <v>1.111111111111111</v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87-2023-12-31</t>
        </is>
      </c>
    </row>
    <row r="127" hidden="1">
      <c r="A127" s="21" t="n">
        <v>87</v>
      </c>
      <c r="B127" s="5" t="inlineStr">
        <is>
          <t>Autoevaluación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9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90</v>
      </c>
      <c r="K127" s="10" t="n">
        <v>100</v>
      </c>
      <c r="L127" s="14" t="n">
        <v>1.111111111111111</v>
      </c>
      <c r="M127" s="14" t="n">
        <v>1.111111111111111</v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87-2024-12-31</t>
        </is>
      </c>
    </row>
    <row r="128" hidden="1">
      <c r="A128" s="26" t="n">
        <v>87</v>
      </c>
      <c r="B128" s="5" t="inlineStr">
        <is>
          <t>Autoevaluación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9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10" t="n">
        <v>100</v>
      </c>
      <c r="L128" s="14" t="n">
        <v>1.25</v>
      </c>
      <c r="M128" s="14" t="n">
        <v>1.25</v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87-2025-12-31</t>
        </is>
      </c>
    </row>
    <row r="129" hidden="1">
      <c r="A129" s="21" t="n">
        <v>88</v>
      </c>
      <c r="B129" s="5" t="inlineStr">
        <is>
          <t>Ejecución del plan de trabajo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9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100</v>
      </c>
      <c r="K129" s="10" t="n">
        <v>99.344262295082</v>
      </c>
      <c r="L129" s="14" t="n">
        <v>0.9934426229508201</v>
      </c>
      <c r="M129" s="14" t="n">
        <v>0.9934426229508201</v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88-2022-12-31</t>
        </is>
      </c>
    </row>
    <row r="130" hidden="1">
      <c r="A130" s="5" t="n">
        <v>88</v>
      </c>
      <c r="B130" s="5" t="inlineStr">
        <is>
          <t>Ejecución del plan de trabajo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9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100</v>
      </c>
      <c r="K130" s="5" t="n">
        <v>100</v>
      </c>
      <c r="L130" s="74" t="n">
        <v>1</v>
      </c>
      <c r="M130" s="14" t="n">
        <v>1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88-2023-12-31</t>
        </is>
      </c>
    </row>
    <row r="131" hidden="1">
      <c r="A131" s="21" t="n">
        <v>88</v>
      </c>
      <c r="B131" s="5" t="inlineStr">
        <is>
          <t>Ejecución del plan de trabajo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9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100</v>
      </c>
      <c r="K131" s="10" t="n">
        <v>100</v>
      </c>
      <c r="L131" s="14" t="n">
        <v>1</v>
      </c>
      <c r="M131" s="14" t="n">
        <v>1</v>
      </c>
      <c r="N131" s="5" t="inlineStr">
        <is>
          <t>%</t>
        </is>
      </c>
      <c r="O131" s="5" t="inlineStr">
        <is>
          <t>%</t>
        </is>
      </c>
      <c r="P131" s="15" t="n">
        <v>0</v>
      </c>
      <c r="Q131" s="15" t="n">
        <v>0</v>
      </c>
      <c r="R131" s="5" t="inlineStr">
        <is>
          <t>88-2024-12-31</t>
        </is>
      </c>
    </row>
    <row r="132" hidden="1">
      <c r="A132" s="21" t="n">
        <v>88</v>
      </c>
      <c r="B132" s="5" t="inlineStr">
        <is>
          <t>Ejecución del plan de trabajo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9" t="n">
        <v>46022</v>
      </c>
      <c r="G132" s="5" t="n">
        <v>2025</v>
      </c>
      <c r="H132" s="5" t="inlineStr">
        <is>
          <t>Diciembre</t>
        </is>
      </c>
      <c r="I132" s="6" t="inlineStr">
        <is>
          <t>2025-2</t>
        </is>
      </c>
      <c r="J132" s="5" t="n">
        <v>100</v>
      </c>
      <c r="K132" s="10" t="n">
        <v>100</v>
      </c>
      <c r="L132" s="14" t="n">
        <v>1</v>
      </c>
      <c r="M132" s="14" t="n">
        <v>1</v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88-2025-12-31</t>
        </is>
      </c>
    </row>
    <row r="133" hidden="1">
      <c r="A133" s="5" t="n">
        <v>89</v>
      </c>
      <c r="B133" s="5" t="inlineStr">
        <is>
          <t>Ejecución plan de capacitación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9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100</v>
      </c>
      <c r="K133" s="5" t="n">
        <v>100</v>
      </c>
      <c r="L133" s="74" t="n">
        <v>1</v>
      </c>
      <c r="M133" s="14" t="n">
        <v>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89-2022-12-31</t>
        </is>
      </c>
    </row>
    <row r="134" hidden="1">
      <c r="A134" s="5" t="n">
        <v>89</v>
      </c>
      <c r="B134" s="5" t="inlineStr">
        <is>
          <t>Ejecución plan de capacitación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9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100</v>
      </c>
      <c r="K134" s="5" t="n">
        <v>100</v>
      </c>
      <c r="L134" s="14" t="n">
        <v>1</v>
      </c>
      <c r="M134" s="14" t="n">
        <v>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89-2023-12-31</t>
        </is>
      </c>
    </row>
    <row r="135" hidden="1">
      <c r="A135" s="21" t="n">
        <v>89</v>
      </c>
      <c r="B135" s="5" t="inlineStr">
        <is>
          <t>Ejecución plan de capacitación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9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100</v>
      </c>
      <c r="K135" s="10" t="n">
        <v>100</v>
      </c>
      <c r="L135" s="14" t="n">
        <v>1</v>
      </c>
      <c r="M135" s="14" t="n">
        <v>1</v>
      </c>
      <c r="N135" s="5" t="inlineStr">
        <is>
          <t>%</t>
        </is>
      </c>
      <c r="O135" s="5" t="inlineStr">
        <is>
          <t>%</t>
        </is>
      </c>
      <c r="P135" s="15" t="n">
        <v>0</v>
      </c>
      <c r="Q135" s="15" t="n">
        <v>0</v>
      </c>
      <c r="R135" s="5" t="inlineStr">
        <is>
          <t>89-2024-12-31</t>
        </is>
      </c>
    </row>
    <row r="136" hidden="1">
      <c r="A136" s="21" t="n">
        <v>89</v>
      </c>
      <c r="B136" s="5" t="inlineStr">
        <is>
          <t>Ejecución plan de capacitación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9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75" t="n">
        <v>100</v>
      </c>
      <c r="K136" s="51" t="n">
        <v>100</v>
      </c>
      <c r="L136" s="14" t="n">
        <v>1</v>
      </c>
      <c r="M136" s="14" t="n">
        <v>1</v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89-2025-12-31</t>
        </is>
      </c>
    </row>
    <row r="137" hidden="1">
      <c r="A137" s="21" t="n">
        <v>90</v>
      </c>
      <c r="B137" s="5" t="inlineStr">
        <is>
          <t>Ejecución de Simulacros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8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75" t="n">
        <v>100</v>
      </c>
      <c r="K137" s="51" t="n">
        <v>100</v>
      </c>
      <c r="L137" s="14" t="n">
        <v>1</v>
      </c>
      <c r="M137" s="14" t="n">
        <v>1</v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90-2022-12-31</t>
        </is>
      </c>
    </row>
    <row r="138" hidden="1">
      <c r="A138" s="21" t="n">
        <v>90</v>
      </c>
      <c r="B138" s="5" t="inlineStr">
        <is>
          <t>Ejecución de Simulacros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9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75" t="n">
        <v>100</v>
      </c>
      <c r="K138" s="51" t="n">
        <v>100</v>
      </c>
      <c r="L138" s="14" t="n">
        <v>1</v>
      </c>
      <c r="M138" s="14" t="n">
        <v>1</v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90-2023-12-31</t>
        </is>
      </c>
    </row>
    <row r="139" hidden="1">
      <c r="A139" s="21" t="n">
        <v>90</v>
      </c>
      <c r="B139" s="5" t="inlineStr">
        <is>
          <t>Ejecución de Simulacros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9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75" t="n">
        <v>100</v>
      </c>
      <c r="K139" s="51" t="n">
        <v>100</v>
      </c>
      <c r="L139" s="14" t="n">
        <v>1</v>
      </c>
      <c r="M139" s="14" t="n">
        <v>1</v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90-2024-12-31</t>
        </is>
      </c>
    </row>
    <row r="140" hidden="1">
      <c r="A140" s="21" t="n">
        <v>90</v>
      </c>
      <c r="B140" s="5" t="inlineStr">
        <is>
          <t>Ejecución de Simulacros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9" t="n">
        <v>46022</v>
      </c>
      <c r="G140" s="5" t="n">
        <v>2025</v>
      </c>
      <c r="H140" s="5" t="inlineStr">
        <is>
          <t>Diciembre</t>
        </is>
      </c>
      <c r="I140" s="6" t="inlineStr">
        <is>
          <t>2025-2</t>
        </is>
      </c>
      <c r="J140" s="75" t="n">
        <v>100</v>
      </c>
      <c r="K140" s="51" t="n">
        <v>100</v>
      </c>
      <c r="L140" s="14" t="n">
        <v>1</v>
      </c>
      <c r="M140" s="14" t="n">
        <v>1</v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90-2025-12-31</t>
        </is>
      </c>
    </row>
    <row r="141" hidden="1">
      <c r="A141" s="21" t="n">
        <v>91</v>
      </c>
      <c r="B141" s="5" t="inlineStr">
        <is>
          <t>Participación en capacitaciones SST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9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75" t="n">
        <v>100</v>
      </c>
      <c r="K141" s="51" t="n">
        <v>100</v>
      </c>
      <c r="L141" s="14" t="n">
        <v>1</v>
      </c>
      <c r="M141" s="14" t="n">
        <v>1</v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91-2022-12-31</t>
        </is>
      </c>
    </row>
    <row r="142" hidden="1">
      <c r="A142" s="21" t="n">
        <v>91</v>
      </c>
      <c r="B142" s="5" t="inlineStr">
        <is>
          <t>Participación en capacitaciones SST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9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75" t="n">
        <v>100</v>
      </c>
      <c r="K142" s="51" t="n">
        <v>100</v>
      </c>
      <c r="L142" s="14" t="n">
        <v>1</v>
      </c>
      <c r="M142" s="14" t="n">
        <v>1</v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91-2023-12-31</t>
        </is>
      </c>
    </row>
    <row r="143" hidden="1">
      <c r="A143" s="21" t="n">
        <v>91</v>
      </c>
      <c r="B143" s="5" t="inlineStr">
        <is>
          <t>Participación en capacitaciones SST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9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75" t="n">
        <v>100</v>
      </c>
      <c r="K143" s="51" t="n">
        <v>100</v>
      </c>
      <c r="L143" s="14" t="n">
        <v>1</v>
      </c>
      <c r="M143" s="14" t="n">
        <v>1</v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91-2024-12-31</t>
        </is>
      </c>
    </row>
    <row r="144" hidden="1">
      <c r="A144" s="21" t="n">
        <v>91</v>
      </c>
      <c r="B144" s="5" t="inlineStr">
        <is>
          <t>Participación en capacitaciones SST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9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75" t="n">
        <v>100</v>
      </c>
      <c r="K144" s="51" t="n">
        <v>100</v>
      </c>
      <c r="L144" s="14" t="n">
        <v>1</v>
      </c>
      <c r="M144" s="14" t="n">
        <v>1</v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91-2025-12-31</t>
        </is>
      </c>
    </row>
    <row r="145" hidden="1">
      <c r="A145" s="21" t="n">
        <v>92</v>
      </c>
      <c r="B145" s="5" t="inlineStr">
        <is>
          <t>Evaluación condiciones de salud (examen médico)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9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75" t="n">
        <v>100</v>
      </c>
      <c r="K145" s="51" t="n">
        <v>100</v>
      </c>
      <c r="L145" s="14" t="n">
        <v>1</v>
      </c>
      <c r="M145" s="14" t="n">
        <v>1</v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92-2022-12-31</t>
        </is>
      </c>
    </row>
    <row r="146" hidden="1">
      <c r="A146" s="21" t="n">
        <v>92</v>
      </c>
      <c r="B146" s="5" t="inlineStr">
        <is>
          <t>Evaluación condiciones de salud (examen médico)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9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75" t="n">
        <v>100</v>
      </c>
      <c r="K146" s="51" t="n">
        <v>100</v>
      </c>
      <c r="L146" s="14" t="n">
        <v>1</v>
      </c>
      <c r="M146" s="14" t="n">
        <v>1</v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92-2023-12-31</t>
        </is>
      </c>
    </row>
    <row r="147" hidden="1">
      <c r="A147" s="26" t="n">
        <v>92</v>
      </c>
      <c r="B147" s="5" t="inlineStr">
        <is>
          <t>Evaluación condiciones de salud (examen médico)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09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75" t="n">
        <v>98</v>
      </c>
      <c r="K147" s="51" t="n">
        <v>100</v>
      </c>
      <c r="L147" s="14" t="n">
        <v>1.020408163265306</v>
      </c>
      <c r="M147" s="14" t="n">
        <v>1.020408163265306</v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92-2024-12-31</t>
        </is>
      </c>
    </row>
    <row r="148" hidden="1">
      <c r="A148" s="21" t="n">
        <v>92</v>
      </c>
      <c r="B148" s="5" t="inlineStr">
        <is>
          <t>Evaluación condiciones de salud (examen médico)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Positivo</t>
        </is>
      </c>
      <c r="F148" s="109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73" t="n">
        <v>98</v>
      </c>
      <c r="K148" s="9" t="n">
        <v>100</v>
      </c>
      <c r="L148" s="14" t="n">
        <v>1.020408163265306</v>
      </c>
      <c r="M148" s="14" t="n">
        <v>1.020408163265306</v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92-2025-12-31</t>
        </is>
      </c>
    </row>
    <row r="149" hidden="1">
      <c r="A149" s="21" t="n">
        <v>94</v>
      </c>
      <c r="B149" s="5" t="inlineStr">
        <is>
          <t>Cobertura Elementos de Protección Personal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Positivo</t>
        </is>
      </c>
      <c r="F149" s="108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73" t="n">
        <v>100</v>
      </c>
      <c r="K149" s="9" t="n">
        <v>100</v>
      </c>
      <c r="L149" s="14" t="n">
        <v>1</v>
      </c>
      <c r="M149" s="14" t="n">
        <v>1</v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94-2022-12-31</t>
        </is>
      </c>
    </row>
    <row r="150" hidden="1">
      <c r="A150" s="21" t="n">
        <v>94</v>
      </c>
      <c r="B150" s="5" t="inlineStr">
        <is>
          <t>Cobertura Elementos de Protección Personal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Positivo</t>
        </is>
      </c>
      <c r="F150" s="109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73" t="n">
        <v>100</v>
      </c>
      <c r="K150" s="9" t="n">
        <v>100</v>
      </c>
      <c r="L150" s="14" t="n">
        <v>1</v>
      </c>
      <c r="M150" s="14" t="n">
        <v>1</v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94-2023-12-31</t>
        </is>
      </c>
    </row>
    <row r="151" hidden="1">
      <c r="A151" s="21" t="n">
        <v>94</v>
      </c>
      <c r="B151" s="5" t="inlineStr">
        <is>
          <t>Cobertura Elementos de Protección Personal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Positivo</t>
        </is>
      </c>
      <c r="F151" s="109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73" t="n">
        <v>100</v>
      </c>
      <c r="K151" s="9" t="n">
        <v>100</v>
      </c>
      <c r="L151" s="14" t="n">
        <v>1</v>
      </c>
      <c r="M151" s="14" t="n">
        <v>1</v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94-2024-12-31</t>
        </is>
      </c>
    </row>
    <row r="152" hidden="1">
      <c r="A152" s="21" t="n">
        <v>94</v>
      </c>
      <c r="B152" s="5" t="inlineStr">
        <is>
          <t>Cobertura Elementos de Protección Personal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Positivo</t>
        </is>
      </c>
      <c r="F152" s="109" t="n">
        <v>46022</v>
      </c>
      <c r="G152" s="5" t="n">
        <v>2025</v>
      </c>
      <c r="H152" s="5" t="inlineStr">
        <is>
          <t>Diciembre</t>
        </is>
      </c>
      <c r="I152" s="6" t="inlineStr">
        <is>
          <t>2025-2</t>
        </is>
      </c>
      <c r="J152" s="73" t="n">
        <v>100</v>
      </c>
      <c r="K152" s="9" t="n">
        <v>100</v>
      </c>
      <c r="L152" s="14" t="n">
        <v>1</v>
      </c>
      <c r="M152" s="14" t="n">
        <v>1</v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94-2025-12-31</t>
        </is>
      </c>
    </row>
    <row r="153" hidden="1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Trimestral</t>
        </is>
      </c>
      <c r="E153" s="5" t="inlineStr">
        <is>
          <t>Positivo</t>
        </is>
      </c>
      <c r="F153" s="109" t="n">
        <v>44742</v>
      </c>
      <c r="G153" s="5" t="n">
        <v>2022</v>
      </c>
      <c r="H153" s="5" t="inlineStr">
        <is>
          <t>Junio</t>
        </is>
      </c>
      <c r="I153" s="6" t="inlineStr">
        <is>
          <t>2022-1</t>
        </is>
      </c>
      <c r="J153" s="73" t="n">
        <v>100</v>
      </c>
      <c r="K153" s="9" t="n">
        <v>100</v>
      </c>
      <c r="L153" s="14" t="n">
        <v>1</v>
      </c>
      <c r="M153" s="14" t="n">
        <v>1</v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95-2022-06-30</t>
        </is>
      </c>
    </row>
    <row r="154" hidden="1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Trimestral</t>
        </is>
      </c>
      <c r="E154" s="5" t="inlineStr">
        <is>
          <t>Positivo</t>
        </is>
      </c>
      <c r="F154" s="109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73" t="n">
        <v>100</v>
      </c>
      <c r="K154" s="9" t="n">
        <v>100</v>
      </c>
      <c r="L154" s="14" t="n">
        <v>1</v>
      </c>
      <c r="M154" s="14" t="n">
        <v>1</v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95-2022-12-31</t>
        </is>
      </c>
    </row>
    <row r="155" hidden="1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Semestral</t>
        </is>
      </c>
      <c r="E155" s="5" t="inlineStr">
        <is>
          <t>Positivo</t>
        </is>
      </c>
      <c r="F155" s="109" t="n">
        <v>45107</v>
      </c>
      <c r="G155" s="5" t="n">
        <v>2023</v>
      </c>
      <c r="H155" s="5" t="inlineStr">
        <is>
          <t>Junio</t>
        </is>
      </c>
      <c r="I155" s="6" t="inlineStr">
        <is>
          <t>2023-1</t>
        </is>
      </c>
      <c r="J155" s="73" t="n">
        <v>100</v>
      </c>
      <c r="K155" s="9" t="n">
        <v>100</v>
      </c>
      <c r="L155" s="14" t="n">
        <v>1</v>
      </c>
      <c r="M155" s="14" t="n">
        <v>1</v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95-2023-06-30</t>
        </is>
      </c>
    </row>
    <row r="156" hidden="1">
      <c r="A156" s="21" t="n">
        <v>95</v>
      </c>
      <c r="B156" s="5" t="inlineStr">
        <is>
          <t>Inspecciones de seguridad</t>
        </is>
      </c>
      <c r="C156" s="5" t="inlineStr">
        <is>
          <t>GESTIÓN DE SEGURIDAD Y SALUD EN EL TRABAJO</t>
        </is>
      </c>
      <c r="D156" s="5" t="inlineStr">
        <is>
          <t>Semestral</t>
        </is>
      </c>
      <c r="E156" s="5" t="inlineStr">
        <is>
          <t>Positivo</t>
        </is>
      </c>
      <c r="F156" s="109" t="n">
        <v>45291</v>
      </c>
      <c r="G156" s="5" t="n">
        <v>2023</v>
      </c>
      <c r="H156" s="5" t="inlineStr">
        <is>
          <t>Diciembre</t>
        </is>
      </c>
      <c r="I156" s="6" t="inlineStr">
        <is>
          <t>2023-2</t>
        </is>
      </c>
      <c r="J156" s="73" t="n">
        <v>100</v>
      </c>
      <c r="K156" s="9" t="n">
        <v>100</v>
      </c>
      <c r="L156" s="14" t="n">
        <v>1</v>
      </c>
      <c r="M156" s="14" t="n">
        <v>1</v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95-2023-12-31</t>
        </is>
      </c>
    </row>
    <row r="157" hidden="1">
      <c r="A157" s="21" t="n">
        <v>95</v>
      </c>
      <c r="B157" s="5" t="inlineStr">
        <is>
          <t>Inspecciones de seguridad</t>
        </is>
      </c>
      <c r="C157" s="5" t="inlineStr">
        <is>
          <t>GESTIÓN DE SEGURIDAD Y SALUD EN EL TRABAJO</t>
        </is>
      </c>
      <c r="D157" s="5" t="inlineStr">
        <is>
          <t>Semestral</t>
        </is>
      </c>
      <c r="E157" s="5" t="inlineStr">
        <is>
          <t>Positivo</t>
        </is>
      </c>
      <c r="F157" s="109" t="n">
        <v>45473</v>
      </c>
      <c r="G157" s="5" t="n">
        <v>2024</v>
      </c>
      <c r="H157" s="5" t="inlineStr">
        <is>
          <t>Junio</t>
        </is>
      </c>
      <c r="I157" s="6" t="inlineStr">
        <is>
          <t>2024-1</t>
        </is>
      </c>
      <c r="J157" s="73" t="n">
        <v>100</v>
      </c>
      <c r="K157" s="9" t="n">
        <v>100</v>
      </c>
      <c r="L157" s="14" t="n">
        <v>1</v>
      </c>
      <c r="M157" s="14" t="n">
        <v>1</v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95-2024-06-30</t>
        </is>
      </c>
    </row>
    <row r="158" hidden="1">
      <c r="A158" s="21" t="n">
        <v>95</v>
      </c>
      <c r="B158" s="5" t="inlineStr">
        <is>
          <t>Inspecciones de seguridad</t>
        </is>
      </c>
      <c r="C158" s="5" t="inlineStr">
        <is>
          <t>GESTIÓN DE SEGURIDAD Y SALUD EN EL TRABAJO</t>
        </is>
      </c>
      <c r="D158" s="5" t="inlineStr">
        <is>
          <t>Semestral</t>
        </is>
      </c>
      <c r="E158" s="5" t="inlineStr">
        <is>
          <t>Positivo</t>
        </is>
      </c>
      <c r="F158" s="109" t="n">
        <v>45657</v>
      </c>
      <c r="G158" s="5" t="n">
        <v>2024</v>
      </c>
      <c r="H158" s="5" t="inlineStr">
        <is>
          <t>Diciembre</t>
        </is>
      </c>
      <c r="I158" s="6" t="inlineStr">
        <is>
          <t>2024-2</t>
        </is>
      </c>
      <c r="J158" s="73" t="n">
        <v>100</v>
      </c>
      <c r="K158" s="9" t="n">
        <v>100</v>
      </c>
      <c r="L158" s="14" t="n">
        <v>1</v>
      </c>
      <c r="M158" s="14" t="n">
        <v>1</v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95-2024-12-31</t>
        </is>
      </c>
    </row>
    <row r="159" hidden="1">
      <c r="A159" s="26" t="n">
        <v>95</v>
      </c>
      <c r="B159" s="5" t="inlineStr">
        <is>
          <t>Inspecciones de seguridad</t>
        </is>
      </c>
      <c r="C159" s="5" t="inlineStr">
        <is>
          <t>GESTIÓN DE SEGURIDAD Y SALUD EN EL TRABAJO</t>
        </is>
      </c>
      <c r="D159" s="5" t="inlineStr">
        <is>
          <t>Semestral</t>
        </is>
      </c>
      <c r="E159" s="5" t="inlineStr">
        <is>
          <t>Positivo</t>
        </is>
      </c>
      <c r="F159" s="109" t="n">
        <v>45838</v>
      </c>
      <c r="G159" s="5" t="n">
        <v>2025</v>
      </c>
      <c r="H159" s="5" t="inlineStr">
        <is>
          <t>Junio</t>
        </is>
      </c>
      <c r="I159" s="6" t="inlineStr">
        <is>
          <t>2025-1</t>
        </is>
      </c>
      <c r="J159" s="73" t="n">
        <v>100</v>
      </c>
      <c r="K159" s="9" t="n">
        <v>100</v>
      </c>
      <c r="L159" s="14" t="n">
        <v>1</v>
      </c>
      <c r="M159" s="14" t="n">
        <v>1</v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95-2025-06-30</t>
        </is>
      </c>
    </row>
    <row r="160" hidden="1">
      <c r="A160" s="21" t="n">
        <v>95</v>
      </c>
      <c r="B160" s="5" t="inlineStr">
        <is>
          <t>Inspecciones de seguridad</t>
        </is>
      </c>
      <c r="C160" s="5" t="inlineStr">
        <is>
          <t>GESTIÓN DE SEGURIDAD Y SALUD EN EL TRABAJO</t>
        </is>
      </c>
      <c r="D160" s="5" t="inlineStr">
        <is>
          <t>Trimestral</t>
        </is>
      </c>
      <c r="E160" s="5" t="inlineStr">
        <is>
          <t>Positivo</t>
        </is>
      </c>
      <c r="F160" s="109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73" t="n">
        <v>100</v>
      </c>
      <c r="K160" s="9" t="n">
        <v>100</v>
      </c>
      <c r="L160" s="14" t="n">
        <v>1</v>
      </c>
      <c r="M160" s="14" t="n">
        <v>1</v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95-2025-12-31</t>
        </is>
      </c>
    </row>
    <row r="161" hidden="1">
      <c r="A161" s="21" t="n">
        <v>96</v>
      </c>
      <c r="B161" s="5" t="inlineStr">
        <is>
          <t>Productos de investigación, innovación y creación</t>
        </is>
      </c>
      <c r="C161" s="5" t="inlineStr">
        <is>
          <t>Investigación, desarrollo tecnológico, innovación y creación</t>
        </is>
      </c>
      <c r="D161" s="5" t="inlineStr">
        <is>
          <t>Semestral</t>
        </is>
      </c>
      <c r="E161" s="5" t="inlineStr">
        <is>
          <t>Positivo</t>
        </is>
      </c>
      <c r="F161" s="109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73" t="n">
        <v>509</v>
      </c>
      <c r="K161" s="9" t="n">
        <v>566</v>
      </c>
      <c r="L161" s="14" t="n">
        <v>1.111984282907662</v>
      </c>
      <c r="M161" s="14" t="n">
        <v>1.111984282907662</v>
      </c>
      <c r="N161" s="9" t="inlineStr">
        <is>
          <t>%</t>
        </is>
      </c>
      <c r="O161" s="9" t="inlineStr">
        <is>
          <t>%</t>
        </is>
      </c>
      <c r="P161" s="15" t="n">
        <v>0</v>
      </c>
      <c r="Q161" s="15" t="n">
        <v>0</v>
      </c>
      <c r="R161" s="5" t="inlineStr">
        <is>
          <t>96-2022-12-31</t>
        </is>
      </c>
    </row>
    <row r="162" hidden="1">
      <c r="A162" s="21" t="n">
        <v>100</v>
      </c>
      <c r="B162" s="5" t="inlineStr">
        <is>
          <t>Cumplimiento de requisitos legales SST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Positivo</t>
        </is>
      </c>
      <c r="F162" s="109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73" t="n">
        <v>100</v>
      </c>
      <c r="K162" s="9" t="n">
        <v>98.3</v>
      </c>
      <c r="L162" s="14" t="n">
        <v>0.983</v>
      </c>
      <c r="M162" s="14" t="n">
        <v>0.983</v>
      </c>
      <c r="N162" s="9" t="inlineStr">
        <is>
          <t>%</t>
        </is>
      </c>
      <c r="O162" s="9" t="inlineStr">
        <is>
          <t>%</t>
        </is>
      </c>
      <c r="P162" s="15" t="n">
        <v>0</v>
      </c>
      <c r="Q162" s="15" t="n">
        <v>0</v>
      </c>
      <c r="R162" s="5" t="inlineStr">
        <is>
          <t>100-2022-12-31</t>
        </is>
      </c>
    </row>
    <row r="163" hidden="1">
      <c r="A163" s="21" t="n">
        <v>100</v>
      </c>
      <c r="B163" s="5" t="inlineStr">
        <is>
          <t>Cumplimiento de requisitos legales SST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Positivo</t>
        </is>
      </c>
      <c r="F163" s="109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73" t="n">
        <v>100</v>
      </c>
      <c r="K163" s="9" t="n">
        <v>99</v>
      </c>
      <c r="L163" s="14" t="n">
        <v>0.99</v>
      </c>
      <c r="M163" s="14" t="n">
        <v>0.99</v>
      </c>
      <c r="N163" s="9" t="inlineStr">
        <is>
          <t>%</t>
        </is>
      </c>
      <c r="O163" s="9" t="inlineStr">
        <is>
          <t>%</t>
        </is>
      </c>
      <c r="P163" s="15" t="n">
        <v>0</v>
      </c>
      <c r="Q163" s="15" t="n">
        <v>0</v>
      </c>
      <c r="R163" s="5" t="inlineStr">
        <is>
          <t>100-2023-12-31</t>
        </is>
      </c>
    </row>
    <row r="164" hidden="1">
      <c r="A164" s="21" t="n">
        <v>100</v>
      </c>
      <c r="B164" s="5" t="inlineStr">
        <is>
          <t>Cumplimiento de requisitos legales SST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Positivo</t>
        </is>
      </c>
      <c r="F164" s="109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73" t="n">
        <v>100</v>
      </c>
      <c r="K164" s="9" t="n">
        <v>99</v>
      </c>
      <c r="L164" s="14" t="n">
        <v>0.99</v>
      </c>
      <c r="M164" s="14" t="n">
        <v>0.99</v>
      </c>
      <c r="N164" s="9" t="inlineStr">
        <is>
          <t>%</t>
        </is>
      </c>
      <c r="O164" s="9" t="inlineStr">
        <is>
          <t>%</t>
        </is>
      </c>
      <c r="P164" s="15" t="n">
        <v>0</v>
      </c>
      <c r="Q164" s="15" t="n">
        <v>0</v>
      </c>
      <c r="R164" s="5" t="inlineStr">
        <is>
          <t>100-2024-12-31</t>
        </is>
      </c>
    </row>
    <row r="165" hidden="1">
      <c r="A165" s="21" t="n">
        <v>100</v>
      </c>
      <c r="B165" s="5" t="inlineStr">
        <is>
          <t>Cumplimiento de requisitos legales SST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Positivo</t>
        </is>
      </c>
      <c r="F165" s="109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73" t="n">
        <v>100</v>
      </c>
      <c r="K165" s="9" t="n">
        <v>100</v>
      </c>
      <c r="L165" s="14" t="n">
        <v>1</v>
      </c>
      <c r="M165" s="14" t="n">
        <v>1</v>
      </c>
      <c r="N165" s="9" t="inlineStr">
        <is>
          <t>%</t>
        </is>
      </c>
      <c r="O165" s="9" t="inlineStr">
        <is>
          <t>%</t>
        </is>
      </c>
      <c r="P165" s="15" t="n">
        <v>0</v>
      </c>
      <c r="Q165" s="15" t="n">
        <v>0</v>
      </c>
      <c r="R165" s="5" t="inlineStr">
        <is>
          <t>100-2025-12-31</t>
        </is>
      </c>
    </row>
    <row r="166" hidden="1">
      <c r="A166" s="21" t="n">
        <v>104</v>
      </c>
      <c r="B166" s="5" t="inlineStr">
        <is>
          <t>Tasa de accidentalidad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9" t="n">
        <v>44926</v>
      </c>
      <c r="G166" s="5" t="n">
        <v>2022</v>
      </c>
      <c r="H166" s="5" t="inlineStr">
        <is>
          <t>Diciembre</t>
        </is>
      </c>
      <c r="I166" s="6" t="inlineStr">
        <is>
          <t>2022-2</t>
        </is>
      </c>
      <c r="J166" s="73" t="n">
        <v>2.14</v>
      </c>
      <c r="K166" s="9" t="n">
        <v>0.37174721189591</v>
      </c>
      <c r="L166" s="14" t="n">
        <v>1.3</v>
      </c>
      <c r="M166" s="14" t="n">
        <v>5.756600000000013</v>
      </c>
      <c r="N166" s="9" t="inlineStr">
        <is>
          <t>DEC</t>
        </is>
      </c>
      <c r="O166" s="9" t="inlineStr">
        <is>
          <t>DEC</t>
        </is>
      </c>
      <c r="P166" s="15" t="n">
        <v>1</v>
      </c>
      <c r="Q166" s="15" t="n">
        <v>2</v>
      </c>
      <c r="R166" s="5" t="inlineStr">
        <is>
          <t>104-2022-12-31</t>
        </is>
      </c>
    </row>
    <row r="167" hidden="1">
      <c r="A167" s="21" t="n">
        <v>104</v>
      </c>
      <c r="B167" s="5" t="inlineStr">
        <is>
          <t>Tasa de accidentalidad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9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73" t="n">
        <v>2.14</v>
      </c>
      <c r="K167" s="9" t="n">
        <v>0.47</v>
      </c>
      <c r="L167" s="14" t="n">
        <v>1.3</v>
      </c>
      <c r="M167" s="14" t="n">
        <v>4.553191489361702</v>
      </c>
      <c r="N167" s="9" t="inlineStr">
        <is>
          <t>DEC</t>
        </is>
      </c>
      <c r="O167" s="9" t="inlineStr">
        <is>
          <t>DEC</t>
        </is>
      </c>
      <c r="P167" s="15" t="n">
        <v>2</v>
      </c>
      <c r="Q167" s="15" t="n">
        <v>2</v>
      </c>
      <c r="R167" s="5" t="inlineStr">
        <is>
          <t>104-2023-12-31</t>
        </is>
      </c>
    </row>
    <row r="168" hidden="1">
      <c r="A168" s="21" t="n">
        <v>104</v>
      </c>
      <c r="B168" s="5" t="inlineStr">
        <is>
          <t>Tasa de accidentalidad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09" t="n">
        <v>45657</v>
      </c>
      <c r="G168" s="5" t="n">
        <v>2024</v>
      </c>
      <c r="H168" s="5" t="inlineStr">
        <is>
          <t>Diciembre</t>
        </is>
      </c>
      <c r="I168" s="6" t="inlineStr">
        <is>
          <t>2024-2</t>
        </is>
      </c>
      <c r="J168" s="73" t="n">
        <v>1.2</v>
      </c>
      <c r="K168" s="9" t="n">
        <v>0.11</v>
      </c>
      <c r="L168" s="14" t="n">
        <v>1.3</v>
      </c>
      <c r="M168" s="14" t="n">
        <v>10.90909090909091</v>
      </c>
      <c r="N168" s="9" t="inlineStr">
        <is>
          <t>DEC</t>
        </is>
      </c>
      <c r="O168" s="9" t="inlineStr">
        <is>
          <t>DEC</t>
        </is>
      </c>
      <c r="P168" s="15" t="n">
        <v>2</v>
      </c>
      <c r="Q168" s="15" t="n">
        <v>2</v>
      </c>
      <c r="R168" s="5" t="inlineStr">
        <is>
          <t>104-2024-12-31</t>
        </is>
      </c>
    </row>
    <row r="169" hidden="1">
      <c r="A169" s="21" t="n">
        <v>104</v>
      </c>
      <c r="B169" s="5" t="inlineStr">
        <is>
          <t>Tasa de accidentalidad</t>
        </is>
      </c>
      <c r="C169" s="5" t="inlineStr">
        <is>
          <t>GESTIÓN DE SEGURIDAD Y SALUD EN EL TRABAJO</t>
        </is>
      </c>
      <c r="D169" s="5" t="inlineStr">
        <is>
          <t>Anual</t>
        </is>
      </c>
      <c r="E169" s="5" t="inlineStr">
        <is>
          <t>Negativo</t>
        </is>
      </c>
      <c r="F169" s="109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73" t="n">
        <v>2.14</v>
      </c>
      <c r="K169" s="9" t="n">
        <v>0.21</v>
      </c>
      <c r="L169" s="14" t="n">
        <v>1.3</v>
      </c>
      <c r="M169" s="14" t="n">
        <v>10.19047619047619</v>
      </c>
      <c r="N169" s="9" t="inlineStr">
        <is>
          <t>DEC</t>
        </is>
      </c>
      <c r="O169" s="9" t="inlineStr">
        <is>
          <t>DEC</t>
        </is>
      </c>
      <c r="P169" s="15" t="n">
        <v>1</v>
      </c>
      <c r="Q169" s="15" t="n">
        <v>2</v>
      </c>
      <c r="R169" s="5" t="inlineStr">
        <is>
          <t>104-2025-12-31</t>
        </is>
      </c>
    </row>
    <row r="170" hidden="1">
      <c r="A170" s="21" t="n">
        <v>106</v>
      </c>
      <c r="B170" s="5" t="inlineStr">
        <is>
          <t>Mortalidad de los accidentes laborales</t>
        </is>
      </c>
      <c r="C170" s="5" t="inlineStr">
        <is>
          <t>GESTIÓN DE SEGURIDAD Y SALUD EN EL TRABAJO</t>
        </is>
      </c>
      <c r="D170" s="5" t="inlineStr">
        <is>
          <t>Anual</t>
        </is>
      </c>
      <c r="E170" s="5" t="inlineStr">
        <is>
          <t>Negativo</t>
        </is>
      </c>
      <c r="F170" s="109" t="n">
        <v>44926</v>
      </c>
      <c r="G170" s="5" t="n">
        <v>2022</v>
      </c>
      <c r="H170" s="5" t="inlineStr">
        <is>
          <t>Diciembre</t>
        </is>
      </c>
      <c r="I170" s="6" t="inlineStr">
        <is>
          <t>2022-2</t>
        </is>
      </c>
      <c r="J170" s="73" t="n">
        <v>0</v>
      </c>
      <c r="K170" s="9" t="n">
        <v>0</v>
      </c>
      <c r="L170" s="14" t="n">
        <v>1</v>
      </c>
      <c r="M170" s="14" t="n">
        <v>1</v>
      </c>
      <c r="N170" s="9" t="inlineStr">
        <is>
          <t>DEC</t>
        </is>
      </c>
      <c r="O170" s="9" t="inlineStr">
        <is>
          <t>DEC</t>
        </is>
      </c>
      <c r="P170" s="15" t="n">
        <v>0</v>
      </c>
      <c r="Q170" s="15" t="n">
        <v>0</v>
      </c>
      <c r="R170" s="5" t="inlineStr">
        <is>
          <t>106-2022-12-31</t>
        </is>
      </c>
    </row>
    <row r="171" hidden="1">
      <c r="A171" s="26" t="n">
        <v>106</v>
      </c>
      <c r="B171" s="5" t="inlineStr">
        <is>
          <t>Mortalidad de los accidentes laborales</t>
        </is>
      </c>
      <c r="C171" s="5" t="inlineStr">
        <is>
          <t>GESTIÓN DE SEGURIDAD Y SALUD EN EL TRABAJO</t>
        </is>
      </c>
      <c r="D171" s="5" t="inlineStr">
        <is>
          <t>Anual</t>
        </is>
      </c>
      <c r="E171" s="5" t="inlineStr">
        <is>
          <t>Negativo</t>
        </is>
      </c>
      <c r="F171" s="109" t="n">
        <v>45291</v>
      </c>
      <c r="G171" s="5" t="n">
        <v>2023</v>
      </c>
      <c r="H171" s="5" t="inlineStr">
        <is>
          <t>Diciembre</t>
        </is>
      </c>
      <c r="I171" s="6" t="inlineStr">
        <is>
          <t>2023-2</t>
        </is>
      </c>
      <c r="J171" s="73" t="n">
        <v>0</v>
      </c>
      <c r="K171" s="9" t="n">
        <v>0</v>
      </c>
      <c r="L171" s="14" t="n">
        <v>1</v>
      </c>
      <c r="M171" s="14" t="n">
        <v>1</v>
      </c>
      <c r="N171" s="9" t="inlineStr">
        <is>
          <t>ENT</t>
        </is>
      </c>
      <c r="O171" s="9" t="inlineStr">
        <is>
          <t>ENT</t>
        </is>
      </c>
      <c r="P171" s="15" t="n">
        <v>0</v>
      </c>
      <c r="Q171" s="15" t="n">
        <v>0</v>
      </c>
      <c r="R171" s="5" t="inlineStr">
        <is>
          <t>106-2023-12-31</t>
        </is>
      </c>
    </row>
    <row r="172" hidden="1">
      <c r="A172" s="21" t="n">
        <v>106</v>
      </c>
      <c r="B172" s="5" t="inlineStr">
        <is>
          <t>Mortalidad de los accidentes laborales</t>
        </is>
      </c>
      <c r="C172" s="5" t="inlineStr">
        <is>
          <t>GESTIÓN DE SEGURIDAD Y SALUD EN EL TRABAJO</t>
        </is>
      </c>
      <c r="D172" s="5" t="inlineStr">
        <is>
          <t>Anual</t>
        </is>
      </c>
      <c r="E172" s="5" t="inlineStr">
        <is>
          <t>Negativo</t>
        </is>
      </c>
      <c r="F172" s="108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</v>
      </c>
      <c r="K172" s="96" t="n">
        <v>0</v>
      </c>
      <c r="L172" s="14" t="n">
        <v>1</v>
      </c>
      <c r="M172" s="14" t="n">
        <v>1</v>
      </c>
      <c r="N172" s="5" t="inlineStr">
        <is>
          <t>ENT</t>
        </is>
      </c>
      <c r="O172" s="5" t="inlineStr">
        <is>
          <t>ENT</t>
        </is>
      </c>
      <c r="P172" s="15" t="n">
        <v>0</v>
      </c>
      <c r="Q172" s="15" t="n">
        <v>0</v>
      </c>
      <c r="R172" s="5" t="inlineStr">
        <is>
          <t>106-2024-12-31</t>
        </is>
      </c>
    </row>
    <row r="173" hidden="1">
      <c r="A173" s="21" t="n">
        <v>106</v>
      </c>
      <c r="B173" s="5" t="inlineStr">
        <is>
          <t>Mortalidad de los accidentes laborales</t>
        </is>
      </c>
      <c r="C173" s="5" t="inlineStr">
        <is>
          <t>GESTIÓN DE SEGURIDAD Y SALUD EN EL TRABAJO</t>
        </is>
      </c>
      <c r="D173" s="5" t="inlineStr">
        <is>
          <t>Anual</t>
        </is>
      </c>
      <c r="E173" s="5" t="inlineStr">
        <is>
          <t>Negativo</t>
        </is>
      </c>
      <c r="F173" s="108" t="n">
        <v>46022</v>
      </c>
      <c r="G173" s="5" t="n">
        <v>2025</v>
      </c>
      <c r="H173" s="5" t="inlineStr">
        <is>
          <t>Diciembre</t>
        </is>
      </c>
      <c r="I173" s="6" t="inlineStr">
        <is>
          <t>2025-2</t>
        </is>
      </c>
      <c r="J173" s="5" t="n">
        <v>0</v>
      </c>
      <c r="K173" s="96" t="n">
        <v>0</v>
      </c>
      <c r="L173" s="14" t="n">
        <v>1</v>
      </c>
      <c r="M173" s="14" t="n">
        <v>1</v>
      </c>
      <c r="N173" s="5" t="inlineStr">
        <is>
          <t>DEC</t>
        </is>
      </c>
      <c r="O173" s="5" t="inlineStr">
        <is>
          <t>DEC</t>
        </is>
      </c>
      <c r="P173" s="15" t="n">
        <v>0</v>
      </c>
      <c r="Q173" s="15" t="n">
        <v>0</v>
      </c>
      <c r="R173" s="5" t="inlineStr">
        <is>
          <t>106-2025-12-31</t>
        </is>
      </c>
    </row>
    <row r="174" hidden="1">
      <c r="A174" s="21" t="n">
        <v>109</v>
      </c>
      <c r="B174" s="5" t="inlineStr">
        <is>
          <t>Nivel de Satisfacción Servicios Prestados</t>
        </is>
      </c>
      <c r="C174" s="5" t="inlineStr">
        <is>
          <t>Comunicaciones Internas</t>
        </is>
      </c>
      <c r="D174" s="5" t="inlineStr">
        <is>
          <t>Anual</t>
        </is>
      </c>
      <c r="E174" s="5" t="inlineStr">
        <is>
          <t>Positivo</t>
        </is>
      </c>
      <c r="F174" s="109" t="n">
        <v>45230</v>
      </c>
      <c r="G174" s="5" t="n">
        <v>2023</v>
      </c>
      <c r="H174" s="5" t="inlineStr">
        <is>
          <t>Octubre</t>
        </is>
      </c>
      <c r="I174" s="6" t="inlineStr">
        <is>
          <t>2023-2</t>
        </is>
      </c>
      <c r="J174" s="5" t="n">
        <v>80</v>
      </c>
      <c r="K174" s="96" t="n">
        <v>0</v>
      </c>
      <c r="L174" s="14" t="n">
        <v>0</v>
      </c>
      <c r="M174" s="14" t="n">
        <v>0</v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109-2023-10-31</t>
        </is>
      </c>
    </row>
    <row r="175" hidden="1">
      <c r="A175" s="21" t="n">
        <v>109</v>
      </c>
      <c r="B175" s="5" t="inlineStr">
        <is>
          <t>Nivel de Satisfacción Servicios Prestados</t>
        </is>
      </c>
      <c r="C175" s="5" t="inlineStr">
        <is>
          <t>Comunicaciones Internas</t>
        </is>
      </c>
      <c r="D175" s="5" t="inlineStr">
        <is>
          <t>Anual</t>
        </is>
      </c>
      <c r="E175" s="5" t="inlineStr">
        <is>
          <t>Positivo</t>
        </is>
      </c>
      <c r="F175" s="109" t="n">
        <v>45596</v>
      </c>
      <c r="G175" s="5" t="n">
        <v>2024</v>
      </c>
      <c r="H175" s="5" t="inlineStr">
        <is>
          <t>Octubre</t>
        </is>
      </c>
      <c r="I175" s="6" t="inlineStr">
        <is>
          <t>2024-2</t>
        </is>
      </c>
      <c r="J175" s="5" t="n">
        <v>80</v>
      </c>
      <c r="K175" s="96" t="n">
        <v>85</v>
      </c>
      <c r="L175" s="14" t="n">
        <v>1.0625</v>
      </c>
      <c r="M175" s="14" t="n">
        <v>1.0625</v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109-2024-10-31</t>
        </is>
      </c>
    </row>
    <row r="176" hidden="1">
      <c r="A176" s="21" t="n">
        <v>109</v>
      </c>
      <c r="B176" s="5" t="inlineStr">
        <is>
          <t>Nivel de Satisfacción Servicios Prestados</t>
        </is>
      </c>
      <c r="C176" s="5" t="inlineStr">
        <is>
          <t>Comunicaciones Internas</t>
        </is>
      </c>
      <c r="D176" s="5" t="inlineStr">
        <is>
          <t>Anual</t>
        </is>
      </c>
      <c r="E176" s="5" t="inlineStr">
        <is>
          <t>Positivo</t>
        </is>
      </c>
      <c r="F176" s="109" t="n">
        <v>45961</v>
      </c>
      <c r="G176" s="5" t="n">
        <v>2025</v>
      </c>
      <c r="H176" s="5" t="inlineStr">
        <is>
          <t>Octubre</t>
        </is>
      </c>
      <c r="I176" s="6" t="inlineStr">
        <is>
          <t>2025-2</t>
        </is>
      </c>
      <c r="J176" s="5" t="n">
        <v>80</v>
      </c>
      <c r="K176" s="96" t="n">
        <v>94</v>
      </c>
      <c r="L176" s="14" t="n">
        <v>1.175</v>
      </c>
      <c r="M176" s="14" t="n">
        <v>1.175</v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109-2025-10-31</t>
        </is>
      </c>
    </row>
    <row r="177" hidden="1">
      <c r="A177" s="26" t="n">
        <v>110</v>
      </c>
      <c r="B177" s="5" t="inlineStr">
        <is>
          <t>Nivel de Satisfacción Servicios Prestados</t>
        </is>
      </c>
      <c r="C177" s="5" t="inlineStr">
        <is>
          <t>Planeación Financiera</t>
        </is>
      </c>
      <c r="D177" s="5" t="inlineStr">
        <is>
          <t>Anual</t>
        </is>
      </c>
      <c r="E177" s="5" t="inlineStr">
        <is>
          <t>Positivo</t>
        </is>
      </c>
      <c r="F177" s="109" t="n">
        <v>44865</v>
      </c>
      <c r="G177" s="5" t="n">
        <v>2022</v>
      </c>
      <c r="H177" s="5" t="inlineStr">
        <is>
          <t>Octubre</t>
        </is>
      </c>
      <c r="I177" s="6" t="inlineStr">
        <is>
          <t>2022-2</t>
        </is>
      </c>
      <c r="J177" s="5" t="n">
        <v>80</v>
      </c>
      <c r="K177" s="96" t="n">
        <v>73.4019151138716</v>
      </c>
      <c r="L177" s="14" t="n">
        <v>0.9175239389233949</v>
      </c>
      <c r="M177" s="14" t="n">
        <v>0.9175239389233949</v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110-2022-10-31</t>
        </is>
      </c>
    </row>
    <row r="178" hidden="1">
      <c r="A178" s="21" t="n">
        <v>110</v>
      </c>
      <c r="B178" s="5" t="inlineStr">
        <is>
          <t>Nivel de Satisfacción Servicios Prestados</t>
        </is>
      </c>
      <c r="C178" s="5" t="inlineStr">
        <is>
          <t>Planeación Financiera</t>
        </is>
      </c>
      <c r="D178" s="5" t="inlineStr">
        <is>
          <t>Anual</t>
        </is>
      </c>
      <c r="E178" s="5" t="inlineStr">
        <is>
          <t>Positivo</t>
        </is>
      </c>
      <c r="F178" s="109" t="n">
        <v>45230</v>
      </c>
      <c r="G178" s="5" t="n">
        <v>2023</v>
      </c>
      <c r="H178" s="5" t="inlineStr">
        <is>
          <t>Octubre</t>
        </is>
      </c>
      <c r="I178" s="6" t="inlineStr">
        <is>
          <t>2023-2</t>
        </is>
      </c>
      <c r="J178" s="5" t="n">
        <v>80</v>
      </c>
      <c r="K178" s="10" t="n">
        <v>78</v>
      </c>
      <c r="L178" s="14" t="n">
        <v>0.975</v>
      </c>
      <c r="M178" s="14" t="n">
        <v>0.975</v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110-2023-10-31</t>
        </is>
      </c>
    </row>
    <row r="179" hidden="1">
      <c r="A179" s="21" t="n">
        <v>110</v>
      </c>
      <c r="B179" s="5" t="inlineStr">
        <is>
          <t>Nivel de Satisfacción Servicios Prestados</t>
        </is>
      </c>
      <c r="C179" s="5" t="inlineStr">
        <is>
          <t>Planeación Financiera</t>
        </is>
      </c>
      <c r="D179" s="5" t="inlineStr">
        <is>
          <t>Anual</t>
        </is>
      </c>
      <c r="E179" s="5" t="inlineStr">
        <is>
          <t>Positivo</t>
        </is>
      </c>
      <c r="F179" s="109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78</v>
      </c>
      <c r="L179" s="14" t="n">
        <v>0.975</v>
      </c>
      <c r="M179" s="14" t="n">
        <v>0.975</v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110-2023-12-31</t>
        </is>
      </c>
    </row>
    <row r="180" hidden="1">
      <c r="A180" s="5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Semestral</t>
        </is>
      </c>
      <c r="E180" s="5" t="inlineStr">
        <is>
          <t>Positivo</t>
        </is>
      </c>
      <c r="F180" s="109" t="n">
        <v>44834</v>
      </c>
      <c r="G180" s="5" t="n">
        <v>2022</v>
      </c>
      <c r="H180" s="5" t="inlineStr">
        <is>
          <t>Septiembre</t>
        </is>
      </c>
      <c r="I180" s="6" t="inlineStr">
        <is>
          <t>2022-2</t>
        </is>
      </c>
      <c r="J180" s="5" t="n">
        <v>80</v>
      </c>
      <c r="K180" s="5" t="n">
        <v>70</v>
      </c>
      <c r="L180" s="14" t="n">
        <v>0.875</v>
      </c>
      <c r="M180" s="14" t="n">
        <v>0.875</v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 t="inlineStr">
        <is>
          <t>111-2022-09-30</t>
        </is>
      </c>
    </row>
    <row r="181" hidden="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9" t="n">
        <v>45016</v>
      </c>
      <c r="G181" s="5" t="n">
        <v>2023</v>
      </c>
      <c r="H181" s="5" t="inlineStr">
        <is>
          <t>Marzo</t>
        </is>
      </c>
      <c r="I181" s="6" t="inlineStr">
        <is>
          <t>2023-1</t>
        </is>
      </c>
      <c r="J181" s="5" t="n">
        <v>80</v>
      </c>
      <c r="K181" s="10" t="n">
        <v>87</v>
      </c>
      <c r="L181" s="14" t="n">
        <v>1.0875</v>
      </c>
      <c r="M181" s="14" t="n">
        <v>1.0875</v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111-2023-03-31</t>
        </is>
      </c>
    </row>
    <row r="182" hidden="1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9" t="n">
        <v>45107</v>
      </c>
      <c r="G182" s="5" t="n">
        <v>2023</v>
      </c>
      <c r="H182" s="5" t="inlineStr">
        <is>
          <t>Junio</t>
        </is>
      </c>
      <c r="I182" s="6" t="inlineStr">
        <is>
          <t>2023-1</t>
        </is>
      </c>
      <c r="J182" s="5" t="n">
        <v>80</v>
      </c>
      <c r="K182" s="10" t="n">
        <v>90</v>
      </c>
      <c r="L182" s="14" t="n">
        <v>1.125</v>
      </c>
      <c r="M182" s="14" t="n">
        <v>1.125</v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111-2023-06-30</t>
        </is>
      </c>
    </row>
    <row r="183" hidden="1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9" t="n">
        <v>45199</v>
      </c>
      <c r="G183" s="5" t="n">
        <v>2023</v>
      </c>
      <c r="H183" s="5" t="inlineStr">
        <is>
          <t>Septiembre</t>
        </is>
      </c>
      <c r="I183" s="6" t="inlineStr">
        <is>
          <t>2023-2</t>
        </is>
      </c>
      <c r="J183" s="5" t="n">
        <v>80</v>
      </c>
      <c r="K183" s="10" t="n">
        <v>93</v>
      </c>
      <c r="L183" s="14" t="n">
        <v>1.1625</v>
      </c>
      <c r="M183" s="14" t="n">
        <v>1.1625</v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111-2023-09-30</t>
        </is>
      </c>
    </row>
    <row r="184" hidden="1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9" t="n">
        <v>45291</v>
      </c>
      <c r="G184" s="5" t="n">
        <v>2023</v>
      </c>
      <c r="H184" s="5" t="inlineStr">
        <is>
          <t>Diciembre</t>
        </is>
      </c>
      <c r="I184" s="6" t="inlineStr">
        <is>
          <t>2023-2</t>
        </is>
      </c>
      <c r="J184" s="5" t="n">
        <v>80</v>
      </c>
      <c r="K184" s="40" t="n">
        <v>96</v>
      </c>
      <c r="L184" s="14" t="n">
        <v>1.2</v>
      </c>
      <c r="M184" s="14" t="n">
        <v>1.2</v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111-2023-12-31</t>
        </is>
      </c>
    </row>
    <row r="185" hidden="1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08" t="n">
        <v>45382</v>
      </c>
      <c r="G185" s="5" t="n">
        <v>2024</v>
      </c>
      <c r="H185" s="5" t="inlineStr">
        <is>
          <t>Marzo</t>
        </is>
      </c>
      <c r="I185" s="6" t="inlineStr">
        <is>
          <t>2024-1</t>
        </is>
      </c>
      <c r="J185" s="5" t="n">
        <v>80</v>
      </c>
      <c r="K185" s="40" t="n">
        <v>94</v>
      </c>
      <c r="L185" s="14" t="n">
        <v>1.175</v>
      </c>
      <c r="M185" s="14" t="n">
        <v>1.175</v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111-2024-03-31</t>
        </is>
      </c>
    </row>
    <row r="186" hidden="1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Trimestral</t>
        </is>
      </c>
      <c r="E186" s="5" t="inlineStr">
        <is>
          <t>Positivo</t>
        </is>
      </c>
      <c r="F186" s="109" t="n">
        <v>45473</v>
      </c>
      <c r="G186" s="5" t="n">
        <v>2024</v>
      </c>
      <c r="H186" s="5" t="inlineStr">
        <is>
          <t>Junio</t>
        </is>
      </c>
      <c r="I186" s="6" t="inlineStr">
        <is>
          <t>2024-1</t>
        </is>
      </c>
      <c r="J186" s="5" t="n">
        <v>80</v>
      </c>
      <c r="K186" s="40" t="n">
        <v>98</v>
      </c>
      <c r="L186" s="14" t="n">
        <v>1.225</v>
      </c>
      <c r="M186" s="14" t="n">
        <v>1.225</v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111-2024-06-30</t>
        </is>
      </c>
    </row>
    <row r="187" hidden="1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Trimestral</t>
        </is>
      </c>
      <c r="E187" s="5" t="inlineStr">
        <is>
          <t>Positivo</t>
        </is>
      </c>
      <c r="F187" s="109" t="n">
        <v>45565</v>
      </c>
      <c r="G187" s="5" t="n">
        <v>2024</v>
      </c>
      <c r="H187" s="5" t="inlineStr">
        <is>
          <t>Septiembre</t>
        </is>
      </c>
      <c r="I187" s="6" t="inlineStr">
        <is>
          <t>2024-2</t>
        </is>
      </c>
      <c r="J187" s="5" t="n">
        <v>80</v>
      </c>
      <c r="K187" s="40" t="n">
        <v>86.7</v>
      </c>
      <c r="L187" s="14" t="n">
        <v>1.08375</v>
      </c>
      <c r="M187" s="14" t="n">
        <v>1.08375</v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111-2024-09-30</t>
        </is>
      </c>
    </row>
    <row r="188" hidden="1">
      <c r="A188" s="21" t="n">
        <v>111</v>
      </c>
      <c r="B188" s="5" t="inlineStr">
        <is>
          <t>Nivel de Satisfacción Servicios Prestados</t>
        </is>
      </c>
      <c r="C188" s="5" t="inlineStr">
        <is>
          <t>GESTIÓN DE ABASTECIMIENTO</t>
        </is>
      </c>
      <c r="D188" s="5" t="inlineStr">
        <is>
          <t>Trimestral</t>
        </is>
      </c>
      <c r="E188" s="5" t="inlineStr">
        <is>
          <t>Positivo</t>
        </is>
      </c>
      <c r="F188" s="109" t="n">
        <v>45657</v>
      </c>
      <c r="G188" s="5" t="n">
        <v>2024</v>
      </c>
      <c r="H188" s="5" t="inlineStr">
        <is>
          <t>Diciembre</t>
        </is>
      </c>
      <c r="I188" s="6" t="inlineStr">
        <is>
          <t>2024-2</t>
        </is>
      </c>
      <c r="J188" s="5" t="n">
        <v>80</v>
      </c>
      <c r="K188" s="40" t="n">
        <v>92</v>
      </c>
      <c r="L188" s="14" t="n">
        <v>1.15</v>
      </c>
      <c r="M188" s="14" t="n">
        <v>1.15</v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111-2024-12-31</t>
        </is>
      </c>
    </row>
    <row r="189" hidden="1">
      <c r="A189" s="21" t="n">
        <v>111</v>
      </c>
      <c r="B189" s="5" t="inlineStr">
        <is>
          <t>Nivel de Satisfacción Servicios Prestados</t>
        </is>
      </c>
      <c r="C189" s="5" t="inlineStr">
        <is>
          <t>GESTIÓN DE ABASTECIMIENTO</t>
        </is>
      </c>
      <c r="D189" s="5" t="inlineStr">
        <is>
          <t>Trimestral</t>
        </is>
      </c>
      <c r="E189" s="5" t="inlineStr">
        <is>
          <t>Positivo</t>
        </is>
      </c>
      <c r="F189" s="109" t="n">
        <v>45747</v>
      </c>
      <c r="G189" s="5" t="n">
        <v>2025</v>
      </c>
      <c r="H189" s="5" t="inlineStr">
        <is>
          <t>Marzo</t>
        </is>
      </c>
      <c r="I189" s="6" t="inlineStr">
        <is>
          <t>2025-1</t>
        </is>
      </c>
      <c r="J189" s="5" t="n">
        <v>80</v>
      </c>
      <c r="K189" s="40" t="n">
        <v>92.7</v>
      </c>
      <c r="L189" s="14" t="n">
        <v>1.15875</v>
      </c>
      <c r="M189" s="14" t="n">
        <v>1.15875</v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111-2025-03-31</t>
        </is>
      </c>
    </row>
    <row r="190" hidden="1">
      <c r="A190" s="21" t="n">
        <v>111</v>
      </c>
      <c r="B190" s="5" t="inlineStr">
        <is>
          <t>Nivel de Satisfacción Servicios Prestados</t>
        </is>
      </c>
      <c r="C190" s="5" t="inlineStr">
        <is>
          <t>GESTIÓN DE ABASTECIMIENTO</t>
        </is>
      </c>
      <c r="D190" s="5" t="inlineStr">
        <is>
          <t>Trimestral</t>
        </is>
      </c>
      <c r="E190" s="5" t="inlineStr">
        <is>
          <t>Positivo</t>
        </is>
      </c>
      <c r="F190" s="109" t="n">
        <v>45838</v>
      </c>
      <c r="G190" s="5" t="n">
        <v>2025</v>
      </c>
      <c r="H190" s="5" t="inlineStr">
        <is>
          <t>Junio</t>
        </is>
      </c>
      <c r="I190" s="6" t="inlineStr">
        <is>
          <t>2025-1</t>
        </is>
      </c>
      <c r="J190" s="5" t="n">
        <v>80</v>
      </c>
      <c r="K190" s="40" t="n">
        <v>100</v>
      </c>
      <c r="L190" s="14" t="n">
        <v>1.25</v>
      </c>
      <c r="M190" s="14" t="n">
        <v>1.25</v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111-2025-06-30</t>
        </is>
      </c>
    </row>
    <row r="191" hidden="1">
      <c r="A191" s="21" t="n">
        <v>111</v>
      </c>
      <c r="B191" s="5" t="inlineStr">
        <is>
          <t>Nivel de Satisfacción Servicios Prestados</t>
        </is>
      </c>
      <c r="C191" s="5" t="inlineStr">
        <is>
          <t>GESTIÓN DE ABASTECIMIENTO</t>
        </is>
      </c>
      <c r="D191" s="5" t="inlineStr">
        <is>
          <t>Semestral</t>
        </is>
      </c>
      <c r="E191" s="5" t="inlineStr">
        <is>
          <t>Positivo</t>
        </is>
      </c>
      <c r="F191" s="109" t="n">
        <v>45930</v>
      </c>
      <c r="G191" s="5" t="n">
        <v>2025</v>
      </c>
      <c r="H191" s="5" t="inlineStr">
        <is>
          <t>Septiembre</t>
        </is>
      </c>
      <c r="I191" s="6" t="inlineStr">
        <is>
          <t>2025-2</t>
        </is>
      </c>
      <c r="J191" s="5" t="n">
        <v>80</v>
      </c>
      <c r="K191" s="40" t="n">
        <v>92.5</v>
      </c>
      <c r="L191" s="14" t="n">
        <v>1.15625</v>
      </c>
      <c r="M191" s="14" t="n">
        <v>1.15625</v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111-2025-09-30</t>
        </is>
      </c>
    </row>
    <row r="192" hidden="1">
      <c r="A192" s="21" t="n">
        <v>111</v>
      </c>
      <c r="B192" s="5" t="inlineStr">
        <is>
          <t>Nivel de Satisfacción Servicios Prestados</t>
        </is>
      </c>
      <c r="C192" s="5" t="inlineStr">
        <is>
          <t>GESTIÓN DE ABASTECIMIENTO</t>
        </is>
      </c>
      <c r="D192" s="5" t="inlineStr">
        <is>
          <t>Semestral</t>
        </is>
      </c>
      <c r="E192" s="5" t="inlineStr">
        <is>
          <t>Positivo</t>
        </is>
      </c>
      <c r="F192" s="109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80</v>
      </c>
      <c r="K192" s="40" t="n">
        <v>96.59999999999999</v>
      </c>
      <c r="L192" s="14" t="n">
        <v>1.2075</v>
      </c>
      <c r="M192" s="14" t="n">
        <v>1.2075</v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111-2025-12-31</t>
        </is>
      </c>
    </row>
    <row r="193" hidden="1">
      <c r="A193" s="26" t="n">
        <v>111</v>
      </c>
      <c r="B193" s="5" t="inlineStr">
        <is>
          <t>Nivel de Satisfacción Servicios Prestados</t>
        </is>
      </c>
      <c r="C193" s="5" t="inlineStr">
        <is>
          <t>GESTIÓN DE ABASTECIMIENTO</t>
        </is>
      </c>
      <c r="D193" s="5" t="inlineStr">
        <is>
          <t>Semestral</t>
        </is>
      </c>
      <c r="E193" s="5" t="inlineStr">
        <is>
          <t>Positivo</t>
        </is>
      </c>
      <c r="F193" s="109" t="n">
        <v>46112</v>
      </c>
      <c r="G193" s="5" t="n">
        <v>2026</v>
      </c>
      <c r="H193" s="5" t="inlineStr">
        <is>
          <t>Marzo</t>
        </is>
      </c>
      <c r="I193" s="6" t="inlineStr">
        <is>
          <t>2026-1</t>
        </is>
      </c>
      <c r="J193" s="5" t="n">
        <v>80</v>
      </c>
      <c r="K193" s="40" t="n">
        <v>97.59999999999999</v>
      </c>
      <c r="L193" s="14" t="n">
        <v>1.22</v>
      </c>
      <c r="M193" s="14" t="n">
        <v>1.22</v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111-2026-03-31</t>
        </is>
      </c>
    </row>
    <row r="194" hidden="1">
      <c r="A194" s="26" t="n">
        <v>112</v>
      </c>
      <c r="B194" s="5" t="inlineStr">
        <is>
          <t>Nivel de Satisfacción Servicios Prestados</t>
        </is>
      </c>
      <c r="C194" s="5" t="inlineStr">
        <is>
          <t>Gestión Infraestructura Física</t>
        </is>
      </c>
      <c r="D194" s="5" t="inlineStr">
        <is>
          <t>Anual</t>
        </is>
      </c>
      <c r="E194" s="5" t="inlineStr">
        <is>
          <t>Positivo</t>
        </is>
      </c>
      <c r="F194" s="109" t="n">
        <v>44865</v>
      </c>
      <c r="G194" s="5" t="n">
        <v>2022</v>
      </c>
      <c r="H194" s="5" t="inlineStr">
        <is>
          <t>Octubre</t>
        </is>
      </c>
      <c r="I194" s="6" t="inlineStr">
        <is>
          <t>2022-2</t>
        </is>
      </c>
      <c r="J194" s="5" t="n">
        <v>80</v>
      </c>
      <c r="K194" s="40" t="n">
        <v>85</v>
      </c>
      <c r="L194" s="14" t="n">
        <v>1.0625</v>
      </c>
      <c r="M194" s="14" t="n">
        <v>1.0625</v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112-2022-10-31</t>
        </is>
      </c>
    </row>
    <row r="195" hidden="1">
      <c r="A195" s="26" t="n">
        <v>112</v>
      </c>
      <c r="B195" s="5" t="inlineStr">
        <is>
          <t>Nivel de Satisfacción Servicios Prestados</t>
        </is>
      </c>
      <c r="C195" s="5" t="inlineStr">
        <is>
          <t>Gestión Infraestructura Física</t>
        </is>
      </c>
      <c r="D195" s="5" t="inlineStr">
        <is>
          <t>Anual</t>
        </is>
      </c>
      <c r="E195" s="5" t="inlineStr">
        <is>
          <t>Positivo</t>
        </is>
      </c>
      <c r="F195" s="109" t="n">
        <v>45230</v>
      </c>
      <c r="G195" s="5" t="n">
        <v>2023</v>
      </c>
      <c r="H195" s="5" t="inlineStr">
        <is>
          <t>Octubre</t>
        </is>
      </c>
      <c r="I195" s="6" t="inlineStr">
        <is>
          <t>2023-2</t>
        </is>
      </c>
      <c r="J195" s="5" t="n">
        <v>80</v>
      </c>
      <c r="K195" s="40" t="n">
        <v>90</v>
      </c>
      <c r="L195" s="14" t="n">
        <v>1.125</v>
      </c>
      <c r="M195" s="14" t="n">
        <v>1.125</v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112-2023-10-31</t>
        </is>
      </c>
    </row>
    <row r="196" hidden="1">
      <c r="A196" s="21" t="n">
        <v>112</v>
      </c>
      <c r="B196" s="5" t="inlineStr">
        <is>
          <t>Nivel de Satisfacción Servicios Prestados</t>
        </is>
      </c>
      <c r="C196" s="5" t="inlineStr">
        <is>
          <t>Gestión Infraestructura Física</t>
        </is>
      </c>
      <c r="D196" s="5" t="inlineStr">
        <is>
          <t>Anual</t>
        </is>
      </c>
      <c r="E196" s="5" t="inlineStr">
        <is>
          <t>Positivo</t>
        </is>
      </c>
      <c r="F196" s="109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40" t="n">
        <v>90</v>
      </c>
      <c r="L196" s="14" t="n">
        <v>1.125</v>
      </c>
      <c r="M196" s="14" t="n">
        <v>1.125</v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112-2024-10-31</t>
        </is>
      </c>
    </row>
    <row r="197" hidden="1">
      <c r="A197" s="21" t="n">
        <v>112</v>
      </c>
      <c r="B197" s="5" t="inlineStr">
        <is>
          <t>Nivel de Satisfacción Servicios Prestados</t>
        </is>
      </c>
      <c r="C197" s="5" t="inlineStr">
        <is>
          <t>Gestión Infraestructura Física</t>
        </is>
      </c>
      <c r="D197" s="5" t="inlineStr">
        <is>
          <t>Anual</t>
        </is>
      </c>
      <c r="E197" s="5" t="inlineStr">
        <is>
          <t>Positivo</t>
        </is>
      </c>
      <c r="F197" s="108" t="n">
        <v>45961</v>
      </c>
      <c r="G197" s="5" t="n">
        <v>2025</v>
      </c>
      <c r="H197" s="5" t="inlineStr">
        <is>
          <t>Octubre</t>
        </is>
      </c>
      <c r="I197" s="6" t="inlineStr">
        <is>
          <t>2025-2</t>
        </is>
      </c>
      <c r="J197" s="5" t="n">
        <v>80</v>
      </c>
      <c r="K197" s="40" t="n">
        <v>90</v>
      </c>
      <c r="L197" s="14" t="n">
        <v>1.125</v>
      </c>
      <c r="M197" s="14" t="n">
        <v>1.125</v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112-2025-10-31</t>
        </is>
      </c>
    </row>
    <row r="198" hidden="1">
      <c r="A198" s="21" t="n">
        <v>113</v>
      </c>
      <c r="B198" s="5" t="inlineStr">
        <is>
          <t>Nivel de Satisfacción Servicios Prestados</t>
        </is>
      </c>
      <c r="C198" s="5" t="inlineStr">
        <is>
          <t>Gestión y Desarrollo del Talento Humano</t>
        </is>
      </c>
      <c r="D198" s="5" t="inlineStr">
        <is>
          <t>Anual</t>
        </is>
      </c>
      <c r="E198" s="5" t="inlineStr">
        <is>
          <t>Positivo</t>
        </is>
      </c>
      <c r="F198" s="109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40" t="n">
        <v>78</v>
      </c>
      <c r="L198" s="14" t="n">
        <v>0.975</v>
      </c>
      <c r="M198" s="14" t="n">
        <v>0.975</v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113-2022-10-31</t>
        </is>
      </c>
    </row>
    <row r="199" hidden="1">
      <c r="A199" s="21" t="n">
        <v>113</v>
      </c>
      <c r="B199" s="5" t="inlineStr">
        <is>
          <t>Nivel de Satisfacción Servicios Prestados</t>
        </is>
      </c>
      <c r="C199" s="5" t="inlineStr">
        <is>
          <t>Gestión y Desarrollo del Talento Humano</t>
        </is>
      </c>
      <c r="D199" s="5" t="inlineStr">
        <is>
          <t>Anual</t>
        </is>
      </c>
      <c r="E199" s="5" t="inlineStr">
        <is>
          <t>Positivo</t>
        </is>
      </c>
      <c r="F199" s="109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96" t="n">
        <v>88</v>
      </c>
      <c r="L199" s="14" t="n">
        <v>1.1</v>
      </c>
      <c r="M199" s="14" t="n">
        <v>1.1</v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113-2023-10-31</t>
        </is>
      </c>
    </row>
    <row r="200" hidden="1">
      <c r="A200" s="21" t="n">
        <v>113</v>
      </c>
      <c r="B200" s="5" t="inlineStr">
        <is>
          <t>Nivel de Satisfacción Servicios Prestados</t>
        </is>
      </c>
      <c r="C200" s="5" t="inlineStr">
        <is>
          <t>GESTIÓN Y DESARROLLO DEL TALENTO HUMANO</t>
        </is>
      </c>
      <c r="D200" s="5" t="inlineStr">
        <is>
          <t>Anual</t>
        </is>
      </c>
      <c r="E200" s="5" t="inlineStr">
        <is>
          <t>Positivo</t>
        </is>
      </c>
      <c r="F200" s="109" t="n">
        <v>45596</v>
      </c>
      <c r="G200" s="5" t="n">
        <v>2024</v>
      </c>
      <c r="H200" s="5" t="inlineStr">
        <is>
          <t>Octubre</t>
        </is>
      </c>
      <c r="I200" s="6" t="inlineStr">
        <is>
          <t>2024-2</t>
        </is>
      </c>
      <c r="J200" s="5" t="n">
        <v>80</v>
      </c>
      <c r="K200" s="96" t="n">
        <v>88</v>
      </c>
      <c r="L200" s="14" t="n">
        <v>1.1</v>
      </c>
      <c r="M200" s="14" t="n">
        <v>1.1</v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113-2024-10-31</t>
        </is>
      </c>
    </row>
    <row r="201" hidden="1">
      <c r="A201" s="21" t="n">
        <v>113</v>
      </c>
      <c r="B201" s="5" t="inlineStr">
        <is>
          <t>Nivel de Satisfacción Servicios Prestados</t>
        </is>
      </c>
      <c r="C201" s="5" t="inlineStr">
        <is>
          <t>GESTIÓN Y DESARROLLO DEL TALENTO HUMANO</t>
        </is>
      </c>
      <c r="D201" s="5" t="inlineStr">
        <is>
          <t>Anual</t>
        </is>
      </c>
      <c r="E201" s="5" t="inlineStr">
        <is>
          <t>Positivo</t>
        </is>
      </c>
      <c r="F201" s="109" t="n">
        <v>45961</v>
      </c>
      <c r="G201" s="5" t="n">
        <v>2025</v>
      </c>
      <c r="H201" s="5" t="inlineStr">
        <is>
          <t>Octubre</t>
        </is>
      </c>
      <c r="I201" s="6" t="inlineStr">
        <is>
          <t>2025-2</t>
        </is>
      </c>
      <c r="J201" s="5" t="n">
        <v>80</v>
      </c>
      <c r="K201" s="40" t="n">
        <v>94</v>
      </c>
      <c r="L201" s="14" t="n">
        <v>1.175</v>
      </c>
      <c r="M201" s="14" t="n">
        <v>1.175</v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113-2025-10-31</t>
        </is>
      </c>
    </row>
    <row r="202" hidden="1">
      <c r="A202" s="21" t="n">
        <v>114</v>
      </c>
      <c r="B202" s="5" t="inlineStr">
        <is>
          <t>Nivel de Satisfacción Servicios Prestados</t>
        </is>
      </c>
      <c r="C202" s="5" t="inlineStr">
        <is>
          <t>Gestión de la tecnología e innovación digital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44865</v>
      </c>
      <c r="G202" s="5" t="n">
        <v>2022</v>
      </c>
      <c r="H202" s="5" t="inlineStr">
        <is>
          <t>Octubre</t>
        </is>
      </c>
      <c r="I202" s="6" t="inlineStr">
        <is>
          <t>2022-2</t>
        </is>
      </c>
      <c r="J202" s="5" t="n">
        <v>80</v>
      </c>
      <c r="K202" s="96" t="n">
        <v>82</v>
      </c>
      <c r="L202" s="14" t="n">
        <v>1.025</v>
      </c>
      <c r="M202" s="14" t="n">
        <v>1.025</v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114-2022-10-31</t>
        </is>
      </c>
    </row>
    <row r="203" hidden="1">
      <c r="A203" s="21" t="n">
        <v>114</v>
      </c>
      <c r="B203" s="5" t="inlineStr">
        <is>
          <t>Nivel de Satisfacción Servicios Prestados</t>
        </is>
      </c>
      <c r="C203" s="5" t="inlineStr">
        <is>
          <t>Gestión de la tecnología e innovación digital</t>
        </is>
      </c>
      <c r="D203" s="5" t="inlineStr">
        <is>
          <t>Anual</t>
        </is>
      </c>
      <c r="E203" s="5" t="inlineStr">
        <is>
          <t>Positivo</t>
        </is>
      </c>
      <c r="F203" s="109" t="n">
        <v>45230</v>
      </c>
      <c r="G203" s="5" t="n">
        <v>2023</v>
      </c>
      <c r="H203" s="5" t="inlineStr">
        <is>
          <t>Octubre</t>
        </is>
      </c>
      <c r="I203" s="6" t="inlineStr">
        <is>
          <t>2023-2</t>
        </is>
      </c>
      <c r="J203" s="5" t="n">
        <v>80</v>
      </c>
      <c r="K203" s="96" t="n">
        <v>86</v>
      </c>
      <c r="L203" s="14" t="n">
        <v>1.075</v>
      </c>
      <c r="M203" s="14" t="n">
        <v>1.075</v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114-2023-10-31</t>
        </is>
      </c>
    </row>
    <row r="204" hidden="1">
      <c r="A204" s="21" t="n">
        <v>114</v>
      </c>
      <c r="B204" s="5" t="inlineStr">
        <is>
          <t>Nivel de Satisfacción Servicios Prestados</t>
        </is>
      </c>
      <c r="C204" s="5" t="inlineStr">
        <is>
          <t>Gestión de la tecnología e innovación digital</t>
        </is>
      </c>
      <c r="D204" s="5" t="inlineStr">
        <is>
          <t>Anual</t>
        </is>
      </c>
      <c r="E204" s="5" t="inlineStr">
        <is>
          <t>Positivo</t>
        </is>
      </c>
      <c r="F204" s="109" t="n">
        <v>45596</v>
      </c>
      <c r="G204" s="5" t="n">
        <v>2024</v>
      </c>
      <c r="H204" s="5" t="inlineStr">
        <is>
          <t>Octubre</t>
        </is>
      </c>
      <c r="I204" s="6" t="inlineStr">
        <is>
          <t>2024-2</t>
        </is>
      </c>
      <c r="J204" s="5" t="n">
        <v>80</v>
      </c>
      <c r="K204" s="40" t="n">
        <v>81</v>
      </c>
      <c r="L204" s="14" t="n">
        <v>1.0125</v>
      </c>
      <c r="M204" s="14" t="n">
        <v>1.0125</v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114-2024-10-31</t>
        </is>
      </c>
    </row>
    <row r="205" hidden="1">
      <c r="A205" s="26" t="n">
        <v>114</v>
      </c>
      <c r="B205" s="5" t="inlineStr">
        <is>
          <t>Nivel de Satisfacción Servicios Prestados</t>
        </is>
      </c>
      <c r="C205" s="5" t="inlineStr">
        <is>
          <t>GESTIÓN DE LA TECNOLOGÍA E INNOVACIÓN DIGITAL</t>
        </is>
      </c>
      <c r="D205" s="5" t="inlineStr">
        <is>
          <t>Anual</t>
        </is>
      </c>
      <c r="E205" s="5" t="inlineStr">
        <is>
          <t>Positivo</t>
        </is>
      </c>
      <c r="F205" s="109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96" t="n">
        <v>74</v>
      </c>
      <c r="L205" s="14" t="n">
        <v>0.925</v>
      </c>
      <c r="M205" s="14" t="n">
        <v>0.925</v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114-2025-10-31</t>
        </is>
      </c>
    </row>
    <row r="206" hidden="1">
      <c r="A206" s="26" t="n">
        <v>115</v>
      </c>
      <c r="B206" s="5" t="inlineStr">
        <is>
          <t>Nivel de Satisfacción Servicios Prestados</t>
        </is>
      </c>
      <c r="C206" s="5" t="inlineStr">
        <is>
          <t>GESTIÓN DE SEGURIDAD Y SALUD EN EL TRABAJO</t>
        </is>
      </c>
      <c r="D206" s="5" t="inlineStr">
        <is>
          <t>Anual</t>
        </is>
      </c>
      <c r="E206" s="5" t="inlineStr">
        <is>
          <t>Positivo</t>
        </is>
      </c>
      <c r="F206" s="109" t="n">
        <v>44865</v>
      </c>
      <c r="G206" s="5" t="n">
        <v>2022</v>
      </c>
      <c r="H206" s="5" t="inlineStr">
        <is>
          <t>Octubre</t>
        </is>
      </c>
      <c r="I206" s="6" t="inlineStr">
        <is>
          <t>2022-2</t>
        </is>
      </c>
      <c r="J206" s="5" t="n">
        <v>80</v>
      </c>
      <c r="K206" s="40" t="n">
        <v>90</v>
      </c>
      <c r="L206" s="14" t="n">
        <v>1.125</v>
      </c>
      <c r="M206" s="14" t="n">
        <v>1.125</v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115-2022-10-31</t>
        </is>
      </c>
    </row>
    <row r="207" hidden="1">
      <c r="A207" s="26" t="n">
        <v>115</v>
      </c>
      <c r="B207" s="5" t="inlineStr">
        <is>
          <t>Nivel de Satisfacción Servicios Prestados</t>
        </is>
      </c>
      <c r="C207" s="5" t="inlineStr">
        <is>
          <t>Gestión de seguridad y salud en el trabajo</t>
        </is>
      </c>
      <c r="D207" s="5" t="inlineStr">
        <is>
          <t>Anual</t>
        </is>
      </c>
      <c r="E207" s="5" t="inlineStr">
        <is>
          <t>Positivo</t>
        </is>
      </c>
      <c r="F207" s="109" t="n">
        <v>45230</v>
      </c>
      <c r="G207" s="5" t="n">
        <v>2023</v>
      </c>
      <c r="H207" s="5" t="inlineStr">
        <is>
          <t>Octubre</t>
        </is>
      </c>
      <c r="I207" s="6" t="inlineStr">
        <is>
          <t>2023-2</t>
        </is>
      </c>
      <c r="J207" s="5" t="n">
        <v>80</v>
      </c>
      <c r="K207" s="40" t="n">
        <v>91</v>
      </c>
      <c r="L207" s="14" t="n">
        <v>1.1375</v>
      </c>
      <c r="M207" s="14" t="n">
        <v>1.1375</v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115-2023-10-31</t>
        </is>
      </c>
    </row>
    <row r="208" hidden="1">
      <c r="A208" s="21" t="n">
        <v>115</v>
      </c>
      <c r="B208" s="5" t="inlineStr">
        <is>
          <t>Nivel de Satisfacción Servicios Prestados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Positivo</t>
        </is>
      </c>
      <c r="F208" s="109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n">
        <v>80</v>
      </c>
      <c r="K208" s="40" t="n">
        <v>90.7894054838542</v>
      </c>
      <c r="L208" s="14" t="n">
        <v>1.134867568548177</v>
      </c>
      <c r="M208" s="14" t="n">
        <v>1.134867568548177</v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115-2023-12-31</t>
        </is>
      </c>
    </row>
    <row r="209" hidden="1">
      <c r="A209" s="21" t="n">
        <v>115</v>
      </c>
      <c r="B209" s="5" t="inlineStr">
        <is>
          <t>Nivel de Satisfacción Servicios Prestados</t>
        </is>
      </c>
      <c r="C209" s="5" t="inlineStr">
        <is>
          <t>GESTIÓN DE SEGURIDAD Y SALUD EN EL TRABAJO</t>
        </is>
      </c>
      <c r="D209" s="5" t="inlineStr">
        <is>
          <t>Anual</t>
        </is>
      </c>
      <c r="E209" s="5" t="inlineStr">
        <is>
          <t>Positivo</t>
        </is>
      </c>
      <c r="F209" s="109" t="n">
        <v>45596</v>
      </c>
      <c r="G209" s="5" t="n">
        <v>2024</v>
      </c>
      <c r="H209" s="5" t="inlineStr">
        <is>
          <t>Octubre</t>
        </is>
      </c>
      <c r="I209" s="6" t="inlineStr">
        <is>
          <t>2024-2</t>
        </is>
      </c>
      <c r="J209" s="5" t="n">
        <v>80</v>
      </c>
      <c r="K209" s="10" t="n">
        <v>90</v>
      </c>
      <c r="L209" s="14" t="n">
        <v>1.125</v>
      </c>
      <c r="M209" s="14" t="n">
        <v>1.125</v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115-2024-10-31</t>
        </is>
      </c>
    </row>
    <row r="210" hidden="1">
      <c r="A210" s="21" t="n">
        <v>115</v>
      </c>
      <c r="B210" s="5" t="inlineStr">
        <is>
          <t>Nivel de Satisfacción Servicios Prestados</t>
        </is>
      </c>
      <c r="C210" s="5" t="inlineStr">
        <is>
          <t>GESTIÓN DE SEGURIDAD Y SALUD EN EL TRABAJO</t>
        </is>
      </c>
      <c r="D210" s="5" t="inlineStr">
        <is>
          <t>Anual</t>
        </is>
      </c>
      <c r="E210" s="5" t="inlineStr">
        <is>
          <t>Positivo</t>
        </is>
      </c>
      <c r="F210" s="109" t="n">
        <v>45961</v>
      </c>
      <c r="G210" s="5" t="n">
        <v>2025</v>
      </c>
      <c r="H210" s="5" t="inlineStr">
        <is>
          <t>Octubre</t>
        </is>
      </c>
      <c r="I210" s="6" t="inlineStr">
        <is>
          <t>2025-2</t>
        </is>
      </c>
      <c r="J210" s="5" t="n">
        <v>80</v>
      </c>
      <c r="K210" s="40" t="n">
        <v>89</v>
      </c>
      <c r="L210" s="14" t="n">
        <v>1.1125</v>
      </c>
      <c r="M210" s="14" t="n">
        <v>1.1125</v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115-2025-10-31</t>
        </is>
      </c>
    </row>
    <row r="211" hidden="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09" t="n">
        <v>45046</v>
      </c>
      <c r="G211" s="5" t="n">
        <v>2023</v>
      </c>
      <c r="H211" s="5" t="inlineStr">
        <is>
          <t>Abril</t>
        </is>
      </c>
      <c r="I211" s="6" t="inlineStr">
        <is>
          <t>2023-1</t>
        </is>
      </c>
      <c r="J211" s="5" t="n">
        <v>80</v>
      </c>
      <c r="K211" s="40" t="n">
        <v>83</v>
      </c>
      <c r="L211" s="14" t="n">
        <v>1.0375</v>
      </c>
      <c r="M211" s="14" t="n">
        <v>1.0375</v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116-2023-04-30</t>
        </is>
      </c>
    </row>
    <row r="212" hidden="1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Bimestral</t>
        </is>
      </c>
      <c r="E212" s="5" t="inlineStr">
        <is>
          <t>Positivo</t>
        </is>
      </c>
      <c r="F212" s="109" t="n">
        <v>45107</v>
      </c>
      <c r="G212" s="5" t="n">
        <v>2023</v>
      </c>
      <c r="H212" s="5" t="inlineStr">
        <is>
          <t>Junio</t>
        </is>
      </c>
      <c r="I212" s="6" t="inlineStr">
        <is>
          <t>2023-1</t>
        </is>
      </c>
      <c r="J212" s="5" t="n">
        <v>80</v>
      </c>
      <c r="K212" s="40" t="n">
        <v>84</v>
      </c>
      <c r="L212" s="14" t="n">
        <v>1.05</v>
      </c>
      <c r="M212" s="14" t="n">
        <v>1.05</v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116-2023-06-30</t>
        </is>
      </c>
    </row>
    <row r="213" hidden="1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Bimestral</t>
        </is>
      </c>
      <c r="E213" s="5" t="inlineStr">
        <is>
          <t>Positivo</t>
        </is>
      </c>
      <c r="F213" s="109" t="n">
        <v>45169</v>
      </c>
      <c r="G213" s="5" t="n">
        <v>2023</v>
      </c>
      <c r="H213" s="5" t="inlineStr">
        <is>
          <t>Agosto</t>
        </is>
      </c>
      <c r="I213" s="6" t="inlineStr">
        <is>
          <t>2023-2</t>
        </is>
      </c>
      <c r="J213" s="5" t="n">
        <v>80</v>
      </c>
      <c r="K213" s="40" t="n">
        <v>84</v>
      </c>
      <c r="L213" s="14" t="n">
        <v>1.05</v>
      </c>
      <c r="M213" s="14" t="n">
        <v>1.05</v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116-2023-08-31</t>
        </is>
      </c>
    </row>
    <row r="214" hidden="1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Bimestral</t>
        </is>
      </c>
      <c r="E214" s="5" t="inlineStr">
        <is>
          <t>Positivo</t>
        </is>
      </c>
      <c r="F214" s="109" t="n">
        <v>45230</v>
      </c>
      <c r="G214" s="5" t="n">
        <v>2023</v>
      </c>
      <c r="H214" s="5" t="inlineStr">
        <is>
          <t>Octubre</t>
        </is>
      </c>
      <c r="I214" s="6" t="inlineStr">
        <is>
          <t>2023-2</t>
        </is>
      </c>
      <c r="J214" s="5" t="n">
        <v>80</v>
      </c>
      <c r="K214" s="40" t="n">
        <v>88</v>
      </c>
      <c r="L214" s="14" t="n">
        <v>1.1</v>
      </c>
      <c r="M214" s="14" t="n">
        <v>1.1</v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116-2023-10-31</t>
        </is>
      </c>
    </row>
    <row r="215" hidden="1">
      <c r="A215" s="21" t="n">
        <v>116</v>
      </c>
      <c r="B215" s="5" t="inlineStr">
        <is>
          <t>Nivel de Satisfacción Servicios Prestados</t>
        </is>
      </c>
      <c r="C215" s="5" t="inlineStr">
        <is>
          <t>AUDITORÍA INTERNA</t>
        </is>
      </c>
      <c r="D215" s="5" t="inlineStr">
        <is>
          <t>Bimestral</t>
        </is>
      </c>
      <c r="E215" s="5" t="inlineStr">
        <is>
          <t>Positivo</t>
        </is>
      </c>
      <c r="F215" s="109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80</v>
      </c>
      <c r="K215" s="40" t="n">
        <v>88</v>
      </c>
      <c r="L215" s="14" t="n">
        <v>1.1</v>
      </c>
      <c r="M215" s="14" t="n">
        <v>1.1</v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116-2023-12-31</t>
        </is>
      </c>
    </row>
    <row r="216" hidden="1">
      <c r="A216" s="21" t="n">
        <v>116</v>
      </c>
      <c r="B216" s="5" t="inlineStr">
        <is>
          <t>Nivel de Satisfacción Servicios Prestados</t>
        </is>
      </c>
      <c r="C216" s="5" t="inlineStr">
        <is>
          <t>AUDITORÍA INTERNA</t>
        </is>
      </c>
      <c r="D216" s="5" t="inlineStr">
        <is>
          <t>Anual</t>
        </is>
      </c>
      <c r="E216" s="5" t="inlineStr">
        <is>
          <t>Positivo</t>
        </is>
      </c>
      <c r="F216" s="109" t="n">
        <v>45473</v>
      </c>
      <c r="G216" s="5" t="n">
        <v>2024</v>
      </c>
      <c r="H216" s="5" t="inlineStr">
        <is>
          <t>Junio</t>
        </is>
      </c>
      <c r="I216" s="6" t="inlineStr">
        <is>
          <t>2024-1</t>
        </is>
      </c>
      <c r="J216" s="5" t="n">
        <v>80</v>
      </c>
      <c r="K216" s="40" t="n">
        <v>0</v>
      </c>
      <c r="L216" s="14" t="n">
        <v>0</v>
      </c>
      <c r="M216" s="14" t="n">
        <v>0</v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116-2024-06-30</t>
        </is>
      </c>
    </row>
    <row r="217" hidden="1">
      <c r="A217" s="26" t="n">
        <v>116</v>
      </c>
      <c r="B217" s="5" t="inlineStr">
        <is>
          <t>Nivel de Satisfacción Servicios Prestados</t>
        </is>
      </c>
      <c r="C217" s="5" t="inlineStr">
        <is>
          <t>AUDITORÍA INTERNA</t>
        </is>
      </c>
      <c r="D217" s="5" t="inlineStr">
        <is>
          <t>Bimestral</t>
        </is>
      </c>
      <c r="E217" s="5" t="inlineStr">
        <is>
          <t>Positivo</t>
        </is>
      </c>
      <c r="F217" s="109" t="n">
        <v>45535</v>
      </c>
      <c r="G217" s="5" t="n">
        <v>2024</v>
      </c>
      <c r="H217" s="5" t="inlineStr">
        <is>
          <t>Agosto</t>
        </is>
      </c>
      <c r="I217" s="6" t="inlineStr">
        <is>
          <t>2024-2</t>
        </is>
      </c>
      <c r="J217" s="5" t="n">
        <v>80</v>
      </c>
      <c r="K217" s="40" t="n">
        <v>88</v>
      </c>
      <c r="L217" s="14" t="n">
        <v>1.1</v>
      </c>
      <c r="M217" s="14" t="n">
        <v>1.1</v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116-2024-08-31</t>
        </is>
      </c>
    </row>
    <row r="218" hidden="1">
      <c r="A218" s="26" t="n">
        <v>116</v>
      </c>
      <c r="B218" s="5" t="inlineStr">
        <is>
          <t>Nivel de Satisfacción Servicios Prestados</t>
        </is>
      </c>
      <c r="C218" s="5" t="inlineStr">
        <is>
          <t>AUDITORÍA INTERNA</t>
        </is>
      </c>
      <c r="D218" s="5" t="inlineStr">
        <is>
          <t>Anual</t>
        </is>
      </c>
      <c r="E218" s="5" t="inlineStr">
        <is>
          <t>Positivo</t>
        </is>
      </c>
      <c r="F218" s="109" t="n">
        <v>45596</v>
      </c>
      <c r="G218" s="5" t="n">
        <v>2024</v>
      </c>
      <c r="H218" s="5" t="inlineStr">
        <is>
          <t>Octubre</t>
        </is>
      </c>
      <c r="I218" s="6" t="inlineStr">
        <is>
          <t>2024-2</t>
        </is>
      </c>
      <c r="J218" s="5" t="n">
        <v>80</v>
      </c>
      <c r="K218" s="40" t="n">
        <v>0</v>
      </c>
      <c r="L218" s="14" t="n">
        <v>0</v>
      </c>
      <c r="M218" s="14" t="n">
        <v>0</v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116-2024-10-31</t>
        </is>
      </c>
    </row>
    <row r="219" hidden="1">
      <c r="A219" s="26" t="n">
        <v>116</v>
      </c>
      <c r="B219" s="5" t="inlineStr">
        <is>
          <t>Nivel de Satisfacción Servicios Prestados</t>
        </is>
      </c>
      <c r="C219" s="5" t="inlineStr">
        <is>
          <t>AUDITORÍA INTERNA</t>
        </is>
      </c>
      <c r="D219" s="5" t="inlineStr">
        <is>
          <t>Anual</t>
        </is>
      </c>
      <c r="E219" s="5" t="inlineStr">
        <is>
          <t>Positivo</t>
        </is>
      </c>
      <c r="F219" s="109" t="n">
        <v>45657</v>
      </c>
      <c r="G219" s="5" t="n">
        <v>2024</v>
      </c>
      <c r="H219" s="5" t="inlineStr">
        <is>
          <t>Diciembre</t>
        </is>
      </c>
      <c r="I219" s="6" t="inlineStr">
        <is>
          <t>2024-2</t>
        </is>
      </c>
      <c r="J219" s="5" t="n">
        <v>80</v>
      </c>
      <c r="K219" s="40" t="n">
        <v>88</v>
      </c>
      <c r="L219" s="14" t="n">
        <v>1.1</v>
      </c>
      <c r="M219" s="14" t="n">
        <v>1.1</v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116-2024-12-31</t>
        </is>
      </c>
    </row>
    <row r="220" hidden="1">
      <c r="A220" s="21" t="n">
        <v>116</v>
      </c>
      <c r="B220" s="5" t="inlineStr">
        <is>
          <t>Nivel de Satisfacción Servicios Prestados</t>
        </is>
      </c>
      <c r="C220" s="5" t="inlineStr">
        <is>
          <t>AUDITORÍA INTERNA</t>
        </is>
      </c>
      <c r="D220" s="5" t="inlineStr">
        <is>
          <t>Anual</t>
        </is>
      </c>
      <c r="E220" s="5" t="inlineStr">
        <is>
          <t>Positivo</t>
        </is>
      </c>
      <c r="F220" s="109" t="n">
        <v>46022</v>
      </c>
      <c r="G220" s="5" t="n">
        <v>2025</v>
      </c>
      <c r="H220" s="5" t="inlineStr">
        <is>
          <t>Diciembre</t>
        </is>
      </c>
      <c r="I220" s="6" t="inlineStr">
        <is>
          <t>2025-2</t>
        </is>
      </c>
      <c r="J220" s="5" t="n">
        <v>80</v>
      </c>
      <c r="K220" s="96" t="n">
        <v>100</v>
      </c>
      <c r="L220" s="14" t="n">
        <v>1.25</v>
      </c>
      <c r="M220" s="14" t="n">
        <v>1.25</v>
      </c>
      <c r="N220" s="5" t="inlineStr">
        <is>
          <t>%</t>
        </is>
      </c>
      <c r="O220" s="11" t="inlineStr">
        <is>
          <t>%</t>
        </is>
      </c>
      <c r="P220" s="15" t="n">
        <v>0</v>
      </c>
      <c r="Q220" s="15" t="n">
        <v>0</v>
      </c>
      <c r="R220" s="5" t="inlineStr">
        <is>
          <t>116-2025-12-31</t>
        </is>
      </c>
    </row>
    <row r="221" hidden="1">
      <c r="A221" s="21" t="n">
        <v>117</v>
      </c>
      <c r="B221" s="5" t="inlineStr">
        <is>
          <t>Nivel de Satisfacción Servicios Prestados</t>
        </is>
      </c>
      <c r="C221" s="5" t="inlineStr">
        <is>
          <t>GESTIÓN AMBIENTAL</t>
        </is>
      </c>
      <c r="D221" s="5" t="inlineStr">
        <is>
          <t>Anual</t>
        </is>
      </c>
      <c r="E221" s="5" t="inlineStr">
        <is>
          <t>Positivo</t>
        </is>
      </c>
      <c r="F221" s="108" t="n">
        <v>44865</v>
      </c>
      <c r="G221" s="5" t="n">
        <v>2022</v>
      </c>
      <c r="H221" s="5" t="inlineStr">
        <is>
          <t>Octubre</t>
        </is>
      </c>
      <c r="I221" s="6" t="inlineStr">
        <is>
          <t>2022-2</t>
        </is>
      </c>
      <c r="J221" s="5" t="n">
        <v>80</v>
      </c>
      <c r="K221" s="96" t="n">
        <v>93</v>
      </c>
      <c r="L221" s="14" t="n">
        <v>1.1625</v>
      </c>
      <c r="M221" s="14" t="n">
        <v>1.1625</v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117-2022-10-31</t>
        </is>
      </c>
    </row>
    <row r="222" hidden="1">
      <c r="A222" s="21" t="n">
        <v>117</v>
      </c>
      <c r="B222" s="5" t="inlineStr">
        <is>
          <t>Nivel de Satisfacción Servicios Prestados</t>
        </is>
      </c>
      <c r="C222" s="5" t="inlineStr">
        <is>
          <t>GESTIÓN AMBIENTAL</t>
        </is>
      </c>
      <c r="D222" s="5" t="inlineStr">
        <is>
          <t>Anual</t>
        </is>
      </c>
      <c r="E222" s="5" t="inlineStr">
        <is>
          <t>Positivo</t>
        </is>
      </c>
      <c r="F222" s="109" t="n">
        <v>45230</v>
      </c>
      <c r="G222" s="5" t="n">
        <v>2023</v>
      </c>
      <c r="H222" s="5" t="inlineStr">
        <is>
          <t>Octubre</t>
        </is>
      </c>
      <c r="I222" s="6" t="inlineStr">
        <is>
          <t>2023-2</t>
        </is>
      </c>
      <c r="J222" s="5" t="n">
        <v>80</v>
      </c>
      <c r="K222" s="96" t="n">
        <v>90</v>
      </c>
      <c r="L222" s="14" t="n">
        <v>1.125</v>
      </c>
      <c r="M222" s="14" t="n">
        <v>1.125</v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117-2023-10-31</t>
        </is>
      </c>
    </row>
    <row r="223" hidden="1">
      <c r="A223" s="21" t="n">
        <v>117</v>
      </c>
      <c r="B223" s="5" t="inlineStr">
        <is>
          <t>Nivel de Satisfacción Servicios Prestados</t>
        </is>
      </c>
      <c r="C223" s="5" t="inlineStr">
        <is>
          <t>GESTIÓN AMBIENTAL</t>
        </is>
      </c>
      <c r="D223" s="5" t="inlineStr">
        <is>
          <t>Anual</t>
        </is>
      </c>
      <c r="E223" s="5" t="inlineStr">
        <is>
          <t>Positivo</t>
        </is>
      </c>
      <c r="F223" s="109" t="n">
        <v>45596</v>
      </c>
      <c r="G223" s="5" t="n">
        <v>2024</v>
      </c>
      <c r="H223" s="5" t="inlineStr">
        <is>
          <t>Octubre</t>
        </is>
      </c>
      <c r="I223" s="6" t="inlineStr">
        <is>
          <t>2024-2</t>
        </is>
      </c>
      <c r="J223" s="5" t="n">
        <v>80</v>
      </c>
      <c r="K223" s="96" t="n">
        <v>89</v>
      </c>
      <c r="L223" s="14" t="n">
        <v>1.1125</v>
      </c>
      <c r="M223" s="14" t="n">
        <v>1.1125</v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117-2024-10-31</t>
        </is>
      </c>
    </row>
    <row r="224" hidden="1">
      <c r="A224" s="21" t="n">
        <v>117</v>
      </c>
      <c r="B224" s="5" t="inlineStr">
        <is>
          <t>Nivel de Satisfacción Servicios Prestados</t>
        </is>
      </c>
      <c r="C224" s="5" t="inlineStr">
        <is>
          <t>GESTIÓN AMBIENTAL</t>
        </is>
      </c>
      <c r="D224" s="5" t="inlineStr">
        <is>
          <t>Anual</t>
        </is>
      </c>
      <c r="E224" s="5" t="inlineStr">
        <is>
          <t>Positivo</t>
        </is>
      </c>
      <c r="F224" s="109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96" t="n">
        <v>100</v>
      </c>
      <c r="L224" s="14" t="n">
        <v>1.25</v>
      </c>
      <c r="M224" s="14" t="n">
        <v>1.25</v>
      </c>
      <c r="N224" s="5" t="inlineStr">
        <is>
          <t>%</t>
        </is>
      </c>
      <c r="O224" s="11" t="inlineStr">
        <is>
          <t>%</t>
        </is>
      </c>
      <c r="P224" s="15" t="n">
        <v>0</v>
      </c>
      <c r="Q224" s="15" t="n">
        <v>0</v>
      </c>
      <c r="R224" s="5" t="inlineStr">
        <is>
          <t>117-2025-10-31</t>
        </is>
      </c>
    </row>
    <row r="225" hidden="1">
      <c r="A225" s="21" t="n">
        <v>118</v>
      </c>
      <c r="B225" s="5" t="inlineStr">
        <is>
          <t>Nivel de Satisfacción Servicios Prestados</t>
        </is>
      </c>
      <c r="C225" s="5" t="inlineStr">
        <is>
          <t>Gestión de Calidad</t>
        </is>
      </c>
      <c r="D225" s="5" t="inlineStr">
        <is>
          <t>Anual</t>
        </is>
      </c>
      <c r="E225" s="5" t="inlineStr">
        <is>
          <t>Positivo</t>
        </is>
      </c>
      <c r="F225" s="109" t="n">
        <v>44865</v>
      </c>
      <c r="G225" s="5" t="n">
        <v>2022</v>
      </c>
      <c r="H225" s="5" t="inlineStr">
        <is>
          <t>Octubre</t>
        </is>
      </c>
      <c r="I225" s="6" t="inlineStr">
        <is>
          <t>2022-2</t>
        </is>
      </c>
      <c r="J225" s="5" t="n">
        <v>80</v>
      </c>
      <c r="K225" s="96" t="n">
        <v>88</v>
      </c>
      <c r="L225" s="14" t="n">
        <v>1.1</v>
      </c>
      <c r="M225" s="14" t="n">
        <v>1.1</v>
      </c>
      <c r="N225" s="5" t="inlineStr">
        <is>
          <t>%</t>
        </is>
      </c>
      <c r="O225" s="11" t="inlineStr">
        <is>
          <t>%</t>
        </is>
      </c>
      <c r="P225" s="15" t="n">
        <v>0</v>
      </c>
      <c r="Q225" s="15" t="n">
        <v>0</v>
      </c>
      <c r="R225" s="5" t="inlineStr">
        <is>
          <t>118-2022-10-31</t>
        </is>
      </c>
    </row>
    <row r="226" hidden="1">
      <c r="A226" s="21" t="n">
        <v>118</v>
      </c>
      <c r="B226" s="5" t="inlineStr">
        <is>
          <t>Nivel de Satisfacción del sistema de gestión de calidad</t>
        </is>
      </c>
      <c r="C226" s="5" t="inlineStr">
        <is>
          <t>Gestión de calidad</t>
        </is>
      </c>
      <c r="D226" s="5" t="inlineStr">
        <is>
          <t>Anual</t>
        </is>
      </c>
      <c r="E226" s="5" t="inlineStr">
        <is>
          <t>Positivo</t>
        </is>
      </c>
      <c r="F226" s="109" t="n">
        <v>45230</v>
      </c>
      <c r="G226" s="5" t="n">
        <v>2023</v>
      </c>
      <c r="H226" s="5" t="inlineStr">
        <is>
          <t>Octubre</t>
        </is>
      </c>
      <c r="I226" s="6" t="inlineStr">
        <is>
          <t>2023-2</t>
        </is>
      </c>
      <c r="J226" s="5" t="n">
        <v>80</v>
      </c>
      <c r="K226" s="96" t="n">
        <v>94</v>
      </c>
      <c r="L226" s="14" t="n">
        <v>1.175</v>
      </c>
      <c r="M226" s="14" t="n">
        <v>1.175</v>
      </c>
      <c r="N226" s="5" t="inlineStr">
        <is>
          <t>%</t>
        </is>
      </c>
      <c r="O226" s="5" t="inlineStr">
        <is>
          <t>%</t>
        </is>
      </c>
      <c r="P226" s="15" t="n">
        <v>0</v>
      </c>
      <c r="Q226" s="15" t="n">
        <v>0</v>
      </c>
      <c r="R226" s="5" t="inlineStr">
        <is>
          <t>118-2023-10-31</t>
        </is>
      </c>
    </row>
    <row r="227" hidden="1">
      <c r="A227" s="21" t="n">
        <v>118</v>
      </c>
      <c r="B227" s="5" t="inlineStr">
        <is>
          <t>Nivel de Satisfacción Servicios Prestados</t>
        </is>
      </c>
      <c r="C227" s="5" t="inlineStr">
        <is>
          <t>Gestión de Calidad</t>
        </is>
      </c>
      <c r="D227" s="5" t="inlineStr">
        <is>
          <t>Anual</t>
        </is>
      </c>
      <c r="E227" s="5" t="inlineStr">
        <is>
          <t>Positivo</t>
        </is>
      </c>
      <c r="F227" s="109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80</v>
      </c>
      <c r="K227" s="96" t="n">
        <v>94.1385767790262</v>
      </c>
      <c r="L227" s="14" t="n">
        <v>1.176732209737827</v>
      </c>
      <c r="M227" s="14" t="n">
        <v>1.176732209737827</v>
      </c>
      <c r="N227" s="5" t="inlineStr">
        <is>
          <t>%</t>
        </is>
      </c>
      <c r="O227" s="5" t="inlineStr">
        <is>
          <t>%</t>
        </is>
      </c>
      <c r="P227" s="15" t="n">
        <v>0</v>
      </c>
      <c r="Q227" s="15" t="n">
        <v>0</v>
      </c>
      <c r="R227" s="5" t="inlineStr">
        <is>
          <t>118-2023-12-31</t>
        </is>
      </c>
    </row>
    <row r="228" hidden="1">
      <c r="A228" s="21" t="n">
        <v>118</v>
      </c>
      <c r="B228" s="5" t="inlineStr">
        <is>
          <t>Nivel de Satisfacción del sistema de gestión de calidad</t>
        </is>
      </c>
      <c r="C228" s="5" t="inlineStr">
        <is>
          <t>Gestión de calidad</t>
        </is>
      </c>
      <c r="D228" s="5" t="inlineStr">
        <is>
          <t>Anual</t>
        </is>
      </c>
      <c r="E228" s="5" t="inlineStr">
        <is>
          <t>Positivo</t>
        </is>
      </c>
      <c r="F228" s="109" t="n">
        <v>45596</v>
      </c>
      <c r="G228" s="5" t="n">
        <v>2024</v>
      </c>
      <c r="H228" s="5" t="inlineStr">
        <is>
          <t>Octubre</t>
        </is>
      </c>
      <c r="I228" s="6" t="inlineStr">
        <is>
          <t>2024-2</t>
        </is>
      </c>
      <c r="J228" s="5" t="n">
        <v>80</v>
      </c>
      <c r="K228" s="96" t="n">
        <v>86</v>
      </c>
      <c r="L228" s="14" t="n">
        <v>1.075</v>
      </c>
      <c r="M228" s="14" t="n">
        <v>1.075</v>
      </c>
      <c r="N228" s="5" t="inlineStr">
        <is>
          <t>%</t>
        </is>
      </c>
      <c r="O228" s="11" t="inlineStr">
        <is>
          <t>%</t>
        </is>
      </c>
      <c r="P228" s="15" t="n">
        <v>0</v>
      </c>
      <c r="Q228" s="15" t="n">
        <v>0</v>
      </c>
      <c r="R228" s="5" t="inlineStr">
        <is>
          <t>118-2024-10-31</t>
        </is>
      </c>
    </row>
    <row r="229" hidden="1">
      <c r="A229" s="26" t="n">
        <v>118</v>
      </c>
      <c r="B229" s="5" t="inlineStr">
        <is>
          <t>Nivel de Satisfacción del sistema de gestión de calidad</t>
        </is>
      </c>
      <c r="C229" s="5" t="inlineStr">
        <is>
          <t>Gestión de calidad</t>
        </is>
      </c>
      <c r="D229" s="5" t="inlineStr">
        <is>
          <t>Anual</t>
        </is>
      </c>
      <c r="E229" s="5" t="inlineStr">
        <is>
          <t>Positivo</t>
        </is>
      </c>
      <c r="F229" s="109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80</v>
      </c>
      <c r="K229" s="96" t="n">
        <v>86</v>
      </c>
      <c r="L229" s="14" t="n">
        <v>1.075</v>
      </c>
      <c r="M229" s="14" t="n">
        <v>1.075</v>
      </c>
      <c r="N229" s="5" t="inlineStr">
        <is>
          <t>%</t>
        </is>
      </c>
      <c r="O229" s="5" t="inlineStr">
        <is>
          <t>%</t>
        </is>
      </c>
      <c r="P229" s="15" t="n">
        <v>0</v>
      </c>
      <c r="Q229" s="15" t="n">
        <v>0</v>
      </c>
      <c r="R229" s="5" t="inlineStr">
        <is>
          <t>118-2024-12-31</t>
        </is>
      </c>
    </row>
    <row r="230" hidden="1">
      <c r="A230" s="21" t="n">
        <v>118</v>
      </c>
      <c r="B230" s="5" t="inlineStr">
        <is>
          <t>Nivel de Satisfacción del sistema de gestión de calidad</t>
        </is>
      </c>
      <c r="C230" s="5" t="inlineStr">
        <is>
          <t>Gestión de calidad</t>
        </is>
      </c>
      <c r="D230" s="5" t="inlineStr">
        <is>
          <t>Anual</t>
        </is>
      </c>
      <c r="E230" s="5" t="inlineStr">
        <is>
          <t>Positivo</t>
        </is>
      </c>
      <c r="F230" s="109" t="n">
        <v>45961</v>
      </c>
      <c r="G230" s="5" t="n">
        <v>2025</v>
      </c>
      <c r="H230" s="5" t="inlineStr">
        <is>
          <t>Octubre</t>
        </is>
      </c>
      <c r="I230" s="6" t="inlineStr">
        <is>
          <t>2025-2</t>
        </is>
      </c>
      <c r="J230" s="5" t="n">
        <v>80</v>
      </c>
      <c r="K230" s="96" t="n">
        <v>98</v>
      </c>
      <c r="L230" s="14" t="n">
        <v>1.225</v>
      </c>
      <c r="M230" s="14" t="n">
        <v>1.225</v>
      </c>
      <c r="N230" s="5" t="inlineStr">
        <is>
          <t>%</t>
        </is>
      </c>
      <c r="O230" s="5" t="inlineStr">
        <is>
          <t>%</t>
        </is>
      </c>
      <c r="P230" s="15" t="n">
        <v>0</v>
      </c>
      <c r="Q230" s="15" t="n">
        <v>0</v>
      </c>
      <c r="R230" s="5" t="inlineStr">
        <is>
          <t>118-2025-10-31</t>
        </is>
      </c>
    </row>
    <row r="231" hidden="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9" t="n">
        <v>44592</v>
      </c>
      <c r="G231" s="5" t="n">
        <v>2022</v>
      </c>
      <c r="H231" s="5" t="inlineStr">
        <is>
          <t>Enero</t>
        </is>
      </c>
      <c r="I231" s="6" t="inlineStr">
        <is>
          <t>2022-1</t>
        </is>
      </c>
      <c r="J231" s="5" t="n">
        <v>100</v>
      </c>
      <c r="K231" s="96" t="n">
        <v>99.930127235874</v>
      </c>
      <c r="L231" s="14" t="n">
        <v>1.000699216202948</v>
      </c>
      <c r="M231" s="14" t="n">
        <v>1.000699216202948</v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121-2022-01-31</t>
        </is>
      </c>
    </row>
    <row r="232" hidden="1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9" t="n">
        <v>44620</v>
      </c>
      <c r="G232" s="5" t="n">
        <v>2022</v>
      </c>
      <c r="H232" s="5" t="inlineStr">
        <is>
          <t>Febrero</t>
        </is>
      </c>
      <c r="I232" s="6" t="inlineStr">
        <is>
          <t>2022-1</t>
        </is>
      </c>
      <c r="J232" s="5" t="n">
        <v>100</v>
      </c>
      <c r="K232" s="96" t="n">
        <v>99.836200327347</v>
      </c>
      <c r="L232" s="14" t="n">
        <v>1.001640684161816</v>
      </c>
      <c r="M232" s="14" t="n">
        <v>1.001640684161816</v>
      </c>
      <c r="N232" s="5" t="inlineStr">
        <is>
          <t>$</t>
        </is>
      </c>
      <c r="O232" s="11" t="inlineStr">
        <is>
          <t>$</t>
        </is>
      </c>
      <c r="P232" s="15" t="n">
        <v>0</v>
      </c>
      <c r="Q232" s="15" t="n">
        <v>0</v>
      </c>
      <c r="R232" s="5" t="inlineStr">
        <is>
          <t>121-2022-02-28</t>
        </is>
      </c>
    </row>
    <row r="233" hidden="1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8" t="n">
        <v>44651</v>
      </c>
      <c r="G233" s="5" t="n">
        <v>2022</v>
      </c>
      <c r="H233" s="5" t="inlineStr">
        <is>
          <t>Marzo</t>
        </is>
      </c>
      <c r="I233" s="6" t="inlineStr">
        <is>
          <t>2022-1</t>
        </is>
      </c>
      <c r="J233" s="5" t="n">
        <v>100</v>
      </c>
      <c r="K233" s="96" t="n">
        <v>100.01054895053</v>
      </c>
      <c r="L233" s="14" t="n">
        <v>0.999894521621562</v>
      </c>
      <c r="M233" s="14" t="n">
        <v>0.999894521621562</v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121-2022-03-31</t>
        </is>
      </c>
    </row>
    <row r="234" hidden="1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9" t="n">
        <v>44681</v>
      </c>
      <c r="G234" s="5" t="n">
        <v>2022</v>
      </c>
      <c r="H234" s="5" t="inlineStr">
        <is>
          <t>Abril</t>
        </is>
      </c>
      <c r="I234" s="6" t="inlineStr">
        <is>
          <t>2022-1</t>
        </is>
      </c>
      <c r="J234" s="5" t="n">
        <v>100</v>
      </c>
      <c r="K234" s="96" t="n">
        <v>99.44290583621201</v>
      </c>
      <c r="L234" s="14" t="n">
        <v>1.005602150893554</v>
      </c>
      <c r="M234" s="14" t="n">
        <v>1.005602150893554</v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121-2022-04-30</t>
        </is>
      </c>
    </row>
    <row r="235" hidden="1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9" t="n">
        <v>44712</v>
      </c>
      <c r="G235" s="5" t="n">
        <v>2022</v>
      </c>
      <c r="H235" s="5" t="inlineStr">
        <is>
          <t>Mayo</t>
        </is>
      </c>
      <c r="I235" s="6" t="inlineStr">
        <is>
          <t>2022-1</t>
        </is>
      </c>
      <c r="J235" s="5" t="n">
        <v>100</v>
      </c>
      <c r="K235" s="96" t="n">
        <v>99.527558823104</v>
      </c>
      <c r="L235" s="14" t="n">
        <v>1.004746837785258</v>
      </c>
      <c r="M235" s="14" t="n">
        <v>1.004746837785258</v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121-2022-05-31</t>
        </is>
      </c>
    </row>
    <row r="236" hidden="1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9" t="n">
        <v>44742</v>
      </c>
      <c r="G236" s="5" t="n">
        <v>2022</v>
      </c>
      <c r="H236" s="5" t="inlineStr">
        <is>
          <t>Junio</t>
        </is>
      </c>
      <c r="I236" s="6" t="inlineStr">
        <is>
          <t>2022-1</t>
        </is>
      </c>
      <c r="J236" s="5" t="n">
        <v>100</v>
      </c>
      <c r="K236" s="96" t="n">
        <v>100.01207569838</v>
      </c>
      <c r="L236" s="14" t="n">
        <v>0.9998792575966884</v>
      </c>
      <c r="M236" s="14" t="n">
        <v>0.9998792575966884</v>
      </c>
      <c r="N236" s="5" t="inlineStr">
        <is>
          <t>$</t>
        </is>
      </c>
      <c r="O236" s="11" t="inlineStr">
        <is>
          <t>$</t>
        </is>
      </c>
      <c r="P236" s="15" t="n">
        <v>0</v>
      </c>
      <c r="Q236" s="15" t="n">
        <v>0</v>
      </c>
      <c r="R236" s="5" t="inlineStr">
        <is>
          <t>121-2022-06-30</t>
        </is>
      </c>
    </row>
    <row r="237" hidden="1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9" t="n">
        <v>44773</v>
      </c>
      <c r="G237" s="5" t="n">
        <v>2022</v>
      </c>
      <c r="H237" s="5" t="inlineStr">
        <is>
          <t>Julio</t>
        </is>
      </c>
      <c r="I237" s="6" t="inlineStr">
        <is>
          <t>2022-2</t>
        </is>
      </c>
      <c r="J237" s="5" t="n">
        <v>100</v>
      </c>
      <c r="K237" s="96" t="n">
        <v>100.06964761423</v>
      </c>
      <c r="L237" s="14" t="n">
        <v>0.999304008599106</v>
      </c>
      <c r="M237" s="14" t="n">
        <v>0.999304008599106</v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121-2022-07-31</t>
        </is>
      </c>
    </row>
    <row r="238" hidden="1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9" t="n">
        <v>44804</v>
      </c>
      <c r="G238" s="5" t="n">
        <v>2022</v>
      </c>
      <c r="H238" s="5" t="inlineStr">
        <is>
          <t>Agosto</t>
        </is>
      </c>
      <c r="I238" s="6" t="inlineStr">
        <is>
          <t>2022-2</t>
        </is>
      </c>
      <c r="J238" s="5" t="n">
        <v>102</v>
      </c>
      <c r="K238" s="96" t="n">
        <v>100.56593556404</v>
      </c>
      <c r="L238" s="14" t="n">
        <v>1.014259942274855</v>
      </c>
      <c r="M238" s="14" t="n">
        <v>1.014259942274855</v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121-2022-08-31</t>
        </is>
      </c>
    </row>
    <row r="239" hidden="1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9" t="n">
        <v>44834</v>
      </c>
      <c r="G239" s="5" t="n">
        <v>2022</v>
      </c>
      <c r="H239" s="5" t="inlineStr">
        <is>
          <t>Septiembre</t>
        </is>
      </c>
      <c r="I239" s="6" t="inlineStr">
        <is>
          <t>2022-2</t>
        </is>
      </c>
      <c r="J239" s="5" t="n">
        <v>102</v>
      </c>
      <c r="K239" s="96" t="n">
        <v>100.37732729256</v>
      </c>
      <c r="L239" s="14" t="n">
        <v>1.016165729365463</v>
      </c>
      <c r="M239" s="14" t="n">
        <v>1.016165729365463</v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121-2022-09-30</t>
        </is>
      </c>
    </row>
    <row r="240" hidden="1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9" t="n">
        <v>44865</v>
      </c>
      <c r="G240" s="5" t="n">
        <v>2022</v>
      </c>
      <c r="H240" s="5" t="inlineStr">
        <is>
          <t>Octubre</t>
        </is>
      </c>
      <c r="I240" s="6" t="inlineStr">
        <is>
          <t>2022-2</t>
        </is>
      </c>
      <c r="J240" s="5" t="n">
        <v>102</v>
      </c>
      <c r="K240" s="96" t="n">
        <v>101.60380995181</v>
      </c>
      <c r="L240" s="14" t="n">
        <v>1.003899362124097</v>
      </c>
      <c r="M240" s="14" t="n">
        <v>1.003899362124097</v>
      </c>
      <c r="N240" s="5" t="inlineStr">
        <is>
          <t>$</t>
        </is>
      </c>
      <c r="O240" s="11" t="inlineStr">
        <is>
          <t>$</t>
        </is>
      </c>
      <c r="P240" s="15" t="n">
        <v>0</v>
      </c>
      <c r="Q240" s="15" t="n">
        <v>0</v>
      </c>
      <c r="R240" s="5" t="inlineStr">
        <is>
          <t>121-2022-10-31</t>
        </is>
      </c>
    </row>
    <row r="241" hidden="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9" t="n">
        <v>44895</v>
      </c>
      <c r="G241" s="5" t="n">
        <v>2022</v>
      </c>
      <c r="H241" s="5" t="inlineStr">
        <is>
          <t>Noviembre</t>
        </is>
      </c>
      <c r="I241" s="6" t="inlineStr">
        <is>
          <t>2022-2</t>
        </is>
      </c>
      <c r="J241" s="5" t="n">
        <v>102</v>
      </c>
      <c r="K241" s="96" t="n">
        <v>101.72418864889</v>
      </c>
      <c r="L241" s="14" t="n">
        <v>1.002711364472633</v>
      </c>
      <c r="M241" s="14" t="n">
        <v>1.002711364472633</v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121-2022-11-30</t>
        </is>
      </c>
    </row>
    <row r="242" hidden="1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9" t="n">
        <v>44926</v>
      </c>
      <c r="G242" s="5" t="n">
        <v>2022</v>
      </c>
      <c r="H242" s="5" t="inlineStr">
        <is>
          <t>Diciembre</t>
        </is>
      </c>
      <c r="I242" s="6" t="inlineStr">
        <is>
          <t>2022-2</t>
        </is>
      </c>
      <c r="J242" s="5" t="n">
        <v>102</v>
      </c>
      <c r="K242" s="96" t="n">
        <v>99.868284606334</v>
      </c>
      <c r="L242" s="14" t="n">
        <v>1.021345268941676</v>
      </c>
      <c r="M242" s="14" t="n">
        <v>1.021345268941676</v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121-2022-12-31</t>
        </is>
      </c>
    </row>
    <row r="243" hidden="1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9" t="n">
        <v>44957</v>
      </c>
      <c r="G243" s="5" t="n">
        <v>2023</v>
      </c>
      <c r="H243" s="5" t="inlineStr">
        <is>
          <t>Enero</t>
        </is>
      </c>
      <c r="I243" s="6" t="inlineStr">
        <is>
          <t>2023-1</t>
        </is>
      </c>
      <c r="J243" s="5" t="n">
        <v>102</v>
      </c>
      <c r="K243" s="96" t="n">
        <v>107.04104854011</v>
      </c>
      <c r="L243" s="14" t="n">
        <v>0.9529054637556074</v>
      </c>
      <c r="M243" s="14" t="n">
        <v>0.9529054637556074</v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121-2023-01-31</t>
        </is>
      </c>
    </row>
    <row r="244" hidden="1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9" t="n">
        <v>44985</v>
      </c>
      <c r="G244" s="5" t="n">
        <v>2023</v>
      </c>
      <c r="H244" s="5" t="inlineStr">
        <is>
          <t>Febrero</t>
        </is>
      </c>
      <c r="I244" s="6" t="inlineStr">
        <is>
          <t>2023-1</t>
        </is>
      </c>
      <c r="J244" s="5" t="n">
        <v>102</v>
      </c>
      <c r="K244" s="96" t="n">
        <v>107.49236074846</v>
      </c>
      <c r="L244" s="14" t="n">
        <v>0.9489046411278237</v>
      </c>
      <c r="M244" s="14" t="n">
        <v>0.9489046411278237</v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121-2023-02-28</t>
        </is>
      </c>
    </row>
    <row r="245" hidden="1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9" t="n">
        <v>45016</v>
      </c>
      <c r="G245" s="5" t="n">
        <v>2023</v>
      </c>
      <c r="H245" s="5" t="inlineStr">
        <is>
          <t>Marzo</t>
        </is>
      </c>
      <c r="I245" s="6" t="inlineStr">
        <is>
          <t>2023-1</t>
        </is>
      </c>
      <c r="J245" s="5" t="n">
        <v>102</v>
      </c>
      <c r="K245" s="10" t="n">
        <v>103.0366615056</v>
      </c>
      <c r="L245" s="14" t="n">
        <v>0.9899389063033293</v>
      </c>
      <c r="M245" s="14" t="n">
        <v>0.9899389063033293</v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121-2023-03-31</t>
        </is>
      </c>
    </row>
    <row r="246" hidden="1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9" t="n">
        <v>45046</v>
      </c>
      <c r="G246" s="5" t="n">
        <v>2023</v>
      </c>
      <c r="H246" s="5" t="inlineStr">
        <is>
          <t>Abril</t>
        </is>
      </c>
      <c r="I246" s="6" t="inlineStr">
        <is>
          <t>2023-1</t>
        </is>
      </c>
      <c r="J246" s="5" t="n">
        <v>102</v>
      </c>
      <c r="K246" s="96" t="n">
        <v>98.504433782026</v>
      </c>
      <c r="L246" s="14" t="n">
        <v>1.035486384559188</v>
      </c>
      <c r="M246" s="14" t="n">
        <v>1.035486384559188</v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121-2023-04-30</t>
        </is>
      </c>
    </row>
    <row r="247" hidden="1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9" t="n">
        <v>45077</v>
      </c>
      <c r="G247" s="5" t="n">
        <v>2023</v>
      </c>
      <c r="H247" s="5" t="inlineStr">
        <is>
          <t>Mayo</t>
        </is>
      </c>
      <c r="I247" s="6" t="inlineStr">
        <is>
          <t>2023-1</t>
        </is>
      </c>
      <c r="J247" s="5" t="n">
        <v>102</v>
      </c>
      <c r="K247" s="96" t="n">
        <v>101.21742519278</v>
      </c>
      <c r="L247" s="14" t="n">
        <v>1.007731621365881</v>
      </c>
      <c r="M247" s="14" t="n">
        <v>1.007731621365881</v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121-2023-05-31</t>
        </is>
      </c>
    </row>
    <row r="248" hidden="1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9" t="n">
        <v>45107</v>
      </c>
      <c r="G248" s="5" t="n">
        <v>2023</v>
      </c>
      <c r="H248" s="5" t="inlineStr">
        <is>
          <t>Junio</t>
        </is>
      </c>
      <c r="I248" s="6" t="inlineStr">
        <is>
          <t>2023-1</t>
        </is>
      </c>
      <c r="J248" s="5" t="n">
        <v>102</v>
      </c>
      <c r="K248" s="96" t="n">
        <v>102.42831146953</v>
      </c>
      <c r="L248" s="14" t="n">
        <v>0.9958184269233276</v>
      </c>
      <c r="M248" s="14" t="n">
        <v>0.9958184269233276</v>
      </c>
      <c r="N248" s="5" t="inlineStr">
        <is>
          <t>$</t>
        </is>
      </c>
      <c r="O248" s="11" t="inlineStr">
        <is>
          <t>$</t>
        </is>
      </c>
      <c r="P248" s="15" t="n">
        <v>0</v>
      </c>
      <c r="Q248" s="15" t="n">
        <v>0</v>
      </c>
      <c r="R248" s="5" t="inlineStr">
        <is>
          <t>121-2023-06-30</t>
        </is>
      </c>
    </row>
    <row r="249" hidden="1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9" t="n">
        <v>45138</v>
      </c>
      <c r="G249" s="5" t="n">
        <v>2023</v>
      </c>
      <c r="H249" s="5" t="inlineStr">
        <is>
          <t>Julio</t>
        </is>
      </c>
      <c r="I249" s="6" t="inlineStr">
        <is>
          <t>2023-2</t>
        </is>
      </c>
      <c r="J249" s="5" t="n">
        <v>102</v>
      </c>
      <c r="K249" s="96" t="n">
        <v>103.81483574784</v>
      </c>
      <c r="L249" s="14" t="n">
        <v>0.9825185318190155</v>
      </c>
      <c r="M249" s="14" t="n">
        <v>0.9825185318190155</v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121-2023-07-31</t>
        </is>
      </c>
    </row>
    <row r="250" hidden="1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9" t="n">
        <v>45169</v>
      </c>
      <c r="G250" s="5" t="n">
        <v>2023</v>
      </c>
      <c r="H250" s="5" t="inlineStr">
        <is>
          <t>Agosto</t>
        </is>
      </c>
      <c r="I250" s="6" t="inlineStr">
        <is>
          <t>2023-2</t>
        </is>
      </c>
      <c r="J250" s="5" t="n">
        <v>102</v>
      </c>
      <c r="K250" s="96" t="n">
        <v>105.15</v>
      </c>
      <c r="L250" s="14" t="n">
        <v>0.9700427960057061</v>
      </c>
      <c r="M250" s="14" t="n">
        <v>0.9700427960057061</v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121-2023-08-31</t>
        </is>
      </c>
    </row>
    <row r="251" hidden="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9" t="n">
        <v>45199</v>
      </c>
      <c r="G251" s="5" t="n">
        <v>2023</v>
      </c>
      <c r="H251" s="5" t="inlineStr">
        <is>
          <t>Septiembre</t>
        </is>
      </c>
      <c r="I251" s="6" t="inlineStr">
        <is>
          <t>2023-2</t>
        </is>
      </c>
      <c r="J251" s="5" t="n">
        <v>102</v>
      </c>
      <c r="K251" s="96" t="n">
        <v>104.64</v>
      </c>
      <c r="L251" s="14" t="n">
        <v>0.9747706422018348</v>
      </c>
      <c r="M251" s="14" t="n">
        <v>0.9747706422018348</v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121-2023-09-30</t>
        </is>
      </c>
    </row>
    <row r="252" hidden="1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9" t="n">
        <v>45230</v>
      </c>
      <c r="G252" s="5" t="n">
        <v>2023</v>
      </c>
      <c r="H252" s="5" t="inlineStr">
        <is>
          <t>Octubre</t>
        </is>
      </c>
      <c r="I252" s="6" t="inlineStr">
        <is>
          <t>2023-2</t>
        </is>
      </c>
      <c r="J252" s="5" t="n">
        <v>102</v>
      </c>
      <c r="K252" s="96" t="n">
        <v>106.58</v>
      </c>
      <c r="L252" s="14" t="n">
        <v>0.9570275849127416</v>
      </c>
      <c r="M252" s="14" t="n">
        <v>0.9570275849127416</v>
      </c>
      <c r="N252" s="5" t="inlineStr">
        <is>
          <t>$</t>
        </is>
      </c>
      <c r="O252" s="11" t="inlineStr">
        <is>
          <t>$</t>
        </is>
      </c>
      <c r="P252" s="15" t="n">
        <v>0</v>
      </c>
      <c r="Q252" s="15" t="n">
        <v>0</v>
      </c>
      <c r="R252" s="5" t="inlineStr">
        <is>
          <t>121-2023-10-31</t>
        </is>
      </c>
    </row>
    <row r="253" hidden="1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9" t="n">
        <v>45260</v>
      </c>
      <c r="G253" s="5" t="n">
        <v>2023</v>
      </c>
      <c r="H253" s="5" t="inlineStr">
        <is>
          <t>Noviembre</t>
        </is>
      </c>
      <c r="I253" s="6" t="inlineStr">
        <is>
          <t>2023-2</t>
        </is>
      </c>
      <c r="J253" s="5" t="n">
        <v>102</v>
      </c>
      <c r="K253" s="9" t="n">
        <v>110.65</v>
      </c>
      <c r="L253" s="14" t="n">
        <v>0.921825576140985</v>
      </c>
      <c r="M253" s="14" t="n">
        <v>0.921825576140985</v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121-2023-11-30</t>
        </is>
      </c>
    </row>
    <row r="254" hidden="1">
      <c r="A254" s="21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9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>
        <v>102</v>
      </c>
      <c r="K254" s="9" t="n">
        <v>111.3</v>
      </c>
      <c r="L254" s="14" t="n">
        <v>0.9164420485175202</v>
      </c>
      <c r="M254" s="14" t="n">
        <v>0.9164420485175202</v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121-2023-12-31</t>
        </is>
      </c>
    </row>
    <row r="255" hidden="1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9" t="n">
        <v>45322</v>
      </c>
      <c r="G255" s="5" t="n">
        <v>2024</v>
      </c>
      <c r="H255" s="5" t="inlineStr">
        <is>
          <t>Enero</t>
        </is>
      </c>
      <c r="I255" s="6" t="inlineStr">
        <is>
          <t>2024-1</t>
        </is>
      </c>
      <c r="J255" s="5" t="n">
        <v>102</v>
      </c>
      <c r="K255" s="96" t="n">
        <v>98.3</v>
      </c>
      <c r="L255" s="14" t="n">
        <v>1.03763987792472</v>
      </c>
      <c r="M255" s="14" t="n">
        <v>1.03763987792472</v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121-2024-01-31</t>
        </is>
      </c>
    </row>
    <row r="256" hidden="1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9" t="n">
        <v>45351</v>
      </c>
      <c r="G256" s="5" t="n">
        <v>2024</v>
      </c>
      <c r="H256" s="5" t="inlineStr">
        <is>
          <t>Febrero</t>
        </is>
      </c>
      <c r="I256" s="6" t="inlineStr">
        <is>
          <t>2024-1</t>
        </is>
      </c>
      <c r="J256" s="5" t="n">
        <v>102</v>
      </c>
      <c r="K256" s="96" t="n">
        <v>100.37</v>
      </c>
      <c r="L256" s="14" t="n">
        <v>1.0162399123244</v>
      </c>
      <c r="M256" s="14" t="n">
        <v>1.0162399123244</v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121-2024-02-29</t>
        </is>
      </c>
    </row>
    <row r="257" hidden="1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9" t="n">
        <v>45382</v>
      </c>
      <c r="G257" s="5" t="n">
        <v>2024</v>
      </c>
      <c r="H257" s="5" t="inlineStr">
        <is>
          <t>Marzo</t>
        </is>
      </c>
      <c r="I257" s="6" t="inlineStr">
        <is>
          <t>2024-1</t>
        </is>
      </c>
      <c r="J257" s="5" t="n">
        <v>102</v>
      </c>
      <c r="K257" s="96" t="n">
        <v>101.02</v>
      </c>
      <c r="L257" s="14" t="n">
        <v>1.009701049297169</v>
      </c>
      <c r="M257" s="14" t="n">
        <v>1.009701049297169</v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121-2024-03-31</t>
        </is>
      </c>
    </row>
    <row r="258" hidden="1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9" t="n">
        <v>45412</v>
      </c>
      <c r="G258" s="5" t="n">
        <v>2024</v>
      </c>
      <c r="H258" s="5" t="inlineStr">
        <is>
          <t>Abril</t>
        </is>
      </c>
      <c r="I258" s="6" t="inlineStr">
        <is>
          <t>2024-1</t>
        </is>
      </c>
      <c r="J258" s="5" t="n">
        <v>102</v>
      </c>
      <c r="K258" s="10" t="n">
        <v>102.83</v>
      </c>
      <c r="L258" s="14" t="n">
        <v>0.9919284255567442</v>
      </c>
      <c r="M258" s="14" t="n">
        <v>0.9919284255567442</v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121-2024-04-30</t>
        </is>
      </c>
    </row>
    <row r="259" hidden="1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9" t="n">
        <v>45443</v>
      </c>
      <c r="G259" s="5" t="n">
        <v>2024</v>
      </c>
      <c r="H259" s="5" t="inlineStr">
        <is>
          <t>Mayo</t>
        </is>
      </c>
      <c r="I259" s="6" t="inlineStr">
        <is>
          <t>2024-1</t>
        </is>
      </c>
      <c r="J259" s="5" t="n">
        <v>102</v>
      </c>
      <c r="K259" s="9" t="n">
        <v>102.04</v>
      </c>
      <c r="L259" s="14" t="n">
        <v>0.9996079968639748</v>
      </c>
      <c r="M259" s="14" t="n">
        <v>0.9996079968639748</v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121-2024-05-31</t>
        </is>
      </c>
    </row>
    <row r="260" hidden="1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9" t="n">
        <v>45473</v>
      </c>
      <c r="G260" s="5" t="n">
        <v>2024</v>
      </c>
      <c r="H260" s="5" t="inlineStr">
        <is>
          <t>Junio</t>
        </is>
      </c>
      <c r="I260" s="6" t="inlineStr">
        <is>
          <t>2024-1</t>
        </is>
      </c>
      <c r="J260" s="5" t="n">
        <v>102</v>
      </c>
      <c r="K260" s="9" t="n">
        <v>101.89</v>
      </c>
      <c r="L260" s="14" t="n">
        <v>1.001079595642359</v>
      </c>
      <c r="M260" s="14" t="n">
        <v>1.001079595642359</v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121-2024-06-30</t>
        </is>
      </c>
    </row>
    <row r="261" hidden="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9" t="n">
        <v>45504</v>
      </c>
      <c r="G261" s="5" t="n">
        <v>2024</v>
      </c>
      <c r="H261" s="5" t="inlineStr">
        <is>
          <t>Julio</t>
        </is>
      </c>
      <c r="I261" s="6" t="inlineStr">
        <is>
          <t>2024-2</t>
        </is>
      </c>
      <c r="J261" s="5" t="n">
        <v>102</v>
      </c>
      <c r="K261" s="10" t="n">
        <v>101.25</v>
      </c>
      <c r="L261" s="14" t="n">
        <v>1.007407407407407</v>
      </c>
      <c r="M261" s="14" t="n">
        <v>1.007407407407407</v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121-2024-07-31</t>
        </is>
      </c>
    </row>
    <row r="262" hidden="1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9" t="n">
        <v>45535</v>
      </c>
      <c r="G262" s="5" t="n">
        <v>2024</v>
      </c>
      <c r="H262" s="5" t="inlineStr">
        <is>
          <t>Agosto</t>
        </is>
      </c>
      <c r="I262" s="6" t="inlineStr">
        <is>
          <t>2024-2</t>
        </is>
      </c>
      <c r="J262" s="5" t="n">
        <v>102</v>
      </c>
      <c r="K262" s="96" t="n">
        <v>99.83</v>
      </c>
      <c r="L262" s="14" t="n">
        <v>1.021736952819794</v>
      </c>
      <c r="M262" s="14" t="n">
        <v>1.021736952819794</v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121-2024-08-31</t>
        </is>
      </c>
    </row>
    <row r="263" hidden="1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8" t="n">
        <v>45565</v>
      </c>
      <c r="G263" s="5" t="n">
        <v>2024</v>
      </c>
      <c r="H263" s="5" t="inlineStr">
        <is>
          <t>Septiembre</t>
        </is>
      </c>
      <c r="I263" s="6" t="inlineStr">
        <is>
          <t>2024-2</t>
        </is>
      </c>
      <c r="J263" s="5" t="n">
        <v>102</v>
      </c>
      <c r="K263" s="96" t="n">
        <v>101.89</v>
      </c>
      <c r="L263" s="14" t="n">
        <v>1.001079595642359</v>
      </c>
      <c r="M263" s="14" t="n">
        <v>1.001079595642359</v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121-2024-09-30</t>
        </is>
      </c>
    </row>
    <row r="264" hidden="1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9" t="n">
        <v>45596</v>
      </c>
      <c r="G264" s="5" t="n">
        <v>2024</v>
      </c>
      <c r="H264" s="5" t="inlineStr">
        <is>
          <t>Octubre</t>
        </is>
      </c>
      <c r="I264" s="6" t="inlineStr">
        <is>
          <t>2024-2</t>
        </is>
      </c>
      <c r="J264" s="5" t="n">
        <v>102</v>
      </c>
      <c r="K264" s="96" t="n">
        <v>100.89</v>
      </c>
      <c r="L264" s="14" t="n">
        <v>1.011002081474874</v>
      </c>
      <c r="M264" s="14" t="n">
        <v>1.011002081474874</v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121-2024-10-31</t>
        </is>
      </c>
    </row>
    <row r="265" hidden="1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9" t="n">
        <v>45626</v>
      </c>
      <c r="G265" s="5" t="n">
        <v>2024</v>
      </c>
      <c r="H265" s="5" t="inlineStr">
        <is>
          <t>Noviembre</t>
        </is>
      </c>
      <c r="I265" s="6" t="inlineStr">
        <is>
          <t>2024-2</t>
        </is>
      </c>
      <c r="J265" s="5" t="n">
        <v>102</v>
      </c>
      <c r="K265" s="96" t="n">
        <v>100.55</v>
      </c>
      <c r="L265" s="14" t="n">
        <v>1.014420686225758</v>
      </c>
      <c r="M265" s="14" t="n">
        <v>1.014420686225758</v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121-2024-11-30</t>
        </is>
      </c>
    </row>
    <row r="266" hidden="1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45657</v>
      </c>
      <c r="G266" s="5" t="n">
        <v>2024</v>
      </c>
      <c r="H266" s="5" t="inlineStr">
        <is>
          <t>Diciembre</t>
        </is>
      </c>
      <c r="I266" s="6" t="inlineStr">
        <is>
          <t>2024-2</t>
        </is>
      </c>
      <c r="J266" s="5" t="n">
        <v>102</v>
      </c>
      <c r="K266" s="96" t="n">
        <v>100.17</v>
      </c>
      <c r="L266" s="14" t="n">
        <v>1.018268942797245</v>
      </c>
      <c r="M266" s="14" t="n">
        <v>1.018268942797245</v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121-2024-12-31</t>
        </is>
      </c>
    </row>
    <row r="267" hidden="1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45688</v>
      </c>
      <c r="G267" s="5" t="n">
        <v>2025</v>
      </c>
      <c r="H267" s="5" t="inlineStr">
        <is>
          <t>Enero</t>
        </is>
      </c>
      <c r="I267" s="6" t="inlineStr">
        <is>
          <t>2025-1</t>
        </is>
      </c>
      <c r="J267" s="5" t="n">
        <v>102</v>
      </c>
      <c r="K267" s="96" t="n">
        <v>99.18000000000001</v>
      </c>
      <c r="L267" s="14" t="n">
        <v>1.02843315184513</v>
      </c>
      <c r="M267" s="14" t="n">
        <v>1.02843315184513</v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121-2025-01-31</t>
        </is>
      </c>
    </row>
    <row r="268" hidden="1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9" t="n">
        <v>45716</v>
      </c>
      <c r="G268" s="5" t="n">
        <v>2025</v>
      </c>
      <c r="H268" s="5" t="inlineStr">
        <is>
          <t>Febrero</t>
        </is>
      </c>
      <c r="I268" s="6" t="inlineStr">
        <is>
          <t>2025-1</t>
        </is>
      </c>
      <c r="J268" s="5" t="n">
        <v>102</v>
      </c>
      <c r="K268" s="96" t="n">
        <v>107.66</v>
      </c>
      <c r="L268" s="14" t="n">
        <v>0.9474270852684377</v>
      </c>
      <c r="M268" s="14" t="n">
        <v>0.9474270852684377</v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121-2025-02-28</t>
        </is>
      </c>
    </row>
    <row r="269" hidden="1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9" t="n">
        <v>45747</v>
      </c>
      <c r="G269" s="5" t="n">
        <v>2025</v>
      </c>
      <c r="H269" s="5" t="inlineStr">
        <is>
          <t>Marzo</t>
        </is>
      </c>
      <c r="I269" s="6" t="inlineStr">
        <is>
          <t>2025-1</t>
        </is>
      </c>
      <c r="J269" s="5" t="n">
        <v>102</v>
      </c>
      <c r="K269" s="96" t="n">
        <v>106.77</v>
      </c>
      <c r="L269" s="14" t="n">
        <v>0.9553245293621804</v>
      </c>
      <c r="M269" s="14" t="n">
        <v>0.9553245293621804</v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121-2025-03-31</t>
        </is>
      </c>
    </row>
    <row r="270" hidden="1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9" t="n">
        <v>45777</v>
      </c>
      <c r="G270" s="5" t="n">
        <v>2025</v>
      </c>
      <c r="H270" s="5" t="inlineStr">
        <is>
          <t>Abril</t>
        </is>
      </c>
      <c r="I270" s="6" t="inlineStr">
        <is>
          <t>2025-1</t>
        </is>
      </c>
      <c r="J270" s="5" t="n">
        <v>102</v>
      </c>
      <c r="K270" s="96" t="n">
        <v>106</v>
      </c>
      <c r="L270" s="14" t="n">
        <v>0.9622641509433962</v>
      </c>
      <c r="M270" s="14" t="n">
        <v>0.9622641509433962</v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121-2025-04-30</t>
        </is>
      </c>
    </row>
    <row r="271" hidden="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9" t="n">
        <v>45808</v>
      </c>
      <c r="G271" s="5" t="n">
        <v>2025</v>
      </c>
      <c r="H271" s="5" t="inlineStr">
        <is>
          <t>Mayo</t>
        </is>
      </c>
      <c r="I271" s="6" t="inlineStr">
        <is>
          <t>2025-1</t>
        </is>
      </c>
      <c r="J271" s="5" t="n">
        <v>102</v>
      </c>
      <c r="K271" s="96" t="n">
        <v>114.9</v>
      </c>
      <c r="L271" s="14" t="n">
        <v>0.8877284595300261</v>
      </c>
      <c r="M271" s="14" t="n">
        <v>0.8877284595300261</v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121-2025-05-31</t>
        </is>
      </c>
    </row>
    <row r="272" hidden="1">
      <c r="A272" s="21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09" t="n">
        <v>45838</v>
      </c>
      <c r="G272" s="5" t="n">
        <v>2025</v>
      </c>
      <c r="H272" s="5" t="inlineStr">
        <is>
          <t>Junio</t>
        </is>
      </c>
      <c r="I272" s="6" t="inlineStr">
        <is>
          <t>2025-1</t>
        </is>
      </c>
      <c r="J272" s="5" t="n">
        <v>102</v>
      </c>
      <c r="K272" s="96" t="n">
        <v>110.06</v>
      </c>
      <c r="L272" s="14" t="n">
        <v>0.9267672178811557</v>
      </c>
      <c r="M272" s="14" t="n">
        <v>0.9267672178811557</v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121-2025-06-30</t>
        </is>
      </c>
    </row>
    <row r="273" hidden="1">
      <c r="A273" s="21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09" t="n">
        <v>45869</v>
      </c>
      <c r="G273" s="5" t="n">
        <v>2025</v>
      </c>
      <c r="H273" s="5" t="inlineStr">
        <is>
          <t>Julio</t>
        </is>
      </c>
      <c r="I273" s="6" t="inlineStr">
        <is>
          <t>2025-2</t>
        </is>
      </c>
      <c r="J273" s="5" t="n">
        <v>102</v>
      </c>
      <c r="K273" s="96" t="n">
        <v>112.24</v>
      </c>
      <c r="L273" s="14" t="n">
        <v>0.9087669280114041</v>
      </c>
      <c r="M273" s="14" t="n">
        <v>0.9087669280114041</v>
      </c>
      <c r="N273" s="5" t="inlineStr">
        <is>
          <t>$</t>
        </is>
      </c>
      <c r="O273" s="5" t="inlineStr">
        <is>
          <t>$</t>
        </is>
      </c>
      <c r="P273" s="15" t="n">
        <v>0</v>
      </c>
      <c r="Q273" s="15" t="n">
        <v>0</v>
      </c>
      <c r="R273" s="5" t="inlineStr">
        <is>
          <t>121-2025-07-31</t>
        </is>
      </c>
    </row>
    <row r="274" hidden="1">
      <c r="A274" s="21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09" t="n">
        <v>45900</v>
      </c>
      <c r="G274" s="5" t="n">
        <v>2025</v>
      </c>
      <c r="H274" s="5" t="inlineStr">
        <is>
          <t>Agosto</t>
        </is>
      </c>
      <c r="I274" s="6" t="inlineStr">
        <is>
          <t>2025-2</t>
        </is>
      </c>
      <c r="J274" s="5" t="n">
        <v>102</v>
      </c>
      <c r="K274" s="96" t="n">
        <v>100.68</v>
      </c>
      <c r="L274" s="14" t="n">
        <v>1.01311084624553</v>
      </c>
      <c r="M274" s="14" t="n">
        <v>1.01311084624553</v>
      </c>
      <c r="N274" s="5" t="inlineStr">
        <is>
          <t>$</t>
        </is>
      </c>
      <c r="O274" s="5" t="inlineStr">
        <is>
          <t>$</t>
        </is>
      </c>
      <c r="P274" s="15" t="n">
        <v>0</v>
      </c>
      <c r="Q274" s="15" t="n">
        <v>0</v>
      </c>
      <c r="R274" s="5" t="inlineStr">
        <is>
          <t>121-2025-08-31</t>
        </is>
      </c>
    </row>
    <row r="275" hidden="1">
      <c r="A275" s="21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109" t="n">
        <v>45930</v>
      </c>
      <c r="G275" s="5" t="n">
        <v>2025</v>
      </c>
      <c r="H275" s="5" t="inlineStr">
        <is>
          <t>Septiembre</t>
        </is>
      </c>
      <c r="I275" s="6" t="inlineStr">
        <is>
          <t>2025-2</t>
        </is>
      </c>
      <c r="J275" s="5" t="n">
        <v>102</v>
      </c>
      <c r="K275" s="96" t="n">
        <v>99.29000000000001</v>
      </c>
      <c r="L275" s="14" t="n">
        <v>1.027293785879746</v>
      </c>
      <c r="M275" s="14" t="n">
        <v>1.027293785879746</v>
      </c>
      <c r="N275" s="5" t="inlineStr">
        <is>
          <t>$</t>
        </is>
      </c>
      <c r="O275" s="5" t="inlineStr">
        <is>
          <t>$</t>
        </is>
      </c>
      <c r="P275" s="15" t="n">
        <v>0</v>
      </c>
      <c r="Q275" s="15" t="n">
        <v>0</v>
      </c>
      <c r="R275" s="5" t="inlineStr">
        <is>
          <t>121-2025-09-30</t>
        </is>
      </c>
    </row>
    <row r="276" hidden="1">
      <c r="A276" s="21" t="n">
        <v>121</v>
      </c>
      <c r="B276" s="5" t="inlineStr">
        <is>
          <t>Ejecución presupuestal de la nómina acumulada</t>
        </is>
      </c>
      <c r="C276" s="5" t="inlineStr">
        <is>
          <t>GESTIÓN Y DESARROLLO DEL TALENTO HUMANO</t>
        </is>
      </c>
      <c r="D276" s="5" t="inlineStr">
        <is>
          <t>Mensual</t>
        </is>
      </c>
      <c r="E276" s="5" t="inlineStr">
        <is>
          <t>Negativo</t>
        </is>
      </c>
      <c r="F276" s="109" t="n">
        <v>45961</v>
      </c>
      <c r="G276" s="5" t="n">
        <v>2025</v>
      </c>
      <c r="H276" s="5" t="inlineStr">
        <is>
          <t>Octubre</t>
        </is>
      </c>
      <c r="I276" s="6" t="inlineStr">
        <is>
          <t>2025-2</t>
        </is>
      </c>
      <c r="J276" s="5" t="n">
        <v>102</v>
      </c>
      <c r="K276" s="96" t="n">
        <v>107.27</v>
      </c>
      <c r="L276" s="14" t="n">
        <v>0.9508716323296356</v>
      </c>
      <c r="M276" s="14" t="n">
        <v>0.9508716323296356</v>
      </c>
      <c r="N276" s="5" t="inlineStr">
        <is>
          <t>$</t>
        </is>
      </c>
      <c r="O276" s="5" t="inlineStr">
        <is>
          <t>$</t>
        </is>
      </c>
      <c r="P276" s="15" t="n">
        <v>0</v>
      </c>
      <c r="Q276" s="15" t="n">
        <v>0</v>
      </c>
      <c r="R276" s="5" t="inlineStr">
        <is>
          <t>121-2025-10-31</t>
        </is>
      </c>
    </row>
    <row r="277" hidden="1">
      <c r="A277" s="21" t="n">
        <v>121</v>
      </c>
      <c r="B277" s="5" t="inlineStr">
        <is>
          <t>Ejecución presupuestal de la nómina acumulada</t>
        </is>
      </c>
      <c r="C277" s="5" t="inlineStr">
        <is>
          <t>GESTIÓN Y DESARROLLO DEL TALENTO HUMANO</t>
        </is>
      </c>
      <c r="D277" s="5" t="inlineStr">
        <is>
          <t>Mensual</t>
        </is>
      </c>
      <c r="E277" s="5" t="inlineStr">
        <is>
          <t>Negativo</t>
        </is>
      </c>
      <c r="F277" s="109" t="n">
        <v>45991</v>
      </c>
      <c r="G277" s="5" t="n">
        <v>2025</v>
      </c>
      <c r="H277" s="5" t="inlineStr">
        <is>
          <t>Noviembre</t>
        </is>
      </c>
      <c r="I277" s="6" t="inlineStr">
        <is>
          <t>2025-2</t>
        </is>
      </c>
      <c r="J277" s="5" t="n">
        <v>102</v>
      </c>
      <c r="K277" s="96" t="n">
        <v>106.53</v>
      </c>
      <c r="L277" s="14" t="n">
        <v>0.9574767671078569</v>
      </c>
      <c r="M277" s="14" t="n">
        <v>0.9574767671078569</v>
      </c>
      <c r="N277" s="5" t="inlineStr">
        <is>
          <t>$</t>
        </is>
      </c>
      <c r="O277" s="5" t="inlineStr">
        <is>
          <t>$</t>
        </is>
      </c>
      <c r="P277" s="15" t="n">
        <v>0</v>
      </c>
      <c r="Q277" s="15" t="n">
        <v>0</v>
      </c>
      <c r="R277" s="5" t="inlineStr">
        <is>
          <t>121-2025-11-30</t>
        </is>
      </c>
    </row>
    <row r="278" hidden="1">
      <c r="A278" s="21" t="n">
        <v>121</v>
      </c>
      <c r="B278" s="5" t="inlineStr">
        <is>
          <t>Ejecución presupuestal de la nómina acumulada</t>
        </is>
      </c>
      <c r="C278" s="5" t="inlineStr">
        <is>
          <t>GESTIÓN Y DESARROLLO DEL TALENTO HUMANO</t>
        </is>
      </c>
      <c r="D278" s="5" t="inlineStr">
        <is>
          <t>Mensual</t>
        </is>
      </c>
      <c r="E278" s="5" t="inlineStr">
        <is>
          <t>Negativo</t>
        </is>
      </c>
      <c r="F278" s="109" t="n">
        <v>46022</v>
      </c>
      <c r="G278" s="5" t="n">
        <v>2025</v>
      </c>
      <c r="H278" s="5" t="inlineStr">
        <is>
          <t>Diciembre</t>
        </is>
      </c>
      <c r="I278" s="6" t="inlineStr">
        <is>
          <t>2025-2</t>
        </is>
      </c>
      <c r="J278" s="5" t="n">
        <v>102</v>
      </c>
      <c r="K278" s="96" t="n">
        <v>104.92</v>
      </c>
      <c r="L278" s="14" t="n">
        <v>0.9721692718261532</v>
      </c>
      <c r="M278" s="14" t="n">
        <v>0.9721692718261532</v>
      </c>
      <c r="N278" s="5" t="inlineStr">
        <is>
          <t>$</t>
        </is>
      </c>
      <c r="O278" s="5" t="inlineStr">
        <is>
          <t>$</t>
        </is>
      </c>
      <c r="P278" s="15" t="n">
        <v>0</v>
      </c>
      <c r="Q278" s="15" t="n">
        <v>0</v>
      </c>
      <c r="R278" s="5" t="inlineStr">
        <is>
          <t>121-2025-12-31</t>
        </is>
      </c>
    </row>
    <row r="279" hidden="1">
      <c r="A279" s="26" t="n">
        <v>121</v>
      </c>
      <c r="B279" s="5" t="inlineStr">
        <is>
          <t>Ejecución presupuestal de la nómina acumulada</t>
        </is>
      </c>
      <c r="C279" s="5" t="inlineStr">
        <is>
          <t>GESTIÓN Y DESARROLLO DEL TALENTO HUMANO</t>
        </is>
      </c>
      <c r="D279" s="5" t="inlineStr">
        <is>
          <t>Mensual</t>
        </is>
      </c>
      <c r="E279" s="5" t="inlineStr">
        <is>
          <t>Negativo</t>
        </is>
      </c>
      <c r="F279" s="109" t="n">
        <v>46053</v>
      </c>
      <c r="G279" s="5" t="n">
        <v>2026</v>
      </c>
      <c r="H279" s="5" t="inlineStr">
        <is>
          <t>Enero</t>
        </is>
      </c>
      <c r="I279" s="6" t="inlineStr">
        <is>
          <t>2026-1</t>
        </is>
      </c>
      <c r="J279" s="5" t="n">
        <v>102</v>
      </c>
      <c r="K279" s="96" t="n">
        <v>98.65000000000001</v>
      </c>
      <c r="L279" s="14" t="n">
        <v>1.033958438925494</v>
      </c>
      <c r="M279" s="14" t="n">
        <v>1.033958438925494</v>
      </c>
      <c r="N279" s="5" t="inlineStr">
        <is>
          <t>$</t>
        </is>
      </c>
      <c r="O279" s="5" t="inlineStr">
        <is>
          <t>$</t>
        </is>
      </c>
      <c r="P279" s="15" t="n">
        <v>0</v>
      </c>
      <c r="Q279" s="15" t="n">
        <v>0</v>
      </c>
      <c r="R279" s="5" t="inlineStr">
        <is>
          <t>121-2026-01-31</t>
        </is>
      </c>
    </row>
    <row r="280" hidden="1">
      <c r="A280" s="26" t="n">
        <v>121</v>
      </c>
      <c r="B280" s="5" t="inlineStr">
        <is>
          <t>Ejecución presupuestal de la nómina acumulada</t>
        </is>
      </c>
      <c r="C280" s="5" t="inlineStr">
        <is>
          <t>GESTIÓN Y DESARROLLO DEL TALENTO HUMANO</t>
        </is>
      </c>
      <c r="D280" s="5" t="inlineStr">
        <is>
          <t>Mensual</t>
        </is>
      </c>
      <c r="E280" s="5" t="inlineStr">
        <is>
          <t>Negativo</t>
        </is>
      </c>
      <c r="F280" s="109" t="n">
        <v>46081</v>
      </c>
      <c r="G280" s="5" t="n">
        <v>2026</v>
      </c>
      <c r="H280" s="5" t="inlineStr">
        <is>
          <t>Febrero</t>
        </is>
      </c>
      <c r="I280" s="6" t="inlineStr">
        <is>
          <t>2026-1</t>
        </is>
      </c>
      <c r="J280" s="5" t="n">
        <v>102</v>
      </c>
      <c r="K280" s="96" t="n">
        <v>111.62</v>
      </c>
      <c r="L280" s="14" t="n">
        <v>0.9138147285432717</v>
      </c>
      <c r="M280" s="14" t="n">
        <v>0.9138147285432717</v>
      </c>
      <c r="N280" s="5" t="inlineStr">
        <is>
          <t>$</t>
        </is>
      </c>
      <c r="O280" s="5" t="inlineStr">
        <is>
          <t>$</t>
        </is>
      </c>
      <c r="P280" s="15" t="n">
        <v>0</v>
      </c>
      <c r="Q280" s="15" t="n">
        <v>0</v>
      </c>
      <c r="R280" s="5" t="inlineStr">
        <is>
          <t>121-2026-02-28</t>
        </is>
      </c>
    </row>
    <row r="281" hidden="1">
      <c r="A281" s="26" t="n">
        <v>121</v>
      </c>
      <c r="B281" s="5" t="inlineStr">
        <is>
          <t>Ejecución presupuestal de la nómina acumulada</t>
        </is>
      </c>
      <c r="C281" s="5" t="inlineStr">
        <is>
          <t>GESTIÓN Y DESARROLLO DEL TALENTO HUMANO</t>
        </is>
      </c>
      <c r="D281" s="5" t="inlineStr">
        <is>
          <t>Mensual</t>
        </is>
      </c>
      <c r="E281" s="5" t="inlineStr">
        <is>
          <t>Negativo</t>
        </is>
      </c>
      <c r="F281" s="109" t="n">
        <v>46112</v>
      </c>
      <c r="G281" s="5" t="n">
        <v>2026</v>
      </c>
      <c r="H281" s="5" t="inlineStr">
        <is>
          <t>Marzo</t>
        </is>
      </c>
      <c r="I281" s="6" t="inlineStr">
        <is>
          <t>2026-1</t>
        </is>
      </c>
      <c r="J281" s="5" t="n">
        <v>102</v>
      </c>
      <c r="K281" s="96" t="n">
        <v>98.31</v>
      </c>
      <c r="L281" s="14" t="n">
        <v>1.037534330180043</v>
      </c>
      <c r="M281" s="14" t="n">
        <v>1.037534330180043</v>
      </c>
      <c r="N281" s="5" t="inlineStr">
        <is>
          <t>$</t>
        </is>
      </c>
      <c r="O281" s="5" t="inlineStr">
        <is>
          <t>$</t>
        </is>
      </c>
      <c r="P281" s="15" t="n">
        <v>0</v>
      </c>
      <c r="Q281" s="15" t="n">
        <v>0</v>
      </c>
      <c r="R281" s="5" t="inlineStr">
        <is>
          <t>121-2026-03-31</t>
        </is>
      </c>
    </row>
    <row r="282" hidden="1">
      <c r="A282" s="21" t="n">
        <v>121</v>
      </c>
      <c r="B282" s="5" t="inlineStr">
        <is>
          <t>Ejecución presupuestal de la nómina acumulada</t>
        </is>
      </c>
      <c r="C282" s="5" t="inlineStr">
        <is>
          <t>GESTIÓN Y DESARROLLO DEL TALENTO HUMANO</t>
        </is>
      </c>
      <c r="D282" s="5" t="inlineStr">
        <is>
          <t>Mensual</t>
        </is>
      </c>
      <c r="E282" s="5" t="inlineStr">
        <is>
          <t>Negativo</t>
        </is>
      </c>
      <c r="F282" s="109" t="n">
        <v>46142</v>
      </c>
      <c r="G282" s="5" t="n">
        <v>2026</v>
      </c>
      <c r="H282" s="5" t="inlineStr">
        <is>
          <t>Abril</t>
        </is>
      </c>
      <c r="I282" s="6" t="inlineStr">
        <is>
          <t>2026-1</t>
        </is>
      </c>
      <c r="J282" s="5" t="n">
        <v>102</v>
      </c>
      <c r="K282" s="96" t="n">
        <v>107.48</v>
      </c>
      <c r="L282" s="14" t="n">
        <v>0.9490137700037216</v>
      </c>
      <c r="M282" s="14" t="n">
        <v>0.9490137700037216</v>
      </c>
      <c r="N282" s="5" t="inlineStr">
        <is>
          <t>$</t>
        </is>
      </c>
      <c r="O282" s="5" t="inlineStr">
        <is>
          <t>$</t>
        </is>
      </c>
      <c r="P282" s="15" t="n">
        <v>0</v>
      </c>
      <c r="Q282" s="15" t="n">
        <v>0</v>
      </c>
      <c r="R282" s="5" t="inlineStr">
        <is>
          <t>121-2026-04-30</t>
        </is>
      </c>
    </row>
    <row r="283" hidden="1">
      <c r="A283" s="21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9" t="n">
        <v>44620</v>
      </c>
      <c r="G283" s="5" t="n">
        <v>2022</v>
      </c>
      <c r="H283" s="5" t="inlineStr">
        <is>
          <t>Febrero</t>
        </is>
      </c>
      <c r="I283" s="6" t="inlineStr">
        <is>
          <t>2022-1</t>
        </is>
      </c>
      <c r="J283" s="5" t="n">
        <v>80</v>
      </c>
      <c r="K283" s="10" t="n">
        <v>80</v>
      </c>
      <c r="L283" s="14" t="n">
        <v>1</v>
      </c>
      <c r="M283" s="14" t="n">
        <v>1</v>
      </c>
      <c r="N283" s="5" t="inlineStr">
        <is>
          <t>%</t>
        </is>
      </c>
      <c r="O283" s="5" t="inlineStr">
        <is>
          <t>%</t>
        </is>
      </c>
      <c r="P283" s="15" t="n">
        <v>0</v>
      </c>
      <c r="Q283" s="15" t="n">
        <v>0</v>
      </c>
      <c r="R283" s="5" t="inlineStr">
        <is>
          <t>122-2022-02-28</t>
        </is>
      </c>
    </row>
    <row r="284" hidden="1">
      <c r="A284" s="21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9" t="n">
        <v>44681</v>
      </c>
      <c r="G284" s="5" t="n">
        <v>2022</v>
      </c>
      <c r="H284" s="5" t="inlineStr">
        <is>
          <t>Abril</t>
        </is>
      </c>
      <c r="I284" s="6" t="inlineStr">
        <is>
          <t>2022-1</t>
        </is>
      </c>
      <c r="J284" s="5" t="n">
        <v>80</v>
      </c>
      <c r="K284" s="96" t="n">
        <v>100</v>
      </c>
      <c r="L284" s="14" t="n">
        <v>1.25</v>
      </c>
      <c r="M284" s="14" t="n">
        <v>1.25</v>
      </c>
      <c r="N284" s="5" t="inlineStr">
        <is>
          <t>%</t>
        </is>
      </c>
      <c r="O284" s="5" t="inlineStr">
        <is>
          <t>%</t>
        </is>
      </c>
      <c r="P284" s="15" t="n">
        <v>0</v>
      </c>
      <c r="Q284" s="15" t="n">
        <v>0</v>
      </c>
      <c r="R284" s="5" t="inlineStr">
        <is>
          <t>122-2022-04-30</t>
        </is>
      </c>
    </row>
    <row r="285" hidden="1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09" t="n">
        <v>44742</v>
      </c>
      <c r="G285" s="5" t="n">
        <v>2022</v>
      </c>
      <c r="H285" s="5" t="inlineStr">
        <is>
          <t>Junio</t>
        </is>
      </c>
      <c r="I285" s="6" t="inlineStr">
        <is>
          <t>2022-1</t>
        </is>
      </c>
      <c r="J285" s="5" t="n">
        <v>80</v>
      </c>
      <c r="K285" s="96" t="n">
        <v>47.619047619048</v>
      </c>
      <c r="L285" s="14" t="n">
        <v>0.5952380952381</v>
      </c>
      <c r="M285" s="14" t="n">
        <v>0.5952380952381</v>
      </c>
      <c r="N285" s="5" t="inlineStr">
        <is>
          <t>%</t>
        </is>
      </c>
      <c r="O285" s="5" t="inlineStr">
        <is>
          <t>%</t>
        </is>
      </c>
      <c r="P285" s="15" t="n">
        <v>0</v>
      </c>
      <c r="Q285" s="15" t="n">
        <v>0</v>
      </c>
      <c r="R285" s="5" t="inlineStr">
        <is>
          <t>122-2022-06-30</t>
        </is>
      </c>
    </row>
    <row r="286" hidden="1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9" t="n">
        <v>44773</v>
      </c>
      <c r="G286" s="5" t="n">
        <v>2022</v>
      </c>
      <c r="H286" s="5" t="inlineStr">
        <is>
          <t>Julio</t>
        </is>
      </c>
      <c r="I286" s="6" t="inlineStr">
        <is>
          <t>2022-2</t>
        </is>
      </c>
      <c r="J286" s="5" t="n">
        <v>80</v>
      </c>
      <c r="K286" s="96" t="n"/>
      <c r="L286" s="14" t="n"/>
      <c r="M286" s="14" t="n"/>
      <c r="N286" s="5" t="inlineStr">
        <is>
          <t>%</t>
        </is>
      </c>
      <c r="O286" s="5" t="inlineStr">
        <is>
          <t>No Aplica</t>
        </is>
      </c>
      <c r="P286" s="15" t="n">
        <v>0</v>
      </c>
      <c r="Q286" s="15" t="n">
        <v>0</v>
      </c>
      <c r="R286" s="5" t="inlineStr">
        <is>
          <t>122-2022-07-31</t>
        </is>
      </c>
      <c r="S286" t="inlineStr">
        <is>
          <t>No Aplica</t>
        </is>
      </c>
    </row>
    <row r="287" hidden="1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9" t="n">
        <v>44804</v>
      </c>
      <c r="G287" s="5" t="n">
        <v>2022</v>
      </c>
      <c r="H287" s="5" t="inlineStr">
        <is>
          <t>Agosto</t>
        </is>
      </c>
      <c r="I287" s="6" t="inlineStr">
        <is>
          <t>2022-2</t>
        </is>
      </c>
      <c r="J287" s="5" t="n">
        <v>80</v>
      </c>
      <c r="K287" s="96" t="n">
        <v>98.717948717949</v>
      </c>
      <c r="L287" s="14" t="n">
        <v>1.233974358974363</v>
      </c>
      <c r="M287" s="14" t="n">
        <v>1.233974358974363</v>
      </c>
      <c r="N287" s="5" t="inlineStr">
        <is>
          <t>%</t>
        </is>
      </c>
      <c r="O287" s="5" t="inlineStr">
        <is>
          <t>%</t>
        </is>
      </c>
      <c r="P287" s="15" t="n">
        <v>0</v>
      </c>
      <c r="Q287" s="15" t="n">
        <v>0</v>
      </c>
      <c r="R287" s="5" t="inlineStr">
        <is>
          <t>122-2022-08-31</t>
        </is>
      </c>
    </row>
    <row r="288" hidden="1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44834</v>
      </c>
      <c r="G288" s="5" t="n">
        <v>2022</v>
      </c>
      <c r="H288" s="5" t="inlineStr">
        <is>
          <t>Septiembre</t>
        </is>
      </c>
      <c r="I288" s="6" t="inlineStr">
        <is>
          <t>2022-2</t>
        </is>
      </c>
      <c r="J288" s="5" t="n">
        <v>80</v>
      </c>
      <c r="K288" s="96" t="n"/>
      <c r="L288" s="14" t="n"/>
      <c r="M288" s="14" t="n"/>
      <c r="N288" s="5" t="inlineStr">
        <is>
          <t>%</t>
        </is>
      </c>
      <c r="O288" s="5" t="inlineStr">
        <is>
          <t>No Aplica</t>
        </is>
      </c>
      <c r="P288" s="15" t="n">
        <v>0</v>
      </c>
      <c r="Q288" s="15" t="n">
        <v>0</v>
      </c>
      <c r="R288" s="5" t="inlineStr">
        <is>
          <t>122-2022-09-30</t>
        </is>
      </c>
      <c r="S288" t="inlineStr">
        <is>
          <t>No Aplica</t>
        </is>
      </c>
    </row>
    <row r="289" hidden="1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44865</v>
      </c>
      <c r="G289" s="5" t="n">
        <v>2022</v>
      </c>
      <c r="H289" s="5" t="inlineStr">
        <is>
          <t>Octubre</t>
        </is>
      </c>
      <c r="I289" s="6" t="inlineStr">
        <is>
          <t>2022-2</t>
        </is>
      </c>
      <c r="J289" s="5" t="n">
        <v>80</v>
      </c>
      <c r="K289" s="96" t="n">
        <v>100</v>
      </c>
      <c r="L289" s="14" t="n">
        <v>1.25</v>
      </c>
      <c r="M289" s="14" t="n">
        <v>1.25</v>
      </c>
      <c r="N289" s="5" t="inlineStr">
        <is>
          <t>%</t>
        </is>
      </c>
      <c r="O289" s="5" t="inlineStr">
        <is>
          <t>%</t>
        </is>
      </c>
      <c r="P289" s="15" t="n">
        <v>0</v>
      </c>
      <c r="Q289" s="15" t="n">
        <v>0</v>
      </c>
      <c r="R289" s="5" t="inlineStr">
        <is>
          <t>122-2022-10-31</t>
        </is>
      </c>
    </row>
    <row r="290" hidden="1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44895</v>
      </c>
      <c r="G290" s="5" t="n">
        <v>2022</v>
      </c>
      <c r="H290" s="5" t="inlineStr">
        <is>
          <t>Noviembre</t>
        </is>
      </c>
      <c r="I290" s="6" t="inlineStr">
        <is>
          <t>2022-2</t>
        </is>
      </c>
      <c r="J290" s="5" t="n">
        <v>80</v>
      </c>
      <c r="K290" s="96" t="n"/>
      <c r="L290" s="14" t="n"/>
      <c r="M290" s="14" t="n"/>
      <c r="N290" s="5" t="inlineStr">
        <is>
          <t>%</t>
        </is>
      </c>
      <c r="O290" s="5" t="inlineStr">
        <is>
          <t>No Aplica</t>
        </is>
      </c>
      <c r="P290" s="15" t="n">
        <v>0</v>
      </c>
      <c r="Q290" s="15" t="n">
        <v>0</v>
      </c>
      <c r="R290" s="5" t="inlineStr">
        <is>
          <t>122-2022-11-30</t>
        </is>
      </c>
      <c r="S290" t="inlineStr">
        <is>
          <t>No Aplica</t>
        </is>
      </c>
    </row>
    <row r="291" hidden="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109" t="n">
        <v>44926</v>
      </c>
      <c r="G291" s="5" t="n">
        <v>2022</v>
      </c>
      <c r="H291" s="5" t="inlineStr">
        <is>
          <t>Diciembre</t>
        </is>
      </c>
      <c r="I291" s="6" t="inlineStr">
        <is>
          <t>2022-2</t>
        </is>
      </c>
      <c r="J291" s="5" t="n">
        <v>80</v>
      </c>
      <c r="K291" s="96" t="n">
        <v>100</v>
      </c>
      <c r="L291" s="14" t="n">
        <v>1.25</v>
      </c>
      <c r="M291" s="14" t="n">
        <v>1.25</v>
      </c>
      <c r="N291" s="5" t="inlineStr">
        <is>
          <t>%</t>
        </is>
      </c>
      <c r="O291" s="5" t="inlineStr">
        <is>
          <t>%</t>
        </is>
      </c>
      <c r="P291" s="15" t="n">
        <v>0</v>
      </c>
      <c r="Q291" s="15" t="n">
        <v>0</v>
      </c>
      <c r="R291" s="5" t="inlineStr">
        <is>
          <t>122-2022-12-31</t>
        </is>
      </c>
    </row>
    <row r="292" hidden="1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09" t="n">
        <v>44957</v>
      </c>
      <c r="G292" s="5" t="n">
        <v>2023</v>
      </c>
      <c r="H292" s="5" t="inlineStr">
        <is>
          <t>Enero</t>
        </is>
      </c>
      <c r="I292" s="6" t="inlineStr">
        <is>
          <t>2023-1</t>
        </is>
      </c>
      <c r="J292" s="5" t="n">
        <v>80</v>
      </c>
      <c r="K292" s="96" t="n"/>
      <c r="L292" s="14" t="n"/>
      <c r="M292" s="14" t="n"/>
      <c r="N292" s="5" t="inlineStr">
        <is>
          <t>%</t>
        </is>
      </c>
      <c r="O292" s="5" t="inlineStr">
        <is>
          <t>No Aplica</t>
        </is>
      </c>
      <c r="P292" s="15" t="n">
        <v>0</v>
      </c>
      <c r="Q292" s="15" t="n">
        <v>0</v>
      </c>
      <c r="R292" s="5" t="inlineStr">
        <is>
          <t>122-2023-01-31</t>
        </is>
      </c>
      <c r="S292" t="inlineStr">
        <is>
          <t>No Aplica</t>
        </is>
      </c>
    </row>
    <row r="293" hidden="1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09" t="n">
        <v>44985</v>
      </c>
      <c r="G293" s="5" t="n">
        <v>2023</v>
      </c>
      <c r="H293" s="5" t="inlineStr">
        <is>
          <t>Febrero</t>
        </is>
      </c>
      <c r="I293" s="6" t="inlineStr">
        <is>
          <t>2023-1</t>
        </is>
      </c>
      <c r="J293" s="5" t="n">
        <v>80</v>
      </c>
      <c r="K293" s="96" t="n">
        <v>100</v>
      </c>
      <c r="L293" s="14" t="n">
        <v>1.25</v>
      </c>
      <c r="M293" s="14" t="n">
        <v>1.25</v>
      </c>
      <c r="N293" s="5" t="inlineStr">
        <is>
          <t>%</t>
        </is>
      </c>
      <c r="O293" s="5" t="inlineStr">
        <is>
          <t>%</t>
        </is>
      </c>
      <c r="P293" s="15" t="n">
        <v>0</v>
      </c>
      <c r="Q293" s="15" t="n">
        <v>0</v>
      </c>
      <c r="R293" s="5" t="inlineStr">
        <is>
          <t>122-2023-02-28</t>
        </is>
      </c>
    </row>
    <row r="294" hidden="1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9" t="n">
        <v>45016</v>
      </c>
      <c r="G294" s="5" t="n">
        <v>2023</v>
      </c>
      <c r="H294" s="5" t="inlineStr">
        <is>
          <t>Marzo</t>
        </is>
      </c>
      <c r="I294" s="6" t="inlineStr">
        <is>
          <t>2023-1</t>
        </is>
      </c>
      <c r="J294" s="5" t="n">
        <v>80</v>
      </c>
      <c r="K294" s="9" t="n"/>
      <c r="L294" s="74" t="n"/>
      <c r="M294" s="14" t="n"/>
      <c r="N294" s="5" t="inlineStr">
        <is>
          <t>%</t>
        </is>
      </c>
      <c r="O294" s="5" t="inlineStr">
        <is>
          <t>No Aplica</t>
        </is>
      </c>
      <c r="P294" s="5" t="n">
        <v>0</v>
      </c>
      <c r="Q294" s="5" t="n">
        <v>0</v>
      </c>
      <c r="R294" s="5" t="inlineStr">
        <is>
          <t>122-2023-03-31</t>
        </is>
      </c>
      <c r="S294" t="inlineStr">
        <is>
          <t>No Aplica</t>
        </is>
      </c>
    </row>
    <row r="295" hidden="1">
      <c r="A295" s="5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09" t="n">
        <v>45046</v>
      </c>
      <c r="G295" s="5" t="n">
        <v>2023</v>
      </c>
      <c r="H295" s="5" t="inlineStr">
        <is>
          <t>Abril</t>
        </is>
      </c>
      <c r="I295" s="6" t="inlineStr">
        <is>
          <t>2023-1</t>
        </is>
      </c>
      <c r="J295" s="5" t="n">
        <v>80</v>
      </c>
      <c r="K295" s="5" t="n">
        <v>100</v>
      </c>
      <c r="L295" s="14" t="n">
        <v>1.25</v>
      </c>
      <c r="M295" s="14" t="n">
        <v>1.25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122-2023-04-30</t>
        </is>
      </c>
    </row>
    <row r="296" hidden="1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9" t="n">
        <v>45077</v>
      </c>
      <c r="G296" s="5" t="n">
        <v>2023</v>
      </c>
      <c r="H296" s="5" t="inlineStr">
        <is>
          <t>Mayo</t>
        </is>
      </c>
      <c r="I296" s="6" t="inlineStr">
        <is>
          <t>2023-1</t>
        </is>
      </c>
      <c r="J296" s="5" t="n">
        <v>80</v>
      </c>
      <c r="L296" s="14" t="n"/>
      <c r="M296" s="14" t="n"/>
      <c r="N296" s="5" t="inlineStr">
        <is>
          <t>%</t>
        </is>
      </c>
      <c r="O296" s="5" t="inlineStr">
        <is>
          <t>No Aplica</t>
        </is>
      </c>
      <c r="P296" s="15" t="n">
        <v>0</v>
      </c>
      <c r="Q296" s="15" t="n">
        <v>0</v>
      </c>
      <c r="R296" s="5" t="inlineStr">
        <is>
          <t>122-2023-05-31</t>
        </is>
      </c>
      <c r="S296" t="inlineStr">
        <is>
          <t>No Aplica</t>
        </is>
      </c>
    </row>
    <row r="297" hidden="1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08" t="n">
        <v>45107</v>
      </c>
      <c r="G297" s="5" t="n">
        <v>2023</v>
      </c>
      <c r="H297" s="5" t="inlineStr">
        <is>
          <t>Junio</t>
        </is>
      </c>
      <c r="I297" s="6" t="inlineStr">
        <is>
          <t>2023-1</t>
        </is>
      </c>
      <c r="J297" s="5" t="n">
        <v>80</v>
      </c>
      <c r="K297" s="9" t="n">
        <v>75</v>
      </c>
      <c r="L297" s="14" t="n">
        <v>0.9375</v>
      </c>
      <c r="M297" s="14" t="n">
        <v>0.9375</v>
      </c>
      <c r="N297" s="5" t="inlineStr">
        <is>
          <t>%</t>
        </is>
      </c>
      <c r="O297" s="5" t="inlineStr">
        <is>
          <t>%</t>
        </is>
      </c>
      <c r="P297" s="15" t="n">
        <v>0</v>
      </c>
      <c r="Q297" s="15" t="n">
        <v>0</v>
      </c>
      <c r="R297" s="5" t="inlineStr">
        <is>
          <t>122-2023-06-30</t>
        </is>
      </c>
    </row>
    <row r="298" hidden="1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09" t="n">
        <v>45138</v>
      </c>
      <c r="G298" s="5" t="n">
        <v>2023</v>
      </c>
      <c r="H298" s="5" t="inlineStr">
        <is>
          <t>Julio</t>
        </is>
      </c>
      <c r="I298" s="6" t="inlineStr">
        <is>
          <t>2023-2</t>
        </is>
      </c>
      <c r="J298" s="5" t="n">
        <v>80</v>
      </c>
      <c r="K298" s="9" t="n"/>
      <c r="L298" s="14" t="n"/>
      <c r="M298" s="14" t="n"/>
      <c r="N298" s="5" t="inlineStr">
        <is>
          <t>%</t>
        </is>
      </c>
      <c r="O298" s="5" t="inlineStr">
        <is>
          <t>No Aplica</t>
        </is>
      </c>
      <c r="P298" s="15" t="n">
        <v>0</v>
      </c>
      <c r="Q298" s="15" t="n">
        <v>0</v>
      </c>
      <c r="R298" s="5" t="inlineStr">
        <is>
          <t>122-2023-07-31</t>
        </is>
      </c>
      <c r="S298" t="inlineStr">
        <is>
          <t>No Aplica</t>
        </is>
      </c>
    </row>
    <row r="299" hidden="1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09" t="n">
        <v>45169</v>
      </c>
      <c r="G299" s="5" t="n">
        <v>2023</v>
      </c>
      <c r="H299" s="5" t="inlineStr">
        <is>
          <t>Agosto</t>
        </is>
      </c>
      <c r="I299" s="6" t="inlineStr">
        <is>
          <t>2023-2</t>
        </is>
      </c>
      <c r="J299" s="5" t="n">
        <v>80</v>
      </c>
      <c r="K299" s="9" t="n">
        <v>80</v>
      </c>
      <c r="L299" s="14" t="n">
        <v>1</v>
      </c>
      <c r="M299" s="14" t="n">
        <v>1</v>
      </c>
      <c r="N299" s="5" t="inlineStr">
        <is>
          <t>%</t>
        </is>
      </c>
      <c r="O299" s="5" t="inlineStr">
        <is>
          <t>%</t>
        </is>
      </c>
      <c r="P299" s="15" t="n">
        <v>0</v>
      </c>
      <c r="Q299" s="15" t="n">
        <v>0</v>
      </c>
      <c r="R299" s="5" t="inlineStr">
        <is>
          <t>122-2023-08-31</t>
        </is>
      </c>
    </row>
    <row r="300" hidden="1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09" t="n">
        <v>45199</v>
      </c>
      <c r="G300" s="5" t="n">
        <v>2023</v>
      </c>
      <c r="H300" s="5" t="inlineStr">
        <is>
          <t>Septiembre</t>
        </is>
      </c>
      <c r="I300" s="6" t="inlineStr">
        <is>
          <t>2023-2</t>
        </is>
      </c>
      <c r="J300" s="5" t="n">
        <v>80</v>
      </c>
      <c r="K300" s="9" t="n"/>
      <c r="L300" s="14" t="n"/>
      <c r="M300" s="14" t="n"/>
      <c r="N300" s="5" t="inlineStr">
        <is>
          <t>%</t>
        </is>
      </c>
      <c r="O300" s="5" t="inlineStr">
        <is>
          <t>No Aplica</t>
        </is>
      </c>
      <c r="P300" s="15" t="n">
        <v>0</v>
      </c>
      <c r="Q300" s="15" t="n">
        <v>0</v>
      </c>
      <c r="R300" s="5" t="inlineStr">
        <is>
          <t>122-2023-09-30</t>
        </is>
      </c>
      <c r="S300" t="inlineStr">
        <is>
          <t>No Aplica</t>
        </is>
      </c>
    </row>
    <row r="301" hidden="1">
      <c r="A301" s="28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09" t="n">
        <v>45230</v>
      </c>
      <c r="G301" s="5" t="n">
        <v>2023</v>
      </c>
      <c r="H301" s="5" t="inlineStr">
        <is>
          <t>Octubre</t>
        </is>
      </c>
      <c r="I301" s="6" t="inlineStr">
        <is>
          <t>2023-2</t>
        </is>
      </c>
      <c r="J301" s="5" t="n">
        <v>80</v>
      </c>
      <c r="K301" s="9" t="n">
        <v>100</v>
      </c>
      <c r="L301" s="14" t="n">
        <v>1.25</v>
      </c>
      <c r="M301" s="14" t="n">
        <v>1.25</v>
      </c>
      <c r="N301" s="5" t="inlineStr">
        <is>
          <t>%</t>
        </is>
      </c>
      <c r="O301" s="5" t="inlineStr">
        <is>
          <t>%</t>
        </is>
      </c>
      <c r="P301" s="15" t="n">
        <v>0</v>
      </c>
      <c r="Q301" s="15" t="n">
        <v>0</v>
      </c>
      <c r="R301" s="5" t="inlineStr">
        <is>
          <t>122-2023-10-31</t>
        </is>
      </c>
    </row>
    <row r="302" hidden="1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09" t="n">
        <v>45260</v>
      </c>
      <c r="G302" s="5" t="n">
        <v>2023</v>
      </c>
      <c r="H302" s="5" t="inlineStr">
        <is>
          <t>Noviembre</t>
        </is>
      </c>
      <c r="I302" s="6" t="inlineStr">
        <is>
          <t>2023-2</t>
        </is>
      </c>
      <c r="J302" s="5" t="n">
        <v>80</v>
      </c>
      <c r="K302" s="9" t="n"/>
      <c r="L302" s="14" t="n"/>
      <c r="M302" s="14" t="n"/>
      <c r="N302" s="5" t="inlineStr">
        <is>
          <t>%</t>
        </is>
      </c>
      <c r="O302" s="5" t="inlineStr">
        <is>
          <t>No Aplica</t>
        </is>
      </c>
      <c r="P302" s="15" t="n">
        <v>0</v>
      </c>
      <c r="Q302" s="15" t="n">
        <v>0</v>
      </c>
      <c r="R302" s="5" t="inlineStr">
        <is>
          <t>122-2023-11-30</t>
        </is>
      </c>
      <c r="S302" t="inlineStr">
        <is>
          <t>No Aplica</t>
        </is>
      </c>
    </row>
    <row r="303" hidden="1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09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96" t="n">
        <v>80</v>
      </c>
      <c r="K303" s="96" t="n">
        <v>90.91</v>
      </c>
      <c r="L303" s="14" t="n">
        <v>1.136375</v>
      </c>
      <c r="M303" s="14" t="n">
        <v>1.136375</v>
      </c>
      <c r="N303" s="9" t="inlineStr">
        <is>
          <t>%</t>
        </is>
      </c>
      <c r="O303" s="9" t="inlineStr">
        <is>
          <t>%</t>
        </is>
      </c>
      <c r="P303" s="15" t="n">
        <v>0</v>
      </c>
      <c r="Q303" s="15" t="n">
        <v>0</v>
      </c>
      <c r="R303" s="5" t="inlineStr">
        <is>
          <t>122-2023-12-31</t>
        </is>
      </c>
    </row>
    <row r="304" hidden="1">
      <c r="A304" s="21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08" t="n">
        <v>45322</v>
      </c>
      <c r="G304" s="5" t="n">
        <v>2024</v>
      </c>
      <c r="H304" s="5" t="inlineStr">
        <is>
          <t>Enero</t>
        </is>
      </c>
      <c r="I304" s="6" t="inlineStr">
        <is>
          <t>2024-1</t>
        </is>
      </c>
      <c r="J304" s="96" t="n">
        <v>80</v>
      </c>
      <c r="K304" s="96" t="n"/>
      <c r="L304" s="14" t="n"/>
      <c r="M304" s="14" t="n"/>
      <c r="N304" s="9" t="inlineStr">
        <is>
          <t>%</t>
        </is>
      </c>
      <c r="O304" s="9" t="inlineStr">
        <is>
          <t>No Aplica</t>
        </is>
      </c>
      <c r="P304" s="15" t="n">
        <v>0</v>
      </c>
      <c r="Q304" s="15" t="n">
        <v>0</v>
      </c>
      <c r="R304" s="5" t="inlineStr">
        <is>
          <t>122-2024-01-31</t>
        </is>
      </c>
      <c r="S304" t="inlineStr">
        <is>
          <t>No Aplica</t>
        </is>
      </c>
    </row>
    <row r="305" hidden="1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09" t="n">
        <v>45351</v>
      </c>
      <c r="G305" s="5" t="n">
        <v>2024</v>
      </c>
      <c r="H305" s="5" t="inlineStr">
        <is>
          <t>Febrero</t>
        </is>
      </c>
      <c r="I305" s="6" t="inlineStr">
        <is>
          <t>2024-1</t>
        </is>
      </c>
      <c r="J305" s="96" t="n">
        <v>80</v>
      </c>
      <c r="K305" s="96" t="n">
        <v>96.67</v>
      </c>
      <c r="L305" s="14" t="n">
        <v>1.208375</v>
      </c>
      <c r="M305" s="14" t="n">
        <v>1.208375</v>
      </c>
      <c r="N305" s="9" t="inlineStr">
        <is>
          <t>%</t>
        </is>
      </c>
      <c r="O305" s="9" t="inlineStr">
        <is>
          <t>%</t>
        </is>
      </c>
      <c r="P305" s="15" t="n">
        <v>0</v>
      </c>
      <c r="Q305" s="15" t="n">
        <v>0</v>
      </c>
      <c r="R305" s="5" t="inlineStr">
        <is>
          <t>122-2024-02-29</t>
        </is>
      </c>
    </row>
    <row r="306" hidden="1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09" t="n">
        <v>45382</v>
      </c>
      <c r="G306" s="5" t="n">
        <v>2024</v>
      </c>
      <c r="H306" s="5" t="inlineStr">
        <is>
          <t>Marzo</t>
        </is>
      </c>
      <c r="I306" s="6" t="inlineStr">
        <is>
          <t>2024-1</t>
        </is>
      </c>
      <c r="J306" s="96" t="n">
        <v>80</v>
      </c>
      <c r="K306" s="96" t="n"/>
      <c r="L306" s="14" t="n"/>
      <c r="M306" s="14" t="n"/>
      <c r="N306" s="9" t="inlineStr">
        <is>
          <t>%</t>
        </is>
      </c>
      <c r="O306" s="9" t="inlineStr">
        <is>
          <t>No Aplica</t>
        </is>
      </c>
      <c r="P306" s="15" t="n">
        <v>0</v>
      </c>
      <c r="Q306" s="15" t="n">
        <v>0</v>
      </c>
      <c r="R306" s="5" t="inlineStr">
        <is>
          <t>122-2024-03-31</t>
        </is>
      </c>
      <c r="S306" t="inlineStr">
        <is>
          <t>No Aplica</t>
        </is>
      </c>
    </row>
    <row r="307" hidden="1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09" t="n">
        <v>45412</v>
      </c>
      <c r="G307" s="5" t="n">
        <v>2024</v>
      </c>
      <c r="H307" s="5" t="inlineStr">
        <is>
          <t>Abril</t>
        </is>
      </c>
      <c r="I307" s="6" t="inlineStr">
        <is>
          <t>2024-1</t>
        </is>
      </c>
      <c r="J307" s="96" t="n">
        <v>80</v>
      </c>
      <c r="K307" s="96" t="n">
        <v>97.67</v>
      </c>
      <c r="L307" s="14" t="n">
        <v>1.220875</v>
      </c>
      <c r="M307" s="14" t="n">
        <v>1.220875</v>
      </c>
      <c r="N307" s="9" t="inlineStr">
        <is>
          <t>%</t>
        </is>
      </c>
      <c r="O307" s="9" t="inlineStr">
        <is>
          <t>%</t>
        </is>
      </c>
      <c r="P307" s="15" t="n">
        <v>0</v>
      </c>
      <c r="Q307" s="15" t="n">
        <v>0</v>
      </c>
      <c r="R307" s="5" t="inlineStr">
        <is>
          <t>122-2024-04-30</t>
        </is>
      </c>
    </row>
    <row r="308" hidden="1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09" t="n">
        <v>45443</v>
      </c>
      <c r="G308" s="5" t="n">
        <v>2024</v>
      </c>
      <c r="H308" s="5" t="inlineStr">
        <is>
          <t>Mayo</t>
        </is>
      </c>
      <c r="I308" s="6" t="inlineStr">
        <is>
          <t>2024-1</t>
        </is>
      </c>
      <c r="J308" s="96" t="n">
        <v>80</v>
      </c>
      <c r="K308" s="96" t="n"/>
      <c r="L308" s="14" t="n"/>
      <c r="M308" s="14" t="n"/>
      <c r="N308" s="9" t="inlineStr">
        <is>
          <t>%</t>
        </is>
      </c>
      <c r="O308" s="9" t="inlineStr">
        <is>
          <t>No Aplica</t>
        </is>
      </c>
      <c r="P308" s="15" t="n">
        <v>0</v>
      </c>
      <c r="Q308" s="15" t="n">
        <v>0</v>
      </c>
      <c r="R308" s="5" t="inlineStr">
        <is>
          <t>122-2024-05-31</t>
        </is>
      </c>
      <c r="S308" t="inlineStr">
        <is>
          <t>No Aplica</t>
        </is>
      </c>
    </row>
    <row r="309" hidden="1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09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96" t="n">
        <v>80</v>
      </c>
      <c r="K309" s="96" t="n">
        <v>95</v>
      </c>
      <c r="L309" s="14" t="n">
        <v>1.1875</v>
      </c>
      <c r="M309" s="14" t="n">
        <v>1.1875</v>
      </c>
      <c r="N309" s="9" t="inlineStr">
        <is>
          <t>%</t>
        </is>
      </c>
      <c r="O309" s="9" t="inlineStr">
        <is>
          <t>%</t>
        </is>
      </c>
      <c r="P309" s="15" t="n">
        <v>0</v>
      </c>
      <c r="Q309" s="15" t="n">
        <v>0</v>
      </c>
      <c r="R309" s="5" t="inlineStr">
        <is>
          <t>122-2024-06-30</t>
        </is>
      </c>
    </row>
    <row r="310" hidden="1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09" t="n">
        <v>45504</v>
      </c>
      <c r="G310" s="5" t="n">
        <v>2024</v>
      </c>
      <c r="H310" s="5" t="inlineStr">
        <is>
          <t>Julio</t>
        </is>
      </c>
      <c r="I310" s="6" t="inlineStr">
        <is>
          <t>2024-2</t>
        </is>
      </c>
      <c r="J310" s="96" t="n">
        <v>80</v>
      </c>
      <c r="K310" s="96" t="n"/>
      <c r="L310" s="14" t="n"/>
      <c r="M310" s="14" t="n"/>
      <c r="N310" s="9" t="inlineStr">
        <is>
          <t>%</t>
        </is>
      </c>
      <c r="O310" s="9" t="inlineStr">
        <is>
          <t>No Aplica</t>
        </is>
      </c>
      <c r="P310" s="15" t="n">
        <v>0</v>
      </c>
      <c r="Q310" s="15" t="n">
        <v>0</v>
      </c>
      <c r="R310" s="5" t="inlineStr">
        <is>
          <t>122-2024-07-31</t>
        </is>
      </c>
      <c r="S310" t="inlineStr">
        <is>
          <t>No Aplica</t>
        </is>
      </c>
    </row>
    <row r="311" hidden="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09" t="n">
        <v>45535</v>
      </c>
      <c r="G311" s="5" t="n">
        <v>2024</v>
      </c>
      <c r="H311" s="5" t="inlineStr">
        <is>
          <t>Agosto</t>
        </is>
      </c>
      <c r="I311" s="6" t="inlineStr">
        <is>
          <t>2024-2</t>
        </is>
      </c>
      <c r="J311" s="96" t="n">
        <v>80</v>
      </c>
      <c r="K311" s="96" t="n">
        <v>79.06999999999999</v>
      </c>
      <c r="L311" s="14" t="n">
        <v>0.9883749999999999</v>
      </c>
      <c r="M311" s="14" t="n">
        <v>0.9883749999999999</v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122-2024-08-31</t>
        </is>
      </c>
    </row>
    <row r="312" hidden="1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09" t="n">
        <v>45565</v>
      </c>
      <c r="G312" s="5" t="n">
        <v>2024</v>
      </c>
      <c r="H312" s="5" t="inlineStr">
        <is>
          <t>Septiembre</t>
        </is>
      </c>
      <c r="I312" s="6" t="inlineStr">
        <is>
          <t>2024-2</t>
        </is>
      </c>
      <c r="J312" s="96" t="n">
        <v>80</v>
      </c>
      <c r="K312" s="96" t="n"/>
      <c r="L312" s="14" t="n"/>
      <c r="M312" s="14" t="n"/>
      <c r="N312" s="9" t="inlineStr">
        <is>
          <t>%</t>
        </is>
      </c>
      <c r="O312" s="9" t="inlineStr">
        <is>
          <t>No Aplica</t>
        </is>
      </c>
      <c r="P312" s="15" t="n">
        <v>0</v>
      </c>
      <c r="Q312" s="15" t="n">
        <v>0</v>
      </c>
      <c r="R312" s="5" t="inlineStr">
        <is>
          <t>122-2024-09-30</t>
        </is>
      </c>
      <c r="S312" t="inlineStr">
        <is>
          <t>No Aplica</t>
        </is>
      </c>
    </row>
    <row r="313" hidden="1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Bimestral</t>
        </is>
      </c>
      <c r="E313" s="5" t="inlineStr">
        <is>
          <t>Positivo</t>
        </is>
      </c>
      <c r="F313" s="109" t="n">
        <v>45596</v>
      </c>
      <c r="G313" s="5" t="n">
        <v>2024</v>
      </c>
      <c r="H313" s="5" t="inlineStr">
        <is>
          <t>Octubre</t>
        </is>
      </c>
      <c r="I313" s="6" t="inlineStr">
        <is>
          <t>2024-2</t>
        </is>
      </c>
      <c r="J313" s="96" t="n">
        <v>80</v>
      </c>
      <c r="K313" s="96" t="n">
        <v>97.5</v>
      </c>
      <c r="L313" s="14" t="n">
        <v>1.21875</v>
      </c>
      <c r="M313" s="14" t="n">
        <v>1.21875</v>
      </c>
      <c r="N313" s="9" t="inlineStr">
        <is>
          <t>%</t>
        </is>
      </c>
      <c r="O313" s="9" t="inlineStr">
        <is>
          <t>%</t>
        </is>
      </c>
      <c r="P313" s="15" t="n">
        <v>0</v>
      </c>
      <c r="Q313" s="15" t="n">
        <v>0</v>
      </c>
      <c r="R313" s="5" t="inlineStr">
        <is>
          <t>122-2024-10-31</t>
        </is>
      </c>
    </row>
    <row r="314" hidden="1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09" t="n">
        <v>45626</v>
      </c>
      <c r="G314" s="5" t="n">
        <v>2024</v>
      </c>
      <c r="H314" s="5" t="inlineStr">
        <is>
          <t>Noviembre</t>
        </is>
      </c>
      <c r="I314" s="6" t="inlineStr">
        <is>
          <t>2024-2</t>
        </is>
      </c>
      <c r="J314" s="96" t="n">
        <v>80</v>
      </c>
      <c r="K314" s="96" t="n"/>
      <c r="L314" s="14" t="n"/>
      <c r="M314" s="14" t="n"/>
      <c r="N314" s="9" t="inlineStr">
        <is>
          <t>%</t>
        </is>
      </c>
      <c r="O314" s="9" t="inlineStr">
        <is>
          <t>No Aplica</t>
        </is>
      </c>
      <c r="P314" s="15" t="n">
        <v>0</v>
      </c>
      <c r="Q314" s="15" t="n">
        <v>0</v>
      </c>
      <c r="R314" s="5" t="inlineStr">
        <is>
          <t>122-2024-11-30</t>
        </is>
      </c>
      <c r="S314" t="inlineStr">
        <is>
          <t>No Aplica</t>
        </is>
      </c>
    </row>
    <row r="315" hidden="1" customFormat="1" s="2">
      <c r="A315" s="21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Bimestral</t>
        </is>
      </c>
      <c r="E315" s="5" t="inlineStr">
        <is>
          <t>Positivo</t>
        </is>
      </c>
      <c r="F315" s="109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97" t="n">
        <v>80</v>
      </c>
      <c r="K315" s="97" t="n">
        <v>100</v>
      </c>
      <c r="L315" s="14" t="n">
        <v>1.25</v>
      </c>
      <c r="M315" s="14" t="n">
        <v>1.25</v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122-2024-12-31</t>
        </is>
      </c>
    </row>
    <row r="316" hidden="1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9" t="n">
        <v>45688</v>
      </c>
      <c r="G316" s="5" t="n">
        <v>2025</v>
      </c>
      <c r="H316" s="5" t="inlineStr">
        <is>
          <t>Enero</t>
        </is>
      </c>
      <c r="I316" s="6" t="inlineStr">
        <is>
          <t>2025-1</t>
        </is>
      </c>
      <c r="J316" s="97" t="n">
        <v>90</v>
      </c>
      <c r="K316" s="97" t="n"/>
      <c r="L316" s="14" t="n"/>
      <c r="M316" s="14" t="n"/>
      <c r="N316" s="9" t="inlineStr">
        <is>
          <t>%</t>
        </is>
      </c>
      <c r="O316" s="9" t="inlineStr">
        <is>
          <t>No Aplica</t>
        </is>
      </c>
      <c r="P316" s="15" t="n">
        <v>0</v>
      </c>
      <c r="Q316" s="15" t="n">
        <v>0</v>
      </c>
      <c r="R316" s="5" t="inlineStr">
        <is>
          <t>122-2025-01-31</t>
        </is>
      </c>
      <c r="S316" t="inlineStr">
        <is>
          <t>No Aplica</t>
        </is>
      </c>
    </row>
    <row r="317" hidden="1" customFormat="1" s="2">
      <c r="A317" s="21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Bimestral</t>
        </is>
      </c>
      <c r="E317" s="5" t="inlineStr">
        <is>
          <t>Positivo</t>
        </is>
      </c>
      <c r="F317" s="109" t="n">
        <v>45716</v>
      </c>
      <c r="G317" s="5" t="n">
        <v>2025</v>
      </c>
      <c r="H317" s="5" t="inlineStr">
        <is>
          <t>Febrero</t>
        </is>
      </c>
      <c r="I317" s="6" t="inlineStr">
        <is>
          <t>2025-1</t>
        </is>
      </c>
      <c r="J317" s="97" t="n">
        <v>90</v>
      </c>
      <c r="K317" s="97" t="n">
        <v>100</v>
      </c>
      <c r="L317" s="14" t="n">
        <v>1.111111111111111</v>
      </c>
      <c r="M317" s="14" t="n">
        <v>1.111111111111111</v>
      </c>
      <c r="N317" s="9" t="inlineStr">
        <is>
          <t>%</t>
        </is>
      </c>
      <c r="O317" s="9" t="inlineStr">
        <is>
          <t>%</t>
        </is>
      </c>
      <c r="P317" s="15" t="n">
        <v>0</v>
      </c>
      <c r="Q317" s="15" t="n">
        <v>0</v>
      </c>
      <c r="R317" s="5" t="inlineStr">
        <is>
          <t>122-2025-02-28</t>
        </is>
      </c>
    </row>
    <row r="318" hidden="1" customFormat="1" s="2">
      <c r="A318" s="21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09" t="n">
        <v>45747</v>
      </c>
      <c r="G318" s="5" t="n">
        <v>2025</v>
      </c>
      <c r="H318" s="5" t="inlineStr">
        <is>
          <t>Marzo</t>
        </is>
      </c>
      <c r="I318" s="6" t="inlineStr">
        <is>
          <t>2025-1</t>
        </is>
      </c>
      <c r="J318" s="97" t="n">
        <v>90</v>
      </c>
      <c r="K318" s="97" t="n"/>
      <c r="L318" s="14" t="n"/>
      <c r="M318" s="14" t="n"/>
      <c r="N318" s="9" t="inlineStr">
        <is>
          <t>%</t>
        </is>
      </c>
      <c r="O318" s="9" t="inlineStr">
        <is>
          <t>No Aplica</t>
        </is>
      </c>
      <c r="P318" s="15" t="n">
        <v>0</v>
      </c>
      <c r="Q318" s="15" t="n">
        <v>0</v>
      </c>
      <c r="R318" s="5" t="inlineStr">
        <is>
          <t>122-2025-03-31</t>
        </is>
      </c>
      <c r="S318" t="inlineStr">
        <is>
          <t>No Aplica</t>
        </is>
      </c>
    </row>
    <row r="319" hidden="1" customFormat="1" s="2">
      <c r="A319" s="21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Bimestral</t>
        </is>
      </c>
      <c r="E319" s="5" t="inlineStr">
        <is>
          <t>Positivo</t>
        </is>
      </c>
      <c r="F319" s="109" t="n">
        <v>45777</v>
      </c>
      <c r="G319" s="5" t="n">
        <v>2025</v>
      </c>
      <c r="H319" s="5" t="inlineStr">
        <is>
          <t>Abril</t>
        </is>
      </c>
      <c r="I319" s="6" t="inlineStr">
        <is>
          <t>2025-1</t>
        </is>
      </c>
      <c r="J319" s="97" t="n">
        <v>90</v>
      </c>
      <c r="K319" s="97" t="n">
        <v>100</v>
      </c>
      <c r="L319" s="14" t="n">
        <v>1.111111111111111</v>
      </c>
      <c r="M319" s="14" t="n">
        <v>1.111111111111111</v>
      </c>
      <c r="N319" s="9" t="inlineStr">
        <is>
          <t>%</t>
        </is>
      </c>
      <c r="O319" s="9" t="inlineStr">
        <is>
          <t>%</t>
        </is>
      </c>
      <c r="P319" s="15" t="n">
        <v>0</v>
      </c>
      <c r="Q319" s="15" t="n">
        <v>0</v>
      </c>
      <c r="R319" s="5" t="inlineStr">
        <is>
          <t>122-2025-04-30</t>
        </is>
      </c>
    </row>
    <row r="320" hidden="1" customFormat="1" s="2">
      <c r="A320" s="26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09" t="n">
        <v>45808</v>
      </c>
      <c r="G320" s="5" t="n">
        <v>2025</v>
      </c>
      <c r="H320" s="5" t="inlineStr">
        <is>
          <t>Mayo</t>
        </is>
      </c>
      <c r="I320" s="6" t="inlineStr">
        <is>
          <t>2025-1</t>
        </is>
      </c>
      <c r="J320" s="9" t="n">
        <v>90</v>
      </c>
      <c r="K320" s="9" t="n"/>
      <c r="L320" s="14" t="n"/>
      <c r="M320" s="14" t="n"/>
      <c r="N320" s="9" t="inlineStr">
        <is>
          <t>%</t>
        </is>
      </c>
      <c r="O320" s="9" t="inlineStr">
        <is>
          <t>No Aplica</t>
        </is>
      </c>
      <c r="P320" s="15" t="n">
        <v>0</v>
      </c>
      <c r="Q320" s="15" t="n">
        <v>0</v>
      </c>
      <c r="R320" s="5" t="inlineStr">
        <is>
          <t>122-2025-05-31</t>
        </is>
      </c>
      <c r="S320" t="inlineStr">
        <is>
          <t>No Aplica</t>
        </is>
      </c>
    </row>
    <row r="321" hidden="1">
      <c r="A321" s="26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Bimestral</t>
        </is>
      </c>
      <c r="E321" s="5" t="inlineStr">
        <is>
          <t>Positivo</t>
        </is>
      </c>
      <c r="F321" s="109" t="n">
        <v>45838</v>
      </c>
      <c r="G321" s="5" t="n">
        <v>2025</v>
      </c>
      <c r="H321" s="5" t="inlineStr">
        <is>
          <t>Junio</t>
        </is>
      </c>
      <c r="I321" s="6" t="inlineStr">
        <is>
          <t>2025-1</t>
        </is>
      </c>
      <c r="J321" s="9" t="n">
        <v>90</v>
      </c>
      <c r="K321" s="9" t="n">
        <v>43.48</v>
      </c>
      <c r="L321" s="14" t="n">
        <v>0.4831111111111111</v>
      </c>
      <c r="M321" s="14" t="n">
        <v>0.4831111111111111</v>
      </c>
      <c r="N321" s="9" t="inlineStr">
        <is>
          <t>%</t>
        </is>
      </c>
      <c r="O321" s="9" t="inlineStr">
        <is>
          <t>%</t>
        </is>
      </c>
      <c r="P321" s="15" t="n">
        <v>0</v>
      </c>
      <c r="Q321" s="15" t="n">
        <v>0</v>
      </c>
      <c r="R321" s="5" t="inlineStr">
        <is>
          <t>122-2025-06-30</t>
        </is>
      </c>
    </row>
    <row r="322" hidden="1">
      <c r="A322" s="26" t="n">
        <v>122</v>
      </c>
      <c r="B322" s="5" t="inlineStr">
        <is>
          <t>Eficacia en la solicitud documental- por periodo</t>
        </is>
      </c>
      <c r="C322" s="5" t="inlineStr">
        <is>
          <t>Gestión de calidad</t>
        </is>
      </c>
      <c r="D322" s="5" t="inlineStr">
        <is>
          <t>Mensual</t>
        </is>
      </c>
      <c r="E322" s="5" t="inlineStr">
        <is>
          <t>Positivo</t>
        </is>
      </c>
      <c r="F322" s="109" t="n">
        <v>45869</v>
      </c>
      <c r="G322" s="5" t="n">
        <v>2025</v>
      </c>
      <c r="H322" s="5" t="inlineStr">
        <is>
          <t>Julio</t>
        </is>
      </c>
      <c r="I322" s="6" t="inlineStr">
        <is>
          <t>2025-2</t>
        </is>
      </c>
      <c r="J322" s="9" t="n">
        <v>90</v>
      </c>
      <c r="K322" s="9" t="n">
        <v>78.26000000000001</v>
      </c>
      <c r="L322" s="14" t="n">
        <v>0.8695555555555556</v>
      </c>
      <c r="M322" s="14" t="n">
        <v>0.8695555555555556</v>
      </c>
      <c r="N322" s="9" t="inlineStr">
        <is>
          <t>%</t>
        </is>
      </c>
      <c r="O322" s="9" t="inlineStr">
        <is>
          <t>%</t>
        </is>
      </c>
      <c r="P322" s="15" t="n">
        <v>0</v>
      </c>
      <c r="Q322" s="15" t="n">
        <v>0</v>
      </c>
      <c r="R322" s="5" t="inlineStr">
        <is>
          <t>122-2025-07-31</t>
        </is>
      </c>
    </row>
    <row r="323" hidden="1">
      <c r="A323" s="21" t="n">
        <v>122</v>
      </c>
      <c r="B323" s="5" t="inlineStr">
        <is>
          <t>Eficacia en la solicitud documental- por periodo</t>
        </is>
      </c>
      <c r="C323" s="5" t="inlineStr">
        <is>
          <t>Gestión de calidad</t>
        </is>
      </c>
      <c r="D323" s="5" t="inlineStr">
        <is>
          <t>Mensual</t>
        </is>
      </c>
      <c r="E323" s="5" t="inlineStr">
        <is>
          <t>Positivo</t>
        </is>
      </c>
      <c r="F323" s="108" t="n">
        <v>45900</v>
      </c>
      <c r="G323" s="5" t="n">
        <v>2025</v>
      </c>
      <c r="H323" s="5" t="inlineStr">
        <is>
          <t>Agosto</t>
        </is>
      </c>
      <c r="I323" s="6" t="inlineStr">
        <is>
          <t>2025-2</t>
        </is>
      </c>
      <c r="J323" s="5" t="n">
        <v>90</v>
      </c>
      <c r="K323" s="5" t="n">
        <v>57.89</v>
      </c>
      <c r="L323" s="14" t="n">
        <v>0.6432222222222223</v>
      </c>
      <c r="M323" s="14" t="n">
        <v>0.6432222222222223</v>
      </c>
      <c r="N323" s="5" t="inlineStr">
        <is>
          <t>%</t>
        </is>
      </c>
      <c r="O323" s="5" t="inlineStr">
        <is>
          <t>%</t>
        </is>
      </c>
      <c r="P323" s="15" t="n">
        <v>0</v>
      </c>
      <c r="Q323" s="15" t="n">
        <v>0</v>
      </c>
      <c r="R323" s="5" t="inlineStr">
        <is>
          <t>122-2025-08-31</t>
        </is>
      </c>
    </row>
    <row r="324" hidden="1">
      <c r="A324" s="5" t="n">
        <v>122</v>
      </c>
      <c r="B324" s="5" t="inlineStr">
        <is>
          <t>Eficacia en la solicitud documental- por periodo</t>
        </is>
      </c>
      <c r="C324" s="5" t="inlineStr">
        <is>
          <t>Gestión de calidad</t>
        </is>
      </c>
      <c r="D324" s="5" t="inlineStr">
        <is>
          <t>Mensual</t>
        </is>
      </c>
      <c r="E324" s="5" t="inlineStr">
        <is>
          <t>Positivo</t>
        </is>
      </c>
      <c r="F324" s="109" t="n">
        <v>45930</v>
      </c>
      <c r="G324" s="5" t="n">
        <v>2025</v>
      </c>
      <c r="H324" s="5" t="inlineStr">
        <is>
          <t>Septiembre</t>
        </is>
      </c>
      <c r="I324" s="6" t="inlineStr">
        <is>
          <t>2025-2</t>
        </is>
      </c>
      <c r="J324" s="5" t="n">
        <v>90</v>
      </c>
      <c r="K324" s="5" t="n">
        <v>81.81999999999999</v>
      </c>
      <c r="L324" s="14" t="n">
        <v>0.909111111111111</v>
      </c>
      <c r="M324" s="14" t="n">
        <v>0.909111111111111</v>
      </c>
      <c r="N324" s="5" t="inlineStr">
        <is>
          <t>%</t>
        </is>
      </c>
      <c r="O324" s="5" t="inlineStr">
        <is>
          <t>%</t>
        </is>
      </c>
      <c r="P324" s="15" t="n">
        <v>0</v>
      </c>
      <c r="Q324" s="15" t="n">
        <v>0</v>
      </c>
      <c r="R324" s="5" t="inlineStr">
        <is>
          <t>122-2025-09-30</t>
        </is>
      </c>
    </row>
    <row r="325" hidden="1">
      <c r="A325" s="5" t="n">
        <v>122</v>
      </c>
      <c r="B325" s="5" t="inlineStr">
        <is>
          <t>Eficacia en la solicitud documental- por periodo</t>
        </is>
      </c>
      <c r="C325" s="5" t="inlineStr">
        <is>
          <t>Gestión de calidad</t>
        </is>
      </c>
      <c r="D325" s="5" t="inlineStr">
        <is>
          <t>Mensual</t>
        </is>
      </c>
      <c r="E325" s="5" t="inlineStr">
        <is>
          <t>Positivo</t>
        </is>
      </c>
      <c r="F325" s="109" t="n">
        <v>45961</v>
      </c>
      <c r="G325" s="5" t="n">
        <v>2025</v>
      </c>
      <c r="H325" s="5" t="inlineStr">
        <is>
          <t>Octubre</t>
        </is>
      </c>
      <c r="I325" s="6" t="inlineStr">
        <is>
          <t>2025-2</t>
        </is>
      </c>
      <c r="J325" s="5" t="n">
        <v>90</v>
      </c>
      <c r="K325" s="5" t="n">
        <v>88.89</v>
      </c>
      <c r="L325" s="14" t="n">
        <v>0.9876666666666667</v>
      </c>
      <c r="M325" s="14" t="n">
        <v>0.9876666666666667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122-2025-10-31</t>
        </is>
      </c>
    </row>
    <row r="326" hidden="1">
      <c r="A326" s="21" t="n">
        <v>122</v>
      </c>
      <c r="B326" s="5" t="inlineStr">
        <is>
          <t>Eficacia en la solicitud documental- por periodo</t>
        </is>
      </c>
      <c r="C326" s="5" t="inlineStr">
        <is>
          <t>Gestión de calidad</t>
        </is>
      </c>
      <c r="D326" s="5" t="inlineStr">
        <is>
          <t>Mensual</t>
        </is>
      </c>
      <c r="E326" s="5" t="inlineStr">
        <is>
          <t>Positivo</t>
        </is>
      </c>
      <c r="F326" s="109" t="n">
        <v>45991</v>
      </c>
      <c r="G326" s="5" t="n">
        <v>2025</v>
      </c>
      <c r="H326" s="5" t="inlineStr">
        <is>
          <t>Noviembre</t>
        </is>
      </c>
      <c r="I326" s="6" t="inlineStr">
        <is>
          <t>2025-2</t>
        </is>
      </c>
      <c r="J326" s="5" t="n">
        <v>90</v>
      </c>
      <c r="K326" s="5" t="n">
        <v>90</v>
      </c>
      <c r="L326" s="14" t="n">
        <v>1</v>
      </c>
      <c r="M326" s="14" t="n">
        <v>1</v>
      </c>
      <c r="N326" s="5" t="inlineStr">
        <is>
          <t>%</t>
        </is>
      </c>
      <c r="O326" s="5" t="inlineStr">
        <is>
          <t>%</t>
        </is>
      </c>
      <c r="P326" s="15" t="n">
        <v>0</v>
      </c>
      <c r="Q326" s="15" t="n">
        <v>0</v>
      </c>
      <c r="R326" s="5" t="inlineStr">
        <is>
          <t>122-2025-11-30</t>
        </is>
      </c>
    </row>
    <row r="327" hidden="1">
      <c r="A327" s="26" t="n">
        <v>122</v>
      </c>
      <c r="B327" s="5" t="inlineStr">
        <is>
          <t>Eficacia en la solicitud documental- por periodo</t>
        </is>
      </c>
      <c r="C327" s="5" t="inlineStr">
        <is>
          <t>Gestión de calidad</t>
        </is>
      </c>
      <c r="D327" s="5" t="inlineStr">
        <is>
          <t>Mensual</t>
        </is>
      </c>
      <c r="E327" s="5" t="inlineStr">
        <is>
          <t>Positivo</t>
        </is>
      </c>
      <c r="F327" s="109" t="n">
        <v>46022</v>
      </c>
      <c r="G327" s="5" t="n">
        <v>2025</v>
      </c>
      <c r="H327" s="5" t="inlineStr">
        <is>
          <t>Diciembre</t>
        </is>
      </c>
      <c r="I327" s="6" t="inlineStr">
        <is>
          <t>2025-2</t>
        </is>
      </c>
      <c r="J327" s="5" t="n">
        <v>90</v>
      </c>
      <c r="K327" s="9" t="n">
        <v>100</v>
      </c>
      <c r="L327" s="14" t="n">
        <v>1.111111111111111</v>
      </c>
      <c r="M327" s="14" t="n">
        <v>1.111111111111111</v>
      </c>
      <c r="N327" s="5" t="inlineStr">
        <is>
          <t>%</t>
        </is>
      </c>
      <c r="O327" s="5" t="inlineStr">
        <is>
          <t>%</t>
        </is>
      </c>
      <c r="P327" s="15" t="n">
        <v>0</v>
      </c>
      <c r="Q327" s="15" t="n">
        <v>0</v>
      </c>
      <c r="R327" s="5" t="inlineStr">
        <is>
          <t>122-2025-12-31</t>
        </is>
      </c>
    </row>
    <row r="328" hidden="1">
      <c r="A328" s="21" t="n">
        <v>122</v>
      </c>
      <c r="B328" s="5" t="inlineStr">
        <is>
          <t>Eficacia en la solicitud documental- por periodo</t>
        </is>
      </c>
      <c r="C328" s="5" t="inlineStr">
        <is>
          <t>Gestión de calidad</t>
        </is>
      </c>
      <c r="D328" s="5" t="inlineStr">
        <is>
          <t>Mensual</t>
        </is>
      </c>
      <c r="E328" s="5" t="inlineStr">
        <is>
          <t>Positivo</t>
        </is>
      </c>
      <c r="F328" s="109" t="n">
        <v>46053</v>
      </c>
      <c r="G328" s="5" t="n">
        <v>2026</v>
      </c>
      <c r="H328" s="5" t="inlineStr">
        <is>
          <t>Enero</t>
        </is>
      </c>
      <c r="I328" s="6" t="inlineStr">
        <is>
          <t>2026-1</t>
        </is>
      </c>
      <c r="J328" s="5" t="n">
        <v>1</v>
      </c>
      <c r="K328" s="10" t="n"/>
      <c r="L328" s="14" t="n"/>
      <c r="M328" s="14" t="n"/>
      <c r="N328" s="5" t="inlineStr">
        <is>
          <t>%</t>
        </is>
      </c>
      <c r="O328" s="5" t="inlineStr">
        <is>
          <t>No Aplica</t>
        </is>
      </c>
      <c r="P328" s="15" t="n">
        <v>0</v>
      </c>
      <c r="Q328" s="15" t="n">
        <v>0</v>
      </c>
      <c r="R328" s="5" t="inlineStr">
        <is>
          <t>122-2026-01-31</t>
        </is>
      </c>
      <c r="S328" t="inlineStr">
        <is>
          <t>No Aplica</t>
        </is>
      </c>
    </row>
    <row r="329" hidden="1">
      <c r="A329" s="21" t="n">
        <v>122</v>
      </c>
      <c r="B329" s="5" t="inlineStr">
        <is>
          <t>Eficacia en la solicitud documental- por periodo</t>
        </is>
      </c>
      <c r="C329" s="5" t="inlineStr">
        <is>
          <t>Gestión de calidad</t>
        </is>
      </c>
      <c r="D329" s="5" t="inlineStr">
        <is>
          <t>Mensual</t>
        </is>
      </c>
      <c r="E329" s="5" t="inlineStr">
        <is>
          <t>Positivo</t>
        </is>
      </c>
      <c r="F329" s="108" t="n">
        <v>46081</v>
      </c>
      <c r="G329" s="5" t="n">
        <v>2026</v>
      </c>
      <c r="H329" s="5" t="inlineStr">
        <is>
          <t>Febrero</t>
        </is>
      </c>
      <c r="I329" s="6" t="inlineStr">
        <is>
          <t>2026-1</t>
        </is>
      </c>
      <c r="J329" s="5" t="n">
        <v>80</v>
      </c>
      <c r="K329" s="9" t="n">
        <v>71.43000000000001</v>
      </c>
      <c r="L329" s="14" t="n">
        <v>0.8928750000000001</v>
      </c>
      <c r="M329" s="14" t="n">
        <v>0.8928750000000001</v>
      </c>
      <c r="N329" s="5" t="inlineStr">
        <is>
          <t>%</t>
        </is>
      </c>
      <c r="O329" s="5" t="inlineStr">
        <is>
          <t>%</t>
        </is>
      </c>
      <c r="P329" s="15" t="n">
        <v>0</v>
      </c>
      <c r="Q329" s="15" t="n">
        <v>0</v>
      </c>
      <c r="R329" s="5" t="inlineStr">
        <is>
          <t>122-2026-02-28</t>
        </is>
      </c>
    </row>
    <row r="330" hidden="1">
      <c r="A330" s="21" t="n">
        <v>122</v>
      </c>
      <c r="B330" s="5" t="inlineStr">
        <is>
          <t>Eficacia en la solicitud documental- por periodo</t>
        </is>
      </c>
      <c r="C330" s="5" t="inlineStr">
        <is>
          <t>Gestión de calidad</t>
        </is>
      </c>
      <c r="D330" s="5" t="inlineStr">
        <is>
          <t>Mensual</t>
        </is>
      </c>
      <c r="E330" s="5" t="inlineStr">
        <is>
          <t>Positivo</t>
        </is>
      </c>
      <c r="F330" s="109" t="n">
        <v>46112</v>
      </c>
      <c r="G330" s="5" t="n">
        <v>2026</v>
      </c>
      <c r="H330" s="5" t="inlineStr">
        <is>
          <t>Marzo</t>
        </is>
      </c>
      <c r="I330" s="6" t="inlineStr">
        <is>
          <t>2026-1</t>
        </is>
      </c>
      <c r="J330" s="5" t="n">
        <v>80</v>
      </c>
      <c r="K330" s="9" t="n">
        <v>96.67</v>
      </c>
      <c r="L330" s="14" t="n">
        <v>1.208375</v>
      </c>
      <c r="M330" s="14" t="n">
        <v>1.208375</v>
      </c>
      <c r="N330" s="5" t="inlineStr">
        <is>
          <t>%</t>
        </is>
      </c>
      <c r="O330" s="5" t="inlineStr">
        <is>
          <t>%</t>
        </is>
      </c>
      <c r="P330" s="15" t="n">
        <v>0</v>
      </c>
      <c r="Q330" s="15" t="n">
        <v>0</v>
      </c>
      <c r="R330" s="5" t="inlineStr">
        <is>
          <t>122-2026-03-31</t>
        </is>
      </c>
    </row>
    <row r="331" hidden="1">
      <c r="A331" s="5" t="n">
        <v>122</v>
      </c>
      <c r="B331" s="5" t="inlineStr">
        <is>
          <t>Eficacia en la solicitud documental- por periodo</t>
        </is>
      </c>
      <c r="C331" s="5" t="inlineStr">
        <is>
          <t>Gestión de calidad</t>
        </is>
      </c>
      <c r="D331" s="5" t="inlineStr">
        <is>
          <t>Mensual</t>
        </is>
      </c>
      <c r="E331" s="5" t="inlineStr">
        <is>
          <t>Positivo</t>
        </is>
      </c>
      <c r="F331" s="109" t="n">
        <v>46142</v>
      </c>
      <c r="G331" s="5" t="n">
        <v>2026</v>
      </c>
      <c r="H331" s="5" t="inlineStr">
        <is>
          <t>Abril</t>
        </is>
      </c>
      <c r="I331" s="6" t="inlineStr">
        <is>
          <t>2026-1</t>
        </is>
      </c>
      <c r="J331" s="5" t="n">
        <v>80</v>
      </c>
      <c r="K331" s="5" t="n">
        <v>78.13</v>
      </c>
      <c r="L331" s="14" t="n">
        <v>0.976625</v>
      </c>
      <c r="M331" s="14" t="n">
        <v>0.976625</v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15" t="n">
        <v>0</v>
      </c>
      <c r="R331" s="5" t="inlineStr">
        <is>
          <t>122-2026-04-30</t>
        </is>
      </c>
    </row>
    <row r="332" hidden="1">
      <c r="A332" s="21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9" t="n">
        <v>44592</v>
      </c>
      <c r="G332" s="5" t="n">
        <v>2022</v>
      </c>
      <c r="H332" s="5" t="inlineStr">
        <is>
          <t>Enero</t>
        </is>
      </c>
      <c r="I332" s="6" t="inlineStr">
        <is>
          <t>2022-1</t>
        </is>
      </c>
      <c r="J332" s="5" t="n">
        <v>1.6</v>
      </c>
      <c r="K332" s="10" t="n">
        <v>0</v>
      </c>
      <c r="L332" s="14" t="n">
        <v>1</v>
      </c>
      <c r="M332" s="14" t="n">
        <v>1</v>
      </c>
      <c r="N332" s="5" t="inlineStr">
        <is>
          <t>DEC</t>
        </is>
      </c>
      <c r="O332" s="5" t="inlineStr">
        <is>
          <t>%</t>
        </is>
      </c>
      <c r="P332" s="15" t="n">
        <v>1</v>
      </c>
      <c r="Q332" s="15" t="n">
        <v>2</v>
      </c>
      <c r="R332" s="5" t="inlineStr">
        <is>
          <t>124-2022-01-31</t>
        </is>
      </c>
    </row>
    <row r="333" hidden="1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8" t="n">
        <v>44620</v>
      </c>
      <c r="G333" s="5" t="n">
        <v>2022</v>
      </c>
      <c r="H333" s="5" t="inlineStr">
        <is>
          <t>Febrero</t>
        </is>
      </c>
      <c r="I333" s="6" t="inlineStr">
        <is>
          <t>2022-1</t>
        </is>
      </c>
      <c r="J333" s="5" t="n">
        <v>1.6</v>
      </c>
      <c r="K333" s="9" t="n">
        <v>0.06988120195667399</v>
      </c>
      <c r="L333" s="14" t="n">
        <v>1.3</v>
      </c>
      <c r="M333" s="14" t="n">
        <v>22.89599999999989</v>
      </c>
      <c r="N333" s="5" t="inlineStr">
        <is>
          <t>DEC</t>
        </is>
      </c>
      <c r="O333" s="5" t="inlineStr">
        <is>
          <t>%</t>
        </is>
      </c>
      <c r="P333" s="15" t="n">
        <v>1</v>
      </c>
      <c r="Q333" s="15" t="n">
        <v>2</v>
      </c>
      <c r="R333" s="5" t="inlineStr">
        <is>
          <t>124-2022-02-28</t>
        </is>
      </c>
    </row>
    <row r="334" hidden="1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9" t="n">
        <v>44651</v>
      </c>
      <c r="G334" s="5" t="n">
        <v>2022</v>
      </c>
      <c r="H334" s="5" t="inlineStr">
        <is>
          <t>Marzo</t>
        </is>
      </c>
      <c r="I334" s="6" t="inlineStr">
        <is>
          <t>2022-1</t>
        </is>
      </c>
      <c r="J334" s="5" t="n">
        <v>1.6</v>
      </c>
      <c r="K334" s="9" t="n">
        <v>0</v>
      </c>
      <c r="L334" s="14" t="n">
        <v>1</v>
      </c>
      <c r="M334" s="14" t="n">
        <v>1</v>
      </c>
      <c r="N334" s="5" t="inlineStr">
        <is>
          <t>DEC</t>
        </is>
      </c>
      <c r="O334" s="5" t="inlineStr">
        <is>
          <t>%</t>
        </is>
      </c>
      <c r="P334" s="15" t="n">
        <v>1</v>
      </c>
      <c r="Q334" s="15" t="n">
        <v>2</v>
      </c>
      <c r="R334" s="5" t="inlineStr">
        <is>
          <t>124-2022-03-31</t>
        </is>
      </c>
    </row>
    <row r="335" hidden="1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9" t="n">
        <v>44681</v>
      </c>
      <c r="G335" s="5" t="n">
        <v>2022</v>
      </c>
      <c r="H335" s="5" t="inlineStr">
        <is>
          <t>Abril</t>
        </is>
      </c>
      <c r="I335" s="6" t="inlineStr">
        <is>
          <t>2022-1</t>
        </is>
      </c>
      <c r="J335" s="5" t="n">
        <v>1.6</v>
      </c>
      <c r="K335" s="5" t="n">
        <v>0</v>
      </c>
      <c r="L335" s="14" t="n">
        <v>1</v>
      </c>
      <c r="M335" s="14" t="n">
        <v>1</v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124-2022-04-30</t>
        </is>
      </c>
    </row>
    <row r="336" hidden="1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9" t="n">
        <v>44712</v>
      </c>
      <c r="G336" s="5" t="n">
        <v>2022</v>
      </c>
      <c r="H336" s="5" t="inlineStr">
        <is>
          <t>Mayo</t>
        </is>
      </c>
      <c r="I336" s="6" t="inlineStr">
        <is>
          <t>2022-1</t>
        </is>
      </c>
      <c r="J336" s="5" t="n">
        <v>1.6</v>
      </c>
      <c r="K336" s="10" t="n">
        <v>0.053361792956243</v>
      </c>
      <c r="L336" s="14" t="n">
        <v>1.3</v>
      </c>
      <c r="M336" s="14" t="n">
        <v>29.98400000000019</v>
      </c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124-2022-05-31</t>
        </is>
      </c>
    </row>
    <row r="337" hidden="1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9" t="n">
        <v>44742</v>
      </c>
      <c r="G337" s="5" t="n">
        <v>2022</v>
      </c>
      <c r="H337" s="5" t="inlineStr">
        <is>
          <t>Junio</t>
        </is>
      </c>
      <c r="I337" s="6" t="inlineStr">
        <is>
          <t>2022-1</t>
        </is>
      </c>
      <c r="J337" s="5" t="n">
        <v>1.6</v>
      </c>
      <c r="K337" s="9" t="n">
        <v>0</v>
      </c>
      <c r="L337" s="14" t="n">
        <v>1</v>
      </c>
      <c r="M337" s="14" t="n">
        <v>1</v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124-2022-06-30</t>
        </is>
      </c>
    </row>
    <row r="338" hidden="1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9" t="n">
        <v>44773</v>
      </c>
      <c r="G338" s="5" t="n">
        <v>2022</v>
      </c>
      <c r="H338" s="5" t="inlineStr">
        <is>
          <t>Julio</t>
        </is>
      </c>
      <c r="I338" s="6" t="inlineStr">
        <is>
          <t>2022-2</t>
        </is>
      </c>
      <c r="J338" s="5" t="n">
        <v>1.6</v>
      </c>
      <c r="K338" s="10" t="n">
        <v>0</v>
      </c>
      <c r="L338" s="14" t="n">
        <v>1</v>
      </c>
      <c r="M338" s="14" t="n">
        <v>1</v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124-2022-07-31</t>
        </is>
      </c>
    </row>
    <row r="339" hidden="1">
      <c r="A339" s="5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9" t="n">
        <v>44804</v>
      </c>
      <c r="G339" s="5" t="n">
        <v>2022</v>
      </c>
      <c r="H339" s="5" t="inlineStr">
        <is>
          <t>Agosto</t>
        </is>
      </c>
      <c r="I339" s="6" t="inlineStr">
        <is>
          <t>2022-2</t>
        </is>
      </c>
      <c r="J339" s="5" t="n">
        <v>1.6</v>
      </c>
      <c r="K339" s="5" t="n">
        <v>0.1865671641791</v>
      </c>
      <c r="L339" s="14" t="n">
        <v>1.3</v>
      </c>
      <c r="M339" s="14" t="n">
        <v>8.576000000000207</v>
      </c>
      <c r="N339" s="5" t="inlineStr">
        <is>
          <t>DEC</t>
        </is>
      </c>
      <c r="O339" s="5" t="inlineStr">
        <is>
          <t>DEC</t>
        </is>
      </c>
      <c r="P339" s="5" t="n">
        <v>1</v>
      </c>
      <c r="Q339" s="5" t="n">
        <v>2</v>
      </c>
      <c r="R339" s="5" t="inlineStr">
        <is>
          <t>124-2022-08-31</t>
        </is>
      </c>
    </row>
    <row r="340" hidden="1">
      <c r="A340" s="3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9" t="n">
        <v>44834</v>
      </c>
      <c r="G340" s="5" t="n">
        <v>2022</v>
      </c>
      <c r="H340" s="5" t="inlineStr">
        <is>
          <t>Septiembre</t>
        </is>
      </c>
      <c r="I340" s="6" t="inlineStr">
        <is>
          <t>2022-2</t>
        </is>
      </c>
      <c r="J340" s="5" t="n">
        <v>1.6</v>
      </c>
      <c r="K340" s="97" t="n">
        <v>0</v>
      </c>
      <c r="L340" s="30" t="n">
        <v>1</v>
      </c>
      <c r="M340" s="14" t="n">
        <v>1</v>
      </c>
      <c r="N340" s="31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124-2022-09-30</t>
        </is>
      </c>
    </row>
    <row r="341" hidden="1">
      <c r="A341" s="3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9" t="n">
        <v>44865</v>
      </c>
      <c r="G341" s="5" t="n">
        <v>2022</v>
      </c>
      <c r="H341" s="5" t="inlineStr">
        <is>
          <t>Octubre</t>
        </is>
      </c>
      <c r="I341" s="6" t="inlineStr">
        <is>
          <t>2022-2</t>
        </is>
      </c>
      <c r="J341" s="5" t="n">
        <v>1.6</v>
      </c>
      <c r="K341" s="97" t="n">
        <v>0.055187637969095</v>
      </c>
      <c r="L341" s="14" t="n">
        <v>1.3</v>
      </c>
      <c r="M341" s="14" t="n">
        <v>28.99199999999996</v>
      </c>
      <c r="N341" s="31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124-2022-10-31</t>
        </is>
      </c>
    </row>
    <row r="342" hidden="1">
      <c r="A342" s="31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9" t="n">
        <v>44895</v>
      </c>
      <c r="G342" s="5" t="n">
        <v>2022</v>
      </c>
      <c r="H342" s="5" t="inlineStr">
        <is>
          <t>Noviembre</t>
        </is>
      </c>
      <c r="I342" s="6" t="inlineStr">
        <is>
          <t>2022-2</t>
        </is>
      </c>
      <c r="J342" s="5" t="n">
        <v>1.6</v>
      </c>
      <c r="K342" s="97" t="n">
        <v>0</v>
      </c>
      <c r="L342" s="30" t="n">
        <v>1</v>
      </c>
      <c r="M342" s="14" t="n">
        <v>1</v>
      </c>
      <c r="N342" s="31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124-2022-11-30</t>
        </is>
      </c>
    </row>
    <row r="343" hidden="1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9" t="n">
        <v>44926</v>
      </c>
      <c r="G343" s="5" t="n">
        <v>2022</v>
      </c>
      <c r="H343" s="5" t="inlineStr">
        <is>
          <t>Diciembre</t>
        </is>
      </c>
      <c r="I343" s="6" t="inlineStr">
        <is>
          <t>2022-2</t>
        </is>
      </c>
      <c r="J343" s="5" t="n">
        <v>1.6</v>
      </c>
      <c r="K343" s="10" t="n">
        <v>0</v>
      </c>
      <c r="L343" s="14" t="n">
        <v>1</v>
      </c>
      <c r="M343" s="14" t="n">
        <v>1</v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124-2022-12-31</t>
        </is>
      </c>
    </row>
    <row r="344" hidden="1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9" t="n">
        <v>44957</v>
      </c>
      <c r="G344" s="5" t="n">
        <v>2023</v>
      </c>
      <c r="H344" s="5" t="inlineStr">
        <is>
          <t>Enero</t>
        </is>
      </c>
      <c r="I344" s="6" t="inlineStr">
        <is>
          <t>2023-1</t>
        </is>
      </c>
      <c r="J344" s="5" t="n">
        <v>1.6</v>
      </c>
      <c r="K344" s="9" t="n">
        <v>0</v>
      </c>
      <c r="L344" s="74" t="n">
        <v>1</v>
      </c>
      <c r="M344" s="14" t="n">
        <v>1</v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124-2023-01-31</t>
        </is>
      </c>
    </row>
    <row r="345" hidden="1">
      <c r="A345" s="26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9" t="n">
        <v>44985</v>
      </c>
      <c r="G345" s="5" t="n">
        <v>2023</v>
      </c>
      <c r="H345" s="5" t="inlineStr">
        <is>
          <t>Febrero</t>
        </is>
      </c>
      <c r="I345" s="6" t="inlineStr">
        <is>
          <t>2023-1</t>
        </is>
      </c>
      <c r="J345" s="5" t="n">
        <v>1.6</v>
      </c>
      <c r="K345" s="9" t="n">
        <v>0</v>
      </c>
      <c r="L345" s="14" t="n">
        <v>1</v>
      </c>
      <c r="M345" s="14" t="n">
        <v>1</v>
      </c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124-2023-02-28</t>
        </is>
      </c>
    </row>
    <row r="346" hidden="1">
      <c r="A346" s="5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9" t="n">
        <v>45016</v>
      </c>
      <c r="G346" s="5" t="n">
        <v>2023</v>
      </c>
      <c r="H346" s="5" t="inlineStr">
        <is>
          <t>Marzo</t>
        </is>
      </c>
      <c r="I346" s="6" t="inlineStr">
        <is>
          <t>2023-1</t>
        </is>
      </c>
      <c r="J346" s="5" t="n">
        <v>1.6</v>
      </c>
      <c r="K346" s="5" t="n">
        <v>0</v>
      </c>
      <c r="L346" s="14" t="n">
        <v>1</v>
      </c>
      <c r="M346" s="14" t="n">
        <v>1</v>
      </c>
      <c r="N346" s="5" t="inlineStr">
        <is>
          <t>DEC</t>
        </is>
      </c>
      <c r="O346" s="5" t="inlineStr">
        <is>
          <t>DEC</t>
        </is>
      </c>
      <c r="P346" s="5" t="n">
        <v>1</v>
      </c>
      <c r="Q346" s="5" t="n">
        <v>2</v>
      </c>
      <c r="R346" s="5" t="inlineStr">
        <is>
          <t>124-2023-03-31</t>
        </is>
      </c>
    </row>
    <row r="347" hidden="1">
      <c r="A347" s="26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9" t="n">
        <v>45046</v>
      </c>
      <c r="G347" s="5" t="n">
        <v>2023</v>
      </c>
      <c r="H347" s="5" t="inlineStr">
        <is>
          <t>Abril</t>
        </is>
      </c>
      <c r="I347" s="6" t="inlineStr">
        <is>
          <t>2023-1</t>
        </is>
      </c>
      <c r="J347" s="5" t="n">
        <v>1.6</v>
      </c>
      <c r="K347" s="9" t="n">
        <v>0.10435690060005</v>
      </c>
      <c r="L347" s="14" t="n">
        <v>1.3</v>
      </c>
      <c r="M347" s="14" t="n">
        <v>15.33200000000032</v>
      </c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124-2023-04-30</t>
        </is>
      </c>
    </row>
    <row r="348" hidden="1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9" t="n">
        <v>45077</v>
      </c>
      <c r="G348" s="5" t="n">
        <v>2023</v>
      </c>
      <c r="H348" s="5" t="inlineStr">
        <is>
          <t>Mayo</t>
        </is>
      </c>
      <c r="I348" s="6" t="inlineStr">
        <is>
          <t>2023-1</t>
        </is>
      </c>
      <c r="J348" s="5" t="n">
        <v>1.6</v>
      </c>
      <c r="K348" s="9" t="n">
        <v>0.051072522982635</v>
      </c>
      <c r="L348" s="14" t="n">
        <v>1.3</v>
      </c>
      <c r="M348" s="14" t="n">
        <v>31.32800000000021</v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124-2023-05-31</t>
        </is>
      </c>
    </row>
    <row r="349" hidden="1">
      <c r="A349" s="21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9" t="n">
        <v>45107</v>
      </c>
      <c r="G349" s="5" t="n">
        <v>2023</v>
      </c>
      <c r="H349" s="5" t="inlineStr">
        <is>
          <t>Junio</t>
        </is>
      </c>
      <c r="I349" s="6" t="inlineStr">
        <is>
          <t>2023-1</t>
        </is>
      </c>
      <c r="J349" s="5" t="n">
        <v>1.6</v>
      </c>
      <c r="K349" s="10" t="n">
        <v>0</v>
      </c>
      <c r="L349" s="14" t="n">
        <v>1</v>
      </c>
      <c r="M349" s="14" t="n">
        <v>1</v>
      </c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124-2023-06-30</t>
        </is>
      </c>
    </row>
    <row r="350" hidden="1">
      <c r="A350" s="21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8" t="n">
        <v>45138</v>
      </c>
      <c r="G350" s="5" t="n">
        <v>2023</v>
      </c>
      <c r="H350" s="5" t="inlineStr">
        <is>
          <t>Julio</t>
        </is>
      </c>
      <c r="I350" s="6" t="inlineStr">
        <is>
          <t>2023-2</t>
        </is>
      </c>
      <c r="J350" s="5" t="n">
        <v>1.6</v>
      </c>
      <c r="K350" s="9" t="n">
        <v>0.075471698113208</v>
      </c>
      <c r="L350" s="14" t="n">
        <v>1.3</v>
      </c>
      <c r="M350" s="14" t="n">
        <v>21.19999999999987</v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124-2023-07-31</t>
        </is>
      </c>
    </row>
    <row r="351" hidden="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9" t="n">
        <v>45169</v>
      </c>
      <c r="G351" s="5" t="n">
        <v>2023</v>
      </c>
      <c r="H351" s="5" t="inlineStr">
        <is>
          <t>Agosto</t>
        </is>
      </c>
      <c r="I351" s="6" t="inlineStr">
        <is>
          <t>2023-2</t>
        </is>
      </c>
      <c r="J351" s="5" t="n">
        <v>1.6</v>
      </c>
      <c r="K351" s="9" t="n">
        <v>0.06</v>
      </c>
      <c r="L351" s="14" t="n">
        <v>1.3</v>
      </c>
      <c r="M351" s="14" t="n">
        <v>26.66666666666667</v>
      </c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124-2023-08-31</t>
        </is>
      </c>
    </row>
    <row r="352" hidden="1">
      <c r="A352" s="5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9" t="n">
        <v>45199</v>
      </c>
      <c r="G352" s="5" t="n">
        <v>2023</v>
      </c>
      <c r="H352" s="5" t="inlineStr">
        <is>
          <t>Septiembre</t>
        </is>
      </c>
      <c r="I352" s="6" t="inlineStr">
        <is>
          <t>2023-2</t>
        </is>
      </c>
      <c r="J352" s="5" t="n">
        <v>1.6</v>
      </c>
      <c r="K352" s="5" t="n">
        <v>0</v>
      </c>
      <c r="L352" s="14" t="n">
        <v>1</v>
      </c>
      <c r="M352" s="14" t="n">
        <v>1</v>
      </c>
      <c r="N352" s="5" t="inlineStr">
        <is>
          <t>DEC</t>
        </is>
      </c>
      <c r="O352" s="5" t="inlineStr">
        <is>
          <t>DEC</t>
        </is>
      </c>
      <c r="P352" s="5" t="n">
        <v>1</v>
      </c>
      <c r="Q352" s="5" t="n">
        <v>2</v>
      </c>
      <c r="R352" s="5" t="inlineStr">
        <is>
          <t>124-2023-09-30</t>
        </is>
      </c>
    </row>
    <row r="353" hidden="1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9" t="n">
        <v>45230</v>
      </c>
      <c r="G353" s="5" t="n">
        <v>2023</v>
      </c>
      <c r="H353" s="5" t="inlineStr">
        <is>
          <t>Octubre</t>
        </is>
      </c>
      <c r="I353" s="6" t="inlineStr">
        <is>
          <t>2023-2</t>
        </is>
      </c>
      <c r="J353" s="5" t="n">
        <v>1.6</v>
      </c>
      <c r="K353" s="10" t="n">
        <v>0.05</v>
      </c>
      <c r="L353" s="14" t="n">
        <v>1.3</v>
      </c>
      <c r="M353" s="14" t="n">
        <v>32</v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124-2023-10-31</t>
        </is>
      </c>
    </row>
    <row r="354" hidden="1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8" t="n">
        <v>45260</v>
      </c>
      <c r="G354" s="5" t="n">
        <v>2023</v>
      </c>
      <c r="H354" s="5" t="inlineStr">
        <is>
          <t>Noviembre</t>
        </is>
      </c>
      <c r="I354" s="6" t="inlineStr">
        <is>
          <t>2023-2</t>
        </is>
      </c>
      <c r="J354" s="5" t="n">
        <v>1.6</v>
      </c>
      <c r="K354" s="9" t="n">
        <v>0</v>
      </c>
      <c r="L354" s="14" t="n">
        <v>1</v>
      </c>
      <c r="M354" s="14" t="n">
        <v>1</v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124-2023-11-30</t>
        </is>
      </c>
    </row>
    <row r="355" hidden="1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9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1.6</v>
      </c>
      <c r="K355" s="9" t="n">
        <v>0</v>
      </c>
      <c r="L355" s="14" t="n">
        <v>1</v>
      </c>
      <c r="M355" s="14" t="n">
        <v>1</v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124-2023-12-31</t>
        </is>
      </c>
    </row>
    <row r="356" hidden="1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9" t="n">
        <v>45322</v>
      </c>
      <c r="G356" s="5" t="n">
        <v>2024</v>
      </c>
      <c r="H356" s="5" t="inlineStr">
        <is>
          <t>Enero</t>
        </is>
      </c>
      <c r="I356" s="6" t="inlineStr">
        <is>
          <t>2024-1</t>
        </is>
      </c>
      <c r="J356" s="5" t="n">
        <v>0.2</v>
      </c>
      <c r="K356" s="5" t="n">
        <v>0</v>
      </c>
      <c r="L356" s="14" t="n">
        <v>1</v>
      </c>
      <c r="M356" s="14" t="n">
        <v>1</v>
      </c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124-2024-01-31</t>
        </is>
      </c>
    </row>
    <row r="357" hidden="1">
      <c r="A357" s="21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9" t="n">
        <v>45351</v>
      </c>
      <c r="G357" s="5" t="n">
        <v>2024</v>
      </c>
      <c r="H357" s="5" t="inlineStr">
        <is>
          <t>Febrero</t>
        </is>
      </c>
      <c r="I357" s="6" t="inlineStr">
        <is>
          <t>2024-1</t>
        </is>
      </c>
      <c r="J357" s="5" t="n">
        <v>0.2</v>
      </c>
      <c r="K357" s="10" t="n">
        <v>0</v>
      </c>
      <c r="L357" s="14" t="n">
        <v>1</v>
      </c>
      <c r="M357" s="14" t="n">
        <v>1</v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124-2024-02-29</t>
        </is>
      </c>
    </row>
    <row r="358" hidden="1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9" t="n">
        <v>45382</v>
      </c>
      <c r="G358" s="5" t="n">
        <v>2024</v>
      </c>
      <c r="H358" s="5" t="inlineStr">
        <is>
          <t>Marzo</t>
        </is>
      </c>
      <c r="I358" s="6" t="inlineStr">
        <is>
          <t>2024-1</t>
        </is>
      </c>
      <c r="J358" s="5" t="n">
        <v>0.2</v>
      </c>
      <c r="K358" s="97" t="n">
        <v>0</v>
      </c>
      <c r="L358" s="14" t="n">
        <v>1</v>
      </c>
      <c r="M358" s="14" t="n">
        <v>1</v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124-2024-03-31</t>
        </is>
      </c>
    </row>
    <row r="359" hidden="1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9" t="n">
        <v>45412</v>
      </c>
      <c r="G359" s="5" t="n">
        <v>2024</v>
      </c>
      <c r="H359" s="5" t="inlineStr">
        <is>
          <t>Abril</t>
        </is>
      </c>
      <c r="I359" s="6" t="inlineStr">
        <is>
          <t>2024-1</t>
        </is>
      </c>
      <c r="J359" s="5" t="n">
        <v>0.2</v>
      </c>
      <c r="K359" s="97" t="n">
        <v>0</v>
      </c>
      <c r="L359" s="14" t="n">
        <v>1</v>
      </c>
      <c r="M359" s="14" t="n">
        <v>1</v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124-2024-04-30</t>
        </is>
      </c>
    </row>
    <row r="360" hidden="1">
      <c r="A360" s="21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9" t="n">
        <v>45443</v>
      </c>
      <c r="G360" s="5" t="n">
        <v>2024</v>
      </c>
      <c r="H360" s="5" t="inlineStr">
        <is>
          <t>Mayo</t>
        </is>
      </c>
      <c r="I360" s="6" t="inlineStr">
        <is>
          <t>2024-1</t>
        </is>
      </c>
      <c r="J360" s="5" t="n">
        <v>0.2</v>
      </c>
      <c r="K360" s="97" t="n">
        <v>0.041823504809703</v>
      </c>
      <c r="L360" s="14" t="n">
        <v>1.3</v>
      </c>
      <c r="M360" s="14" t="n">
        <v>4.782000000000007</v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124-2024-05-31</t>
        </is>
      </c>
    </row>
    <row r="361" hidden="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9" t="n">
        <v>45473</v>
      </c>
      <c r="G361" s="5" t="n">
        <v>2024</v>
      </c>
      <c r="H361" s="5" t="inlineStr">
        <is>
          <t>Junio</t>
        </is>
      </c>
      <c r="I361" s="6" t="inlineStr">
        <is>
          <t>2024-1</t>
        </is>
      </c>
      <c r="J361" s="5" t="n">
        <v>0.2</v>
      </c>
      <c r="K361" s="97" t="n">
        <v>0</v>
      </c>
      <c r="L361" s="14" t="n">
        <v>1</v>
      </c>
      <c r="M361" s="14" t="n">
        <v>1</v>
      </c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124-2024-06-30</t>
        </is>
      </c>
    </row>
    <row r="362" hidden="1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9" t="n">
        <v>45504</v>
      </c>
      <c r="G362" s="5" t="n">
        <v>2024</v>
      </c>
      <c r="H362" s="5" t="inlineStr">
        <is>
          <t>Julio</t>
        </is>
      </c>
      <c r="I362" s="6" t="inlineStr">
        <is>
          <t>2024-2</t>
        </is>
      </c>
      <c r="J362" s="5" t="n">
        <v>0.2</v>
      </c>
      <c r="K362" s="97" t="n">
        <v>0</v>
      </c>
      <c r="L362" s="14" t="n">
        <v>1</v>
      </c>
      <c r="M362" s="14" t="n">
        <v>1</v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124-2024-07-31</t>
        </is>
      </c>
    </row>
    <row r="363" hidden="1" customFormat="1" s="22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9" t="n">
        <v>45535</v>
      </c>
      <c r="G363" s="5" t="n">
        <v>2024</v>
      </c>
      <c r="H363" s="5" t="inlineStr">
        <is>
          <t>Agosto</t>
        </is>
      </c>
      <c r="I363" s="6" t="inlineStr">
        <is>
          <t>2024-2</t>
        </is>
      </c>
      <c r="J363" s="5" t="n">
        <v>0.2</v>
      </c>
      <c r="K363" s="97" t="n">
        <v>0</v>
      </c>
      <c r="L363" s="14" t="n">
        <v>1</v>
      </c>
      <c r="M363" s="14" t="n">
        <v>1</v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124-2024-08-31</t>
        </is>
      </c>
    </row>
    <row r="364" hidden="1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9" t="n">
        <v>45565</v>
      </c>
      <c r="G364" s="5" t="n">
        <v>2024</v>
      </c>
      <c r="H364" s="5" t="inlineStr">
        <is>
          <t>Septiembre</t>
        </is>
      </c>
      <c r="I364" s="6" t="inlineStr">
        <is>
          <t>2024-2</t>
        </is>
      </c>
      <c r="J364" s="5" t="n">
        <v>0.2</v>
      </c>
      <c r="K364" s="97" t="n">
        <v>0</v>
      </c>
      <c r="L364" s="14" t="n">
        <v>1</v>
      </c>
      <c r="M364" s="14" t="n">
        <v>1</v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124-2024-09-30</t>
        </is>
      </c>
    </row>
    <row r="365" hidden="1">
      <c r="A365" s="26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9" t="n">
        <v>45596</v>
      </c>
      <c r="G365" s="5" t="n">
        <v>2024</v>
      </c>
      <c r="H365" s="5" t="inlineStr">
        <is>
          <t>Octubre</t>
        </is>
      </c>
      <c r="I365" s="6" t="inlineStr">
        <is>
          <t>2024-2</t>
        </is>
      </c>
      <c r="J365" s="5" t="n">
        <v>0.2</v>
      </c>
      <c r="K365" s="97" t="n">
        <v>0</v>
      </c>
      <c r="L365" s="14" t="n">
        <v>1</v>
      </c>
      <c r="M365" s="14" t="n">
        <v>1</v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124-2024-10-31</t>
        </is>
      </c>
    </row>
    <row r="366" hidden="1">
      <c r="A366" s="21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9" t="n">
        <v>45626</v>
      </c>
      <c r="G366" s="5" t="n">
        <v>2024</v>
      </c>
      <c r="H366" s="5" t="inlineStr">
        <is>
          <t>Noviembre</t>
        </is>
      </c>
      <c r="I366" s="6" t="inlineStr">
        <is>
          <t>2024-2</t>
        </is>
      </c>
      <c r="J366" s="5" t="n">
        <v>0.2</v>
      </c>
      <c r="K366" s="9" t="n">
        <v>0</v>
      </c>
      <c r="L366" s="14" t="n">
        <v>1</v>
      </c>
      <c r="M366" s="14" t="n">
        <v>1</v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124-2024-11-30</t>
        </is>
      </c>
    </row>
    <row r="367" hidden="1">
      <c r="A367" s="21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9" t="n">
        <v>45657</v>
      </c>
      <c r="G367" s="5" t="n">
        <v>2024</v>
      </c>
      <c r="H367" s="5" t="inlineStr">
        <is>
          <t>Diciembre</t>
        </is>
      </c>
      <c r="I367" s="6" t="inlineStr">
        <is>
          <t>2024-2</t>
        </is>
      </c>
      <c r="J367" s="5" t="n">
        <v>0.2</v>
      </c>
      <c r="K367" s="9" t="n">
        <v>0.1141552511415525</v>
      </c>
      <c r="L367" s="14" t="n">
        <v>1.3</v>
      </c>
      <c r="M367" s="14" t="n">
        <v>1.752</v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124-2024-12-31</t>
        </is>
      </c>
    </row>
    <row r="368" hidden="1">
      <c r="A368" s="21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9" t="n">
        <v>45688</v>
      </c>
      <c r="G368" s="5" t="n">
        <v>2025</v>
      </c>
      <c r="H368" s="5" t="inlineStr">
        <is>
          <t>Enero</t>
        </is>
      </c>
      <c r="I368" s="6" t="inlineStr">
        <is>
          <t>2025-1</t>
        </is>
      </c>
      <c r="J368" s="5" t="n">
        <v>0.2</v>
      </c>
      <c r="K368" s="9" t="n">
        <v>0.0911577028258887</v>
      </c>
      <c r="L368" s="14" t="n">
        <v>1.3</v>
      </c>
      <c r="M368" s="14" t="n">
        <v>2.194000000000002</v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124-2025-01-31</t>
        </is>
      </c>
    </row>
    <row r="369" hidden="1">
      <c r="A369" s="21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9" t="n">
        <v>45716</v>
      </c>
      <c r="G369" s="5" t="n">
        <v>2025</v>
      </c>
      <c r="H369" s="5" t="inlineStr">
        <is>
          <t>Febrero</t>
        </is>
      </c>
      <c r="I369" s="6" t="inlineStr">
        <is>
          <t>2025-1</t>
        </is>
      </c>
      <c r="J369" s="5" t="n">
        <v>0.2</v>
      </c>
      <c r="K369" s="9" t="n">
        <v>0</v>
      </c>
      <c r="L369" s="14" t="n">
        <v>1</v>
      </c>
      <c r="M369" s="14" t="n">
        <v>1</v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124-2025-02-28</t>
        </is>
      </c>
    </row>
    <row r="370" hidden="1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9" t="n">
        <v>45747</v>
      </c>
      <c r="G370" s="5" t="n">
        <v>2025</v>
      </c>
      <c r="H370" s="5" t="inlineStr">
        <is>
          <t>Marzo</t>
        </is>
      </c>
      <c r="I370" s="6" t="inlineStr">
        <is>
          <t>2025-1</t>
        </is>
      </c>
      <c r="J370" s="5" t="n">
        <v>0.2</v>
      </c>
      <c r="K370" s="9" t="n">
        <v>0.06</v>
      </c>
      <c r="L370" s="14" t="n">
        <v>1.3</v>
      </c>
      <c r="M370" s="14" t="n">
        <v>3.333333333333333</v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124-2025-03-31</t>
        </is>
      </c>
    </row>
    <row r="371" hidden="1">
      <c r="A371" s="26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9" t="n">
        <v>45777</v>
      </c>
      <c r="G371" s="5" t="n">
        <v>2025</v>
      </c>
      <c r="H371" s="5" t="inlineStr">
        <is>
          <t>Abril</t>
        </is>
      </c>
      <c r="I371" s="6" t="inlineStr">
        <is>
          <t>2025-1</t>
        </is>
      </c>
      <c r="J371" s="5" t="n">
        <v>0.2</v>
      </c>
      <c r="K371" s="9" t="n">
        <v>0</v>
      </c>
      <c r="L371" s="14" t="n">
        <v>1</v>
      </c>
      <c r="M371" s="14" t="n">
        <v>1</v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124-2025-04-30</t>
        </is>
      </c>
    </row>
    <row r="372" hidden="1">
      <c r="A372" s="26" t="n">
        <v>124</v>
      </c>
      <c r="B372" s="5" t="inlineStr">
        <is>
          <t>Indice de Frecuencia de accidentalidad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9" t="n">
        <v>45808</v>
      </c>
      <c r="G372" s="5" t="n">
        <v>2025</v>
      </c>
      <c r="H372" s="5" t="inlineStr">
        <is>
          <t>Mayo</t>
        </is>
      </c>
      <c r="I372" s="6" t="inlineStr">
        <is>
          <t>2025-1</t>
        </is>
      </c>
      <c r="J372" s="5" t="n">
        <v>0.2</v>
      </c>
      <c r="K372" s="9" t="n">
        <v>0.06</v>
      </c>
      <c r="L372" s="14" t="n">
        <v>1.3</v>
      </c>
      <c r="M372" s="14" t="n">
        <v>3.333333333333333</v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124-2025-05-31</t>
        </is>
      </c>
    </row>
    <row r="373" hidden="1">
      <c r="A373" s="21" t="n">
        <v>124</v>
      </c>
      <c r="B373" s="5" t="inlineStr">
        <is>
          <t>Indice de Frecuencia de accidentalidad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8" t="n">
        <v>45838</v>
      </c>
      <c r="G373" s="5" t="n">
        <v>2025</v>
      </c>
      <c r="H373" s="5" t="inlineStr">
        <is>
          <t>Junio</t>
        </is>
      </c>
      <c r="I373" s="6" t="inlineStr">
        <is>
          <t>2025-1</t>
        </is>
      </c>
      <c r="J373" s="5" t="n">
        <v>0.2</v>
      </c>
      <c r="K373" s="9" t="n">
        <v>0</v>
      </c>
      <c r="L373" s="14" t="n">
        <v>1</v>
      </c>
      <c r="M373" s="14" t="n">
        <v>1</v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124-2025-06-30</t>
        </is>
      </c>
    </row>
    <row r="374" hidden="1">
      <c r="A374" s="26" t="n">
        <v>124</v>
      </c>
      <c r="B374" s="5" t="inlineStr">
        <is>
          <t>Indice de Frecuencia de accidentalidad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9" t="n">
        <v>45869</v>
      </c>
      <c r="G374" s="5" t="n">
        <v>2025</v>
      </c>
      <c r="H374" s="5" t="inlineStr">
        <is>
          <t>Julio</t>
        </is>
      </c>
      <c r="I374" s="6" t="inlineStr">
        <is>
          <t>2025-2</t>
        </is>
      </c>
      <c r="J374" s="5" t="n">
        <v>0.2</v>
      </c>
      <c r="K374" s="9" t="n">
        <v>0.08</v>
      </c>
      <c r="L374" s="14" t="n">
        <v>1.3</v>
      </c>
      <c r="M374" s="14" t="n">
        <v>2.5</v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124-2025-07-31</t>
        </is>
      </c>
    </row>
    <row r="375" hidden="1">
      <c r="A375" s="21" t="n">
        <v>124</v>
      </c>
      <c r="B375" s="5" t="inlineStr">
        <is>
          <t>Indice de Frecuencia de accidentalidad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9" t="n">
        <v>45900</v>
      </c>
      <c r="G375" s="5" t="n">
        <v>2025</v>
      </c>
      <c r="H375" s="5" t="inlineStr">
        <is>
          <t>Agosto</t>
        </is>
      </c>
      <c r="I375" s="6" t="inlineStr">
        <is>
          <t>2025-2</t>
        </is>
      </c>
      <c r="J375" s="5" t="n">
        <v>0.2</v>
      </c>
      <c r="K375" s="9" t="n">
        <v>0</v>
      </c>
      <c r="L375" s="14" t="n">
        <v>1</v>
      </c>
      <c r="M375" s="14" t="n">
        <v>1</v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124-2025-08-31</t>
        </is>
      </c>
    </row>
    <row r="376" hidden="1">
      <c r="A376" s="21" t="n">
        <v>124</v>
      </c>
      <c r="B376" s="5" t="inlineStr">
        <is>
          <t>Indice de Frecuencia de accidentalidad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9" t="n">
        <v>45930</v>
      </c>
      <c r="G376" s="5" t="n">
        <v>2025</v>
      </c>
      <c r="H376" s="5" t="inlineStr">
        <is>
          <t>Septiembre</t>
        </is>
      </c>
      <c r="I376" s="6" t="inlineStr">
        <is>
          <t>2025-2</t>
        </is>
      </c>
      <c r="J376" s="5" t="n">
        <v>0.2</v>
      </c>
      <c r="K376" s="9" t="n">
        <v>0</v>
      </c>
      <c r="L376" s="14" t="n">
        <v>1</v>
      </c>
      <c r="M376" s="14" t="n">
        <v>1</v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124-2025-09-30</t>
        </is>
      </c>
    </row>
    <row r="377" hidden="1">
      <c r="A377" s="21" t="n">
        <v>124</v>
      </c>
      <c r="B377" s="5" t="inlineStr">
        <is>
          <t>Indice de Frecuencia de accidentalidad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9" t="n">
        <v>45961</v>
      </c>
      <c r="G377" s="5" t="n">
        <v>2025</v>
      </c>
      <c r="H377" s="5" t="inlineStr">
        <is>
          <t>Octubre</t>
        </is>
      </c>
      <c r="I377" s="6" t="inlineStr">
        <is>
          <t>2025-2</t>
        </is>
      </c>
      <c r="J377" s="5" t="n">
        <v>0.2</v>
      </c>
      <c r="K377" s="9" t="n">
        <v>0</v>
      </c>
      <c r="L377" s="14" t="n">
        <v>1</v>
      </c>
      <c r="M377" s="14" t="n">
        <v>1</v>
      </c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124-2025-10-31</t>
        </is>
      </c>
    </row>
    <row r="378" hidden="1">
      <c r="A378" s="21" t="n">
        <v>124</v>
      </c>
      <c r="B378" s="5" t="inlineStr">
        <is>
          <t>Indice de Frecuencia de accidentalidad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9" t="n">
        <v>45991</v>
      </c>
      <c r="G378" s="5" t="n">
        <v>2025</v>
      </c>
      <c r="H378" s="5" t="inlineStr">
        <is>
          <t>Noviembre</t>
        </is>
      </c>
      <c r="I378" s="6" t="inlineStr">
        <is>
          <t>2025-2</t>
        </is>
      </c>
      <c r="J378" s="5" t="n">
        <v>0.2</v>
      </c>
      <c r="K378" s="9" t="n">
        <v>0</v>
      </c>
      <c r="L378" s="14" t="n">
        <v>1</v>
      </c>
      <c r="M378" s="14" t="n">
        <v>1</v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124-2025-11-30</t>
        </is>
      </c>
    </row>
    <row r="379" hidden="1">
      <c r="A379" s="21" t="n">
        <v>124</v>
      </c>
      <c r="B379" s="5" t="inlineStr">
        <is>
          <t>Indice de Frecuencia de accidentalidad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9" t="n">
        <v>46022</v>
      </c>
      <c r="G379" s="5" t="n">
        <v>2025</v>
      </c>
      <c r="H379" s="5" t="inlineStr">
        <is>
          <t>Diciembre</t>
        </is>
      </c>
      <c r="I379" s="6" t="inlineStr">
        <is>
          <t>2025-2</t>
        </is>
      </c>
      <c r="J379" s="5" t="n">
        <v>0.2</v>
      </c>
      <c r="K379" s="9" t="n">
        <v>0</v>
      </c>
      <c r="L379" s="14" t="n">
        <v>1</v>
      </c>
      <c r="M379" s="14" t="n">
        <v>1</v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124-2025-12-31</t>
        </is>
      </c>
    </row>
    <row r="380" hidden="1">
      <c r="A380" s="21" t="n">
        <v>124</v>
      </c>
      <c r="B380" s="5" t="inlineStr">
        <is>
          <t>Indice de Frecuencia de accidentalidad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9" t="n">
        <v>46053</v>
      </c>
      <c r="G380" s="5" t="n">
        <v>2026</v>
      </c>
      <c r="H380" s="5" t="inlineStr">
        <is>
          <t>Enero</t>
        </is>
      </c>
      <c r="I380" s="6" t="inlineStr">
        <is>
          <t>2026-1</t>
        </is>
      </c>
      <c r="J380" s="5" t="n">
        <v>0.2</v>
      </c>
      <c r="K380" s="9" t="n">
        <v>0</v>
      </c>
      <c r="L380" s="14" t="n">
        <v>1</v>
      </c>
      <c r="M380" s="14" t="n">
        <v>1</v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124-2026-01-31</t>
        </is>
      </c>
    </row>
    <row r="381" hidden="1">
      <c r="A381" s="26" t="n">
        <v>124</v>
      </c>
      <c r="B381" s="5" t="inlineStr">
        <is>
          <t>Indice de Frecuencia de accidentalidad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9" t="n">
        <v>46081</v>
      </c>
      <c r="G381" s="5" t="n">
        <v>2026</v>
      </c>
      <c r="H381" s="5" t="inlineStr">
        <is>
          <t>Febrero</t>
        </is>
      </c>
      <c r="I381" s="6" t="inlineStr">
        <is>
          <t>2026-1</t>
        </is>
      </c>
      <c r="J381" s="5" t="n">
        <v>0.2</v>
      </c>
      <c r="K381" s="9" t="n">
        <v>0.15</v>
      </c>
      <c r="L381" s="14" t="n">
        <v>1.3</v>
      </c>
      <c r="M381" s="14" t="n">
        <v>1.333333333333333</v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124-2026-02-28</t>
        </is>
      </c>
    </row>
    <row r="382" hidden="1">
      <c r="A382" s="26" t="n">
        <v>124</v>
      </c>
      <c r="B382" s="5" t="inlineStr">
        <is>
          <t>Indice de Frecuencia de accidentalidad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9" t="n">
        <v>46112</v>
      </c>
      <c r="G382" s="5" t="n">
        <v>2026</v>
      </c>
      <c r="H382" s="5" t="inlineStr">
        <is>
          <t>Marzo</t>
        </is>
      </c>
      <c r="I382" s="6" t="inlineStr">
        <is>
          <t>2026-1</t>
        </is>
      </c>
      <c r="J382" s="5" t="n">
        <v>0.2</v>
      </c>
      <c r="K382" s="9" t="n">
        <v>0</v>
      </c>
      <c r="L382" s="14" t="n">
        <v>1</v>
      </c>
      <c r="M382" s="14" t="n">
        <v>1</v>
      </c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124-2026-03-31</t>
        </is>
      </c>
    </row>
    <row r="383" hidden="1">
      <c r="A383" s="26" t="n">
        <v>124</v>
      </c>
      <c r="B383" s="5" t="inlineStr">
        <is>
          <t>Indice de Frecuencia de accidentalidad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9" t="n">
        <v>46142</v>
      </c>
      <c r="G383" s="5" t="n">
        <v>2026</v>
      </c>
      <c r="H383" s="5" t="inlineStr">
        <is>
          <t>Abril</t>
        </is>
      </c>
      <c r="I383" s="6" t="inlineStr">
        <is>
          <t>2026-1</t>
        </is>
      </c>
      <c r="J383" s="5" t="n">
        <v>0.2</v>
      </c>
      <c r="K383" s="9" t="n">
        <v>0.06</v>
      </c>
      <c r="L383" s="14" t="n">
        <v>1.3</v>
      </c>
      <c r="M383" s="14" t="n">
        <v>3.333333333333333</v>
      </c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124-2026-04-30</t>
        </is>
      </c>
    </row>
    <row r="384" hidden="1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9" t="n">
        <v>44592</v>
      </c>
      <c r="G384" s="5" t="n">
        <v>2022</v>
      </c>
      <c r="H384" s="5" t="inlineStr">
        <is>
          <t>Enero</t>
        </is>
      </c>
      <c r="I384" s="6" t="inlineStr">
        <is>
          <t>2022-1</t>
        </is>
      </c>
      <c r="J384" s="5" t="n">
        <v>4.7</v>
      </c>
      <c r="K384" s="9" t="n">
        <v>0</v>
      </c>
      <c r="L384" s="14" t="n">
        <v>1</v>
      </c>
      <c r="M384" s="14" t="n">
        <v>1</v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125-2022-01-31</t>
        </is>
      </c>
    </row>
    <row r="385" hidden="1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8" t="n">
        <v>44620</v>
      </c>
      <c r="G385" s="5" t="n">
        <v>2022</v>
      </c>
      <c r="H385" s="5" t="inlineStr">
        <is>
          <t>Febrero</t>
        </is>
      </c>
      <c r="I385" s="6" t="inlineStr">
        <is>
          <t>2022-1</t>
        </is>
      </c>
      <c r="J385" s="5" t="n">
        <v>4.7</v>
      </c>
      <c r="K385" s="9" t="n">
        <v>0.20964360587002</v>
      </c>
      <c r="L385" s="14" t="n">
        <v>1.3</v>
      </c>
      <c r="M385" s="14" t="n">
        <v>22.4190000000001</v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125-2022-02-28</t>
        </is>
      </c>
    </row>
    <row r="386" hidden="1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9" t="n">
        <v>44651</v>
      </c>
      <c r="G386" s="5" t="n">
        <v>2022</v>
      </c>
      <c r="H386" s="5" t="inlineStr">
        <is>
          <t>Marzo</t>
        </is>
      </c>
      <c r="I386" s="6" t="inlineStr">
        <is>
          <t>2022-1</t>
        </is>
      </c>
      <c r="J386" s="5" t="n">
        <v>4.7</v>
      </c>
      <c r="K386" s="10" t="n">
        <v>0</v>
      </c>
      <c r="L386" s="14" t="n">
        <v>1</v>
      </c>
      <c r="M386" s="14" t="n">
        <v>1</v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125-2022-03-31</t>
        </is>
      </c>
    </row>
    <row r="387" hidden="1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9" t="n">
        <v>44681</v>
      </c>
      <c r="G387" s="5" t="n">
        <v>2022</v>
      </c>
      <c r="H387" s="5" t="inlineStr">
        <is>
          <t>Abril</t>
        </is>
      </c>
      <c r="I387" s="6" t="inlineStr">
        <is>
          <t>2022-1</t>
        </is>
      </c>
      <c r="J387" s="5" t="n">
        <v>4.7</v>
      </c>
      <c r="K387" s="9" t="n">
        <v>0</v>
      </c>
      <c r="L387" s="14" t="n">
        <v>1</v>
      </c>
      <c r="M387" s="14" t="n">
        <v>1</v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125-2022-04-30</t>
        </is>
      </c>
    </row>
    <row r="388" hidden="1">
      <c r="A388" s="21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9" t="n">
        <v>44712</v>
      </c>
      <c r="G388" s="5" t="n">
        <v>2022</v>
      </c>
      <c r="H388" s="5" t="inlineStr">
        <is>
          <t>Mayo</t>
        </is>
      </c>
      <c r="I388" s="6" t="inlineStr">
        <is>
          <t>2022-1</t>
        </is>
      </c>
      <c r="J388" s="5" t="n">
        <v>4.7</v>
      </c>
      <c r="K388" s="9" t="n">
        <v>0.26680896478122</v>
      </c>
      <c r="L388" s="14" t="n">
        <v>1.3</v>
      </c>
      <c r="M388" s="14" t="n">
        <v>17.61559999999978</v>
      </c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125-2022-05-31</t>
        </is>
      </c>
    </row>
    <row r="389" hidden="1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9" t="n">
        <v>44742</v>
      </c>
      <c r="G389" s="5" t="n">
        <v>2022</v>
      </c>
      <c r="H389" s="5" t="inlineStr">
        <is>
          <t>Junio</t>
        </is>
      </c>
      <c r="I389" s="6" t="inlineStr">
        <is>
          <t>2022-1</t>
        </is>
      </c>
      <c r="J389" s="5" t="n">
        <v>4.7</v>
      </c>
      <c r="K389" s="9" t="n">
        <v>0</v>
      </c>
      <c r="L389" s="14" t="n">
        <v>1</v>
      </c>
      <c r="M389" s="14" t="n">
        <v>1</v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125-2022-06-30</t>
        </is>
      </c>
    </row>
    <row r="390" hidden="1">
      <c r="A390" s="21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9" t="n">
        <v>44773</v>
      </c>
      <c r="G390" s="5" t="n">
        <v>2022</v>
      </c>
      <c r="H390" s="5" t="inlineStr">
        <is>
          <t>Julio</t>
        </is>
      </c>
      <c r="I390" s="6" t="inlineStr">
        <is>
          <t>2022-2</t>
        </is>
      </c>
      <c r="J390" s="5" t="n">
        <v>4.7</v>
      </c>
      <c r="K390" s="9" t="n">
        <v>0</v>
      </c>
      <c r="L390" s="14" t="n">
        <v>1</v>
      </c>
      <c r="M390" s="14" t="n">
        <v>1</v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125-2022-07-31</t>
        </is>
      </c>
    </row>
    <row r="391" hidden="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9" t="n">
        <v>44804</v>
      </c>
      <c r="G391" s="5" t="n">
        <v>2022</v>
      </c>
      <c r="H391" s="5" t="inlineStr">
        <is>
          <t>Agosto</t>
        </is>
      </c>
      <c r="I391" s="6" t="inlineStr">
        <is>
          <t>2022-2</t>
        </is>
      </c>
      <c r="J391" s="5" t="n">
        <v>4.7</v>
      </c>
      <c r="K391" s="9" t="n">
        <v>0.31094527363184</v>
      </c>
      <c r="L391" s="14" t="n">
        <v>1.3</v>
      </c>
      <c r="M391" s="14" t="n">
        <v>15.11520000000004</v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125-2022-08-31</t>
        </is>
      </c>
    </row>
    <row r="392" hidden="1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9" t="n">
        <v>44834</v>
      </c>
      <c r="G392" s="5" t="n">
        <v>2022</v>
      </c>
      <c r="H392" s="5" t="inlineStr">
        <is>
          <t>Septiembre</t>
        </is>
      </c>
      <c r="I392" s="6" t="inlineStr">
        <is>
          <t>2022-2</t>
        </is>
      </c>
      <c r="J392" s="5" t="n">
        <v>4.7</v>
      </c>
      <c r="K392" s="9" t="n">
        <v>0</v>
      </c>
      <c r="L392" s="14" t="n">
        <v>1</v>
      </c>
      <c r="M392" s="14" t="n">
        <v>1</v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125-2022-09-30</t>
        </is>
      </c>
    </row>
    <row r="393" hidden="1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9" t="n">
        <v>44865</v>
      </c>
      <c r="G393" s="5" t="n">
        <v>2022</v>
      </c>
      <c r="H393" s="5" t="inlineStr">
        <is>
          <t>Octubre</t>
        </is>
      </c>
      <c r="I393" s="6" t="inlineStr">
        <is>
          <t>2022-2</t>
        </is>
      </c>
      <c r="J393" s="5" t="n">
        <v>4.7</v>
      </c>
      <c r="K393" s="9" t="n">
        <v>0.16556291390728</v>
      </c>
      <c r="L393" s="14" t="n">
        <v>1.3</v>
      </c>
      <c r="M393" s="14" t="n">
        <v>28.38800000000082</v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125-2022-10-31</t>
        </is>
      </c>
    </row>
    <row r="394" hidden="1">
      <c r="A394" s="5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8" t="n">
        <v>44895</v>
      </c>
      <c r="G394" s="5" t="n">
        <v>2022</v>
      </c>
      <c r="H394" s="5" t="inlineStr">
        <is>
          <t>Noviembre</t>
        </is>
      </c>
      <c r="I394" s="6" t="inlineStr">
        <is>
          <t>2022-2</t>
        </is>
      </c>
      <c r="J394" s="5" t="n">
        <v>4.7</v>
      </c>
      <c r="K394" s="9" t="n">
        <v>0</v>
      </c>
      <c r="L394" s="14" t="n">
        <v>1</v>
      </c>
      <c r="M394" s="14" t="n">
        <v>1</v>
      </c>
      <c r="N394" s="5" t="inlineStr">
        <is>
          <t>DEC</t>
        </is>
      </c>
      <c r="O394" s="5" t="inlineStr">
        <is>
          <t>DEC</t>
        </is>
      </c>
      <c r="P394" s="5" t="n">
        <v>1</v>
      </c>
      <c r="Q394" s="5" t="n">
        <v>2</v>
      </c>
      <c r="R394" s="5" t="inlineStr">
        <is>
          <t>125-2022-11-30</t>
        </is>
      </c>
    </row>
    <row r="395" hidden="1">
      <c r="A395" s="5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8" t="n">
        <v>44926</v>
      </c>
      <c r="G395" s="5" t="n">
        <v>2022</v>
      </c>
      <c r="H395" s="5" t="inlineStr">
        <is>
          <t>Diciembre</t>
        </is>
      </c>
      <c r="I395" s="6" t="inlineStr">
        <is>
          <t>2022-2</t>
        </is>
      </c>
      <c r="J395" s="5" t="n">
        <v>4.7</v>
      </c>
      <c r="K395" s="9" t="n">
        <v>0</v>
      </c>
      <c r="L395" s="14" t="n">
        <v>1</v>
      </c>
      <c r="M395" s="14" t="n">
        <v>1</v>
      </c>
      <c r="N395" s="5" t="inlineStr">
        <is>
          <t>DEC</t>
        </is>
      </c>
      <c r="O395" s="5" t="inlineStr">
        <is>
          <t>DEC</t>
        </is>
      </c>
      <c r="P395" s="5" t="n">
        <v>1</v>
      </c>
      <c r="Q395" s="5" t="n">
        <v>2</v>
      </c>
      <c r="R395" s="5" t="inlineStr">
        <is>
          <t>125-2022-12-31</t>
        </is>
      </c>
    </row>
    <row r="396" hidden="1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8" t="n">
        <v>44957</v>
      </c>
      <c r="G396" s="5" t="n">
        <v>2023</v>
      </c>
      <c r="H396" s="5" t="inlineStr">
        <is>
          <t>Enero</t>
        </is>
      </c>
      <c r="I396" s="6" t="inlineStr">
        <is>
          <t>2023-1</t>
        </is>
      </c>
      <c r="J396" s="5" t="n">
        <v>4.7</v>
      </c>
      <c r="K396" s="9" t="n">
        <v>0</v>
      </c>
      <c r="L396" s="14" t="n">
        <v>1</v>
      </c>
      <c r="M396" s="14" t="n">
        <v>1</v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125-2023-01-31</t>
        </is>
      </c>
    </row>
    <row r="397" hidden="1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9" t="n">
        <v>44985</v>
      </c>
      <c r="G397" s="5" t="n">
        <v>2023</v>
      </c>
      <c r="H397" s="5" t="inlineStr">
        <is>
          <t>Febrero</t>
        </is>
      </c>
      <c r="I397" s="6" t="inlineStr">
        <is>
          <t>2023-1</t>
        </is>
      </c>
      <c r="J397" s="5" t="n">
        <v>4.7</v>
      </c>
      <c r="K397" s="9" t="n">
        <v>0</v>
      </c>
      <c r="L397" s="14" t="n">
        <v>1</v>
      </c>
      <c r="M397" s="14" t="n">
        <v>1</v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125-2023-02-28</t>
        </is>
      </c>
    </row>
    <row r="398" hidden="1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8" t="n">
        <v>45016</v>
      </c>
      <c r="G398" s="5" t="n">
        <v>2023</v>
      </c>
      <c r="H398" s="5" t="inlineStr">
        <is>
          <t>Marzo</t>
        </is>
      </c>
      <c r="I398" s="6" t="inlineStr">
        <is>
          <t>2023-1</t>
        </is>
      </c>
      <c r="J398" s="5" t="n">
        <v>4.7</v>
      </c>
      <c r="K398" s="9" t="n">
        <v>0</v>
      </c>
      <c r="L398" s="14" t="n">
        <v>1</v>
      </c>
      <c r="M398" s="14" t="n">
        <v>1</v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125-2023-03-31</t>
        </is>
      </c>
    </row>
    <row r="399" hidden="1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9" t="n">
        <v>45046</v>
      </c>
      <c r="G399" s="5" t="n">
        <v>2023</v>
      </c>
      <c r="H399" s="5" t="inlineStr">
        <is>
          <t>Abril</t>
        </is>
      </c>
      <c r="I399" s="6" t="inlineStr">
        <is>
          <t>2023-1</t>
        </is>
      </c>
      <c r="J399" s="5" t="n">
        <v>4.7</v>
      </c>
      <c r="K399" s="10" t="n">
        <v>0.13044612575007</v>
      </c>
      <c r="L399" s="14" t="n">
        <v>1.3</v>
      </c>
      <c r="M399" s="14" t="n">
        <v>36.03019999999868</v>
      </c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125-2023-04-30</t>
        </is>
      </c>
    </row>
    <row r="400" hidden="1">
      <c r="A400" s="5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8" t="n">
        <v>45077</v>
      </c>
      <c r="G400" s="5" t="n">
        <v>2023</v>
      </c>
      <c r="H400" s="5" t="inlineStr">
        <is>
          <t>Mayo</t>
        </is>
      </c>
      <c r="I400" s="6" t="inlineStr">
        <is>
          <t>2023-1</t>
        </is>
      </c>
      <c r="J400" s="5" t="n">
        <v>4.7</v>
      </c>
      <c r="K400" s="9" t="n">
        <v>0</v>
      </c>
      <c r="L400" s="14" t="n">
        <v>1</v>
      </c>
      <c r="M400" s="14" t="n">
        <v>1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2</v>
      </c>
      <c r="R400" s="5" t="inlineStr">
        <is>
          <t>125-2023-05-31</t>
        </is>
      </c>
    </row>
    <row r="401" hidden="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8" t="n">
        <v>45107</v>
      </c>
      <c r="G401" s="5" t="n">
        <v>2023</v>
      </c>
      <c r="H401" s="5" t="inlineStr">
        <is>
          <t>Junio</t>
        </is>
      </c>
      <c r="I401" s="6" t="inlineStr">
        <is>
          <t>2023-1</t>
        </is>
      </c>
      <c r="J401" s="5" t="n">
        <v>4.7</v>
      </c>
      <c r="K401" s="9" t="n">
        <v>0</v>
      </c>
      <c r="L401" s="14" t="n">
        <v>1</v>
      </c>
      <c r="M401" s="14" t="n">
        <v>1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125-2023-06-30</t>
        </is>
      </c>
    </row>
    <row r="402" hidden="1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8" t="n">
        <v>45138</v>
      </c>
      <c r="G402" s="5" t="n">
        <v>2023</v>
      </c>
      <c r="H402" s="5" t="inlineStr">
        <is>
          <t>Julio</t>
        </is>
      </c>
      <c r="I402" s="6" t="inlineStr">
        <is>
          <t>2023-2</t>
        </is>
      </c>
      <c r="J402" s="5" t="n">
        <v>4.7</v>
      </c>
      <c r="K402" s="9" t="n">
        <v>1.0566037735849</v>
      </c>
      <c r="L402" s="14" t="n">
        <v>1.3</v>
      </c>
      <c r="M402" s="14" t="n">
        <v>4.448214285714309</v>
      </c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125-2023-07-31</t>
        </is>
      </c>
    </row>
    <row r="403" hidden="1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9" t="n">
        <v>45169</v>
      </c>
      <c r="G403" s="5" t="n">
        <v>2023</v>
      </c>
      <c r="H403" s="5" t="inlineStr">
        <is>
          <t>Agosto</t>
        </is>
      </c>
      <c r="I403" s="6" t="inlineStr">
        <is>
          <t>2023-2</t>
        </is>
      </c>
      <c r="J403" s="5" t="n">
        <v>4.7</v>
      </c>
      <c r="K403" s="9" t="n">
        <v>0.92</v>
      </c>
      <c r="L403" s="14" t="n">
        <v>1.3</v>
      </c>
      <c r="M403" s="14" t="n">
        <v>5.108695652173913</v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125-2023-08-31</t>
        </is>
      </c>
    </row>
    <row r="404" hidden="1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8" t="n">
        <v>45199</v>
      </c>
      <c r="G404" s="5" t="n">
        <v>2023</v>
      </c>
      <c r="H404" s="5" t="inlineStr">
        <is>
          <t>Septiembre</t>
        </is>
      </c>
      <c r="I404" s="6" t="inlineStr">
        <is>
          <t>2023-2</t>
        </is>
      </c>
      <c r="J404" s="5" t="n">
        <v>4.7</v>
      </c>
      <c r="K404" s="9" t="n">
        <v>0</v>
      </c>
      <c r="L404" s="14" t="n">
        <v>1</v>
      </c>
      <c r="M404" s="14" t="n">
        <v>1</v>
      </c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125-2023-09-30</t>
        </is>
      </c>
    </row>
    <row r="405" hidden="1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8" t="n">
        <v>45230</v>
      </c>
      <c r="G405" s="5" t="n">
        <v>2023</v>
      </c>
      <c r="H405" s="5" t="inlineStr">
        <is>
          <t>Octubre</t>
        </is>
      </c>
      <c r="I405" s="6" t="inlineStr">
        <is>
          <t>2023-2</t>
        </is>
      </c>
      <c r="J405" s="5" t="n">
        <v>4.7</v>
      </c>
      <c r="K405" s="9" t="n">
        <v>0</v>
      </c>
      <c r="L405" s="14" t="n">
        <v>1</v>
      </c>
      <c r="M405" s="14" t="n">
        <v>1</v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125-2023-10-31</t>
        </is>
      </c>
    </row>
    <row r="406" hidden="1">
      <c r="A406" s="5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8" t="n">
        <v>45260</v>
      </c>
      <c r="G406" s="5" t="n">
        <v>2023</v>
      </c>
      <c r="H406" s="5" t="inlineStr">
        <is>
          <t>Noviembre</t>
        </is>
      </c>
      <c r="I406" s="6" t="inlineStr">
        <is>
          <t>2023-2</t>
        </is>
      </c>
      <c r="J406" s="5" t="n">
        <v>4.7</v>
      </c>
      <c r="K406" s="9" t="n">
        <v>0</v>
      </c>
      <c r="L406" s="14" t="n">
        <v>1</v>
      </c>
      <c r="M406" s="14" t="n">
        <v>1</v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2</v>
      </c>
      <c r="R406" s="5" t="inlineStr">
        <is>
          <t>125-2023-11-30</t>
        </is>
      </c>
    </row>
    <row r="407" hidden="1">
      <c r="A407" s="21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8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4.7</v>
      </c>
      <c r="K407" s="9" t="n">
        <v>0</v>
      </c>
      <c r="L407" s="14" t="n">
        <v>1</v>
      </c>
      <c r="M407" s="14" t="n">
        <v>1</v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125-2023-12-31</t>
        </is>
      </c>
    </row>
    <row r="408" hidden="1">
      <c r="A408" s="26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9" t="n">
        <v>45322</v>
      </c>
      <c r="G408" s="5" t="n">
        <v>2024</v>
      </c>
      <c r="H408" s="5" t="inlineStr">
        <is>
          <t>Enero</t>
        </is>
      </c>
      <c r="I408" s="6" t="inlineStr">
        <is>
          <t>2024-1</t>
        </is>
      </c>
      <c r="J408" s="5" t="n">
        <v>1.9</v>
      </c>
      <c r="K408" s="9" t="n">
        <v>0</v>
      </c>
      <c r="L408" s="14" t="n">
        <v>1</v>
      </c>
      <c r="M408" s="14" t="n">
        <v>1</v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125-2024-01-31</t>
        </is>
      </c>
    </row>
    <row r="409" hidden="1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9" t="n">
        <v>45351</v>
      </c>
      <c r="G409" s="5" t="n">
        <v>2024</v>
      </c>
      <c r="H409" s="5" t="inlineStr">
        <is>
          <t>Febrero</t>
        </is>
      </c>
      <c r="I409" s="6" t="inlineStr">
        <is>
          <t>2024-1</t>
        </is>
      </c>
      <c r="J409" s="5" t="n">
        <v>1.9</v>
      </c>
      <c r="K409" s="9" t="n">
        <v>0</v>
      </c>
      <c r="L409" s="14" t="n">
        <v>1</v>
      </c>
      <c r="M409" s="14" t="n">
        <v>1</v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125-2024-02-29</t>
        </is>
      </c>
    </row>
    <row r="410" hidden="1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9" t="n">
        <v>45382</v>
      </c>
      <c r="G410" s="5" t="n">
        <v>2024</v>
      </c>
      <c r="H410" s="5" t="inlineStr">
        <is>
          <t>Marzo</t>
        </is>
      </c>
      <c r="I410" s="6" t="inlineStr">
        <is>
          <t>2024-1</t>
        </is>
      </c>
      <c r="J410" s="5" t="n">
        <v>1.9</v>
      </c>
      <c r="K410" s="9" t="n">
        <v>0</v>
      </c>
      <c r="L410" s="14" t="n">
        <v>1</v>
      </c>
      <c r="M410" s="14" t="n">
        <v>1</v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125-2024-03-31</t>
        </is>
      </c>
    </row>
    <row r="411" hidden="1">
      <c r="A411" s="28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9" t="n">
        <v>45412</v>
      </c>
      <c r="G411" s="5" t="n">
        <v>2024</v>
      </c>
      <c r="H411" s="5" t="inlineStr">
        <is>
          <t>Abril</t>
        </is>
      </c>
      <c r="I411" s="6" t="inlineStr">
        <is>
          <t>2024-1</t>
        </is>
      </c>
      <c r="J411" s="5" t="n">
        <v>1.9</v>
      </c>
      <c r="K411" s="9" t="n">
        <v>0</v>
      </c>
      <c r="L411" s="14" t="n">
        <v>1</v>
      </c>
      <c r="M411" s="14" t="n">
        <v>1</v>
      </c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125-2024-04-30</t>
        </is>
      </c>
    </row>
    <row r="412" hidden="1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9" t="n">
        <v>45443</v>
      </c>
      <c r="G412" s="5" t="n">
        <v>2024</v>
      </c>
      <c r="H412" s="5" t="inlineStr">
        <is>
          <t>Mayo</t>
        </is>
      </c>
      <c r="I412" s="6" t="inlineStr">
        <is>
          <t>2024-1</t>
        </is>
      </c>
      <c r="J412" s="5" t="n">
        <v>1.9</v>
      </c>
      <c r="K412" s="9" t="n">
        <v>0.2091175240485153</v>
      </c>
      <c r="L412" s="14" t="n">
        <v>1.3</v>
      </c>
      <c r="M412" s="14" t="n">
        <v>9.085799999999997</v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125-2024-05-31</t>
        </is>
      </c>
    </row>
    <row r="413" hidden="1">
      <c r="A413" s="21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09" t="n">
        <v>45473</v>
      </c>
      <c r="G413" s="5" t="n">
        <v>2024</v>
      </c>
      <c r="H413" s="5" t="inlineStr">
        <is>
          <t>Junio</t>
        </is>
      </c>
      <c r="I413" s="6" t="inlineStr">
        <is>
          <t>2024-1</t>
        </is>
      </c>
      <c r="J413" s="5" t="n">
        <v>1.9</v>
      </c>
      <c r="K413" s="10" t="n">
        <v>0</v>
      </c>
      <c r="L413" s="14" t="n">
        <v>1</v>
      </c>
      <c r="M413" s="14" t="n">
        <v>1</v>
      </c>
      <c r="N413" s="5" t="inlineStr">
        <is>
          <t>DEC</t>
        </is>
      </c>
      <c r="O413" s="5" t="inlineStr">
        <is>
          <t>DEC</t>
        </is>
      </c>
      <c r="P413" s="15" t="n">
        <v>1</v>
      </c>
      <c r="Q413" s="15" t="n">
        <v>2</v>
      </c>
      <c r="R413" s="5" t="inlineStr">
        <is>
          <t>125-2024-06-30</t>
        </is>
      </c>
    </row>
    <row r="414" hidden="1">
      <c r="A414" s="21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09" t="n">
        <v>45504</v>
      </c>
      <c r="G414" s="5" t="n">
        <v>2024</v>
      </c>
      <c r="H414" s="5" t="inlineStr">
        <is>
          <t>Julio</t>
        </is>
      </c>
      <c r="I414" s="6" t="inlineStr">
        <is>
          <t>2024-2</t>
        </is>
      </c>
      <c r="J414" s="5" t="n">
        <v>1.9</v>
      </c>
      <c r="K414" s="10" t="n">
        <v>0</v>
      </c>
      <c r="L414" s="14" t="n">
        <v>1</v>
      </c>
      <c r="M414" s="14" t="n">
        <v>1</v>
      </c>
      <c r="N414" s="5" t="inlineStr">
        <is>
          <t>DEC</t>
        </is>
      </c>
      <c r="O414" s="5" t="inlineStr">
        <is>
          <t>DEC</t>
        </is>
      </c>
      <c r="P414" s="15" t="n">
        <v>1</v>
      </c>
      <c r="Q414" s="15" t="n">
        <v>2</v>
      </c>
      <c r="R414" s="5" t="inlineStr">
        <is>
          <t>125-2024-07-31</t>
        </is>
      </c>
    </row>
    <row r="415" hidden="1">
      <c r="A415" s="21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08" t="n">
        <v>45535</v>
      </c>
      <c r="G415" s="5" t="n">
        <v>2024</v>
      </c>
      <c r="H415" s="5" t="inlineStr">
        <is>
          <t>Agosto</t>
        </is>
      </c>
      <c r="I415" s="6" t="inlineStr">
        <is>
          <t>2024-2</t>
        </is>
      </c>
      <c r="J415" s="5" t="n">
        <v>1.9</v>
      </c>
      <c r="K415" s="9" t="n">
        <v>0</v>
      </c>
      <c r="L415" s="14" t="n">
        <v>1</v>
      </c>
      <c r="M415" s="14" t="n">
        <v>1</v>
      </c>
      <c r="N415" s="5" t="inlineStr">
        <is>
          <t>DEC</t>
        </is>
      </c>
      <c r="O415" s="5" t="inlineStr">
        <is>
          <t>DEC</t>
        </is>
      </c>
      <c r="P415" s="15" t="n">
        <v>1</v>
      </c>
      <c r="Q415" s="15" t="n">
        <v>2</v>
      </c>
      <c r="R415" s="5" t="inlineStr">
        <is>
          <t>125-2024-08-31</t>
        </is>
      </c>
    </row>
    <row r="416" hidden="1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09" t="n">
        <v>45565</v>
      </c>
      <c r="G416" s="5" t="n">
        <v>2024</v>
      </c>
      <c r="H416" s="5" t="inlineStr">
        <is>
          <t>Septiembre</t>
        </is>
      </c>
      <c r="I416" s="6" t="inlineStr">
        <is>
          <t>2024-2</t>
        </is>
      </c>
      <c r="J416" s="5" t="n">
        <v>1.9</v>
      </c>
      <c r="K416" s="9" t="n">
        <v>0</v>
      </c>
      <c r="L416" s="14" t="n">
        <v>1</v>
      </c>
      <c r="M416" s="14" t="n">
        <v>1</v>
      </c>
      <c r="N416" s="5" t="inlineStr">
        <is>
          <t>DEC</t>
        </is>
      </c>
      <c r="O416" s="5" t="inlineStr">
        <is>
          <t>DEC</t>
        </is>
      </c>
      <c r="P416" s="15" t="n">
        <v>1</v>
      </c>
      <c r="Q416" s="15" t="n">
        <v>2</v>
      </c>
      <c r="R416" s="5" t="inlineStr">
        <is>
          <t>125-2024-09-30</t>
        </is>
      </c>
    </row>
    <row r="417" hidden="1">
      <c r="A417" s="5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09" t="n">
        <v>45596</v>
      </c>
      <c r="G417" s="5" t="n">
        <v>2024</v>
      </c>
      <c r="H417" s="5" t="inlineStr">
        <is>
          <t>Octubre</t>
        </is>
      </c>
      <c r="I417" s="6" t="inlineStr">
        <is>
          <t>2024-2</t>
        </is>
      </c>
      <c r="J417" s="5" t="n">
        <v>1.9</v>
      </c>
      <c r="K417" s="5" t="n">
        <v>0</v>
      </c>
      <c r="L417" s="14" t="n">
        <v>1</v>
      </c>
      <c r="M417" s="14" t="n">
        <v>1</v>
      </c>
      <c r="N417" s="5" t="inlineStr">
        <is>
          <t>DEC</t>
        </is>
      </c>
      <c r="O417" s="5" t="inlineStr">
        <is>
          <t>DEC</t>
        </is>
      </c>
      <c r="P417" s="5" t="n">
        <v>1</v>
      </c>
      <c r="Q417" s="5" t="n">
        <v>2</v>
      </c>
      <c r="R417" s="5" t="inlineStr">
        <is>
          <t>125-2024-10-31</t>
        </is>
      </c>
    </row>
    <row r="418" hidden="1">
      <c r="A418" s="21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09" t="n">
        <v>45626</v>
      </c>
      <c r="G418" s="5" t="n">
        <v>2024</v>
      </c>
      <c r="H418" s="5" t="inlineStr">
        <is>
          <t>Noviembre</t>
        </is>
      </c>
      <c r="I418" s="6" t="inlineStr">
        <is>
          <t>2024-2</t>
        </is>
      </c>
      <c r="J418" s="5" t="n">
        <v>1.9</v>
      </c>
      <c r="K418" s="10" t="n">
        <v>0</v>
      </c>
      <c r="L418" s="14" t="n">
        <v>1</v>
      </c>
      <c r="M418" s="14" t="n">
        <v>1</v>
      </c>
      <c r="N418" s="5" t="inlineStr">
        <is>
          <t>DEC</t>
        </is>
      </c>
      <c r="O418" s="5" t="inlineStr">
        <is>
          <t>DEC</t>
        </is>
      </c>
      <c r="P418" s="15" t="n">
        <v>1</v>
      </c>
      <c r="Q418" s="15" t="n">
        <v>2</v>
      </c>
      <c r="R418" s="5" t="inlineStr">
        <is>
          <t>125-2024-11-30</t>
        </is>
      </c>
    </row>
    <row r="419" hidden="1">
      <c r="A419" s="26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09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1.9</v>
      </c>
      <c r="K419" s="9" t="n">
        <v>0.91324200913242</v>
      </c>
      <c r="L419" s="14" t="n">
        <v>1.3</v>
      </c>
      <c r="M419" s="14" t="n">
        <v>2.0805</v>
      </c>
      <c r="N419" s="5" t="inlineStr">
        <is>
          <t>DEC</t>
        </is>
      </c>
      <c r="O419" s="17" t="inlineStr">
        <is>
          <t>DEC</t>
        </is>
      </c>
      <c r="P419" s="15" t="n">
        <v>1</v>
      </c>
      <c r="Q419" s="15" t="n">
        <v>2</v>
      </c>
      <c r="R419" s="5" t="inlineStr">
        <is>
          <t>125-2024-12-31</t>
        </is>
      </c>
    </row>
    <row r="420" hidden="1">
      <c r="A420" s="21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09" t="n">
        <v>45688</v>
      </c>
      <c r="G420" s="5" t="n">
        <v>2025</v>
      </c>
      <c r="H420" s="5" t="inlineStr">
        <is>
          <t>Enero</t>
        </is>
      </c>
      <c r="I420" s="6" t="inlineStr">
        <is>
          <t>2025-1</t>
        </is>
      </c>
      <c r="J420" s="5" t="n">
        <v>1.9</v>
      </c>
      <c r="K420" s="10" t="n">
        <v>0.2734731084776664</v>
      </c>
      <c r="L420" s="14" t="n">
        <v>1.3</v>
      </c>
      <c r="M420" s="14" t="n">
        <v>6.947666666666665</v>
      </c>
      <c r="N420" s="5" t="inlineStr">
        <is>
          <t>DEC</t>
        </is>
      </c>
      <c r="O420" s="5" t="inlineStr">
        <is>
          <t>DEC</t>
        </is>
      </c>
      <c r="P420" s="15" t="n">
        <v>1</v>
      </c>
      <c r="Q420" s="15" t="n">
        <v>2</v>
      </c>
      <c r="R420" s="5" t="inlineStr">
        <is>
          <t>125-2025-01-31</t>
        </is>
      </c>
    </row>
    <row r="421" hidden="1">
      <c r="A421" s="21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09" t="n">
        <v>45716</v>
      </c>
      <c r="G421" s="5" t="n">
        <v>2025</v>
      </c>
      <c r="H421" s="5" t="inlineStr">
        <is>
          <t>Febrero</t>
        </is>
      </c>
      <c r="I421" s="6" t="inlineStr">
        <is>
          <t>2025-1</t>
        </is>
      </c>
      <c r="J421" s="5" t="n">
        <v>1.9</v>
      </c>
      <c r="K421" s="9" t="n">
        <v>0</v>
      </c>
      <c r="L421" s="14" t="n">
        <v>1</v>
      </c>
      <c r="M421" s="14" t="n">
        <v>1</v>
      </c>
      <c r="N421" s="5" t="inlineStr">
        <is>
          <t>DEC</t>
        </is>
      </c>
      <c r="O421" s="5" t="inlineStr">
        <is>
          <t>DEC</t>
        </is>
      </c>
      <c r="P421" s="15" t="n">
        <v>1</v>
      </c>
      <c r="Q421" s="15" t="n">
        <v>2</v>
      </c>
      <c r="R421" s="5" t="inlineStr">
        <is>
          <t>125-2025-02-28</t>
        </is>
      </c>
    </row>
    <row r="422" hidden="1">
      <c r="A422" s="5" t="n">
        <v>125</v>
      </c>
      <c r="B422" s="5" t="inlineStr">
        <is>
          <t>Indice de severidad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08" t="n">
        <v>45747</v>
      </c>
      <c r="G422" s="5" t="n">
        <v>2025</v>
      </c>
      <c r="H422" s="5" t="inlineStr">
        <is>
          <t>Marzo</t>
        </is>
      </c>
      <c r="I422" s="6" t="inlineStr">
        <is>
          <t>2025-1</t>
        </is>
      </c>
      <c r="J422" s="96" t="n">
        <v>1.9</v>
      </c>
      <c r="K422" s="9" t="n">
        <v>0.45</v>
      </c>
      <c r="L422" s="14" t="n">
        <v>1.3</v>
      </c>
      <c r="M422" s="14" t="n">
        <v>4.222222222222222</v>
      </c>
      <c r="N422" s="5" t="inlineStr">
        <is>
          <t>DEC</t>
        </is>
      </c>
      <c r="O422" s="5" t="inlineStr">
        <is>
          <t>DEC</t>
        </is>
      </c>
      <c r="P422" s="5" t="n">
        <v>1</v>
      </c>
      <c r="Q422" s="5" t="n">
        <v>2</v>
      </c>
      <c r="R422" s="5" t="inlineStr">
        <is>
          <t>125-2025-03-31</t>
        </is>
      </c>
    </row>
    <row r="423" hidden="1">
      <c r="A423" s="5" t="n">
        <v>125</v>
      </c>
      <c r="B423" s="5" t="inlineStr">
        <is>
          <t>Indice de severidad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08" t="n">
        <v>45777</v>
      </c>
      <c r="G423" s="5" t="n">
        <v>2025</v>
      </c>
      <c r="H423" s="5" t="inlineStr">
        <is>
          <t>Abril</t>
        </is>
      </c>
      <c r="I423" s="6" t="inlineStr">
        <is>
          <t>2025-1</t>
        </is>
      </c>
      <c r="J423" s="96" t="n">
        <v>1.9</v>
      </c>
      <c r="K423" s="9" t="n">
        <v>0</v>
      </c>
      <c r="L423" s="14" t="n">
        <v>1</v>
      </c>
      <c r="M423" s="14" t="n">
        <v>1</v>
      </c>
      <c r="N423" s="5" t="inlineStr">
        <is>
          <t>DEC</t>
        </is>
      </c>
      <c r="O423" s="5" t="inlineStr">
        <is>
          <t>DEC</t>
        </is>
      </c>
      <c r="P423" s="5" t="n">
        <v>1</v>
      </c>
      <c r="Q423" s="5" t="n">
        <v>2</v>
      </c>
      <c r="R423" s="5" t="inlineStr">
        <is>
          <t>125-2025-04-30</t>
        </is>
      </c>
    </row>
    <row r="424" hidden="1">
      <c r="A424" s="28" t="n">
        <v>125</v>
      </c>
      <c r="B424" s="5" t="inlineStr">
        <is>
          <t>Indice de severidad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09" t="n">
        <v>45808</v>
      </c>
      <c r="G424" s="5" t="n">
        <v>2025</v>
      </c>
      <c r="H424" s="5" t="inlineStr">
        <is>
          <t>Mayo</t>
        </is>
      </c>
      <c r="I424" s="6" t="inlineStr">
        <is>
          <t>2025-1</t>
        </is>
      </c>
      <c r="J424" s="76" t="n">
        <v>1.9</v>
      </c>
      <c r="K424" s="9" t="n">
        <v>0.24</v>
      </c>
      <c r="L424" s="14" t="n">
        <v>1.3</v>
      </c>
      <c r="M424" s="14" t="n">
        <v>7.916666666666667</v>
      </c>
      <c r="N424" s="5" t="inlineStr">
        <is>
          <t>DEC</t>
        </is>
      </c>
      <c r="O424" s="5" t="inlineStr">
        <is>
          <t>DEC</t>
        </is>
      </c>
      <c r="P424" s="15" t="n">
        <v>1</v>
      </c>
      <c r="Q424" s="15" t="n">
        <v>2</v>
      </c>
      <c r="R424" s="5" t="inlineStr">
        <is>
          <t>125-2025-05-31</t>
        </is>
      </c>
    </row>
    <row r="425" hidden="1">
      <c r="A425" s="26" t="n">
        <v>125</v>
      </c>
      <c r="B425" s="5" t="inlineStr">
        <is>
          <t>Indice de severidad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09" t="n">
        <v>45838</v>
      </c>
      <c r="G425" s="5" t="n">
        <v>2025</v>
      </c>
      <c r="H425" s="5" t="inlineStr">
        <is>
          <t>Junio</t>
        </is>
      </c>
      <c r="I425" s="6" t="inlineStr">
        <is>
          <t>2025-1</t>
        </is>
      </c>
      <c r="J425" s="76" t="n">
        <v>1.9</v>
      </c>
      <c r="K425" s="9" t="n">
        <v>0</v>
      </c>
      <c r="L425" s="14" t="n">
        <v>1</v>
      </c>
      <c r="M425" s="14" t="n">
        <v>1</v>
      </c>
      <c r="N425" s="5" t="inlineStr">
        <is>
          <t>DEC</t>
        </is>
      </c>
      <c r="O425" s="5" t="inlineStr">
        <is>
          <t>DEC</t>
        </is>
      </c>
      <c r="P425" s="15" t="n">
        <v>1</v>
      </c>
      <c r="Q425" s="15" t="n">
        <v>2</v>
      </c>
      <c r="R425" s="5" t="inlineStr">
        <is>
          <t>125-2025-06-30</t>
        </is>
      </c>
    </row>
    <row r="426" hidden="1">
      <c r="A426" s="28" t="n">
        <v>125</v>
      </c>
      <c r="B426" s="5" t="inlineStr">
        <is>
          <t>Indice de severidad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45869</v>
      </c>
      <c r="G426" s="5" t="n">
        <v>2025</v>
      </c>
      <c r="H426" s="5" t="inlineStr">
        <is>
          <t>Julio</t>
        </is>
      </c>
      <c r="I426" s="6" t="inlineStr">
        <is>
          <t>2025-2</t>
        </is>
      </c>
      <c r="J426" s="76" t="n">
        <v>1.9</v>
      </c>
      <c r="K426" s="9" t="n">
        <v>0.25</v>
      </c>
      <c r="L426" s="14" t="n">
        <v>1.3</v>
      </c>
      <c r="M426" s="14" t="n">
        <v>7.6</v>
      </c>
      <c r="N426" s="5" t="inlineStr">
        <is>
          <t>DEC</t>
        </is>
      </c>
      <c r="O426" s="5" t="inlineStr">
        <is>
          <t>DEC</t>
        </is>
      </c>
      <c r="P426" s="15" t="n">
        <v>1</v>
      </c>
      <c r="Q426" s="15" t="n">
        <v>2</v>
      </c>
      <c r="R426" s="5" t="inlineStr">
        <is>
          <t>125-2025-07-31</t>
        </is>
      </c>
    </row>
    <row r="427" hidden="1">
      <c r="A427" s="21" t="n">
        <v>125</v>
      </c>
      <c r="B427" s="5" t="inlineStr">
        <is>
          <t>Indice de severidad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45900</v>
      </c>
      <c r="G427" s="5" t="n">
        <v>2025</v>
      </c>
      <c r="H427" s="5" t="inlineStr">
        <is>
          <t>Agosto</t>
        </is>
      </c>
      <c r="I427" s="6" t="inlineStr">
        <is>
          <t>2025-2</t>
        </is>
      </c>
      <c r="J427" s="73" t="n">
        <v>1.9</v>
      </c>
      <c r="K427" s="9" t="n">
        <v>0</v>
      </c>
      <c r="L427" s="14" t="n">
        <v>1</v>
      </c>
      <c r="M427" s="14" t="n">
        <v>1</v>
      </c>
      <c r="N427" s="5" t="inlineStr">
        <is>
          <t>DEC</t>
        </is>
      </c>
      <c r="O427" s="5" t="inlineStr">
        <is>
          <t>DEC</t>
        </is>
      </c>
      <c r="P427" s="15" t="n">
        <v>1</v>
      </c>
      <c r="Q427" s="15" t="n">
        <v>2</v>
      </c>
      <c r="R427" s="5" t="inlineStr">
        <is>
          <t>125-2025-08-31</t>
        </is>
      </c>
    </row>
    <row r="428" hidden="1">
      <c r="A428" s="5" t="n">
        <v>125</v>
      </c>
      <c r="B428" s="5" t="inlineStr">
        <is>
          <t>Indice de severidad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08" t="n">
        <v>45930</v>
      </c>
      <c r="G428" s="5" t="n">
        <v>2025</v>
      </c>
      <c r="H428" s="5" t="inlineStr">
        <is>
          <t>Septiembre</t>
        </is>
      </c>
      <c r="I428" s="6" t="inlineStr">
        <is>
          <t>2025-2</t>
        </is>
      </c>
      <c r="J428" s="11" t="n">
        <v>1.9</v>
      </c>
      <c r="K428" s="9" t="n">
        <v>0</v>
      </c>
      <c r="L428" s="14" t="n">
        <v>1</v>
      </c>
      <c r="M428" s="14" t="n">
        <v>1</v>
      </c>
      <c r="N428" s="5" t="inlineStr">
        <is>
          <t>DEC</t>
        </is>
      </c>
      <c r="O428" s="5" t="inlineStr">
        <is>
          <t>DEC</t>
        </is>
      </c>
      <c r="P428" s="5" t="n">
        <v>1</v>
      </c>
      <c r="Q428" s="5" t="n">
        <v>2</v>
      </c>
      <c r="R428" s="5" t="inlineStr">
        <is>
          <t>125-2025-09-30</t>
        </is>
      </c>
    </row>
    <row r="429" hidden="1">
      <c r="A429" s="5" t="n">
        <v>125</v>
      </c>
      <c r="B429" s="5" t="inlineStr">
        <is>
          <t>Indice de severidad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08" t="n">
        <v>45961</v>
      </c>
      <c r="G429" s="5" t="n">
        <v>2025</v>
      </c>
      <c r="H429" s="5" t="inlineStr">
        <is>
          <t>Octubre</t>
        </is>
      </c>
      <c r="I429" s="6" t="inlineStr">
        <is>
          <t>2025-2</t>
        </is>
      </c>
      <c r="J429" s="11" t="n">
        <v>1.9</v>
      </c>
      <c r="K429" s="9" t="n">
        <v>0</v>
      </c>
      <c r="L429" s="14" t="n">
        <v>1</v>
      </c>
      <c r="M429" s="14" t="n">
        <v>1</v>
      </c>
      <c r="N429" s="5" t="inlineStr">
        <is>
          <t>DEC</t>
        </is>
      </c>
      <c r="O429" s="5" t="inlineStr">
        <is>
          <t>DEC</t>
        </is>
      </c>
      <c r="P429" s="5" t="n">
        <v>1</v>
      </c>
      <c r="Q429" s="5" t="n">
        <v>2</v>
      </c>
      <c r="R429" s="5" t="inlineStr">
        <is>
          <t>125-2025-10-31</t>
        </is>
      </c>
    </row>
    <row r="430" hidden="1">
      <c r="A430" s="21" t="n">
        <v>125</v>
      </c>
      <c r="B430" s="5" t="inlineStr">
        <is>
          <t>Indice de severidad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08" t="n">
        <v>45991</v>
      </c>
      <c r="G430" s="5" t="n">
        <v>2025</v>
      </c>
      <c r="H430" s="5" t="inlineStr">
        <is>
          <t>Noviembre</t>
        </is>
      </c>
      <c r="I430" s="6" t="inlineStr">
        <is>
          <t>2025-2</t>
        </is>
      </c>
      <c r="J430" s="5" t="n">
        <v>1.9</v>
      </c>
      <c r="K430" s="9" t="n">
        <v>0</v>
      </c>
      <c r="L430" s="14" t="n">
        <v>1</v>
      </c>
      <c r="M430" s="14" t="n">
        <v>1</v>
      </c>
      <c r="N430" s="5" t="inlineStr">
        <is>
          <t>DEC</t>
        </is>
      </c>
      <c r="O430" s="5" t="inlineStr">
        <is>
          <t>DEC</t>
        </is>
      </c>
      <c r="P430" s="15" t="n">
        <v>1</v>
      </c>
      <c r="Q430" s="15" t="n">
        <v>2</v>
      </c>
      <c r="R430" s="5" t="inlineStr">
        <is>
          <t>125-2025-11-30</t>
        </is>
      </c>
    </row>
    <row r="431" hidden="1">
      <c r="A431" s="26" t="n">
        <v>125</v>
      </c>
      <c r="B431" s="5" t="inlineStr">
        <is>
          <t>Indice de severidad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73" t="n">
        <v>1.9</v>
      </c>
      <c r="K431" s="9" t="n">
        <v>0</v>
      </c>
      <c r="L431" s="14" t="n">
        <v>1</v>
      </c>
      <c r="M431" s="14" t="n">
        <v>1</v>
      </c>
      <c r="N431" s="5" t="inlineStr">
        <is>
          <t>DEC</t>
        </is>
      </c>
      <c r="O431" s="5" t="inlineStr">
        <is>
          <t>DEC</t>
        </is>
      </c>
      <c r="P431" s="15" t="n">
        <v>1</v>
      </c>
      <c r="Q431" s="15" t="n">
        <v>2</v>
      </c>
      <c r="R431" s="5" t="inlineStr">
        <is>
          <t>125-2025-12-31</t>
        </is>
      </c>
    </row>
    <row r="432" hidden="1">
      <c r="A432" s="21" t="n">
        <v>125</v>
      </c>
      <c r="B432" s="5" t="inlineStr">
        <is>
          <t>Indice de severidad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8" t="n">
        <v>46053</v>
      </c>
      <c r="G432" s="5" t="n">
        <v>2026</v>
      </c>
      <c r="H432" s="5" t="inlineStr">
        <is>
          <t>Enero</t>
        </is>
      </c>
      <c r="I432" s="6" t="inlineStr">
        <is>
          <t>2026-1</t>
        </is>
      </c>
      <c r="J432" s="5" t="n">
        <v>4.7</v>
      </c>
      <c r="K432" s="9" t="n">
        <v>0</v>
      </c>
      <c r="L432" s="14" t="n">
        <v>1</v>
      </c>
      <c r="M432" s="14" t="n">
        <v>1</v>
      </c>
      <c r="N432" s="5" t="inlineStr">
        <is>
          <t>DEC</t>
        </is>
      </c>
      <c r="O432" s="5" t="inlineStr">
        <is>
          <t>DEC</t>
        </is>
      </c>
      <c r="P432" s="15" t="n">
        <v>1</v>
      </c>
      <c r="Q432" s="15" t="n">
        <v>2</v>
      </c>
      <c r="R432" s="5" t="inlineStr">
        <is>
          <t>125-2026-01-31</t>
        </is>
      </c>
    </row>
    <row r="433" hidden="1">
      <c r="A433" s="21" t="n">
        <v>125</v>
      </c>
      <c r="B433" s="5" t="inlineStr">
        <is>
          <t>Indice de severidad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9" t="n">
        <v>46081</v>
      </c>
      <c r="G433" s="5" t="n">
        <v>2026</v>
      </c>
      <c r="H433" s="5" t="inlineStr">
        <is>
          <t>Febrero</t>
        </is>
      </c>
      <c r="I433" s="6" t="inlineStr">
        <is>
          <t>2026-1</t>
        </is>
      </c>
      <c r="J433" s="5" t="n">
        <v>4.7</v>
      </c>
      <c r="K433" s="10" t="n">
        <v>0.45</v>
      </c>
      <c r="L433" s="14" t="n">
        <v>1.3</v>
      </c>
      <c r="M433" s="14" t="n">
        <v>10.44444444444444</v>
      </c>
      <c r="N433" s="5" t="inlineStr">
        <is>
          <t>DEC</t>
        </is>
      </c>
      <c r="O433" s="5" t="inlineStr">
        <is>
          <t>DEC</t>
        </is>
      </c>
      <c r="P433" s="15" t="n">
        <v>1</v>
      </c>
      <c r="Q433" s="15" t="n">
        <v>2</v>
      </c>
      <c r="R433" s="5" t="inlineStr">
        <is>
          <t>125-2026-02-28</t>
        </is>
      </c>
    </row>
    <row r="434" hidden="1">
      <c r="A434" s="28" t="n">
        <v>125</v>
      </c>
      <c r="B434" s="5" t="inlineStr">
        <is>
          <t>Indice de severidad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9" t="n">
        <v>46112</v>
      </c>
      <c r="G434" s="5" t="n">
        <v>2026</v>
      </c>
      <c r="H434" s="5" t="inlineStr">
        <is>
          <t>Marzo</t>
        </is>
      </c>
      <c r="I434" s="6" t="inlineStr">
        <is>
          <t>2026-1</t>
        </is>
      </c>
      <c r="J434" s="9" t="n">
        <v>4.7</v>
      </c>
      <c r="K434" s="9" t="n">
        <v>0</v>
      </c>
      <c r="L434" s="14" t="n">
        <v>1</v>
      </c>
      <c r="M434" s="14" t="n">
        <v>1</v>
      </c>
      <c r="N434" s="5" t="inlineStr">
        <is>
          <t>DEC</t>
        </is>
      </c>
      <c r="O434" s="5" t="inlineStr">
        <is>
          <t>DEC</t>
        </is>
      </c>
      <c r="P434" s="15" t="n">
        <v>1</v>
      </c>
      <c r="Q434" s="15" t="n">
        <v>2</v>
      </c>
      <c r="R434" s="5" t="inlineStr">
        <is>
          <t>125-2026-03-31</t>
        </is>
      </c>
    </row>
    <row r="435" hidden="1">
      <c r="A435" s="28" t="n">
        <v>125</v>
      </c>
      <c r="B435" s="5" t="inlineStr">
        <is>
          <t>Indice de severidad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9" t="n">
        <v>46142</v>
      </c>
      <c r="G435" s="5" t="n">
        <v>2026</v>
      </c>
      <c r="H435" s="5" t="inlineStr">
        <is>
          <t>Abril</t>
        </is>
      </c>
      <c r="I435" s="6" t="inlineStr">
        <is>
          <t>2026-1</t>
        </is>
      </c>
      <c r="J435" s="73" t="n">
        <v>4.7</v>
      </c>
      <c r="K435" s="9" t="n">
        <v>0.12</v>
      </c>
      <c r="L435" s="14" t="n">
        <v>1.3</v>
      </c>
      <c r="M435" s="14" t="n">
        <v>39.16666666666667</v>
      </c>
      <c r="N435" s="5" t="inlineStr">
        <is>
          <t>DEC</t>
        </is>
      </c>
      <c r="O435" s="5" t="inlineStr">
        <is>
          <t>DEC</t>
        </is>
      </c>
      <c r="P435" s="15" t="n">
        <v>1</v>
      </c>
      <c r="Q435" s="15" t="n">
        <v>2</v>
      </c>
      <c r="R435" s="5" t="inlineStr">
        <is>
          <t>125-2026-04-30</t>
        </is>
      </c>
    </row>
    <row r="436" hidden="1">
      <c r="A436" s="26" t="n">
        <v>126</v>
      </c>
      <c r="B436" s="5" t="inlineStr">
        <is>
          <t>Indice de Prevalencia EL Enfermedad laboral</t>
        </is>
      </c>
      <c r="C436" s="5" t="inlineStr">
        <is>
          <t>GESTIÓN DE SEGURIDAD Y SALUD EN EL TRABAJO</t>
        </is>
      </c>
      <c r="D436" s="5" t="inlineStr">
        <is>
          <t>Anual</t>
        </is>
      </c>
      <c r="E436" s="5" t="inlineStr">
        <is>
          <t>Negativo</t>
        </is>
      </c>
      <c r="F436" s="109" t="n">
        <v>44926</v>
      </c>
      <c r="G436" s="5" t="n">
        <v>2022</v>
      </c>
      <c r="H436" s="5" t="inlineStr">
        <is>
          <t>Diciembre</t>
        </is>
      </c>
      <c r="I436" s="6" t="inlineStr">
        <is>
          <t>2022-2</t>
        </is>
      </c>
      <c r="J436" s="73" t="n">
        <v>2</v>
      </c>
      <c r="K436" s="9" t="n">
        <v>0.12391573729864</v>
      </c>
      <c r="L436" s="14" t="n">
        <v>1.3</v>
      </c>
      <c r="M436" s="14" t="n">
        <v>16.1399999999996</v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126-2022-12-31</t>
        </is>
      </c>
    </row>
    <row r="437" hidden="1">
      <c r="A437" s="28" t="n">
        <v>126</v>
      </c>
      <c r="B437" s="5" t="inlineStr">
        <is>
          <t>Indice de Prevalencia EL Enfermedad laboral</t>
        </is>
      </c>
      <c r="C437" s="5" t="inlineStr">
        <is>
          <t>GESTIÓN DE SEGURIDAD Y SALUD EN EL TRABAJO</t>
        </is>
      </c>
      <c r="D437" s="5" t="inlineStr">
        <is>
          <t>Anual</t>
        </is>
      </c>
      <c r="E437" s="5" t="inlineStr">
        <is>
          <t>Negativo</t>
        </is>
      </c>
      <c r="F437" s="109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2</v>
      </c>
      <c r="K437" s="9" t="n">
        <v>0.12</v>
      </c>
      <c r="L437" s="14" t="n">
        <v>1.3</v>
      </c>
      <c r="M437" s="14" t="n">
        <v>16.66666666666667</v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126-2023-12-31</t>
        </is>
      </c>
    </row>
    <row r="438" hidden="1">
      <c r="A438" s="21" t="n">
        <v>126</v>
      </c>
      <c r="B438" s="5" t="inlineStr">
        <is>
          <t>Indice de Prevalencia EL Enfermedad laboral</t>
        </is>
      </c>
      <c r="C438" s="5" t="inlineStr">
        <is>
          <t>GESTIÓN DE SEGURIDAD Y SALUD EN EL TRABAJO</t>
        </is>
      </c>
      <c r="D438" s="5" t="inlineStr">
        <is>
          <t>Anual</t>
        </is>
      </c>
      <c r="E438" s="5" t="inlineStr">
        <is>
          <t>Negativo</t>
        </is>
      </c>
      <c r="F438" s="109" t="n">
        <v>45657</v>
      </c>
      <c r="G438" s="5" t="n">
        <v>2024</v>
      </c>
      <c r="H438" s="5" t="inlineStr">
        <is>
          <t>Diciembre</t>
        </is>
      </c>
      <c r="I438" s="6" t="inlineStr">
        <is>
          <t>2024-2</t>
        </is>
      </c>
      <c r="J438" s="5" t="n">
        <v>2</v>
      </c>
      <c r="K438" s="10" t="n">
        <v>0.1</v>
      </c>
      <c r="L438" s="14" t="n">
        <v>1.3</v>
      </c>
      <c r="M438" s="14" t="n">
        <v>20</v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1</v>
      </c>
      <c r="R438" s="5" t="inlineStr">
        <is>
          <t>126-2024-12-31</t>
        </is>
      </c>
    </row>
    <row r="439" hidden="1">
      <c r="A439" s="21" t="n">
        <v>126</v>
      </c>
      <c r="B439" s="5" t="inlineStr">
        <is>
          <t>Indice de Prevalencia EL Enfermedad laboral</t>
        </is>
      </c>
      <c r="C439" s="5" t="inlineStr">
        <is>
          <t>GESTIÓN DE SEGURIDAD Y SALUD EN EL TRABAJO</t>
        </is>
      </c>
      <c r="D439" s="5" t="inlineStr">
        <is>
          <t>Anual</t>
        </is>
      </c>
      <c r="E439" s="5" t="inlineStr">
        <is>
          <t>Negativo</t>
        </is>
      </c>
      <c r="F439" s="108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2</v>
      </c>
      <c r="K439" s="9" t="n">
        <v>0.16</v>
      </c>
      <c r="L439" s="14" t="n">
        <v>1.3</v>
      </c>
      <c r="M439" s="14" t="n">
        <v>12.5</v>
      </c>
      <c r="N439" s="5" t="inlineStr">
        <is>
          <t>ENT</t>
        </is>
      </c>
      <c r="O439" s="5" t="inlineStr">
        <is>
          <t>DEC</t>
        </is>
      </c>
      <c r="P439" s="15" t="n">
        <v>0</v>
      </c>
      <c r="Q439" s="15" t="n">
        <v>1</v>
      </c>
      <c r="R439" s="5" t="inlineStr">
        <is>
          <t>126-2025-12-31</t>
        </is>
      </c>
    </row>
    <row r="440" hidden="1">
      <c r="A440" s="26" t="n">
        <v>127</v>
      </c>
      <c r="B440" s="5" t="inlineStr">
        <is>
          <t>Indice de Incidencia EL Enfermedad laboral</t>
        </is>
      </c>
      <c r="C440" s="5" t="inlineStr">
        <is>
          <t>GESTIÓN DE SEGURIDAD Y SALUD EN EL TRABAJO</t>
        </is>
      </c>
      <c r="D440" s="5" t="inlineStr">
        <is>
          <t>Anual</t>
        </is>
      </c>
      <c r="E440" s="5" t="inlineStr">
        <is>
          <t>Negativo</t>
        </is>
      </c>
      <c r="F440" s="109" t="n">
        <v>44926</v>
      </c>
      <c r="G440" s="5" t="n">
        <v>2022</v>
      </c>
      <c r="H440" s="5" t="inlineStr">
        <is>
          <t>Diciembre</t>
        </is>
      </c>
      <c r="I440" s="6" t="inlineStr">
        <is>
          <t>2022-2</t>
        </is>
      </c>
      <c r="J440" s="5" t="n">
        <v>0</v>
      </c>
      <c r="K440" s="9" t="n">
        <v>0</v>
      </c>
      <c r="L440" s="14" t="n">
        <v>1</v>
      </c>
      <c r="M440" s="14" t="n">
        <v>1</v>
      </c>
      <c r="N440" s="5" t="n"/>
      <c r="O440" s="5" t="n"/>
      <c r="P440" s="15" t="n">
        <v>0</v>
      </c>
      <c r="Q440" s="15" t="n">
        <v>0</v>
      </c>
      <c r="R440" s="5" t="inlineStr">
        <is>
          <t>127-2022-12-31</t>
        </is>
      </c>
    </row>
    <row r="441" hidden="1">
      <c r="A441" s="21" t="n">
        <v>127</v>
      </c>
      <c r="B441" s="5" t="inlineStr">
        <is>
          <t>Indice de Incidencia EL Enfermedad laboral</t>
        </is>
      </c>
      <c r="C441" s="5" t="inlineStr">
        <is>
          <t>GESTIÓN DE SEGURIDAD Y SALUD EN EL TRABAJO</t>
        </is>
      </c>
      <c r="D441" s="5" t="inlineStr">
        <is>
          <t>Anual</t>
        </is>
      </c>
      <c r="E441" s="5" t="inlineStr">
        <is>
          <t>Negativo</t>
        </is>
      </c>
      <c r="F441" s="109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0</v>
      </c>
      <c r="K441" s="10" t="n">
        <v>0</v>
      </c>
      <c r="L441" s="14" t="n">
        <v>1</v>
      </c>
      <c r="M441" s="14" t="n">
        <v>1</v>
      </c>
      <c r="N441" s="5" t="n"/>
      <c r="O441" s="5" t="n"/>
      <c r="P441" s="15" t="n">
        <v>0</v>
      </c>
      <c r="Q441" s="15" t="n">
        <v>0</v>
      </c>
      <c r="R441" s="5" t="inlineStr">
        <is>
          <t>127-2023-12-31</t>
        </is>
      </c>
    </row>
    <row r="442" hidden="1">
      <c r="A442" s="28" t="n">
        <v>127</v>
      </c>
      <c r="B442" s="5" t="inlineStr">
        <is>
          <t>Indice de Incidencia EL Enfermedad laboral</t>
        </is>
      </c>
      <c r="C442" s="5" t="inlineStr">
        <is>
          <t>GESTIÓN DE SEGURIDAD Y SALUD EN EL TRABAJO</t>
        </is>
      </c>
      <c r="D442" s="5" t="inlineStr">
        <is>
          <t>Anual</t>
        </is>
      </c>
      <c r="E442" s="5" t="inlineStr">
        <is>
          <t>Negativo</t>
        </is>
      </c>
      <c r="F442" s="109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0</v>
      </c>
      <c r="K442" s="9" t="n">
        <v>0</v>
      </c>
      <c r="L442" s="14" t="n">
        <v>1</v>
      </c>
      <c r="M442" s="14" t="n">
        <v>1</v>
      </c>
      <c r="N442" s="5" t="n"/>
      <c r="O442" s="5" t="n"/>
      <c r="P442" s="15" t="n">
        <v>0</v>
      </c>
      <c r="Q442" s="15" t="n">
        <v>0</v>
      </c>
      <c r="R442" s="5" t="inlineStr">
        <is>
          <t>127-2024-12-31</t>
        </is>
      </c>
    </row>
    <row r="443" hidden="1">
      <c r="A443" s="26" t="n">
        <v>127</v>
      </c>
      <c r="B443" s="5" t="inlineStr">
        <is>
          <t>Indice de Incidencia EL Enfermedad laboral</t>
        </is>
      </c>
      <c r="C443" s="5" t="inlineStr">
        <is>
          <t>GESTIÓN DE SEGURIDAD Y SALUD EN EL TRABAJO</t>
        </is>
      </c>
      <c r="D443" s="5" t="inlineStr">
        <is>
          <t>Anual</t>
        </is>
      </c>
      <c r="E443" s="5" t="inlineStr">
        <is>
          <t>Negativo</t>
        </is>
      </c>
      <c r="F443" s="109" t="n">
        <v>46022</v>
      </c>
      <c r="G443" s="5" t="n">
        <v>2025</v>
      </c>
      <c r="H443" s="5" t="inlineStr">
        <is>
          <t>Diciembre</t>
        </is>
      </c>
      <c r="I443" s="6" t="inlineStr">
        <is>
          <t>2025-2</t>
        </is>
      </c>
      <c r="J443" s="5" t="n">
        <v>0</v>
      </c>
      <c r="K443" s="9" t="n">
        <v>0</v>
      </c>
      <c r="L443" s="14" t="n">
        <v>1</v>
      </c>
      <c r="M443" s="14" t="n">
        <v>1</v>
      </c>
      <c r="N443" s="5" t="inlineStr">
        <is>
          <t>ENT</t>
        </is>
      </c>
      <c r="O443" s="5" t="inlineStr">
        <is>
          <t>DEC</t>
        </is>
      </c>
      <c r="P443" s="15" t="n">
        <v>0</v>
      </c>
      <c r="Q443" s="15" t="n">
        <v>0</v>
      </c>
      <c r="R443" s="5" t="inlineStr">
        <is>
          <t>127-2025-12-31</t>
        </is>
      </c>
    </row>
    <row r="444" hidden="1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9" t="n">
        <v>44592</v>
      </c>
      <c r="G444" s="5" t="n">
        <v>2022</v>
      </c>
      <c r="H444" s="5" t="inlineStr">
        <is>
          <t>Enero</t>
        </is>
      </c>
      <c r="I444" s="6" t="inlineStr">
        <is>
          <t>2022-1</t>
        </is>
      </c>
      <c r="J444" s="5" t="n">
        <v>1</v>
      </c>
      <c r="K444" s="11" t="n">
        <v>0.55904961565339</v>
      </c>
      <c r="L444" s="14" t="n">
        <v>1.3</v>
      </c>
      <c r="M444" s="14" t="n">
        <v>1.788749999999998</v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128-2022-01-31</t>
        </is>
      </c>
    </row>
    <row r="445" hidden="1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9" t="n">
        <v>44620</v>
      </c>
      <c r="G445" s="5" t="n">
        <v>2022</v>
      </c>
      <c r="H445" s="5" t="inlineStr">
        <is>
          <t>Febrero</t>
        </is>
      </c>
      <c r="I445" s="6" t="inlineStr">
        <is>
          <t>2022-1</t>
        </is>
      </c>
      <c r="J445" s="5" t="n">
        <v>1</v>
      </c>
      <c r="K445" s="11" t="n">
        <v>0.93990216631726</v>
      </c>
      <c r="L445" s="14" t="n">
        <v>1.063940520446097</v>
      </c>
      <c r="M445" s="14" t="n">
        <v>1.063940520446097</v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128-2022-02-28</t>
        </is>
      </c>
    </row>
    <row r="446" hidden="1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9" t="n">
        <v>44651</v>
      </c>
      <c r="G446" s="5" t="n">
        <v>2022</v>
      </c>
      <c r="H446" s="5" t="inlineStr">
        <is>
          <t>Marzo</t>
        </is>
      </c>
      <c r="I446" s="6" t="inlineStr">
        <is>
          <t>2022-1</t>
        </is>
      </c>
      <c r="J446" s="5" t="n">
        <v>1</v>
      </c>
      <c r="K446" s="9" t="n">
        <v>0.67280262662145</v>
      </c>
      <c r="L446" s="14" t="n">
        <v>1.3</v>
      </c>
      <c r="M446" s="14" t="n">
        <v>1.48632000000001</v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128-2022-03-31</t>
        </is>
      </c>
    </row>
    <row r="447" hidden="1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8" t="n">
        <v>44681</v>
      </c>
      <c r="G447" s="5" t="n">
        <v>2022</v>
      </c>
      <c r="H447" s="5" t="inlineStr">
        <is>
          <t>Abril</t>
        </is>
      </c>
      <c r="I447" s="6" t="inlineStr">
        <is>
          <t>2022-1</t>
        </is>
      </c>
      <c r="J447" s="5" t="n">
        <v>1</v>
      </c>
      <c r="K447" s="9" t="n">
        <v>0.77818283791363</v>
      </c>
      <c r="L447" s="14" t="n">
        <v>1.285045045045043</v>
      </c>
      <c r="M447" s="14" t="n">
        <v>1.285045045045043</v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128-2022-04-30</t>
        </is>
      </c>
    </row>
    <row r="448" hidden="1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9" t="n">
        <v>44712</v>
      </c>
      <c r="G448" s="5" t="n">
        <v>2022</v>
      </c>
      <c r="H448" s="5" t="inlineStr">
        <is>
          <t>Mayo</t>
        </is>
      </c>
      <c r="I448" s="6" t="inlineStr">
        <is>
          <t>2022-1</t>
        </is>
      </c>
      <c r="J448" s="5" t="n">
        <v>1</v>
      </c>
      <c r="K448" s="9" t="n">
        <v>0.5412410428419</v>
      </c>
      <c r="L448" s="14" t="n">
        <v>1.3</v>
      </c>
      <c r="M448" s="14" t="n">
        <v>1.847605633802805</v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128-2022-05-31</t>
        </is>
      </c>
    </row>
    <row r="449" hidden="1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9" t="n">
        <v>44742</v>
      </c>
      <c r="G449" s="5" t="n">
        <v>2022</v>
      </c>
      <c r="H449" s="5" t="inlineStr">
        <is>
          <t>Junio</t>
        </is>
      </c>
      <c r="I449" s="6" t="inlineStr">
        <is>
          <t>2022-1</t>
        </is>
      </c>
      <c r="J449" s="5" t="n">
        <v>1</v>
      </c>
      <c r="K449" s="9" t="n">
        <v>0.8128834355828199</v>
      </c>
      <c r="L449" s="14" t="n">
        <v>1.230188679245286</v>
      </c>
      <c r="M449" s="14" t="n">
        <v>1.230188679245286</v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128-2022-06-30</t>
        </is>
      </c>
    </row>
    <row r="450" hidden="1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9" t="n">
        <v>44773</v>
      </c>
      <c r="G450" s="5" t="n">
        <v>2022</v>
      </c>
      <c r="H450" s="5" t="inlineStr">
        <is>
          <t>Julio</t>
        </is>
      </c>
      <c r="I450" s="6" t="inlineStr">
        <is>
          <t>2022-2</t>
        </is>
      </c>
      <c r="J450" s="5" t="n">
        <v>1</v>
      </c>
      <c r="K450" s="9" t="n">
        <v>1.1950826969832</v>
      </c>
      <c r="L450" s="14" t="n">
        <v>0.8367621776504205</v>
      </c>
      <c r="M450" s="14" t="n">
        <v>0.8367621776504205</v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128-2022-07-31</t>
        </is>
      </c>
    </row>
    <row r="451" hidden="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9" t="n">
        <v>44804</v>
      </c>
      <c r="G451" s="5" t="n">
        <v>2022</v>
      </c>
      <c r="H451" s="5" t="inlineStr">
        <is>
          <t>Agosto</t>
        </is>
      </c>
      <c r="I451" s="6" t="inlineStr">
        <is>
          <t>2022-2</t>
        </is>
      </c>
      <c r="J451" s="5" t="n">
        <v>1</v>
      </c>
      <c r="K451" s="9" t="n">
        <v>0.85085933966531</v>
      </c>
      <c r="L451" s="14" t="n">
        <v>1.175282392026578</v>
      </c>
      <c r="M451" s="14" t="n">
        <v>1.175282392026578</v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128-2022-08-31</t>
        </is>
      </c>
    </row>
    <row r="452" hidden="1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9" t="n">
        <v>44834</v>
      </c>
      <c r="G452" s="5" t="n">
        <v>2022</v>
      </c>
      <c r="H452" s="5" t="inlineStr">
        <is>
          <t>Septiembre</t>
        </is>
      </c>
      <c r="I452" s="6" t="inlineStr">
        <is>
          <t>2022-2</t>
        </is>
      </c>
      <c r="J452" s="5" t="n">
        <v>1</v>
      </c>
      <c r="K452" s="9" t="n">
        <v>0.59967748437815</v>
      </c>
      <c r="L452" s="14" t="n">
        <v>1.3</v>
      </c>
      <c r="M452" s="14" t="n">
        <v>1.667563025210083</v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128-2022-09-30</t>
        </is>
      </c>
    </row>
    <row r="453" hidden="1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9" t="n">
        <v>44865</v>
      </c>
      <c r="G453" s="5" t="n">
        <v>2022</v>
      </c>
      <c r="H453" s="5" t="inlineStr">
        <is>
          <t>Octubre</t>
        </is>
      </c>
      <c r="I453" s="6" t="inlineStr">
        <is>
          <t>2022-2</t>
        </is>
      </c>
      <c r="J453" s="5" t="n">
        <v>1</v>
      </c>
      <c r="K453" s="9" t="n">
        <v>0.75110864745011</v>
      </c>
      <c r="L453" s="14" t="n">
        <v>1.3</v>
      </c>
      <c r="M453" s="14" t="n">
        <v>1.331365313653138</v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1</v>
      </c>
      <c r="R453" s="5" t="inlineStr">
        <is>
          <t>128-2022-10-31</t>
        </is>
      </c>
    </row>
    <row r="454" hidden="1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9" t="n">
        <v>44895</v>
      </c>
      <c r="G454" s="5" t="n">
        <v>2022</v>
      </c>
      <c r="H454" s="5" t="inlineStr">
        <is>
          <t>Noviembre</t>
        </is>
      </c>
      <c r="I454" s="6" t="inlineStr">
        <is>
          <t>2022-2</t>
        </is>
      </c>
      <c r="J454" s="5" t="n">
        <v>1</v>
      </c>
      <c r="K454" s="9" t="n">
        <v>0.917176209005</v>
      </c>
      <c r="L454" s="14" t="n">
        <v>1.090303030303034</v>
      </c>
      <c r="M454" s="14" t="n">
        <v>1.090303030303034</v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128-2022-11-30</t>
        </is>
      </c>
    </row>
    <row r="455" hidden="1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9" t="n">
        <v>44926</v>
      </c>
      <c r="G455" s="5" t="n">
        <v>2022</v>
      </c>
      <c r="H455" s="5" t="inlineStr">
        <is>
          <t>Diciembre</t>
        </is>
      </c>
      <c r="I455" s="6" t="inlineStr">
        <is>
          <t>2022-2</t>
        </is>
      </c>
      <c r="J455" s="5" t="n">
        <v>1</v>
      </c>
      <c r="K455" s="9" t="n">
        <v>0.8000698242755701</v>
      </c>
      <c r="L455" s="14" t="n">
        <v>1.249890909090914</v>
      </c>
      <c r="M455" s="14" t="n">
        <v>1.249890909090914</v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2</v>
      </c>
      <c r="R455" s="5" t="inlineStr">
        <is>
          <t>128-2022-12-31</t>
        </is>
      </c>
    </row>
    <row r="456" hidden="1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9" t="n">
        <v>44957</v>
      </c>
      <c r="G456" s="5" t="n">
        <v>2023</v>
      </c>
      <c r="H456" s="5" t="inlineStr">
        <is>
          <t>Enero</t>
        </is>
      </c>
      <c r="I456" s="6" t="inlineStr">
        <is>
          <t>2023-1</t>
        </is>
      </c>
      <c r="J456" s="5" t="n">
        <v>1</v>
      </c>
      <c r="K456" s="9" t="n">
        <v>1.0928581372686</v>
      </c>
      <c r="L456" s="14" t="n">
        <v>0.9150318471337168</v>
      </c>
      <c r="M456" s="14" t="n">
        <v>0.9150318471337168</v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128-2023-01-31</t>
        </is>
      </c>
    </row>
    <row r="457" hidden="1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9" t="n">
        <v>44985</v>
      </c>
      <c r="G457" s="5" t="n">
        <v>2023</v>
      </c>
      <c r="H457" s="5" t="inlineStr">
        <is>
          <t>Febrero</t>
        </is>
      </c>
      <c r="I457" s="6" t="inlineStr">
        <is>
          <t>2023-1</t>
        </is>
      </c>
      <c r="J457" s="5" t="n">
        <v>1</v>
      </c>
      <c r="K457" s="9" t="n">
        <v>0.9150865622423699</v>
      </c>
      <c r="L457" s="14" t="n">
        <v>1.092792792792798</v>
      </c>
      <c r="M457" s="14" t="n">
        <v>1.092792792792798</v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128-2023-02-28</t>
        </is>
      </c>
    </row>
    <row r="458" hidden="1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9" t="n">
        <v>45016</v>
      </c>
      <c r="G458" s="5" t="n">
        <v>2023</v>
      </c>
      <c r="H458" s="5" t="inlineStr">
        <is>
          <t>Marzo</t>
        </is>
      </c>
      <c r="I458" s="6" t="inlineStr">
        <is>
          <t>2023-1</t>
        </is>
      </c>
      <c r="J458" s="5" t="n">
        <v>1</v>
      </c>
      <c r="K458" s="9" t="n">
        <v>0.76441973592773</v>
      </c>
      <c r="L458" s="14" t="n">
        <v>1.3</v>
      </c>
      <c r="M458" s="14" t="n">
        <v>1.308181818181814</v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128-2023-03-31</t>
        </is>
      </c>
    </row>
    <row r="459" hidden="1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8" t="n">
        <v>45046</v>
      </c>
      <c r="G459" s="5" t="n">
        <v>2023</v>
      </c>
      <c r="H459" s="5" t="inlineStr">
        <is>
          <t>Abril</t>
        </is>
      </c>
      <c r="I459" s="6" t="inlineStr">
        <is>
          <t>2023-1</t>
        </is>
      </c>
      <c r="J459" s="5" t="n">
        <v>1</v>
      </c>
      <c r="K459" s="9" t="n">
        <v>1.0132293339451</v>
      </c>
      <c r="L459" s="14" t="n">
        <v>0.9869433962264097</v>
      </c>
      <c r="M459" s="14" t="n">
        <v>0.9869433962264097</v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128-2023-04-30</t>
        </is>
      </c>
    </row>
    <row r="460" hidden="1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9" t="n">
        <v>45077</v>
      </c>
      <c r="G460" s="5" t="n">
        <v>2023</v>
      </c>
      <c r="H460" s="5" t="inlineStr">
        <is>
          <t>Mayo</t>
        </is>
      </c>
      <c r="I460" s="6" t="inlineStr">
        <is>
          <t>2023-1</t>
        </is>
      </c>
      <c r="J460" s="5" t="n">
        <v>1</v>
      </c>
      <c r="K460" s="10" t="n">
        <v>0.75808249721293</v>
      </c>
      <c r="L460" s="14" t="n">
        <v>1.3</v>
      </c>
      <c r="M460" s="14" t="n">
        <v>1.319117647058827</v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128-2023-05-31</t>
        </is>
      </c>
    </row>
    <row r="461" hidden="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9" t="n">
        <v>45107</v>
      </c>
      <c r="G461" s="5" t="n">
        <v>2023</v>
      </c>
      <c r="H461" s="5" t="inlineStr">
        <is>
          <t>Junio</t>
        </is>
      </c>
      <c r="I461" s="6" t="inlineStr">
        <is>
          <t>2023-1</t>
        </is>
      </c>
      <c r="J461" s="5" t="n">
        <v>1</v>
      </c>
      <c r="K461" s="9" t="n">
        <v>1.1262282690854</v>
      </c>
      <c r="L461" s="14" t="n">
        <v>0.8879194630872578</v>
      </c>
      <c r="M461" s="14" t="n">
        <v>0.8879194630872578</v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128-2023-06-30</t>
        </is>
      </c>
    </row>
    <row r="462" hidden="1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9" t="n">
        <v>45138</v>
      </c>
      <c r="G462" s="5" t="n">
        <v>2023</v>
      </c>
      <c r="H462" s="5" t="inlineStr">
        <is>
          <t>Julio</t>
        </is>
      </c>
      <c r="I462" s="6" t="inlineStr">
        <is>
          <t>2023-2</t>
        </is>
      </c>
      <c r="J462" s="5" t="n">
        <v>1</v>
      </c>
      <c r="K462" s="97" t="n">
        <v>1.1748003549246</v>
      </c>
      <c r="L462" s="14" t="n">
        <v>0.851208459214486</v>
      </c>
      <c r="M462" s="14" t="n">
        <v>0.851208459214486</v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128-2023-07-31</t>
        </is>
      </c>
    </row>
    <row r="463" hidden="1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9" t="n">
        <v>45169</v>
      </c>
      <c r="G463" s="5" t="n">
        <v>2023</v>
      </c>
      <c r="H463" s="5" t="inlineStr">
        <is>
          <t>Agosto</t>
        </is>
      </c>
      <c r="I463" s="6" t="inlineStr">
        <is>
          <t>2023-2</t>
        </is>
      </c>
      <c r="J463" s="5" t="n">
        <v>1</v>
      </c>
      <c r="K463" s="97" t="n">
        <v>0.95</v>
      </c>
      <c r="L463" s="14" t="n">
        <v>1.052631578947368</v>
      </c>
      <c r="M463" s="14" t="n">
        <v>1.052631578947368</v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128-2023-08-31</t>
        </is>
      </c>
    </row>
    <row r="464" hidden="1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9" t="n">
        <v>45199</v>
      </c>
      <c r="G464" s="5" t="n">
        <v>2023</v>
      </c>
      <c r="H464" s="5" t="inlineStr">
        <is>
          <t>Septiembre</t>
        </is>
      </c>
      <c r="I464" s="6" t="inlineStr">
        <is>
          <t>2023-2</t>
        </is>
      </c>
      <c r="J464" s="5" t="n">
        <v>1</v>
      </c>
      <c r="K464" s="97" t="n">
        <v>0.51</v>
      </c>
      <c r="L464" s="14" t="n">
        <v>1.3</v>
      </c>
      <c r="M464" s="14" t="n">
        <v>1.96078431372549</v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128-2023-09-30</t>
        </is>
      </c>
    </row>
    <row r="465" hidden="1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9" t="n">
        <v>45230</v>
      </c>
      <c r="G465" s="5" t="n">
        <v>2023</v>
      </c>
      <c r="H465" s="5" t="inlineStr">
        <is>
          <t>Octubre</t>
        </is>
      </c>
      <c r="I465" s="6" t="inlineStr">
        <is>
          <t>2023-2</t>
        </is>
      </c>
      <c r="J465" s="5" t="n">
        <v>1</v>
      </c>
      <c r="K465" s="97" t="n">
        <v>0.5</v>
      </c>
      <c r="L465" s="14" t="n">
        <v>1.3</v>
      </c>
      <c r="M465" s="14" t="n">
        <v>2</v>
      </c>
      <c r="N465" s="5" t="inlineStr">
        <is>
          <t>DEC</t>
        </is>
      </c>
      <c r="O465" s="5" t="inlineStr">
        <is>
          <t>DEC</t>
        </is>
      </c>
      <c r="P465" s="15" t="n">
        <v>0</v>
      </c>
      <c r="Q465" s="15" t="n">
        <v>1</v>
      </c>
      <c r="R465" s="5" t="inlineStr">
        <is>
          <t>128-2023-10-31</t>
        </is>
      </c>
    </row>
    <row r="466" hidden="1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9" t="n">
        <v>45260</v>
      </c>
      <c r="G466" s="5" t="n">
        <v>2023</v>
      </c>
      <c r="H466" s="5" t="inlineStr">
        <is>
          <t>Noviembre</t>
        </is>
      </c>
      <c r="I466" s="6" t="inlineStr">
        <is>
          <t>2023-2</t>
        </is>
      </c>
      <c r="J466" s="5" t="n">
        <v>1</v>
      </c>
      <c r="K466" s="97" t="n">
        <v>0.72</v>
      </c>
      <c r="L466" s="14" t="n">
        <v>1.3</v>
      </c>
      <c r="M466" s="14" t="n">
        <v>1.388888888888889</v>
      </c>
      <c r="N466" s="5" t="inlineStr">
        <is>
          <t>DEC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128-2023-11-30</t>
        </is>
      </c>
    </row>
    <row r="467" hidden="1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9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>
        <v>1</v>
      </c>
      <c r="K467" s="97" t="n">
        <v>0.64</v>
      </c>
      <c r="L467" s="14" t="n">
        <v>1.3</v>
      </c>
      <c r="M467" s="14" t="n">
        <v>1.5625</v>
      </c>
      <c r="N467" s="5" t="inlineStr">
        <is>
          <t>DEC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128-2023-12-31</t>
        </is>
      </c>
    </row>
    <row r="468" hidden="1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9" t="n">
        <v>45322</v>
      </c>
      <c r="G468" s="5" t="n">
        <v>2024</v>
      </c>
      <c r="H468" s="5" t="inlineStr">
        <is>
          <t>Enero</t>
        </is>
      </c>
      <c r="I468" s="6" t="inlineStr">
        <is>
          <t>2024-1</t>
        </is>
      </c>
      <c r="J468" s="5" t="n">
        <v>1</v>
      </c>
      <c r="K468" s="9" t="n">
        <v>0.7046625690693488</v>
      </c>
      <c r="L468" s="14" t="n">
        <v>1.3</v>
      </c>
      <c r="M468" s="14" t="n">
        <v>1.419118942731277</v>
      </c>
      <c r="N468" s="5" t="inlineStr">
        <is>
          <t>DEC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128-2024-01-31</t>
        </is>
      </c>
    </row>
    <row r="469" hidden="1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09" t="n">
        <v>45351</v>
      </c>
      <c r="G469" s="5" t="n">
        <v>2024</v>
      </c>
      <c r="H469" s="5" t="inlineStr">
        <is>
          <t>Febrero</t>
        </is>
      </c>
      <c r="I469" s="6" t="inlineStr">
        <is>
          <t>2024-1</t>
        </is>
      </c>
      <c r="J469" s="5" t="n">
        <v>1</v>
      </c>
      <c r="K469" s="9" t="n">
        <v>0.8976964769647697</v>
      </c>
      <c r="L469" s="14" t="n">
        <v>1.113962264150943</v>
      </c>
      <c r="M469" s="14" t="n">
        <v>1.113962264150943</v>
      </c>
      <c r="N469" s="5" t="inlineStr">
        <is>
          <t>DEC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128-2024-02-29</t>
        </is>
      </c>
    </row>
    <row r="470" hidden="1">
      <c r="A470" s="5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09" t="n">
        <v>45382</v>
      </c>
      <c r="G470" s="5" t="n">
        <v>2024</v>
      </c>
      <c r="H470" s="5" t="inlineStr">
        <is>
          <t>Marzo</t>
        </is>
      </c>
      <c r="I470" s="6" t="inlineStr">
        <is>
          <t>2024-1</t>
        </is>
      </c>
      <c r="J470" s="5" t="n">
        <v>1</v>
      </c>
      <c r="K470" s="5" t="n">
        <v>1.050740418118467</v>
      </c>
      <c r="L470" s="14" t="n">
        <v>0.9517098445595854</v>
      </c>
      <c r="M470" s="14" t="n">
        <v>0.9517098445595854</v>
      </c>
      <c r="N470" s="5" t="inlineStr">
        <is>
          <t>DEC</t>
        </is>
      </c>
      <c r="O470" s="5" t="inlineStr">
        <is>
          <t>DEC</t>
        </is>
      </c>
      <c r="P470" s="5" t="n">
        <v>0</v>
      </c>
      <c r="Q470" s="5" t="n">
        <v>2</v>
      </c>
      <c r="R470" s="5" t="inlineStr">
        <is>
          <t>128-2024-03-31</t>
        </is>
      </c>
    </row>
    <row r="471" hidden="1">
      <c r="A471" s="21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09" t="n">
        <v>45412</v>
      </c>
      <c r="G471" s="5" t="n">
        <v>2024</v>
      </c>
      <c r="H471" s="5" t="inlineStr">
        <is>
          <t>Abril</t>
        </is>
      </c>
      <c r="I471" s="6" t="inlineStr">
        <is>
          <t>2024-1</t>
        </is>
      </c>
      <c r="J471" s="5" t="n">
        <v>1</v>
      </c>
      <c r="K471" s="10" t="n">
        <v>0.4018847006651884</v>
      </c>
      <c r="L471" s="14" t="n">
        <v>1.3</v>
      </c>
      <c r="M471" s="14" t="n">
        <v>2.488275862068966</v>
      </c>
      <c r="N471" s="5" t="inlineStr">
        <is>
          <t>DEC</t>
        </is>
      </c>
      <c r="O471" s="5" t="inlineStr">
        <is>
          <t>DEC</t>
        </is>
      </c>
      <c r="P471" s="15" t="n">
        <v>0</v>
      </c>
      <c r="Q471" s="15" t="n">
        <v>2</v>
      </c>
      <c r="R471" s="5" t="inlineStr">
        <is>
          <t>128-2024-04-30</t>
        </is>
      </c>
    </row>
    <row r="472" hidden="1">
      <c r="A472" s="21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09" t="n">
        <v>45443</v>
      </c>
      <c r="G472" s="5" t="n">
        <v>2024</v>
      </c>
      <c r="H472" s="5" t="inlineStr">
        <is>
          <t>Mayo</t>
        </is>
      </c>
      <c r="I472" s="6" t="inlineStr">
        <is>
          <t>2024-1</t>
        </is>
      </c>
      <c r="J472" s="5" t="n">
        <v>1</v>
      </c>
      <c r="K472" s="10" t="n">
        <v>0.5513098361279039</v>
      </c>
      <c r="L472" s="14" t="n">
        <v>1.3</v>
      </c>
      <c r="M472" s="14" t="n">
        <v>1.813862068965517</v>
      </c>
      <c r="N472" s="5" t="inlineStr">
        <is>
          <t>DEC</t>
        </is>
      </c>
      <c r="O472" s="5" t="inlineStr">
        <is>
          <t>DEC</t>
        </is>
      </c>
      <c r="P472" s="15" t="n">
        <v>0</v>
      </c>
      <c r="Q472" s="15" t="n">
        <v>2</v>
      </c>
      <c r="R472" s="5" t="inlineStr">
        <is>
          <t>128-2024-05-31</t>
        </is>
      </c>
    </row>
    <row r="473" hidden="1">
      <c r="A473" s="21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09" t="n">
        <v>45473</v>
      </c>
      <c r="G473" s="5" t="n">
        <v>2024</v>
      </c>
      <c r="H473" s="5" t="inlineStr">
        <is>
          <t>Junio</t>
        </is>
      </c>
      <c r="I473" s="6" t="inlineStr">
        <is>
          <t>2024-1</t>
        </is>
      </c>
      <c r="J473" s="5" t="n">
        <v>1</v>
      </c>
      <c r="K473" s="97" t="n">
        <v>0.3576864535768646</v>
      </c>
      <c r="L473" s="14" t="n">
        <v>1.3</v>
      </c>
      <c r="M473" s="14" t="n">
        <v>2.795744680851063</v>
      </c>
      <c r="N473" s="5" t="inlineStr">
        <is>
          <t>DEC</t>
        </is>
      </c>
      <c r="O473" s="5" t="inlineStr">
        <is>
          <t>DEC</t>
        </is>
      </c>
      <c r="P473" s="15" t="n">
        <v>0</v>
      </c>
      <c r="Q473" s="15" t="n">
        <v>2</v>
      </c>
      <c r="R473" s="5" t="inlineStr">
        <is>
          <t>128-2024-06-30</t>
        </is>
      </c>
    </row>
    <row r="474" hidden="1">
      <c r="A474" s="21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08" t="n">
        <v>45504</v>
      </c>
      <c r="G474" s="5" t="n">
        <v>2024</v>
      </c>
      <c r="H474" s="5" t="inlineStr">
        <is>
          <t>Julio</t>
        </is>
      </c>
      <c r="I474" s="6" t="inlineStr">
        <is>
          <t>2024-2</t>
        </is>
      </c>
      <c r="J474" s="5" t="n">
        <v>1</v>
      </c>
      <c r="K474" s="97" t="n">
        <v>0.6497473204864774</v>
      </c>
      <c r="L474" s="14" t="n">
        <v>1.3</v>
      </c>
      <c r="M474" s="14" t="n">
        <v>1.539059829059829</v>
      </c>
      <c r="N474" s="5" t="inlineStr">
        <is>
          <t>DEC</t>
        </is>
      </c>
      <c r="O474" s="5" t="inlineStr">
        <is>
          <t>DEC</t>
        </is>
      </c>
      <c r="P474" s="15" t="n">
        <v>0</v>
      </c>
      <c r="Q474" s="15" t="n">
        <v>2</v>
      </c>
      <c r="R474" s="5" t="inlineStr">
        <is>
          <t>128-2024-07-31</t>
        </is>
      </c>
    </row>
    <row r="475" hidden="1">
      <c r="A475" s="21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09" t="n">
        <v>45535</v>
      </c>
      <c r="G475" s="5" t="n">
        <v>2024</v>
      </c>
      <c r="H475" s="5" t="inlineStr">
        <is>
          <t>Agosto</t>
        </is>
      </c>
      <c r="I475" s="6" t="inlineStr">
        <is>
          <t>2024-2</t>
        </is>
      </c>
      <c r="J475" s="5" t="n">
        <v>1</v>
      </c>
      <c r="K475" s="97" t="n">
        <v>0.5116883116883117</v>
      </c>
      <c r="L475" s="14" t="n">
        <v>1.3</v>
      </c>
      <c r="M475" s="14" t="n">
        <v>1.954314720812182</v>
      </c>
      <c r="N475" s="5" t="inlineStr">
        <is>
          <t>DEC</t>
        </is>
      </c>
      <c r="O475" s="5" t="inlineStr">
        <is>
          <t>DEC</t>
        </is>
      </c>
      <c r="P475" s="15" t="n">
        <v>0</v>
      </c>
      <c r="Q475" s="15" t="n">
        <v>2</v>
      </c>
      <c r="R475" s="5" t="inlineStr">
        <is>
          <t>128-2024-08-31</t>
        </is>
      </c>
    </row>
    <row r="476" hidden="1">
      <c r="A476" s="21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09" t="n">
        <v>45565</v>
      </c>
      <c r="G476" s="5" t="n">
        <v>2024</v>
      </c>
      <c r="H476" s="5" t="inlineStr">
        <is>
          <t>Septiembre</t>
        </is>
      </c>
      <c r="I476" s="6" t="inlineStr">
        <is>
          <t>2024-2</t>
        </is>
      </c>
      <c r="J476" s="5" t="n">
        <v>1</v>
      </c>
      <c r="K476" s="97" t="n">
        <v>0.697433774834437</v>
      </c>
      <c r="L476" s="14" t="n">
        <v>1.3</v>
      </c>
      <c r="M476" s="14" t="n">
        <v>1.433827893175074</v>
      </c>
      <c r="N476" s="5" t="inlineStr">
        <is>
          <t>DEC</t>
        </is>
      </c>
      <c r="O476" s="5" t="inlineStr">
        <is>
          <t>DEC</t>
        </is>
      </c>
      <c r="P476" s="15" t="n">
        <v>0</v>
      </c>
      <c r="Q476" s="15" t="n">
        <v>2</v>
      </c>
      <c r="R476" s="5" t="inlineStr">
        <is>
          <t>128-2024-09-30</t>
        </is>
      </c>
    </row>
    <row r="477" hidden="1">
      <c r="A477" s="21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09" t="n">
        <v>45596</v>
      </c>
      <c r="G477" s="5" t="n">
        <v>2024</v>
      </c>
      <c r="H477" s="5" t="inlineStr">
        <is>
          <t>Octubre</t>
        </is>
      </c>
      <c r="I477" s="6" t="inlineStr">
        <is>
          <t>2024-2</t>
        </is>
      </c>
      <c r="J477" s="5" t="n">
        <v>1</v>
      </c>
      <c r="K477" s="97" t="n">
        <v>0.6119240989557992</v>
      </c>
      <c r="L477" s="14" t="n">
        <v>1.3</v>
      </c>
      <c r="M477" s="14" t="n">
        <v>1.634189602446483</v>
      </c>
      <c r="N477" s="5" t="inlineStr">
        <is>
          <t>DEC</t>
        </is>
      </c>
      <c r="O477" s="5" t="inlineStr">
        <is>
          <t>DEC</t>
        </is>
      </c>
      <c r="P477" s="15" t="n">
        <v>0</v>
      </c>
      <c r="Q477" s="15" t="n">
        <v>1</v>
      </c>
      <c r="R477" s="5" t="inlineStr">
        <is>
          <t>128-2024-10-31</t>
        </is>
      </c>
    </row>
    <row r="478" hidden="1">
      <c r="A478" s="21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09" t="n">
        <v>45626</v>
      </c>
      <c r="G478" s="5" t="n">
        <v>2024</v>
      </c>
      <c r="H478" s="5" t="inlineStr">
        <is>
          <t>Noviembre</t>
        </is>
      </c>
      <c r="I478" s="6" t="inlineStr">
        <is>
          <t>2024-2</t>
        </is>
      </c>
      <c r="J478" s="5" t="n">
        <v>1</v>
      </c>
      <c r="K478" s="97" t="n">
        <v>0.96</v>
      </c>
      <c r="L478" s="14" t="n">
        <v>1.041666666666667</v>
      </c>
      <c r="M478" s="14" t="n">
        <v>1.041666666666667</v>
      </c>
      <c r="N478" s="5" t="inlineStr">
        <is>
          <t>DEC</t>
        </is>
      </c>
      <c r="O478" s="5" t="inlineStr">
        <is>
          <t>DEC</t>
        </is>
      </c>
      <c r="P478" s="15" t="n">
        <v>0</v>
      </c>
      <c r="Q478" s="15" t="n">
        <v>2</v>
      </c>
      <c r="R478" s="5" t="inlineStr">
        <is>
          <t>128-2024-11-30</t>
        </is>
      </c>
    </row>
    <row r="479" hidden="1">
      <c r="A479" s="21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09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</v>
      </c>
      <c r="K479" s="97" t="n">
        <v>0.7769423558897243</v>
      </c>
      <c r="L479" s="14" t="n">
        <v>1.287096774193548</v>
      </c>
      <c r="M479" s="14" t="n">
        <v>1.287096774193548</v>
      </c>
      <c r="N479" s="5" t="inlineStr">
        <is>
          <t>DEC</t>
        </is>
      </c>
      <c r="O479" s="5" t="inlineStr">
        <is>
          <t>DEC</t>
        </is>
      </c>
      <c r="P479" s="15" t="n">
        <v>0</v>
      </c>
      <c r="Q479" s="15" t="n">
        <v>2</v>
      </c>
      <c r="R479" s="5" t="inlineStr">
        <is>
          <t>128-2024-12-31</t>
        </is>
      </c>
    </row>
    <row r="480" hidden="1">
      <c r="A480" s="21" t="n">
        <v>128</v>
      </c>
      <c r="B480" s="5" t="inlineStr">
        <is>
          <t>Ausentísmo por causa médica</t>
        </is>
      </c>
      <c r="C480" s="5" t="inlineStr">
        <is>
          <t>GESTIÓN DE SEGURIDAD Y SALUD EN EL TRABAJO</t>
        </is>
      </c>
      <c r="D480" s="5" t="inlineStr">
        <is>
          <t>Mensual</t>
        </is>
      </c>
      <c r="E480" s="5" t="inlineStr">
        <is>
          <t>Negativo</t>
        </is>
      </c>
      <c r="F480" s="109" t="n">
        <v>45688</v>
      </c>
      <c r="G480" s="5" t="n">
        <v>2025</v>
      </c>
      <c r="H480" s="5" t="inlineStr">
        <is>
          <t>Enero</t>
        </is>
      </c>
      <c r="I480" s="6" t="inlineStr">
        <is>
          <t>2025-1</t>
        </is>
      </c>
      <c r="J480" s="5" t="n">
        <v>1</v>
      </c>
      <c r="K480" s="97" t="n">
        <v>0.86</v>
      </c>
      <c r="L480" s="14" t="n">
        <v>1.162790697674419</v>
      </c>
      <c r="M480" s="14" t="n">
        <v>1.162790697674419</v>
      </c>
      <c r="N480" s="5" t="inlineStr">
        <is>
          <t>DEC</t>
        </is>
      </c>
      <c r="O480" s="5" t="inlineStr">
        <is>
          <t>DEC</t>
        </is>
      </c>
      <c r="P480" s="15" t="n">
        <v>0</v>
      </c>
      <c r="Q480" s="15" t="n">
        <v>2</v>
      </c>
      <c r="R480" s="5" t="inlineStr">
        <is>
          <t>128-2025-01-31</t>
        </is>
      </c>
    </row>
    <row r="481" hidden="1">
      <c r="A481" s="21" t="n">
        <v>128</v>
      </c>
      <c r="B481" s="5" t="inlineStr">
        <is>
          <t>Ausentísmo por causa médica</t>
        </is>
      </c>
      <c r="C481" s="5" t="inlineStr">
        <is>
          <t>GESTIÓN DE SEGURIDAD Y SALUD EN EL TRABAJO</t>
        </is>
      </c>
      <c r="D481" s="5" t="inlineStr">
        <is>
          <t>Mensual</t>
        </is>
      </c>
      <c r="E481" s="5" t="inlineStr">
        <is>
          <t>Negativo</t>
        </is>
      </c>
      <c r="F481" s="109" t="n">
        <v>45716</v>
      </c>
      <c r="G481" s="5" t="n">
        <v>2025</v>
      </c>
      <c r="H481" s="5" t="inlineStr">
        <is>
          <t>Febrero</t>
        </is>
      </c>
      <c r="I481" s="6" t="inlineStr">
        <is>
          <t>2025-1</t>
        </is>
      </c>
      <c r="J481" s="5" t="n">
        <v>1</v>
      </c>
      <c r="K481" s="97" t="n">
        <v>0.99</v>
      </c>
      <c r="L481" s="14" t="n">
        <v>1.01010101010101</v>
      </c>
      <c r="M481" s="14" t="n">
        <v>1.01010101010101</v>
      </c>
      <c r="N481" s="5" t="inlineStr">
        <is>
          <t>DEC</t>
        </is>
      </c>
      <c r="O481" s="5" t="inlineStr">
        <is>
          <t>DEC</t>
        </is>
      </c>
      <c r="P481" s="15" t="n">
        <v>0</v>
      </c>
      <c r="Q481" s="15" t="n">
        <v>2</v>
      </c>
      <c r="R481" s="5" t="inlineStr">
        <is>
          <t>128-2025-02-28</t>
        </is>
      </c>
    </row>
    <row r="482" hidden="1">
      <c r="A482" s="26" t="n">
        <v>128</v>
      </c>
      <c r="B482" s="5" t="inlineStr">
        <is>
          <t>Ausentísmo por causa médica</t>
        </is>
      </c>
      <c r="C482" s="5" t="inlineStr">
        <is>
          <t>GESTIÓN DE SEGURIDAD Y SALUD EN EL TRABAJO</t>
        </is>
      </c>
      <c r="D482" s="5" t="inlineStr">
        <is>
          <t>Mensual</t>
        </is>
      </c>
      <c r="E482" s="5" t="inlineStr">
        <is>
          <t>Negativo</t>
        </is>
      </c>
      <c r="F482" s="109" t="n">
        <v>45747</v>
      </c>
      <c r="G482" s="5" t="n">
        <v>2025</v>
      </c>
      <c r="H482" s="5" t="inlineStr">
        <is>
          <t>Marzo</t>
        </is>
      </c>
      <c r="I482" s="6" t="inlineStr">
        <is>
          <t>2025-1</t>
        </is>
      </c>
      <c r="J482" s="5" t="n">
        <v>1</v>
      </c>
      <c r="K482" s="97" t="n">
        <v>0.96</v>
      </c>
      <c r="L482" s="14" t="n">
        <v>1.041666666666667</v>
      </c>
      <c r="M482" s="14" t="n">
        <v>1.041666666666667</v>
      </c>
      <c r="N482" s="5" t="inlineStr">
        <is>
          <t>DEC</t>
        </is>
      </c>
      <c r="O482" s="5" t="inlineStr">
        <is>
          <t>DEC</t>
        </is>
      </c>
      <c r="P482" s="15" t="n">
        <v>0</v>
      </c>
      <c r="Q482" s="15" t="n">
        <v>2</v>
      </c>
      <c r="R482" s="5" t="inlineStr">
        <is>
          <t>128-2025-03-31</t>
        </is>
      </c>
    </row>
    <row r="483" hidden="1">
      <c r="A483" s="26" t="n">
        <v>128</v>
      </c>
      <c r="B483" s="5" t="inlineStr">
        <is>
          <t>Ausentísmo por causa médica</t>
        </is>
      </c>
      <c r="C483" s="5" t="inlineStr">
        <is>
          <t>GESTIÓN DE SEGURIDAD Y SALUD EN EL TRABAJO</t>
        </is>
      </c>
      <c r="D483" s="5" t="inlineStr">
        <is>
          <t>Mensual</t>
        </is>
      </c>
      <c r="E483" s="5" t="inlineStr">
        <is>
          <t>Negativo</t>
        </is>
      </c>
      <c r="F483" s="109" t="n">
        <v>45777</v>
      </c>
      <c r="G483" s="5" t="n">
        <v>2025</v>
      </c>
      <c r="H483" s="5" t="inlineStr">
        <is>
          <t>Abril</t>
        </is>
      </c>
      <c r="I483" s="6" t="inlineStr">
        <is>
          <t>2025-1</t>
        </is>
      </c>
      <c r="J483" s="5" t="n">
        <v>1</v>
      </c>
      <c r="K483" s="97" t="n">
        <v>0.9399999999999999</v>
      </c>
      <c r="L483" s="14" t="n">
        <v>1.063829787234043</v>
      </c>
      <c r="M483" s="14" t="n">
        <v>1.063829787234043</v>
      </c>
      <c r="N483" s="5" t="inlineStr">
        <is>
          <t>DEC</t>
        </is>
      </c>
      <c r="O483" s="5" t="inlineStr">
        <is>
          <t>DEC</t>
        </is>
      </c>
      <c r="P483" s="15" t="n">
        <v>0</v>
      </c>
      <c r="Q483" s="15" t="n">
        <v>2</v>
      </c>
      <c r="R483" s="5" t="inlineStr">
        <is>
          <t>128-2025-04-30</t>
        </is>
      </c>
    </row>
    <row r="484" hidden="1">
      <c r="A484" s="26" t="n">
        <v>128</v>
      </c>
      <c r="B484" s="5" t="inlineStr">
        <is>
          <t>Ausentísmo por causa médica</t>
        </is>
      </c>
      <c r="C484" s="5" t="inlineStr">
        <is>
          <t>GESTIÓN DE SEGURIDAD Y SALUD EN EL TRABAJO</t>
        </is>
      </c>
      <c r="D484" s="5" t="inlineStr">
        <is>
          <t>Mensual</t>
        </is>
      </c>
      <c r="E484" s="5" t="inlineStr">
        <is>
          <t>Negativo</t>
        </is>
      </c>
      <c r="F484" s="109" t="n">
        <v>45808</v>
      </c>
      <c r="G484" s="5" t="n">
        <v>2025</v>
      </c>
      <c r="H484" s="5" t="inlineStr">
        <is>
          <t>Mayo</t>
        </is>
      </c>
      <c r="I484" s="6" t="inlineStr">
        <is>
          <t>2025-1</t>
        </is>
      </c>
      <c r="J484" s="5" t="n">
        <v>1</v>
      </c>
      <c r="K484" s="97" t="n">
        <v>0.88</v>
      </c>
      <c r="L484" s="14" t="n">
        <v>1.136363636363636</v>
      </c>
      <c r="M484" s="14" t="n">
        <v>1.136363636363636</v>
      </c>
      <c r="N484" s="5" t="inlineStr">
        <is>
          <t>DEC</t>
        </is>
      </c>
      <c r="O484" s="5" t="inlineStr">
        <is>
          <t>DEC</t>
        </is>
      </c>
      <c r="P484" s="15" t="n">
        <v>0</v>
      </c>
      <c r="Q484" s="15" t="n">
        <v>2</v>
      </c>
      <c r="R484" s="5" t="inlineStr">
        <is>
          <t>128-2025-05-31</t>
        </is>
      </c>
    </row>
    <row r="485" hidden="1">
      <c r="A485" s="21" t="n">
        <v>128</v>
      </c>
      <c r="B485" s="5" t="inlineStr">
        <is>
          <t>Ausentísmo por causa médica</t>
        </is>
      </c>
      <c r="C485" s="5" t="inlineStr">
        <is>
          <t>GESTIÓN DE SEGURIDAD Y SALUD EN EL TRABAJO</t>
        </is>
      </c>
      <c r="D485" s="5" t="inlineStr">
        <is>
          <t>Mensual</t>
        </is>
      </c>
      <c r="E485" s="5" t="inlineStr">
        <is>
          <t>Negativo</t>
        </is>
      </c>
      <c r="F485" s="109" t="n">
        <v>45838</v>
      </c>
      <c r="G485" s="5" t="n">
        <v>2025</v>
      </c>
      <c r="H485" s="5" t="inlineStr">
        <is>
          <t>Junio</t>
        </is>
      </c>
      <c r="I485" s="6" t="inlineStr">
        <is>
          <t>2025-1</t>
        </is>
      </c>
      <c r="J485" s="5" t="n">
        <v>1</v>
      </c>
      <c r="K485" s="9" t="n">
        <v>0.97</v>
      </c>
      <c r="L485" s="14" t="n">
        <v>1.030927835051547</v>
      </c>
      <c r="M485" s="14" t="n">
        <v>1.030927835051547</v>
      </c>
      <c r="N485" s="5" t="inlineStr">
        <is>
          <t>DEC</t>
        </is>
      </c>
      <c r="O485" s="5" t="inlineStr">
        <is>
          <t>DEC</t>
        </is>
      </c>
      <c r="P485" s="15" t="n">
        <v>0</v>
      </c>
      <c r="Q485" s="15" t="n">
        <v>2</v>
      </c>
      <c r="R485" s="5" t="inlineStr">
        <is>
          <t>128-2025-06-30</t>
        </is>
      </c>
    </row>
    <row r="486" hidden="1">
      <c r="A486" s="21" t="n">
        <v>128</v>
      </c>
      <c r="B486" s="5" t="inlineStr">
        <is>
          <t>Ausentísmo por causa médica</t>
        </is>
      </c>
      <c r="C486" s="5" t="inlineStr">
        <is>
          <t>GESTIÓN DE SEGURIDAD Y SALUD EN EL TRABAJO</t>
        </is>
      </c>
      <c r="D486" s="5" t="inlineStr">
        <is>
          <t>Mensual</t>
        </is>
      </c>
      <c r="E486" s="5" t="inlineStr">
        <is>
          <t>Negativo</t>
        </is>
      </c>
      <c r="F486" s="109" t="n">
        <v>45869</v>
      </c>
      <c r="G486" s="5" t="n">
        <v>2025</v>
      </c>
      <c r="H486" s="5" t="inlineStr">
        <is>
          <t>Julio</t>
        </is>
      </c>
      <c r="I486" s="6" t="inlineStr">
        <is>
          <t>2025-2</t>
        </is>
      </c>
      <c r="J486" s="5" t="n">
        <v>1</v>
      </c>
      <c r="K486" s="10" t="n">
        <v>0.98</v>
      </c>
      <c r="L486" s="14" t="n">
        <v>1.020408163265306</v>
      </c>
      <c r="M486" s="14" t="n">
        <v>1.020408163265306</v>
      </c>
      <c r="N486" s="5" t="inlineStr">
        <is>
          <t>DEC</t>
        </is>
      </c>
      <c r="O486" s="5" t="inlineStr">
        <is>
          <t>DEC</t>
        </is>
      </c>
      <c r="P486" s="15" t="n">
        <v>0</v>
      </c>
      <c r="Q486" s="15" t="n">
        <v>2</v>
      </c>
      <c r="R486" s="5" t="inlineStr">
        <is>
          <t>128-2025-07-31</t>
        </is>
      </c>
    </row>
    <row r="487" hidden="1">
      <c r="A487" s="21" t="n">
        <v>128</v>
      </c>
      <c r="B487" s="5" t="inlineStr">
        <is>
          <t>Ausentísmo por causa médica</t>
        </is>
      </c>
      <c r="C487" s="5" t="inlineStr">
        <is>
          <t>GESTIÓN DE SEGURIDAD Y SALUD EN EL TRABAJO</t>
        </is>
      </c>
      <c r="D487" s="5" t="inlineStr">
        <is>
          <t>Mensual</t>
        </is>
      </c>
      <c r="E487" s="5" t="inlineStr">
        <is>
          <t>Negativo</t>
        </is>
      </c>
      <c r="F487" s="109" t="n">
        <v>45900</v>
      </c>
      <c r="G487" s="5" t="n">
        <v>2025</v>
      </c>
      <c r="H487" s="5" t="inlineStr">
        <is>
          <t>Agosto</t>
        </is>
      </c>
      <c r="I487" s="6" t="inlineStr">
        <is>
          <t>2025-2</t>
        </is>
      </c>
      <c r="J487" s="5" t="n">
        <v>1</v>
      </c>
      <c r="K487" s="9" t="n">
        <v>0.97</v>
      </c>
      <c r="L487" s="14" t="n">
        <v>1.030927835051547</v>
      </c>
      <c r="M487" s="14" t="n">
        <v>1.030927835051547</v>
      </c>
      <c r="N487" s="5" t="inlineStr">
        <is>
          <t>ENT</t>
        </is>
      </c>
      <c r="O487" s="5" t="inlineStr">
        <is>
          <t>DEC</t>
        </is>
      </c>
      <c r="P487" s="15" t="n">
        <v>0</v>
      </c>
      <c r="Q487" s="15" t="n">
        <v>2</v>
      </c>
      <c r="R487" s="5" t="inlineStr">
        <is>
          <t>128-2025-08-31</t>
        </is>
      </c>
    </row>
    <row r="488" hidden="1">
      <c r="A488" s="21" t="n">
        <v>128</v>
      </c>
      <c r="B488" s="5" t="inlineStr">
        <is>
          <t>Ausentísmo por causa médica</t>
        </is>
      </c>
      <c r="C488" s="5" t="inlineStr">
        <is>
          <t>GESTIÓN DE SEGURIDAD Y SALUD EN EL TRABAJO</t>
        </is>
      </c>
      <c r="D488" s="5" t="inlineStr">
        <is>
          <t>Mensual</t>
        </is>
      </c>
      <c r="E488" s="5" t="inlineStr">
        <is>
          <t>Negativo</t>
        </is>
      </c>
      <c r="F488" s="109" t="n">
        <v>45930</v>
      </c>
      <c r="G488" s="5" t="n">
        <v>2025</v>
      </c>
      <c r="H488" s="5" t="inlineStr">
        <is>
          <t>Septiembre</t>
        </is>
      </c>
      <c r="I488" s="6" t="inlineStr">
        <is>
          <t>2025-2</t>
        </is>
      </c>
      <c r="J488" s="5" t="n">
        <v>1</v>
      </c>
      <c r="K488" s="9" t="n">
        <v>0.72</v>
      </c>
      <c r="L488" s="14" t="n">
        <v>1.3</v>
      </c>
      <c r="M488" s="14" t="n">
        <v>1.388888888888889</v>
      </c>
      <c r="N488" s="5" t="inlineStr">
        <is>
          <t>ENT</t>
        </is>
      </c>
      <c r="O488" s="5" t="inlineStr">
        <is>
          <t>DEC</t>
        </is>
      </c>
      <c r="P488" s="15" t="n">
        <v>0</v>
      </c>
      <c r="Q488" s="15" t="n">
        <v>2</v>
      </c>
      <c r="R488" s="5" t="inlineStr">
        <is>
          <t>128-2025-09-30</t>
        </is>
      </c>
    </row>
    <row r="489" hidden="1">
      <c r="A489" s="21" t="n">
        <v>128</v>
      </c>
      <c r="B489" s="5" t="inlineStr">
        <is>
          <t>Ausentísmo por causa médica</t>
        </is>
      </c>
      <c r="C489" s="5" t="inlineStr">
        <is>
          <t>GESTIÓN DE SEGURIDAD Y SALUD EN EL TRABAJO</t>
        </is>
      </c>
      <c r="D489" s="5" t="inlineStr">
        <is>
          <t>Mensual</t>
        </is>
      </c>
      <c r="E489" s="5" t="inlineStr">
        <is>
          <t>Negativo</t>
        </is>
      </c>
      <c r="F489" s="109" t="n">
        <v>45961</v>
      </c>
      <c r="G489" s="5" t="n">
        <v>2025</v>
      </c>
      <c r="H489" s="5" t="inlineStr">
        <is>
          <t>Octubre</t>
        </is>
      </c>
      <c r="I489" s="6" t="inlineStr">
        <is>
          <t>2025-2</t>
        </is>
      </c>
      <c r="J489" s="5" t="n">
        <v>1</v>
      </c>
      <c r="K489" s="9" t="n">
        <v>0.6899999999999999</v>
      </c>
      <c r="L489" s="14" t="n">
        <v>1.3</v>
      </c>
      <c r="M489" s="14" t="n">
        <v>1.449275362318841</v>
      </c>
      <c r="N489" s="5" t="inlineStr">
        <is>
          <t>ENT</t>
        </is>
      </c>
      <c r="O489" s="5" t="inlineStr">
        <is>
          <t>DEC</t>
        </is>
      </c>
      <c r="P489" s="15" t="n">
        <v>0</v>
      </c>
      <c r="Q489" s="15" t="n">
        <v>2</v>
      </c>
      <c r="R489" s="5" t="inlineStr">
        <is>
          <t>128-2025-10-31</t>
        </is>
      </c>
    </row>
    <row r="490" hidden="1">
      <c r="A490" s="21" t="n">
        <v>128</v>
      </c>
      <c r="B490" s="5" t="inlineStr">
        <is>
          <t>Ausentísmo por causa médica</t>
        </is>
      </c>
      <c r="C490" s="5" t="inlineStr">
        <is>
          <t>GESTIÓN DE SEGURIDAD Y SALUD EN EL TRABAJO</t>
        </is>
      </c>
      <c r="D490" s="5" t="inlineStr">
        <is>
          <t>Mensual</t>
        </is>
      </c>
      <c r="E490" s="5" t="inlineStr">
        <is>
          <t>Negativo</t>
        </is>
      </c>
      <c r="F490" s="109" t="n">
        <v>45991</v>
      </c>
      <c r="G490" s="5" t="n">
        <v>2025</v>
      </c>
      <c r="H490" s="5" t="inlineStr">
        <is>
          <t>Noviembre</t>
        </is>
      </c>
      <c r="I490" s="6" t="inlineStr">
        <is>
          <t>2025-2</t>
        </is>
      </c>
      <c r="J490" s="5" t="n">
        <v>1</v>
      </c>
      <c r="K490" s="9" t="n">
        <v>0.95</v>
      </c>
      <c r="L490" s="14" t="n">
        <v>1.052631578947368</v>
      </c>
      <c r="M490" s="14" t="n">
        <v>1.052631578947368</v>
      </c>
      <c r="N490" s="5" t="inlineStr">
        <is>
          <t>ENT</t>
        </is>
      </c>
      <c r="O490" s="5" t="inlineStr">
        <is>
          <t>DEC</t>
        </is>
      </c>
      <c r="P490" s="15" t="n">
        <v>0</v>
      </c>
      <c r="Q490" s="15" t="n">
        <v>2</v>
      </c>
      <c r="R490" s="5" t="inlineStr">
        <is>
          <t>128-2025-11-30</t>
        </is>
      </c>
    </row>
    <row r="491" hidden="1">
      <c r="A491" s="21" t="n">
        <v>128</v>
      </c>
      <c r="B491" s="5" t="inlineStr">
        <is>
          <t>Ausentísmo por causa médica</t>
        </is>
      </c>
      <c r="C491" s="5" t="inlineStr">
        <is>
          <t>GESTIÓN DE SEGURIDAD Y SALUD EN EL TRABAJO</t>
        </is>
      </c>
      <c r="D491" s="5" t="inlineStr">
        <is>
          <t>Mensual</t>
        </is>
      </c>
      <c r="E491" s="5" t="inlineStr">
        <is>
          <t>Negativo</t>
        </is>
      </c>
      <c r="F491" s="109" t="n">
        <v>46022</v>
      </c>
      <c r="G491" s="5" t="n">
        <v>2025</v>
      </c>
      <c r="H491" s="5" t="inlineStr">
        <is>
          <t>Diciembre</t>
        </is>
      </c>
      <c r="I491" s="6" t="inlineStr">
        <is>
          <t>2025-2</t>
        </is>
      </c>
      <c r="J491" s="5" t="n">
        <v>1</v>
      </c>
      <c r="K491" s="9" t="n">
        <v>0.97</v>
      </c>
      <c r="L491" s="14" t="n">
        <v>1.030927835051547</v>
      </c>
      <c r="M491" s="14" t="n">
        <v>1.030927835051547</v>
      </c>
      <c r="N491" s="5" t="inlineStr">
        <is>
          <t>ENT</t>
        </is>
      </c>
      <c r="O491" s="5" t="inlineStr">
        <is>
          <t>DEC</t>
        </is>
      </c>
      <c r="P491" s="15" t="n">
        <v>0</v>
      </c>
      <c r="Q491" s="15" t="n">
        <v>2</v>
      </c>
      <c r="R491" s="5" t="inlineStr">
        <is>
          <t>128-2025-12-31</t>
        </is>
      </c>
    </row>
    <row r="492" hidden="1">
      <c r="A492" s="21" t="n">
        <v>128</v>
      </c>
      <c r="B492" s="5" t="inlineStr">
        <is>
          <t>Ausentísmo por causa médica</t>
        </is>
      </c>
      <c r="C492" s="5" t="inlineStr">
        <is>
          <t>GESTIÓN DE SEGURIDAD Y SALUD EN EL TRABAJO</t>
        </is>
      </c>
      <c r="D492" s="5" t="inlineStr">
        <is>
          <t>Mensual</t>
        </is>
      </c>
      <c r="E492" s="5" t="inlineStr">
        <is>
          <t>Negativo</t>
        </is>
      </c>
      <c r="F492" s="109" t="n">
        <v>46053</v>
      </c>
      <c r="G492" s="5" t="n">
        <v>2026</v>
      </c>
      <c r="H492" s="5" t="inlineStr">
        <is>
          <t>Enero</t>
        </is>
      </c>
      <c r="I492" s="6" t="inlineStr">
        <is>
          <t>2026-1</t>
        </is>
      </c>
      <c r="J492" s="5" t="n">
        <v>1</v>
      </c>
      <c r="K492" s="9" t="n">
        <v>0.6899999999999999</v>
      </c>
      <c r="L492" s="14" t="n">
        <v>1.3</v>
      </c>
      <c r="M492" s="14" t="n">
        <v>1.449275362318841</v>
      </c>
      <c r="N492" s="5" t="inlineStr">
        <is>
          <t>ENT</t>
        </is>
      </c>
      <c r="O492" s="5" t="inlineStr">
        <is>
          <t>DEC</t>
        </is>
      </c>
      <c r="P492" s="15" t="n">
        <v>0</v>
      </c>
      <c r="Q492" s="15" t="n">
        <v>2</v>
      </c>
      <c r="R492" s="5" t="inlineStr">
        <is>
          <t>128-2026-01-31</t>
        </is>
      </c>
    </row>
    <row r="493" hidden="1">
      <c r="A493" s="21" t="n">
        <v>128</v>
      </c>
      <c r="B493" s="5" t="inlineStr">
        <is>
          <t>Ausentísmo por causa médica</t>
        </is>
      </c>
      <c r="C493" s="5" t="inlineStr">
        <is>
          <t>GESTIÓN DE SEGURIDAD Y SALUD EN EL TRABAJO</t>
        </is>
      </c>
      <c r="D493" s="5" t="inlineStr">
        <is>
          <t>Mensual</t>
        </is>
      </c>
      <c r="E493" s="5" t="inlineStr">
        <is>
          <t>Negativo</t>
        </is>
      </c>
      <c r="F493" s="109" t="n">
        <v>46081</v>
      </c>
      <c r="G493" s="5" t="n">
        <v>2026</v>
      </c>
      <c r="H493" s="5" t="inlineStr">
        <is>
          <t>Febrero</t>
        </is>
      </c>
      <c r="I493" s="6" t="inlineStr">
        <is>
          <t>2026-1</t>
        </is>
      </c>
      <c r="J493" s="5" t="n">
        <v>1</v>
      </c>
      <c r="K493" s="9" t="n">
        <v>0.9399999999999999</v>
      </c>
      <c r="L493" s="14" t="n">
        <v>1.063829787234043</v>
      </c>
      <c r="M493" s="14" t="n">
        <v>1.063829787234043</v>
      </c>
      <c r="N493" s="5" t="inlineStr">
        <is>
          <t>ENT</t>
        </is>
      </c>
      <c r="O493" s="5" t="inlineStr">
        <is>
          <t>DEC</t>
        </is>
      </c>
      <c r="P493" s="15" t="n">
        <v>0</v>
      </c>
      <c r="Q493" s="15" t="n">
        <v>2</v>
      </c>
      <c r="R493" s="5" t="inlineStr">
        <is>
          <t>128-2026-02-28</t>
        </is>
      </c>
    </row>
    <row r="494" hidden="1">
      <c r="A494" s="26" t="n">
        <v>128</v>
      </c>
      <c r="B494" s="5" t="inlineStr">
        <is>
          <t>Ausentísmo por causa médica</t>
        </is>
      </c>
      <c r="C494" s="5" t="inlineStr">
        <is>
          <t>GESTIÓN DE SEGURIDAD Y SALUD EN EL TRABAJO</t>
        </is>
      </c>
      <c r="D494" s="5" t="inlineStr">
        <is>
          <t>Mensual</t>
        </is>
      </c>
      <c r="E494" s="5" t="inlineStr">
        <is>
          <t>Negativo</t>
        </is>
      </c>
      <c r="F494" s="109" t="n">
        <v>46112</v>
      </c>
      <c r="G494" s="5" t="n">
        <v>2026</v>
      </c>
      <c r="H494" s="5" t="inlineStr">
        <is>
          <t>Marzo</t>
        </is>
      </c>
      <c r="I494" s="6" t="inlineStr">
        <is>
          <t>2026-1</t>
        </is>
      </c>
      <c r="J494" s="5" t="n">
        <v>1</v>
      </c>
      <c r="K494" s="9" t="n">
        <v>0.98</v>
      </c>
      <c r="L494" s="14" t="n">
        <v>1.020408163265306</v>
      </c>
      <c r="M494" s="14" t="n">
        <v>1.020408163265306</v>
      </c>
      <c r="N494" s="5" t="inlineStr">
        <is>
          <t>ENT</t>
        </is>
      </c>
      <c r="O494" s="5" t="inlineStr">
        <is>
          <t>DEC</t>
        </is>
      </c>
      <c r="P494" s="15" t="n">
        <v>0</v>
      </c>
      <c r="Q494" s="15" t="n">
        <v>2</v>
      </c>
      <c r="R494" s="5" t="inlineStr">
        <is>
          <t>128-2026-03-31</t>
        </is>
      </c>
    </row>
    <row r="495" hidden="1">
      <c r="A495" s="26" t="n">
        <v>128</v>
      </c>
      <c r="B495" s="5" t="inlineStr">
        <is>
          <t>Ausentísmo por causa médica</t>
        </is>
      </c>
      <c r="C495" s="5" t="inlineStr">
        <is>
          <t>GESTIÓN DE SEGURIDAD Y SALUD EN EL TRABAJO</t>
        </is>
      </c>
      <c r="D495" s="5" t="inlineStr">
        <is>
          <t>Mensual</t>
        </is>
      </c>
      <c r="E495" s="5" t="inlineStr">
        <is>
          <t>Negativo</t>
        </is>
      </c>
      <c r="F495" s="109" t="n">
        <v>46142</v>
      </c>
      <c r="G495" s="5" t="n">
        <v>2026</v>
      </c>
      <c r="H495" s="5" t="inlineStr">
        <is>
          <t>Abril</t>
        </is>
      </c>
      <c r="I495" s="6" t="inlineStr">
        <is>
          <t>2026-1</t>
        </is>
      </c>
      <c r="J495" s="5" t="n">
        <v>1</v>
      </c>
      <c r="K495" s="9" t="n">
        <v>0.37</v>
      </c>
      <c r="L495" s="14" t="n">
        <v>1.3</v>
      </c>
      <c r="M495" s="14" t="n">
        <v>2.702702702702703</v>
      </c>
      <c r="N495" s="5" t="inlineStr">
        <is>
          <t>ENT</t>
        </is>
      </c>
      <c r="O495" s="5" t="inlineStr">
        <is>
          <t>DEC</t>
        </is>
      </c>
      <c r="P495" s="15" t="n">
        <v>0</v>
      </c>
      <c r="Q495" s="15" t="n">
        <v>2</v>
      </c>
      <c r="R495" s="5" t="inlineStr">
        <is>
          <t>128-2026-04-30</t>
        </is>
      </c>
    </row>
    <row r="496" hidden="1">
      <c r="A496" s="26" t="n">
        <v>133</v>
      </c>
      <c r="B496" s="5" t="inlineStr">
        <is>
          <t>Nivel de Satisfacción Servicios Prestados</t>
        </is>
      </c>
      <c r="C496" s="5" t="inlineStr">
        <is>
          <t>VISIBILIDAD NACIONAL E INTERNACIONAL</t>
        </is>
      </c>
      <c r="D496" s="5" t="inlineStr">
        <is>
          <t>Anual</t>
        </is>
      </c>
      <c r="E496" s="5" t="inlineStr">
        <is>
          <t>Positivo</t>
        </is>
      </c>
      <c r="F496" s="109" t="n">
        <v>44865</v>
      </c>
      <c r="G496" s="5" t="n">
        <v>2022</v>
      </c>
      <c r="H496" s="5" t="inlineStr">
        <is>
          <t>Octubre</t>
        </is>
      </c>
      <c r="I496" s="6" t="inlineStr">
        <is>
          <t>2022-2</t>
        </is>
      </c>
      <c r="J496" s="5" t="n">
        <v>80</v>
      </c>
      <c r="K496" s="9" t="n">
        <v>90</v>
      </c>
      <c r="L496" s="14" t="n">
        <v>1.125</v>
      </c>
      <c r="M496" s="14" t="n">
        <v>1.125</v>
      </c>
      <c r="N496" s="5" t="inlineStr">
        <is>
          <t>%</t>
        </is>
      </c>
      <c r="O496" s="5" t="inlineStr">
        <is>
          <t>%</t>
        </is>
      </c>
      <c r="P496" s="15" t="n">
        <v>0</v>
      </c>
      <c r="Q496" s="15" t="n">
        <v>0</v>
      </c>
      <c r="R496" s="5" t="inlineStr">
        <is>
          <t>133-2022-10-31</t>
        </is>
      </c>
    </row>
    <row r="497" hidden="1">
      <c r="A497" s="21" t="n">
        <v>133</v>
      </c>
      <c r="B497" s="5" t="inlineStr">
        <is>
          <t>Nivel de Satisfacción Servicios Prestados</t>
        </is>
      </c>
      <c r="C497" s="5" t="inlineStr">
        <is>
          <t>VISIBILIDAD NACIONAL E INTERNACIONAL</t>
        </is>
      </c>
      <c r="D497" s="5" t="inlineStr">
        <is>
          <t>Anual</t>
        </is>
      </c>
      <c r="E497" s="5" t="inlineStr">
        <is>
          <t>Positivo</t>
        </is>
      </c>
      <c r="F497" s="108" t="n">
        <v>45230</v>
      </c>
      <c r="G497" s="5" t="n">
        <v>2023</v>
      </c>
      <c r="H497" s="5" t="inlineStr">
        <is>
          <t>Octubre</t>
        </is>
      </c>
      <c r="I497" s="6" t="inlineStr">
        <is>
          <t>2023-2</t>
        </is>
      </c>
      <c r="J497" s="5" t="n">
        <v>80</v>
      </c>
      <c r="K497" s="9" t="n">
        <v>93</v>
      </c>
      <c r="L497" s="14" t="n">
        <v>1.1625</v>
      </c>
      <c r="M497" s="14" t="n">
        <v>1.1625</v>
      </c>
      <c r="N497" s="5" t="inlineStr">
        <is>
          <t>%</t>
        </is>
      </c>
      <c r="O497" s="5" t="inlineStr">
        <is>
          <t>%</t>
        </is>
      </c>
      <c r="P497" s="15" t="n">
        <v>0</v>
      </c>
      <c r="Q497" s="15" t="n">
        <v>0</v>
      </c>
      <c r="R497" s="5" t="inlineStr">
        <is>
          <t>133-2023-10-31</t>
        </is>
      </c>
    </row>
    <row r="498" hidden="1">
      <c r="A498" s="5" t="n">
        <v>133</v>
      </c>
      <c r="B498" s="5" t="inlineStr">
        <is>
          <t>Nivel de Satisfacción Servicios Prestados</t>
        </is>
      </c>
      <c r="C498" s="5" t="inlineStr">
        <is>
          <t>VISIBILIDAD NACIONAL E INTERNACIONAL</t>
        </is>
      </c>
      <c r="D498" s="5" t="inlineStr">
        <is>
          <t>Anual</t>
        </is>
      </c>
      <c r="E498" s="5" t="inlineStr">
        <is>
          <t>Positivo</t>
        </is>
      </c>
      <c r="F498" s="109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80</v>
      </c>
      <c r="K498" s="5" t="n">
        <v>92.78911564625851</v>
      </c>
      <c r="L498" s="14" t="n">
        <v>1.159863945578231</v>
      </c>
      <c r="M498" s="14" t="n">
        <v>1.159863945578231</v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133-2023-12-31</t>
        </is>
      </c>
    </row>
    <row r="499" hidden="1">
      <c r="A499" s="21" t="n">
        <v>133</v>
      </c>
      <c r="B499" s="5" t="inlineStr">
        <is>
          <t>Nivel de Satisfacción Servicios Prestados</t>
        </is>
      </c>
      <c r="C499" s="5" t="inlineStr">
        <is>
          <t>VISIBILIDAD NACIONAL E INTERNACIONAL</t>
        </is>
      </c>
      <c r="D499" s="5" t="inlineStr">
        <is>
          <t>Anual</t>
        </is>
      </c>
      <c r="E499" s="5" t="inlineStr">
        <is>
          <t>Positivo</t>
        </is>
      </c>
      <c r="F499" s="109" t="n">
        <v>45596</v>
      </c>
      <c r="G499" s="5" t="n">
        <v>2024</v>
      </c>
      <c r="H499" s="5" t="inlineStr">
        <is>
          <t>Octubre</t>
        </is>
      </c>
      <c r="I499" s="6" t="inlineStr">
        <is>
          <t>2024-2</t>
        </is>
      </c>
      <c r="J499" s="5" t="n">
        <v>80</v>
      </c>
      <c r="K499" s="10" t="n">
        <v>91</v>
      </c>
      <c r="L499" s="14" t="n">
        <v>1.1375</v>
      </c>
      <c r="M499" s="14" t="n">
        <v>1.1375</v>
      </c>
      <c r="N499" s="5" t="inlineStr">
        <is>
          <t>%</t>
        </is>
      </c>
      <c r="O499" s="5" t="inlineStr">
        <is>
          <t>%</t>
        </is>
      </c>
      <c r="P499" s="15" t="n">
        <v>0</v>
      </c>
      <c r="Q499" s="15" t="n">
        <v>0</v>
      </c>
      <c r="R499" s="5" t="inlineStr">
        <is>
          <t>133-2024-10-31</t>
        </is>
      </c>
    </row>
    <row r="500" hidden="1">
      <c r="A500" s="21" t="n">
        <v>133</v>
      </c>
      <c r="B500" s="5" t="inlineStr">
        <is>
          <t>Nivel de Satisfacción Servicios Prestados</t>
        </is>
      </c>
      <c r="C500" s="5" t="inlineStr">
        <is>
          <t>VISIBILIDAD NACIONAL E INTERNACIONAL</t>
        </is>
      </c>
      <c r="D500" s="5" t="inlineStr">
        <is>
          <t>Anual</t>
        </is>
      </c>
      <c r="E500" s="5" t="inlineStr">
        <is>
          <t>Positivo</t>
        </is>
      </c>
      <c r="F500" s="109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80</v>
      </c>
      <c r="K500" s="10" t="n">
        <v>91</v>
      </c>
      <c r="L500" s="14" t="n">
        <v>1.1375</v>
      </c>
      <c r="M500" s="14" t="n">
        <v>1.1375</v>
      </c>
      <c r="N500" s="5" t="inlineStr">
        <is>
          <t>%</t>
        </is>
      </c>
      <c r="O500" s="5" t="inlineStr">
        <is>
          <t>%</t>
        </is>
      </c>
      <c r="P500" s="15" t="n">
        <v>0</v>
      </c>
      <c r="Q500" s="15" t="n">
        <v>0</v>
      </c>
      <c r="R500" s="5" t="inlineStr">
        <is>
          <t>133-2024-12-31</t>
        </is>
      </c>
    </row>
    <row r="501" hidden="1">
      <c r="A501" s="21" t="n">
        <v>133</v>
      </c>
      <c r="B501" s="5" t="inlineStr">
        <is>
          <t>Nivel de Satisfacción Servicios Prestados</t>
        </is>
      </c>
      <c r="C501" s="5" t="inlineStr">
        <is>
          <t>VISIBILIDAD NACIONAL E INTERNACIONAL</t>
        </is>
      </c>
      <c r="D501" s="5" t="inlineStr">
        <is>
          <t>Anual</t>
        </is>
      </c>
      <c r="E501" s="5" t="inlineStr">
        <is>
          <t>Positivo</t>
        </is>
      </c>
      <c r="F501" s="109" t="n">
        <v>45961</v>
      </c>
      <c r="G501" s="5" t="n">
        <v>2025</v>
      </c>
      <c r="H501" s="5" t="inlineStr">
        <is>
          <t>Octubre</t>
        </is>
      </c>
      <c r="I501" s="6" t="inlineStr">
        <is>
          <t>2025-2</t>
        </is>
      </c>
      <c r="J501" s="5" t="n">
        <v>80</v>
      </c>
      <c r="K501" s="9" t="n">
        <v>96</v>
      </c>
      <c r="L501" s="14" t="n">
        <v>1.2</v>
      </c>
      <c r="M501" s="14" t="n">
        <v>1.2</v>
      </c>
      <c r="N501" s="5" t="inlineStr">
        <is>
          <t>%</t>
        </is>
      </c>
      <c r="O501" s="5" t="inlineStr">
        <is>
          <t>%</t>
        </is>
      </c>
      <c r="P501" s="15" t="n">
        <v>0</v>
      </c>
      <c r="Q501" s="15" t="n">
        <v>0</v>
      </c>
      <c r="R501" s="5" t="inlineStr">
        <is>
          <t>133-2025-10-31</t>
        </is>
      </c>
    </row>
    <row r="502" hidden="1">
      <c r="A502" s="21" t="n">
        <v>136</v>
      </c>
      <c r="B502" s="5" t="inlineStr">
        <is>
          <t>Ejecución de actividades culturales</t>
        </is>
      </c>
      <c r="C502" s="5" t="inlineStr">
        <is>
          <t>Biblioteca Institucional</t>
        </is>
      </c>
      <c r="D502" s="5" t="inlineStr">
        <is>
          <t>Semestral</t>
        </is>
      </c>
      <c r="E502" s="5" t="inlineStr">
        <is>
          <t>Positivo</t>
        </is>
      </c>
      <c r="F502" s="108" t="n">
        <v>45107</v>
      </c>
      <c r="G502" s="5" t="n">
        <v>2023</v>
      </c>
      <c r="H502" s="5" t="inlineStr">
        <is>
          <t>Junio</t>
        </is>
      </c>
      <c r="I502" s="6" t="inlineStr">
        <is>
          <t>2023-1</t>
        </is>
      </c>
      <c r="J502" s="5" t="n">
        <v>90</v>
      </c>
      <c r="K502" s="9" t="n">
        <v>105.56</v>
      </c>
      <c r="L502" s="14" t="n">
        <v>1.172888888888889</v>
      </c>
      <c r="M502" s="14" t="n">
        <v>1.172888888888889</v>
      </c>
      <c r="N502" s="5" t="inlineStr">
        <is>
          <t>%</t>
        </is>
      </c>
      <c r="O502" s="5" t="inlineStr">
        <is>
          <t>%</t>
        </is>
      </c>
      <c r="P502" s="15" t="n">
        <v>0</v>
      </c>
      <c r="Q502" s="15" t="n">
        <v>0</v>
      </c>
      <c r="R502" s="5" t="inlineStr">
        <is>
          <t>136-2023-06-30</t>
        </is>
      </c>
    </row>
    <row r="503" hidden="1">
      <c r="A503" s="21" t="n">
        <v>136</v>
      </c>
      <c r="B503" s="5" t="inlineStr">
        <is>
          <t>Ejecución de actividades culturales</t>
        </is>
      </c>
      <c r="C503" s="5" t="inlineStr">
        <is>
          <t>Biblioteca Institucional</t>
        </is>
      </c>
      <c r="D503" s="5" t="inlineStr">
        <is>
          <t>Semestral</t>
        </is>
      </c>
      <c r="E503" s="5" t="inlineStr">
        <is>
          <t>Positivo</t>
        </is>
      </c>
      <c r="F503" s="109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90</v>
      </c>
      <c r="K503" s="9" t="n">
        <v>94.44</v>
      </c>
      <c r="L503" s="14" t="n">
        <v>1.049333333333333</v>
      </c>
      <c r="M503" s="14" t="n">
        <v>1.049333333333333</v>
      </c>
      <c r="N503" s="5" t="inlineStr">
        <is>
          <t>%</t>
        </is>
      </c>
      <c r="O503" s="5" t="inlineStr">
        <is>
          <t>%</t>
        </is>
      </c>
      <c r="P503" s="15" t="n">
        <v>0</v>
      </c>
      <c r="Q503" s="15" t="n">
        <v>0</v>
      </c>
      <c r="R503" s="5" t="inlineStr">
        <is>
          <t>136-2023-12-31</t>
        </is>
      </c>
    </row>
    <row r="504" hidden="1">
      <c r="A504" s="21" t="n">
        <v>137</v>
      </c>
      <c r="B504" s="5" t="inlineStr">
        <is>
          <t>Ejecución de Talleres de formación</t>
        </is>
      </c>
      <c r="C504" s="5" t="inlineStr">
        <is>
          <t>Biblioteca Institucional</t>
        </is>
      </c>
      <c r="D504" s="5" t="inlineStr">
        <is>
          <t>Trimestral</t>
        </is>
      </c>
      <c r="E504" s="5" t="inlineStr">
        <is>
          <t>Positivo</t>
        </is>
      </c>
      <c r="F504" s="109" t="n">
        <v>45016</v>
      </c>
      <c r="G504" s="5" t="n">
        <v>2023</v>
      </c>
      <c r="H504" s="5" t="inlineStr">
        <is>
          <t>Marzo</t>
        </is>
      </c>
      <c r="I504" s="6" t="inlineStr">
        <is>
          <t>2023-1</t>
        </is>
      </c>
      <c r="J504" s="5" t="n">
        <v>86</v>
      </c>
      <c r="K504" s="9" t="n">
        <v>87</v>
      </c>
      <c r="L504" s="14" t="n">
        <v>1.011627906976744</v>
      </c>
      <c r="M504" s="14" t="n">
        <v>1.011627906976744</v>
      </c>
      <c r="N504" s="5" t="inlineStr">
        <is>
          <t>%</t>
        </is>
      </c>
      <c r="O504" s="5" t="inlineStr">
        <is>
          <t>%</t>
        </is>
      </c>
      <c r="P504" s="15" t="n">
        <v>0</v>
      </c>
      <c r="Q504" s="15" t="n">
        <v>0</v>
      </c>
      <c r="R504" s="5" t="inlineStr">
        <is>
          <t>137-2023-03-31</t>
        </is>
      </c>
    </row>
    <row r="505" hidden="1">
      <c r="A505" s="21" t="n">
        <v>137</v>
      </c>
      <c r="B505" s="5" t="inlineStr">
        <is>
          <t>Ejecución de Talleres de formación</t>
        </is>
      </c>
      <c r="C505" s="5" t="inlineStr">
        <is>
          <t>Biblioteca Institucional</t>
        </is>
      </c>
      <c r="D505" s="5" t="inlineStr">
        <is>
          <t>Trimestral</t>
        </is>
      </c>
      <c r="E505" s="5" t="inlineStr">
        <is>
          <t>Positivo</t>
        </is>
      </c>
      <c r="F505" s="109" t="n">
        <v>45107</v>
      </c>
      <c r="G505" s="5" t="n">
        <v>2023</v>
      </c>
      <c r="H505" s="5" t="inlineStr">
        <is>
          <t>Junio</t>
        </is>
      </c>
      <c r="I505" s="6" t="inlineStr">
        <is>
          <t>2023-1</t>
        </is>
      </c>
      <c r="J505" s="5" t="n">
        <v>126</v>
      </c>
      <c r="K505" s="9" t="n">
        <v>126</v>
      </c>
      <c r="L505" s="14" t="n">
        <v>1</v>
      </c>
      <c r="M505" s="14" t="n">
        <v>1</v>
      </c>
      <c r="N505" s="5" t="inlineStr">
        <is>
          <t>%</t>
        </is>
      </c>
      <c r="O505" s="5" t="inlineStr">
        <is>
          <t>%</t>
        </is>
      </c>
      <c r="P505" s="15" t="n">
        <v>0</v>
      </c>
      <c r="Q505" s="15" t="n">
        <v>0</v>
      </c>
      <c r="R505" s="5" t="inlineStr">
        <is>
          <t>137-2023-06-30</t>
        </is>
      </c>
    </row>
    <row r="506" hidden="1">
      <c r="A506" s="21" t="n">
        <v>137</v>
      </c>
      <c r="B506" s="5" t="inlineStr">
        <is>
          <t>Ejecución de Talleres de formación</t>
        </is>
      </c>
      <c r="C506" s="5" t="inlineStr">
        <is>
          <t>Biblioteca Institucional</t>
        </is>
      </c>
      <c r="D506" s="5" t="inlineStr">
        <is>
          <t>Trimestral</t>
        </is>
      </c>
      <c r="E506" s="5" t="inlineStr">
        <is>
          <t>Positivo</t>
        </is>
      </c>
      <c r="F506" s="109" t="n">
        <v>45199</v>
      </c>
      <c r="G506" s="5" t="n">
        <v>2023</v>
      </c>
      <c r="H506" s="5" t="inlineStr">
        <is>
          <t>Septiembre</t>
        </is>
      </c>
      <c r="I506" s="6" t="inlineStr">
        <is>
          <t>2023-2</t>
        </is>
      </c>
      <c r="J506" s="5" t="n">
        <v>138</v>
      </c>
      <c r="K506" s="9" t="n">
        <v>138</v>
      </c>
      <c r="L506" s="14" t="n">
        <v>1</v>
      </c>
      <c r="M506" s="14" t="n">
        <v>1</v>
      </c>
      <c r="N506" s="5" t="inlineStr">
        <is>
          <t>%</t>
        </is>
      </c>
      <c r="O506" s="5" t="inlineStr">
        <is>
          <t>%</t>
        </is>
      </c>
      <c r="P506" s="15" t="n">
        <v>0</v>
      </c>
      <c r="Q506" s="15" t="n">
        <v>0</v>
      </c>
      <c r="R506" s="5" t="inlineStr">
        <is>
          <t>137-2023-09-30</t>
        </is>
      </c>
    </row>
    <row r="507" hidden="1">
      <c r="A507" s="21" t="n">
        <v>137</v>
      </c>
      <c r="B507" s="5" t="inlineStr">
        <is>
          <t>Ejecución de Talleres de formación</t>
        </is>
      </c>
      <c r="C507" s="5" t="inlineStr">
        <is>
          <t>Biblioteca Institucional</t>
        </is>
      </c>
      <c r="D507" s="5" t="inlineStr">
        <is>
          <t>Trimestral</t>
        </is>
      </c>
      <c r="E507" s="5" t="inlineStr">
        <is>
          <t>Positivo</t>
        </is>
      </c>
      <c r="F507" s="109" t="n">
        <v>45291</v>
      </c>
      <c r="G507" s="5" t="n">
        <v>2023</v>
      </c>
      <c r="H507" s="5" t="inlineStr">
        <is>
          <t>Diciembre</t>
        </is>
      </c>
      <c r="I507" s="6" t="inlineStr">
        <is>
          <t>2023-2</t>
        </is>
      </c>
      <c r="J507" s="5" t="n">
        <v>97</v>
      </c>
      <c r="K507" s="9" t="n">
        <v>97</v>
      </c>
      <c r="L507" s="14" t="n">
        <v>1</v>
      </c>
      <c r="M507" s="14" t="n">
        <v>1</v>
      </c>
      <c r="N507" s="5" t="inlineStr">
        <is>
          <t>%</t>
        </is>
      </c>
      <c r="O507" s="5" t="inlineStr">
        <is>
          <t>%</t>
        </is>
      </c>
      <c r="P507" s="15" t="n">
        <v>0</v>
      </c>
      <c r="Q507" s="15" t="n">
        <v>0</v>
      </c>
      <c r="R507" s="5" t="inlineStr">
        <is>
          <t>137-2023-12-31</t>
        </is>
      </c>
    </row>
    <row r="508" hidden="1">
      <c r="A508" s="21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09" t="n">
        <v>44957</v>
      </c>
      <c r="G508" s="5" t="n">
        <v>2023</v>
      </c>
      <c r="H508" s="5" t="inlineStr">
        <is>
          <t>Enero</t>
        </is>
      </c>
      <c r="I508" s="6" t="inlineStr">
        <is>
          <t>2023-1</t>
        </is>
      </c>
      <c r="J508" s="5" t="n">
        <v>58.044</v>
      </c>
      <c r="K508" s="9" t="n">
        <v>60.66</v>
      </c>
      <c r="L508" s="14" t="n">
        <v>0.9568743818001978</v>
      </c>
      <c r="M508" s="14" t="n">
        <v>0.9568743818001978</v>
      </c>
      <c r="N508" s="5" t="inlineStr">
        <is>
          <t>$</t>
        </is>
      </c>
      <c r="O508" s="5" t="inlineStr">
        <is>
          <t>$</t>
        </is>
      </c>
      <c r="P508" s="15" t="n">
        <v>2</v>
      </c>
      <c r="Q508" s="15" t="n">
        <v>2</v>
      </c>
      <c r="R508" s="5" t="inlineStr">
        <is>
          <t>139-2023-01-31</t>
        </is>
      </c>
    </row>
    <row r="509" hidden="1">
      <c r="A509" s="21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09" t="n">
        <v>44985</v>
      </c>
      <c r="G509" s="5" t="n">
        <v>2023</v>
      </c>
      <c r="H509" s="5" t="inlineStr">
        <is>
          <t>Febrero</t>
        </is>
      </c>
      <c r="I509" s="6" t="inlineStr">
        <is>
          <t>2023-1</t>
        </is>
      </c>
      <c r="J509" s="5" t="n">
        <v>163.873</v>
      </c>
      <c r="K509" s="9" t="n">
        <v>115.421</v>
      </c>
      <c r="L509" s="14" t="n">
        <v>1.3</v>
      </c>
      <c r="M509" s="14" t="n">
        <v>1.419784961142253</v>
      </c>
      <c r="N509" s="5" t="inlineStr">
        <is>
          <t>$</t>
        </is>
      </c>
      <c r="O509" s="5" t="inlineStr">
        <is>
          <t>$</t>
        </is>
      </c>
      <c r="P509" s="15" t="n">
        <v>2</v>
      </c>
      <c r="Q509" s="15" t="n">
        <v>2</v>
      </c>
      <c r="R509" s="5" t="inlineStr">
        <is>
          <t>139-2023-02-28</t>
        </is>
      </c>
    </row>
    <row r="510" hidden="1">
      <c r="A510" s="26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09" t="n">
        <v>45016</v>
      </c>
      <c r="G510" s="5" t="n">
        <v>2023</v>
      </c>
      <c r="H510" s="5" t="inlineStr">
        <is>
          <t>Marzo</t>
        </is>
      </c>
      <c r="I510" s="6" t="inlineStr">
        <is>
          <t>2023-1</t>
        </is>
      </c>
      <c r="J510" s="5" t="n">
        <v>336.818</v>
      </c>
      <c r="K510" s="9" t="n">
        <v>167.493</v>
      </c>
      <c r="L510" s="14" t="n">
        <v>1.3</v>
      </c>
      <c r="M510" s="14" t="n">
        <v>2.010937770533694</v>
      </c>
      <c r="N510" s="5" t="inlineStr">
        <is>
          <t>$</t>
        </is>
      </c>
      <c r="O510" s="5" t="inlineStr">
        <is>
          <t>$</t>
        </is>
      </c>
      <c r="P510" s="15" t="n">
        <v>2</v>
      </c>
      <c r="Q510" s="15" t="n">
        <v>2</v>
      </c>
      <c r="R510" s="5" t="inlineStr">
        <is>
          <t>139-2023-03-31</t>
        </is>
      </c>
    </row>
    <row r="511" hidden="1">
      <c r="A511" s="26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09" t="n">
        <v>45046</v>
      </c>
      <c r="G511" s="5" t="n">
        <v>2023</v>
      </c>
      <c r="H511" s="5" t="inlineStr">
        <is>
          <t>Abril</t>
        </is>
      </c>
      <c r="I511" s="6" t="inlineStr">
        <is>
          <t>2023-1</t>
        </is>
      </c>
      <c r="J511" s="5" t="n">
        <v>424.518</v>
      </c>
      <c r="K511" s="9" t="n">
        <v>251.406</v>
      </c>
      <c r="L511" s="14" t="n">
        <v>1.3</v>
      </c>
      <c r="M511" s="14" t="n">
        <v>1.688575451659865</v>
      </c>
      <c r="N511" s="5" t="inlineStr">
        <is>
          <t>$</t>
        </is>
      </c>
      <c r="O511" s="5" t="inlineStr">
        <is>
          <t>$</t>
        </is>
      </c>
      <c r="P511" s="15" t="n">
        <v>2</v>
      </c>
      <c r="Q511" s="15" t="n">
        <v>2</v>
      </c>
      <c r="R511" s="5" t="inlineStr">
        <is>
          <t>139-2023-04-30</t>
        </is>
      </c>
    </row>
    <row r="512" hidden="1">
      <c r="A512" s="26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09" t="n">
        <v>45077</v>
      </c>
      <c r="G512" s="5" t="n">
        <v>2023</v>
      </c>
      <c r="H512" s="5" t="inlineStr">
        <is>
          <t>Mayo</t>
        </is>
      </c>
      <c r="I512" s="6" t="inlineStr">
        <is>
          <t>2023-1</t>
        </is>
      </c>
      <c r="J512" s="5" t="n">
        <v>498.739</v>
      </c>
      <c r="K512" s="9" t="n">
        <v>329.68</v>
      </c>
      <c r="L512" s="14" t="n">
        <v>1.3</v>
      </c>
      <c r="M512" s="14" t="n">
        <v>1.5127972579471</v>
      </c>
      <c r="N512" s="5" t="inlineStr">
        <is>
          <t>$</t>
        </is>
      </c>
      <c r="O512" s="5" t="inlineStr">
        <is>
          <t>$</t>
        </is>
      </c>
      <c r="P512" s="15" t="n">
        <v>2</v>
      </c>
      <c r="Q512" s="15" t="n">
        <v>2</v>
      </c>
      <c r="R512" s="5" t="inlineStr">
        <is>
          <t>139-2023-05-31</t>
        </is>
      </c>
    </row>
    <row r="513" hidden="1">
      <c r="A513" s="21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09" t="n">
        <v>45107</v>
      </c>
      <c r="G513" s="5" t="n">
        <v>2023</v>
      </c>
      <c r="H513" s="5" t="inlineStr">
        <is>
          <t>Junio</t>
        </is>
      </c>
      <c r="I513" s="6" t="inlineStr">
        <is>
          <t>2023-1</t>
        </is>
      </c>
      <c r="J513" s="5" t="n">
        <v>570.083</v>
      </c>
      <c r="K513" s="9" t="n">
        <v>410.077</v>
      </c>
      <c r="L513" s="14" t="n">
        <v>1.3</v>
      </c>
      <c r="M513" s="14" t="n">
        <v>1.390185257890591</v>
      </c>
      <c r="N513" s="5" t="inlineStr">
        <is>
          <t>$</t>
        </is>
      </c>
      <c r="O513" s="5" t="inlineStr">
        <is>
          <t>$</t>
        </is>
      </c>
      <c r="P513" s="15" t="n">
        <v>2</v>
      </c>
      <c r="Q513" s="15" t="n">
        <v>2</v>
      </c>
      <c r="R513" s="5" t="inlineStr">
        <is>
          <t>139-2023-06-30</t>
        </is>
      </c>
    </row>
    <row r="514" hidden="1">
      <c r="A514" s="21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09" t="n">
        <v>45138</v>
      </c>
      <c r="G514" s="5" t="n">
        <v>2023</v>
      </c>
      <c r="H514" s="5" t="inlineStr">
        <is>
          <t>Julio</t>
        </is>
      </c>
      <c r="I514" s="6" t="inlineStr">
        <is>
          <t>2023-2</t>
        </is>
      </c>
      <c r="J514" s="5" t="n">
        <v>657.579</v>
      </c>
      <c r="K514" s="5" t="n">
        <v>491.44</v>
      </c>
      <c r="L514" s="14" t="n">
        <v>1.3</v>
      </c>
      <c r="M514" s="14" t="n">
        <v>1.338065684518965</v>
      </c>
      <c r="N514" s="5" t="inlineStr">
        <is>
          <t>$</t>
        </is>
      </c>
      <c r="O514" s="5" t="inlineStr">
        <is>
          <t>$</t>
        </is>
      </c>
      <c r="P514" s="15" t="n">
        <v>2</v>
      </c>
      <c r="Q514" s="15" t="n">
        <v>2</v>
      </c>
      <c r="R514" s="5" t="inlineStr">
        <is>
          <t>139-2023-07-31</t>
        </is>
      </c>
    </row>
    <row r="515" hidden="1">
      <c r="A515" s="21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09" t="n">
        <v>45169</v>
      </c>
      <c r="G515" s="5" t="n">
        <v>2023</v>
      </c>
      <c r="H515" s="5" t="inlineStr">
        <is>
          <t>Agosto</t>
        </is>
      </c>
      <c r="I515" s="6" t="inlineStr">
        <is>
          <t>2023-2</t>
        </is>
      </c>
      <c r="J515" s="5" t="n">
        <v>742.862</v>
      </c>
      <c r="K515" s="5" t="n">
        <v>579.8339999999999</v>
      </c>
      <c r="L515" s="14" t="n">
        <v>1.281163229476022</v>
      </c>
      <c r="M515" s="14" t="n">
        <v>1.281163229476022</v>
      </c>
      <c r="N515" s="5" t="inlineStr">
        <is>
          <t>$</t>
        </is>
      </c>
      <c r="O515" s="5" t="inlineStr">
        <is>
          <t>$</t>
        </is>
      </c>
      <c r="P515" s="15" t="n">
        <v>2</v>
      </c>
      <c r="Q515" s="15" t="n">
        <v>2</v>
      </c>
      <c r="R515" s="5" t="inlineStr">
        <is>
          <t>139-2023-08-31</t>
        </is>
      </c>
    </row>
    <row r="516" hidden="1">
      <c r="A516" s="21" t="n">
        <v>139</v>
      </c>
      <c r="B516" s="5" t="inlineStr">
        <is>
          <t>Ejecución presupuestal del gasto</t>
        </is>
      </c>
      <c r="C516" s="5" t="inlineStr">
        <is>
          <t>Biblioteca Institucional</t>
        </is>
      </c>
      <c r="D516" s="5" t="inlineStr">
        <is>
          <t>Mensual</t>
        </is>
      </c>
      <c r="E516" s="5" t="inlineStr">
        <is>
          <t>Negativo</t>
        </is>
      </c>
      <c r="F516" s="109" t="n">
        <v>45199</v>
      </c>
      <c r="G516" s="5" t="n">
        <v>2023</v>
      </c>
      <c r="H516" s="5" t="inlineStr">
        <is>
          <t>Septiembre</t>
        </is>
      </c>
      <c r="I516" s="6" t="inlineStr">
        <is>
          <t>2023-2</t>
        </is>
      </c>
      <c r="J516" s="5" t="n">
        <v>767.867</v>
      </c>
      <c r="K516" s="9" t="n">
        <v>654.855</v>
      </c>
      <c r="L516" s="14" t="n">
        <v>1.172575608340778</v>
      </c>
      <c r="M516" s="14" t="n">
        <v>1.172575608340778</v>
      </c>
      <c r="N516" s="5" t="inlineStr">
        <is>
          <t>$</t>
        </is>
      </c>
      <c r="O516" s="5" t="inlineStr">
        <is>
          <t>$</t>
        </is>
      </c>
      <c r="P516" s="15" t="n">
        <v>2</v>
      </c>
      <c r="Q516" s="15" t="n">
        <v>2</v>
      </c>
      <c r="R516" s="5" t="inlineStr">
        <is>
          <t>139-2023-09-30</t>
        </is>
      </c>
    </row>
    <row r="517" hidden="1">
      <c r="A517" s="21" t="n">
        <v>139</v>
      </c>
      <c r="B517" s="5" t="inlineStr">
        <is>
          <t>Ejecución presupuestal del gasto</t>
        </is>
      </c>
      <c r="C517" s="5" t="inlineStr">
        <is>
          <t>Biblioteca Institucional</t>
        </is>
      </c>
      <c r="D517" s="5" t="inlineStr">
        <is>
          <t>Mensual</t>
        </is>
      </c>
      <c r="E517" s="5" t="inlineStr">
        <is>
          <t>Negativo</t>
        </is>
      </c>
      <c r="F517" s="109" t="n">
        <v>45230</v>
      </c>
      <c r="G517" s="5" t="n">
        <v>2023</v>
      </c>
      <c r="H517" s="5" t="inlineStr">
        <is>
          <t>Octubre</t>
        </is>
      </c>
      <c r="I517" s="6" t="inlineStr">
        <is>
          <t>2023-2</t>
        </is>
      </c>
      <c r="J517" s="5" t="n">
        <v>838.952</v>
      </c>
      <c r="K517" s="5" t="n">
        <v>743.862</v>
      </c>
      <c r="L517" s="14" t="n">
        <v>1.127832850716934</v>
      </c>
      <c r="M517" s="14" t="n">
        <v>1.127832850716934</v>
      </c>
      <c r="N517" s="5" t="inlineStr">
        <is>
          <t>$</t>
        </is>
      </c>
      <c r="O517" s="5" t="inlineStr">
        <is>
          <t>$</t>
        </is>
      </c>
      <c r="P517" s="15" t="n">
        <v>2</v>
      </c>
      <c r="Q517" s="15" t="n">
        <v>2</v>
      </c>
      <c r="R517" s="5" t="inlineStr">
        <is>
          <t>139-2023-10-31</t>
        </is>
      </c>
    </row>
    <row r="518" hidden="1">
      <c r="A518" s="21" t="n">
        <v>139</v>
      </c>
      <c r="B518" s="5" t="inlineStr">
        <is>
          <t>Ejecución presupuestal del gasto</t>
        </is>
      </c>
      <c r="C518" s="5" t="inlineStr">
        <is>
          <t>Biblioteca Institucional</t>
        </is>
      </c>
      <c r="D518" s="5" t="inlineStr">
        <is>
          <t>Mensual</t>
        </is>
      </c>
      <c r="E518" s="5" t="inlineStr">
        <is>
          <t>Negativo</t>
        </is>
      </c>
      <c r="F518" s="109" t="n">
        <v>45260</v>
      </c>
      <c r="G518" s="5" t="n">
        <v>2023</v>
      </c>
      <c r="H518" s="5" t="inlineStr">
        <is>
          <t>Noviembre</t>
        </is>
      </c>
      <c r="I518" s="6" t="inlineStr">
        <is>
          <t>2023-2</t>
        </is>
      </c>
      <c r="J518" s="5" t="n">
        <v>910.107</v>
      </c>
      <c r="K518" s="5" t="n">
        <v>840.422</v>
      </c>
      <c r="L518" s="14" t="n">
        <v>1.082916677573885</v>
      </c>
      <c r="M518" s="14" t="n">
        <v>1.082916677573885</v>
      </c>
      <c r="N518" s="5" t="inlineStr">
        <is>
          <t>$</t>
        </is>
      </c>
      <c r="O518" s="5" t="inlineStr">
        <is>
          <t>$</t>
        </is>
      </c>
      <c r="P518" s="15" t="n">
        <v>2</v>
      </c>
      <c r="Q518" s="15" t="n">
        <v>2</v>
      </c>
      <c r="R518" s="5" t="inlineStr">
        <is>
          <t>139-2023-11-30</t>
        </is>
      </c>
    </row>
    <row r="519" hidden="1">
      <c r="A519" s="21" t="n">
        <v>139</v>
      </c>
      <c r="B519" s="5" t="inlineStr">
        <is>
          <t>Ejecución presupuestal del gasto</t>
        </is>
      </c>
      <c r="C519" s="5" t="inlineStr">
        <is>
          <t>Biblioteca Institucional</t>
        </is>
      </c>
      <c r="D519" s="5" t="inlineStr">
        <is>
          <t>Mensual</t>
        </is>
      </c>
      <c r="E519" s="5" t="inlineStr">
        <is>
          <t>Negativo</t>
        </is>
      </c>
      <c r="F519" s="109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981.982</v>
      </c>
      <c r="K519" s="5" t="n">
        <v>964.284</v>
      </c>
      <c r="L519" s="14" t="n">
        <v>1.018353514109951</v>
      </c>
      <c r="M519" s="14" t="n">
        <v>1.018353514109951</v>
      </c>
      <c r="N519" s="5" t="inlineStr">
        <is>
          <t>$</t>
        </is>
      </c>
      <c r="O519" s="5" t="inlineStr">
        <is>
          <t>$</t>
        </is>
      </c>
      <c r="P519" s="15" t="n">
        <v>2</v>
      </c>
      <c r="Q519" s="15" t="n">
        <v>2</v>
      </c>
      <c r="R519" s="5" t="inlineStr">
        <is>
          <t>139-2023-12-31</t>
        </is>
      </c>
    </row>
    <row r="520" hidden="1">
      <c r="A520" s="21" t="n">
        <v>139</v>
      </c>
      <c r="B520" s="5" t="inlineStr">
        <is>
          <t>Ejecución presupuestal del gasto</t>
        </is>
      </c>
      <c r="C520" s="5" t="inlineStr">
        <is>
          <t>Biblioteca Institucional</t>
        </is>
      </c>
      <c r="D520" s="5" t="inlineStr">
        <is>
          <t>Mensual</t>
        </is>
      </c>
      <c r="E520" s="5" t="inlineStr">
        <is>
          <t>Negativo</t>
        </is>
      </c>
      <c r="F520" s="109" t="n">
        <v>45322</v>
      </c>
      <c r="G520" s="5" t="n">
        <v>2024</v>
      </c>
      <c r="H520" s="5" t="inlineStr">
        <is>
          <t>Enero</t>
        </is>
      </c>
      <c r="I520" s="6" t="inlineStr">
        <is>
          <t>2024-1</t>
        </is>
      </c>
      <c r="J520" s="5" t="n">
        <v>79.365133</v>
      </c>
      <c r="K520" s="5" t="n">
        <v>79.446462</v>
      </c>
      <c r="L520" s="14" t="n">
        <v>0.9989763043192534</v>
      </c>
      <c r="M520" s="14" t="n">
        <v>0.9989763043192534</v>
      </c>
      <c r="N520" s="5" t="inlineStr">
        <is>
          <t>$</t>
        </is>
      </c>
      <c r="O520" s="5" t="inlineStr">
        <is>
          <t>$</t>
        </is>
      </c>
      <c r="P520" s="15" t="n">
        <v>2</v>
      </c>
      <c r="Q520" s="15" t="n">
        <v>2</v>
      </c>
      <c r="R520" s="5" t="inlineStr">
        <is>
          <t>139-2024-01-31</t>
        </is>
      </c>
    </row>
    <row r="521" hidden="1">
      <c r="A521" s="21" t="n">
        <v>139</v>
      </c>
      <c r="B521" s="5" t="inlineStr">
        <is>
          <t>Ejecución presupuestal del gasto</t>
        </is>
      </c>
      <c r="C521" s="5" t="inlineStr">
        <is>
          <t>Biblioteca Institucional</t>
        </is>
      </c>
      <c r="D521" s="5" t="inlineStr">
        <is>
          <t>Mensual</t>
        </is>
      </c>
      <c r="E521" s="5" t="inlineStr">
        <is>
          <t>Negativo</t>
        </is>
      </c>
      <c r="F521" s="109" t="n">
        <v>45351</v>
      </c>
      <c r="G521" s="5" t="n">
        <v>2024</v>
      </c>
      <c r="H521" s="5" t="inlineStr">
        <is>
          <t>Febrero</t>
        </is>
      </c>
      <c r="I521" s="6" t="inlineStr">
        <is>
          <t>2024-1</t>
        </is>
      </c>
      <c r="J521" s="5" t="n">
        <v>181.948879</v>
      </c>
      <c r="K521" s="5" t="n">
        <v>168.893529</v>
      </c>
      <c r="L521" s="14" t="n">
        <v>1.077299290726526</v>
      </c>
      <c r="M521" s="14" t="n">
        <v>1.077299290726526</v>
      </c>
      <c r="N521" s="5" t="inlineStr">
        <is>
          <t>$</t>
        </is>
      </c>
      <c r="O521" s="5" t="inlineStr">
        <is>
          <t>$</t>
        </is>
      </c>
      <c r="P521" s="15" t="n">
        <v>2</v>
      </c>
      <c r="Q521" s="15" t="n">
        <v>2</v>
      </c>
      <c r="R521" s="5" t="inlineStr">
        <is>
          <t>139-2024-02-29</t>
        </is>
      </c>
    </row>
    <row r="522" hidden="1">
      <c r="A522" s="26" t="n">
        <v>139</v>
      </c>
      <c r="B522" s="5" t="inlineStr">
        <is>
          <t>Ejecución presupuestal del gasto</t>
        </is>
      </c>
      <c r="C522" s="5" t="inlineStr">
        <is>
          <t>Biblioteca Institucional</t>
        </is>
      </c>
      <c r="D522" s="5" t="inlineStr">
        <is>
          <t>Mensual</t>
        </is>
      </c>
      <c r="E522" s="5" t="inlineStr">
        <is>
          <t>Negativo</t>
        </is>
      </c>
      <c r="F522" s="109" t="n">
        <v>45382</v>
      </c>
      <c r="G522" s="5" t="n">
        <v>2024</v>
      </c>
      <c r="H522" s="5" t="inlineStr">
        <is>
          <t>Marzo</t>
        </is>
      </c>
      <c r="I522" s="6" t="inlineStr">
        <is>
          <t>2024-1</t>
        </is>
      </c>
      <c r="J522" s="5" t="n">
        <v>357.099826</v>
      </c>
      <c r="K522" s="5" t="n">
        <v>224.836963</v>
      </c>
      <c r="L522" s="14" t="n">
        <v>1.3</v>
      </c>
      <c r="M522" s="14" t="n">
        <v>1.588261205965498</v>
      </c>
      <c r="N522" s="5" t="inlineStr">
        <is>
          <t>$</t>
        </is>
      </c>
      <c r="O522" s="5" t="inlineStr">
        <is>
          <t>$</t>
        </is>
      </c>
      <c r="P522" s="15" t="n">
        <v>2</v>
      </c>
      <c r="Q522" s="15" t="n">
        <v>2</v>
      </c>
      <c r="R522" s="5" t="inlineStr">
        <is>
          <t>139-2024-03-31</t>
        </is>
      </c>
    </row>
    <row r="523" hidden="1">
      <c r="A523" s="26" t="n">
        <v>139</v>
      </c>
      <c r="B523" s="5" t="inlineStr">
        <is>
          <t>Ejecución presupuestal del gasto</t>
        </is>
      </c>
      <c r="C523" s="5" t="inlineStr">
        <is>
          <t>Biblioteca Institucional</t>
        </is>
      </c>
      <c r="D523" s="5" t="inlineStr">
        <is>
          <t>Mensual</t>
        </is>
      </c>
      <c r="E523" s="5" t="inlineStr">
        <is>
          <t>Negativo</t>
        </is>
      </c>
      <c r="F523" s="109" t="n">
        <v>45412</v>
      </c>
      <c r="G523" s="5" t="n">
        <v>2024</v>
      </c>
      <c r="H523" s="5" t="inlineStr">
        <is>
          <t>Abril</t>
        </is>
      </c>
      <c r="I523" s="6" t="inlineStr">
        <is>
          <t>2024-1</t>
        </is>
      </c>
      <c r="J523" s="5" t="n">
        <v>452.152245</v>
      </c>
      <c r="K523" s="5" t="n">
        <v>311.054847</v>
      </c>
      <c r="L523" s="14" t="n">
        <v>1.3</v>
      </c>
      <c r="M523" s="14" t="n">
        <v>1.453609385485641</v>
      </c>
      <c r="N523" s="5" t="inlineStr">
        <is>
          <t>$</t>
        </is>
      </c>
      <c r="O523" s="5" t="inlineStr">
        <is>
          <t>$</t>
        </is>
      </c>
      <c r="P523" s="15" t="n">
        <v>2</v>
      </c>
      <c r="Q523" s="15" t="n">
        <v>2</v>
      </c>
      <c r="R523" s="5" t="inlineStr">
        <is>
          <t>139-2024-04-30</t>
        </is>
      </c>
    </row>
    <row r="524" hidden="1">
      <c r="A524" s="26" t="n">
        <v>139</v>
      </c>
      <c r="B524" s="5" t="inlineStr">
        <is>
          <t>Ejecución presupuestal del gasto</t>
        </is>
      </c>
      <c r="C524" s="5" t="inlineStr">
        <is>
          <t>Biblioteca Institucional</t>
        </is>
      </c>
      <c r="D524" s="5" t="inlineStr">
        <is>
          <t>Mensual</t>
        </is>
      </c>
      <c r="E524" s="5" t="inlineStr">
        <is>
          <t>Negativo</t>
        </is>
      </c>
      <c r="F524" s="109" t="n">
        <v>45443</v>
      </c>
      <c r="G524" s="5" t="n">
        <v>2024</v>
      </c>
      <c r="H524" s="5" t="inlineStr">
        <is>
          <t>Mayo</t>
        </is>
      </c>
      <c r="I524" s="6" t="inlineStr">
        <is>
          <t>2024-1</t>
        </is>
      </c>
      <c r="J524" s="5" t="n">
        <v>539.127899</v>
      </c>
      <c r="K524" s="5" t="n">
        <v>391.4132</v>
      </c>
      <c r="L524" s="14" t="n">
        <v>1.3</v>
      </c>
      <c r="M524" s="14" t="n">
        <v>1.377388138672891</v>
      </c>
      <c r="N524" s="5" t="inlineStr">
        <is>
          <t>$</t>
        </is>
      </c>
      <c r="O524" s="5" t="inlineStr">
        <is>
          <t>$</t>
        </is>
      </c>
      <c r="P524" s="15" t="n">
        <v>2</v>
      </c>
      <c r="Q524" s="15" t="n">
        <v>2</v>
      </c>
      <c r="R524" s="5" t="inlineStr">
        <is>
          <t>139-2024-05-31</t>
        </is>
      </c>
    </row>
    <row r="525" hidden="1">
      <c r="A525" s="21" t="n">
        <v>139</v>
      </c>
      <c r="B525" s="5" t="inlineStr">
        <is>
          <t>Ejecución presupuestal del gasto</t>
        </is>
      </c>
      <c r="C525" s="5" t="inlineStr">
        <is>
          <t>Biblioteca Institucional</t>
        </is>
      </c>
      <c r="D525" s="5" t="inlineStr">
        <is>
          <t>Mensual</t>
        </is>
      </c>
      <c r="E525" s="5" t="inlineStr">
        <is>
          <t>Negativo</t>
        </is>
      </c>
      <c r="F525" s="109" t="n">
        <v>45473</v>
      </c>
      <c r="G525" s="5" t="n">
        <v>2024</v>
      </c>
      <c r="H525" s="5" t="inlineStr">
        <is>
          <t>Junio</t>
        </is>
      </c>
      <c r="I525" s="6" t="inlineStr">
        <is>
          <t>2024-1</t>
        </is>
      </c>
      <c r="J525" s="5" t="n">
        <v>624.0215930000001</v>
      </c>
      <c r="K525" s="9" t="n">
        <v>470.811775</v>
      </c>
      <c r="L525" s="14" t="n">
        <v>1.3</v>
      </c>
      <c r="M525" s="14" t="n">
        <v>1.325416283396905</v>
      </c>
      <c r="N525" s="5" t="inlineStr">
        <is>
          <t>$</t>
        </is>
      </c>
      <c r="O525" s="5" t="inlineStr">
        <is>
          <t>$</t>
        </is>
      </c>
      <c r="P525" s="15" t="n">
        <v>2</v>
      </c>
      <c r="Q525" s="15" t="n">
        <v>2</v>
      </c>
      <c r="R525" s="5" t="inlineStr">
        <is>
          <t>139-2024-06-30</t>
        </is>
      </c>
    </row>
    <row r="526" hidden="1">
      <c r="A526" s="21" t="n">
        <v>139</v>
      </c>
      <c r="B526" s="5" t="inlineStr">
        <is>
          <t>Ejecución presupuestal del gasto</t>
        </is>
      </c>
      <c r="C526" s="5" t="inlineStr">
        <is>
          <t>Biblioteca Institucional</t>
        </is>
      </c>
      <c r="D526" s="5" t="inlineStr">
        <is>
          <t>Mensual</t>
        </is>
      </c>
      <c r="E526" s="5" t="inlineStr">
        <is>
          <t>Negativo</t>
        </is>
      </c>
      <c r="F526" s="108" t="n">
        <v>45504</v>
      </c>
      <c r="G526" s="5" t="n">
        <v>2024</v>
      </c>
      <c r="H526" s="5" t="inlineStr">
        <is>
          <t>Julio</t>
        </is>
      </c>
      <c r="I526" s="6" t="inlineStr">
        <is>
          <t>2024-2</t>
        </is>
      </c>
      <c r="J526" s="5" t="n">
        <v>720.622196</v>
      </c>
      <c r="K526" s="9" t="n">
        <v>569.495364</v>
      </c>
      <c r="L526" s="14" t="n">
        <v>1.265369731789423</v>
      </c>
      <c r="M526" s="14" t="n">
        <v>1.265369731789423</v>
      </c>
      <c r="N526" s="5" t="inlineStr">
        <is>
          <t>$</t>
        </is>
      </c>
      <c r="O526" s="5" t="inlineStr">
        <is>
          <t>$</t>
        </is>
      </c>
      <c r="P526" s="15" t="n">
        <v>2</v>
      </c>
      <c r="Q526" s="15" t="n">
        <v>2</v>
      </c>
      <c r="R526" s="5" t="inlineStr">
        <is>
          <t>139-2024-07-31</t>
        </is>
      </c>
    </row>
    <row r="527" hidden="1">
      <c r="A527" s="21" t="n">
        <v>139</v>
      </c>
      <c r="B527" s="5" t="inlineStr">
        <is>
          <t>Ejecución presupuestal del gasto</t>
        </is>
      </c>
      <c r="C527" s="5" t="inlineStr">
        <is>
          <t>Biblioteca Institucional</t>
        </is>
      </c>
      <c r="D527" s="5" t="inlineStr">
        <is>
          <t>Mensual</t>
        </is>
      </c>
      <c r="E527" s="5" t="inlineStr">
        <is>
          <t>Negativo</t>
        </is>
      </c>
      <c r="F527" s="109" t="n">
        <v>45535</v>
      </c>
      <c r="G527" s="5" t="n">
        <v>2024</v>
      </c>
      <c r="H527" s="5" t="inlineStr">
        <is>
          <t>Agosto</t>
        </is>
      </c>
      <c r="I527" s="6" t="inlineStr">
        <is>
          <t>2024-2</t>
        </is>
      </c>
      <c r="J527" s="5" t="n">
        <v>822.013096</v>
      </c>
      <c r="K527" s="9" t="n">
        <v>656.461442</v>
      </c>
      <c r="L527" s="14" t="n">
        <v>1.252187932768182</v>
      </c>
      <c r="M527" s="14" t="n">
        <v>1.252187932768182</v>
      </c>
      <c r="N527" s="5" t="inlineStr">
        <is>
          <t>$</t>
        </is>
      </c>
      <c r="O527" s="5" t="inlineStr">
        <is>
          <t>$</t>
        </is>
      </c>
      <c r="P527" s="15" t="n">
        <v>2</v>
      </c>
      <c r="Q527" s="15" t="n">
        <v>2</v>
      </c>
      <c r="R527" s="5" t="inlineStr">
        <is>
          <t>139-2024-08-31</t>
        </is>
      </c>
    </row>
    <row r="528" hidden="1">
      <c r="A528" s="21" t="n">
        <v>139</v>
      </c>
      <c r="B528" s="5" t="inlineStr">
        <is>
          <t>Ejecución presupuestal del gasto</t>
        </is>
      </c>
      <c r="C528" s="5" t="inlineStr">
        <is>
          <t>Biblioteca Institucional</t>
        </is>
      </c>
      <c r="D528" s="5" t="inlineStr">
        <is>
          <t>Mensual</t>
        </is>
      </c>
      <c r="E528" s="5" t="inlineStr">
        <is>
          <t>Negativo</t>
        </is>
      </c>
      <c r="F528" s="109" t="n">
        <v>45565</v>
      </c>
      <c r="G528" s="5" t="n">
        <v>2024</v>
      </c>
      <c r="H528" s="5" t="inlineStr">
        <is>
          <t>Septiembre</t>
        </is>
      </c>
      <c r="I528" s="6" t="inlineStr">
        <is>
          <t>2024-2</t>
        </is>
      </c>
      <c r="J528" s="5" t="n">
        <v>927.161132</v>
      </c>
      <c r="K528" s="9" t="n">
        <v>737.626948</v>
      </c>
      <c r="L528" s="14" t="n">
        <v>1.256951273965658</v>
      </c>
      <c r="M528" s="14" t="n">
        <v>1.256951273965658</v>
      </c>
      <c r="N528" s="5" t="inlineStr">
        <is>
          <t>$</t>
        </is>
      </c>
      <c r="O528" s="5" t="inlineStr">
        <is>
          <t>$</t>
        </is>
      </c>
      <c r="P528" s="15" t="n">
        <v>2</v>
      </c>
      <c r="Q528" s="15" t="n">
        <v>2</v>
      </c>
      <c r="R528" s="5" t="inlineStr">
        <is>
          <t>139-2024-09-30</t>
        </is>
      </c>
    </row>
    <row r="529" hidden="1">
      <c r="A529" s="21" t="n">
        <v>139</v>
      </c>
      <c r="B529" s="5" t="inlineStr">
        <is>
          <t>Ejecución presupuestal del gasto</t>
        </is>
      </c>
      <c r="C529" s="5" t="inlineStr">
        <is>
          <t>Biblioteca Institucional</t>
        </is>
      </c>
      <c r="D529" s="5" t="inlineStr">
        <is>
          <t>Mensual</t>
        </is>
      </c>
      <c r="E529" s="5" t="inlineStr">
        <is>
          <t>Negativo</t>
        </is>
      </c>
      <c r="F529" s="109" t="n">
        <v>45596</v>
      </c>
      <c r="G529" s="5" t="n">
        <v>2024</v>
      </c>
      <c r="H529" s="5" t="inlineStr">
        <is>
          <t>Octubre</t>
        </is>
      </c>
      <c r="I529" s="6" t="inlineStr">
        <is>
          <t>2024-2</t>
        </is>
      </c>
      <c r="J529" s="5" t="n">
        <v>1966.696715</v>
      </c>
      <c r="K529" s="9" t="n">
        <v>1039.535584</v>
      </c>
      <c r="L529" s="14" t="n">
        <v>1.3</v>
      </c>
      <c r="M529" s="14" t="n">
        <v>1.891899368593428</v>
      </c>
      <c r="N529" s="5" t="inlineStr">
        <is>
          <t>$</t>
        </is>
      </c>
      <c r="O529" s="5" t="inlineStr">
        <is>
          <t>$</t>
        </is>
      </c>
      <c r="P529" s="15" t="n">
        <v>2</v>
      </c>
      <c r="Q529" s="15" t="n">
        <v>2</v>
      </c>
      <c r="R529" s="5" t="inlineStr">
        <is>
          <t>139-2024-10-31</t>
        </is>
      </c>
    </row>
    <row r="530" hidden="1">
      <c r="A530" s="21" t="n">
        <v>139</v>
      </c>
      <c r="B530" s="5" t="inlineStr">
        <is>
          <t>Ejecución presupuestal del gasto</t>
        </is>
      </c>
      <c r="C530" s="5" t="inlineStr">
        <is>
          <t>Biblioteca Institucional</t>
        </is>
      </c>
      <c r="D530" s="5" t="inlineStr">
        <is>
          <t>Mensual</t>
        </is>
      </c>
      <c r="E530" s="5" t="inlineStr">
        <is>
          <t>Negativo</t>
        </is>
      </c>
      <c r="F530" s="109" t="n">
        <v>45626</v>
      </c>
      <c r="G530" s="5" t="n">
        <v>2024</v>
      </c>
      <c r="H530" s="5" t="inlineStr">
        <is>
          <t>Noviembre</t>
        </is>
      </c>
      <c r="I530" s="6" t="inlineStr">
        <is>
          <t>2024-2</t>
        </is>
      </c>
      <c r="J530" s="5" t="n">
        <v>2267.126486</v>
      </c>
      <c r="K530" s="9" t="n">
        <v>1136.282148</v>
      </c>
      <c r="L530" s="14" t="n">
        <v>1.3</v>
      </c>
      <c r="M530" s="14" t="n">
        <v>1.995214384024627</v>
      </c>
      <c r="N530" s="5" t="inlineStr">
        <is>
          <t>$</t>
        </is>
      </c>
      <c r="O530" s="5" t="inlineStr">
        <is>
          <t>$</t>
        </is>
      </c>
      <c r="P530" s="15" t="n">
        <v>2</v>
      </c>
      <c r="Q530" s="15" t="n">
        <v>2</v>
      </c>
      <c r="R530" s="5" t="inlineStr">
        <is>
          <t>139-2024-11-30</t>
        </is>
      </c>
    </row>
    <row r="531" hidden="1">
      <c r="A531" s="21" t="n">
        <v>139</v>
      </c>
      <c r="B531" s="5" t="inlineStr">
        <is>
          <t>Ejecución presupuestal del gasto</t>
        </is>
      </c>
      <c r="C531" s="5" t="inlineStr">
        <is>
          <t>Biblioteca Institucional</t>
        </is>
      </c>
      <c r="D531" s="5" t="inlineStr">
        <is>
          <t>Mensual</t>
        </is>
      </c>
      <c r="E531" s="5" t="inlineStr">
        <is>
          <t>Negativo</t>
        </is>
      </c>
      <c r="F531" s="109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1338.614396</v>
      </c>
      <c r="K531" s="9" t="n">
        <v>1214.751881</v>
      </c>
      <c r="L531" s="14" t="n">
        <v>1.101965279442938</v>
      </c>
      <c r="M531" s="14" t="n">
        <v>1.101965279442938</v>
      </c>
      <c r="N531" s="5" t="inlineStr">
        <is>
          <t>$</t>
        </is>
      </c>
      <c r="O531" s="5" t="inlineStr">
        <is>
          <t>$</t>
        </is>
      </c>
      <c r="P531" s="15" t="n">
        <v>2</v>
      </c>
      <c r="Q531" s="15" t="n">
        <v>2</v>
      </c>
      <c r="R531" s="5" t="inlineStr">
        <is>
          <t>139-2024-12-31</t>
        </is>
      </c>
    </row>
    <row r="532" hidden="1">
      <c r="A532" s="21" t="n">
        <v>143</v>
      </c>
      <c r="B532" s="5" t="inlineStr">
        <is>
          <t>Proyectos de investigación e innovación- Metrica</t>
        </is>
      </c>
      <c r="C532" s="5" t="inlineStr">
        <is>
          <t>Investigación, desarrollo tecnológico, innovación y creación</t>
        </is>
      </c>
      <c r="D532" s="5" t="inlineStr">
        <is>
          <t>Trimestral</t>
        </is>
      </c>
      <c r="E532" s="5" t="inlineStr">
        <is>
          <t>Positivo</t>
        </is>
      </c>
      <c r="F532" s="109" t="n">
        <v>44742</v>
      </c>
      <c r="G532" s="5" t="n">
        <v>2022</v>
      </c>
      <c r="H532" s="5" t="inlineStr">
        <is>
          <t>Junio</t>
        </is>
      </c>
      <c r="I532" s="6" t="inlineStr">
        <is>
          <t>2022-1</t>
        </is>
      </c>
      <c r="J532" s="5" t="n">
        <v>100</v>
      </c>
      <c r="K532" s="9" t="n">
        <v>147</v>
      </c>
      <c r="L532" s="14" t="n">
        <v>1.3</v>
      </c>
      <c r="M532" s="14" t="n">
        <v>1.47</v>
      </c>
      <c r="N532" s="5" t="inlineStr">
        <is>
          <t>Metrica</t>
        </is>
      </c>
      <c r="O532" s="5" t="n"/>
      <c r="P532" s="15" t="n">
        <v>0</v>
      </c>
      <c r="Q532" s="15" t="n">
        <v>0</v>
      </c>
      <c r="R532" s="5" t="inlineStr">
        <is>
          <t>143-2022-06-30</t>
        </is>
      </c>
      <c r="S532" t="inlineStr">
        <is>
          <t>Metrica</t>
        </is>
      </c>
    </row>
    <row r="533" hidden="1">
      <c r="A533" s="21" t="n">
        <v>143</v>
      </c>
      <c r="B533" s="5" t="inlineStr">
        <is>
          <t>Proyectos de investigación e innovación- Metrica</t>
        </is>
      </c>
      <c r="C533" s="5" t="inlineStr">
        <is>
          <t>Investigación, desarrollo tecnológico, innovación y creación</t>
        </is>
      </c>
      <c r="D533" s="5" t="inlineStr">
        <is>
          <t>Trimestral</t>
        </is>
      </c>
      <c r="E533" s="5" t="inlineStr">
        <is>
          <t>Positivo</t>
        </is>
      </c>
      <c r="F533" s="109" t="n">
        <v>44926</v>
      </c>
      <c r="G533" s="5" t="n">
        <v>2022</v>
      </c>
      <c r="H533" s="5" t="inlineStr">
        <is>
          <t>Diciembre</t>
        </is>
      </c>
      <c r="I533" s="6" t="inlineStr">
        <is>
          <t>2022-2</t>
        </is>
      </c>
      <c r="J533" s="5" t="n">
        <v>100</v>
      </c>
      <c r="K533" s="9" t="n">
        <v>158</v>
      </c>
      <c r="L533" s="14" t="n">
        <v>1.3</v>
      </c>
      <c r="M533" s="14" t="n">
        <v>1.58</v>
      </c>
      <c r="N533" s="5" t="inlineStr">
        <is>
          <t>Metrica</t>
        </is>
      </c>
      <c r="O533" s="5" t="n"/>
      <c r="P533" s="15" t="n">
        <v>0</v>
      </c>
      <c r="Q533" s="15" t="n">
        <v>0</v>
      </c>
      <c r="R533" s="5" t="inlineStr">
        <is>
          <t>143-2022-12-31</t>
        </is>
      </c>
      <c r="S533" t="inlineStr">
        <is>
          <t>Metrica</t>
        </is>
      </c>
    </row>
    <row r="534" hidden="1">
      <c r="A534" s="26" t="n">
        <v>143</v>
      </c>
      <c r="B534" s="5" t="inlineStr">
        <is>
          <t>Proyectos de investigación e innovación</t>
        </is>
      </c>
      <c r="C534" s="5" t="inlineStr">
        <is>
          <t>Investigación, desarrollo tecnológico, innovación y creación</t>
        </is>
      </c>
      <c r="D534" s="5" t="inlineStr">
        <is>
          <t>Semestral</t>
        </is>
      </c>
      <c r="E534" s="5" t="inlineStr">
        <is>
          <t>Positivo</t>
        </is>
      </c>
      <c r="F534" s="109" t="n">
        <v>45107</v>
      </c>
      <c r="G534" s="5" t="n">
        <v>2023</v>
      </c>
      <c r="H534" s="5" t="inlineStr">
        <is>
          <t>Junio</t>
        </is>
      </c>
      <c r="I534" s="6" t="inlineStr">
        <is>
          <t>2023-1</t>
        </is>
      </c>
      <c r="J534" s="5" t="n">
        <v>100</v>
      </c>
      <c r="K534" s="9" t="n">
        <v>146</v>
      </c>
      <c r="L534" s="14" t="n">
        <v>1.3</v>
      </c>
      <c r="M534" s="14" t="n">
        <v>1.46</v>
      </c>
      <c r="N534" s="5" t="n"/>
      <c r="O534" s="5" t="inlineStr">
        <is>
          <t>ENT</t>
        </is>
      </c>
      <c r="P534" s="15" t="n">
        <v>0</v>
      </c>
      <c r="Q534" s="15" t="n">
        <v>0</v>
      </c>
      <c r="R534" s="5" t="inlineStr">
        <is>
          <t>143-2023-06-30</t>
        </is>
      </c>
    </row>
    <row r="535" hidden="1">
      <c r="A535" s="26" t="n">
        <v>143</v>
      </c>
      <c r="B535" s="5" t="inlineStr">
        <is>
          <t>Proyectos de investigación e innovación</t>
        </is>
      </c>
      <c r="C535" s="5" t="inlineStr">
        <is>
          <t>Investigación, desarrollo tecnológico, innovación y creación</t>
        </is>
      </c>
      <c r="D535" s="5" t="inlineStr">
        <is>
          <t>Semestral</t>
        </is>
      </c>
      <c r="E535" s="5" t="inlineStr">
        <is>
          <t>Positivo</t>
        </is>
      </c>
      <c r="F535" s="109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100</v>
      </c>
      <c r="K535" s="9" t="n">
        <v>146</v>
      </c>
      <c r="L535" s="14" t="n">
        <v>1.3</v>
      </c>
      <c r="M535" s="14" t="n">
        <v>1.46</v>
      </c>
      <c r="N535" s="5" t="n"/>
      <c r="O535" s="5" t="inlineStr">
        <is>
          <t>ENT</t>
        </is>
      </c>
      <c r="P535" s="15" t="n">
        <v>0</v>
      </c>
      <c r="Q535" s="15" t="n">
        <v>0</v>
      </c>
      <c r="R535" s="5" t="inlineStr">
        <is>
          <t>143-2023-12-31</t>
        </is>
      </c>
    </row>
    <row r="536" hidden="1">
      <c r="A536" s="26" t="n">
        <v>143</v>
      </c>
      <c r="B536" s="5" t="inlineStr">
        <is>
          <t>Proyectos de investigación e innovación</t>
        </is>
      </c>
      <c r="C536" s="5" t="inlineStr">
        <is>
          <t>Investigación, desarrollo tecnológico, innovación y creación</t>
        </is>
      </c>
      <c r="D536" s="5" t="inlineStr">
        <is>
          <t>Semestral</t>
        </is>
      </c>
      <c r="E536" s="5" t="inlineStr">
        <is>
          <t>Positivo</t>
        </is>
      </c>
      <c r="F536" s="109" t="n">
        <v>45473</v>
      </c>
      <c r="G536" s="5" t="n">
        <v>2024</v>
      </c>
      <c r="H536" s="5" t="inlineStr">
        <is>
          <t>Junio</t>
        </is>
      </c>
      <c r="I536" s="6" t="inlineStr">
        <is>
          <t>2024-1</t>
        </is>
      </c>
      <c r="J536" s="5" t="n">
        <v>100</v>
      </c>
      <c r="K536" s="9" t="n">
        <v>112</v>
      </c>
      <c r="L536" s="14" t="n">
        <v>1.12</v>
      </c>
      <c r="M536" s="14" t="n">
        <v>1.12</v>
      </c>
      <c r="N536" s="5" t="n"/>
      <c r="O536" s="5" t="inlineStr">
        <is>
          <t>ENT</t>
        </is>
      </c>
      <c r="P536" s="15" t="n">
        <v>0</v>
      </c>
      <c r="Q536" s="15" t="n">
        <v>0</v>
      </c>
      <c r="R536" s="5" t="inlineStr">
        <is>
          <t>143-2024-06-30</t>
        </is>
      </c>
    </row>
    <row r="537" hidden="1">
      <c r="A537" s="21" t="n">
        <v>143</v>
      </c>
      <c r="B537" s="5" t="inlineStr">
        <is>
          <t>Proyectos de investigación e innovación</t>
        </is>
      </c>
      <c r="C537" s="5" t="inlineStr">
        <is>
          <t>Investigación, desarrollo tecnológico, innovación y creación</t>
        </is>
      </c>
      <c r="D537" s="5" t="inlineStr">
        <is>
          <t>Semestral</t>
        </is>
      </c>
      <c r="E537" s="5" t="inlineStr">
        <is>
          <t>Positivo</t>
        </is>
      </c>
      <c r="F537" s="109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100</v>
      </c>
      <c r="K537" s="9" t="n">
        <v>135</v>
      </c>
      <c r="L537" s="14" t="n">
        <v>1.3</v>
      </c>
      <c r="M537" s="14" t="n">
        <v>1.35</v>
      </c>
      <c r="N537" s="5" t="n"/>
      <c r="O537" s="5" t="inlineStr">
        <is>
          <t>ENT</t>
        </is>
      </c>
      <c r="P537" s="15" t="n">
        <v>0</v>
      </c>
      <c r="Q537" s="15" t="n">
        <v>0</v>
      </c>
      <c r="R537" s="5" t="inlineStr">
        <is>
          <t>143-2024-12-31</t>
        </is>
      </c>
    </row>
    <row r="538" hidden="1">
      <c r="A538" s="21" t="n">
        <v>143</v>
      </c>
      <c r="B538" s="5" t="inlineStr">
        <is>
          <t>Proyectos de investigación e innovación</t>
        </is>
      </c>
      <c r="C538" s="5" t="inlineStr">
        <is>
          <t>Investigación, desarrollo tecnológico, innovación y creación</t>
        </is>
      </c>
      <c r="D538" s="5" t="inlineStr">
        <is>
          <t>Semestral</t>
        </is>
      </c>
      <c r="E538" s="5" t="inlineStr">
        <is>
          <t>Positivo</t>
        </is>
      </c>
      <c r="F538" s="109" t="n">
        <v>45838</v>
      </c>
      <c r="G538" s="5" t="n">
        <v>2025</v>
      </c>
      <c r="H538" s="5" t="inlineStr">
        <is>
          <t>Junio</t>
        </is>
      </c>
      <c r="I538" s="6" t="inlineStr">
        <is>
          <t>2025-1</t>
        </is>
      </c>
      <c r="J538" s="5" t="n">
        <v>100</v>
      </c>
      <c r="K538" s="9" t="n">
        <v>159</v>
      </c>
      <c r="L538" s="14" t="n">
        <v>1.3</v>
      </c>
      <c r="M538" s="14" t="n">
        <v>1.59</v>
      </c>
      <c r="N538" s="5" t="n"/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143-2025-06-30</t>
        </is>
      </c>
    </row>
    <row r="539" hidden="1">
      <c r="A539" s="21" t="n">
        <v>143</v>
      </c>
      <c r="B539" s="5" t="inlineStr">
        <is>
          <t>Proyectos de investigación e innovación- Metrica</t>
        </is>
      </c>
      <c r="C539" s="5" t="inlineStr">
        <is>
          <t>Investigación, desarrollo tecnológico, innovación y creación</t>
        </is>
      </c>
      <c r="D539" s="5" t="inlineStr">
        <is>
          <t>Trimestral</t>
        </is>
      </c>
      <c r="E539" s="5" t="inlineStr">
        <is>
          <t>Positivo</t>
        </is>
      </c>
      <c r="F539" s="109" t="n">
        <v>46022</v>
      </c>
      <c r="G539" s="5" t="n">
        <v>2025</v>
      </c>
      <c r="H539" s="5" t="inlineStr">
        <is>
          <t>Diciembre</t>
        </is>
      </c>
      <c r="I539" s="6" t="inlineStr">
        <is>
          <t>2025-2</t>
        </is>
      </c>
      <c r="J539" s="5" t="n">
        <v>100</v>
      </c>
      <c r="K539" s="9" t="n">
        <v>191</v>
      </c>
      <c r="L539" s="14" t="n">
        <v>1.3</v>
      </c>
      <c r="M539" s="14" t="n">
        <v>1.91</v>
      </c>
      <c r="N539" s="5" t="inlineStr">
        <is>
          <t>Metrica</t>
        </is>
      </c>
      <c r="O539" s="5" t="n"/>
      <c r="P539" s="15" t="n">
        <v>0</v>
      </c>
      <c r="Q539" s="15" t="n">
        <v>0</v>
      </c>
      <c r="R539" s="5" t="inlineStr">
        <is>
          <t>143-2025-12-31</t>
        </is>
      </c>
      <c r="S539" t="inlineStr">
        <is>
          <t>Metrica</t>
        </is>
      </c>
    </row>
    <row r="540" hidden="1">
      <c r="A540" s="21" t="n">
        <v>144</v>
      </c>
      <c r="B540" s="5" t="inlineStr">
        <is>
          <t>Productos de investigación</t>
        </is>
      </c>
      <c r="C540" s="5" t="inlineStr">
        <is>
          <t>Investigación, desarrollo tecnológico, innovación y creación</t>
        </is>
      </c>
      <c r="D540" s="5" t="inlineStr">
        <is>
          <t>Anual</t>
        </is>
      </c>
      <c r="E540" s="5" t="inlineStr">
        <is>
          <t>Positivo</t>
        </is>
      </c>
      <c r="F540" s="109" t="n">
        <v>44742</v>
      </c>
      <c r="G540" s="5" t="n">
        <v>2022</v>
      </c>
      <c r="H540" s="5" t="inlineStr">
        <is>
          <t>Junio</t>
        </is>
      </c>
      <c r="I540" s="6" t="inlineStr">
        <is>
          <t>2022-1</t>
        </is>
      </c>
      <c r="J540" s="5" t="n">
        <v>3</v>
      </c>
      <c r="K540" s="9" t="n">
        <v>3.2169811320755</v>
      </c>
      <c r="L540" s="14" t="n">
        <v>1.072327044025167</v>
      </c>
      <c r="M540" s="14" t="n">
        <v>1.072327044025167</v>
      </c>
      <c r="N540" s="5" t="inlineStr">
        <is>
          <t>ENT</t>
        </is>
      </c>
      <c r="O540" s="5" t="inlineStr">
        <is>
          <t>DEC</t>
        </is>
      </c>
      <c r="P540" s="15" t="n">
        <v>2</v>
      </c>
      <c r="Q540" s="15" t="n">
        <v>2</v>
      </c>
      <c r="R540" s="5" t="inlineStr">
        <is>
          <t>144-2022-06-30</t>
        </is>
      </c>
    </row>
    <row r="541" hidden="1">
      <c r="A541" s="21" t="n">
        <v>144</v>
      </c>
      <c r="B541" s="5" t="inlineStr">
        <is>
          <t>Productos de investigación</t>
        </is>
      </c>
      <c r="C541" s="5" t="inlineStr">
        <is>
          <t>Investigación, desarrollo tecnológico, innovación y creación</t>
        </is>
      </c>
      <c r="D541" s="5" t="inlineStr">
        <is>
          <t>Anual</t>
        </is>
      </c>
      <c r="E541" s="5" t="inlineStr">
        <is>
          <t>Positivo</t>
        </is>
      </c>
      <c r="F541" s="109" t="n">
        <v>44926</v>
      </c>
      <c r="G541" s="5" t="n">
        <v>2022</v>
      </c>
      <c r="H541" s="5" t="inlineStr">
        <is>
          <t>Diciembre</t>
        </is>
      </c>
      <c r="I541" s="6" t="inlineStr">
        <is>
          <t>2022-2</t>
        </is>
      </c>
      <c r="J541" s="5" t="n">
        <v>3</v>
      </c>
      <c r="K541" s="9" t="n">
        <v>3.55</v>
      </c>
      <c r="L541" s="14" t="n">
        <v>1.183333333333333</v>
      </c>
      <c r="M541" s="14" t="n">
        <v>1.183333333333333</v>
      </c>
      <c r="N541" s="5" t="inlineStr">
        <is>
          <t>ENT</t>
        </is>
      </c>
      <c r="O541" s="5" t="inlineStr">
        <is>
          <t>DEC</t>
        </is>
      </c>
      <c r="P541" s="15" t="n">
        <v>2</v>
      </c>
      <c r="Q541" s="15" t="n">
        <v>2</v>
      </c>
      <c r="R541" s="5" t="inlineStr">
        <is>
          <t>144-2022-12-31</t>
        </is>
      </c>
    </row>
    <row r="542" hidden="1">
      <c r="A542" s="21" t="n">
        <v>144</v>
      </c>
      <c r="B542" s="5" t="inlineStr">
        <is>
          <t>Productos de investigación</t>
        </is>
      </c>
      <c r="C542" s="5" t="inlineStr">
        <is>
          <t>Investigación, desarrollo tecnológico, innovación y creación</t>
        </is>
      </c>
      <c r="D542" s="5" t="inlineStr">
        <is>
          <t>Anual</t>
        </is>
      </c>
      <c r="E542" s="5" t="inlineStr">
        <is>
          <t>Positivo</t>
        </is>
      </c>
      <c r="F542" s="109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3</v>
      </c>
      <c r="K542" s="9" t="n">
        <v>4.83</v>
      </c>
      <c r="L542" s="14" t="n">
        <v>1.3</v>
      </c>
      <c r="M542" s="14" t="n">
        <v>1.61</v>
      </c>
      <c r="N542" s="5" t="n">
        <v>0</v>
      </c>
      <c r="O542" s="5" t="inlineStr">
        <is>
          <t>ENT</t>
        </is>
      </c>
      <c r="P542" s="15" t="n">
        <v>0</v>
      </c>
      <c r="Q542" s="15" t="n">
        <v>0</v>
      </c>
      <c r="R542" s="5" t="inlineStr">
        <is>
          <t>144-2023-12-31</t>
        </is>
      </c>
    </row>
    <row r="543" hidden="1">
      <c r="A543" s="21" t="n">
        <v>144</v>
      </c>
      <c r="B543" s="5" t="inlineStr">
        <is>
          <t>Productos de investigación</t>
        </is>
      </c>
      <c r="C543" s="5" t="inlineStr">
        <is>
          <t>Investigación, desarrollo tecnológico, innovación y creación</t>
        </is>
      </c>
      <c r="D543" s="5" t="inlineStr">
        <is>
          <t>Anual</t>
        </is>
      </c>
      <c r="E543" s="5" t="inlineStr">
        <is>
          <t>Positivo</t>
        </is>
      </c>
      <c r="F543" s="109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3</v>
      </c>
      <c r="K543" s="9" t="n">
        <v>4.6</v>
      </c>
      <c r="L543" s="14" t="n">
        <v>1.3</v>
      </c>
      <c r="M543" s="14" t="n">
        <v>1.533333333333333</v>
      </c>
      <c r="N543" s="5" t="n"/>
      <c r="O543" s="5" t="n"/>
      <c r="P543" s="15" t="n">
        <v>0</v>
      </c>
      <c r="Q543" s="15" t="n">
        <v>0</v>
      </c>
      <c r="R543" s="5" t="inlineStr">
        <is>
          <t>144-2024-12-31</t>
        </is>
      </c>
    </row>
    <row r="544" hidden="1">
      <c r="A544" s="21" t="n">
        <v>144</v>
      </c>
      <c r="B544" s="5" t="inlineStr">
        <is>
          <t>Productos de investigación</t>
        </is>
      </c>
      <c r="C544" s="5" t="inlineStr">
        <is>
          <t>Investigación, desarrollo tecnológico, innovación y creación</t>
        </is>
      </c>
      <c r="D544" s="5" t="inlineStr">
        <is>
          <t>Anual</t>
        </is>
      </c>
      <c r="E544" s="5" t="inlineStr">
        <is>
          <t>Positivo</t>
        </is>
      </c>
      <c r="F544" s="109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>
        <v>4</v>
      </c>
      <c r="K544" s="9" t="n">
        <v>1.95</v>
      </c>
      <c r="L544" s="14" t="n">
        <v>0.4875</v>
      </c>
      <c r="M544" s="14" t="n">
        <v>0.4875</v>
      </c>
      <c r="N544" s="5" t="inlineStr">
        <is>
          <t>ENT</t>
        </is>
      </c>
      <c r="O544" s="5" t="inlineStr">
        <is>
          <t>DEC</t>
        </is>
      </c>
      <c r="P544" s="15" t="n">
        <v>2</v>
      </c>
      <c r="Q544" s="15" t="n">
        <v>2</v>
      </c>
      <c r="R544" s="5" t="inlineStr">
        <is>
          <t>144-2025-12-31</t>
        </is>
      </c>
    </row>
    <row r="545" hidden="1">
      <c r="A545" s="21" t="n">
        <v>145</v>
      </c>
      <c r="B545" s="5" t="inlineStr">
        <is>
          <t>Semilleros de Investigación, Innovación y Creación</t>
        </is>
      </c>
      <c r="C545" s="5" t="inlineStr">
        <is>
          <t>Formación para la investigación, creación e innovación</t>
        </is>
      </c>
      <c r="D545" s="5" t="inlineStr">
        <is>
          <t>Trimestral</t>
        </is>
      </c>
      <c r="E545" s="5" t="inlineStr">
        <is>
          <t>Positivo</t>
        </is>
      </c>
      <c r="F545" s="109" t="n">
        <v>44742</v>
      </c>
      <c r="G545" s="5" t="n">
        <v>2022</v>
      </c>
      <c r="H545" s="5" t="inlineStr">
        <is>
          <t>Junio</t>
        </is>
      </c>
      <c r="I545" s="6" t="inlineStr">
        <is>
          <t>2022-1</t>
        </is>
      </c>
      <c r="J545" s="5" t="n">
        <v>1</v>
      </c>
      <c r="K545" s="9" t="n">
        <v>2.1186440677966</v>
      </c>
      <c r="L545" s="14" t="n">
        <v>1.3</v>
      </c>
      <c r="M545" s="14" t="n">
        <v>2.1186440677966</v>
      </c>
      <c r="N545" s="5" t="inlineStr">
        <is>
          <t>ENT</t>
        </is>
      </c>
      <c r="O545" s="5" t="inlineStr">
        <is>
          <t>DEC</t>
        </is>
      </c>
      <c r="P545" s="15" t="n">
        <v>0</v>
      </c>
      <c r="Q545" s="15" t="n">
        <v>2</v>
      </c>
      <c r="R545" s="5" t="inlineStr">
        <is>
          <t>145-2022-06-30</t>
        </is>
      </c>
    </row>
    <row r="546" hidden="1">
      <c r="A546" s="26" t="n">
        <v>145</v>
      </c>
      <c r="B546" s="5" t="inlineStr">
        <is>
          <t>Semilleros de Investigación, Innovación y Creación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>
        <v>1</v>
      </c>
      <c r="K546" s="9" t="n">
        <v>2.1186440677966</v>
      </c>
      <c r="L546" s="14" t="n">
        <v>1.3</v>
      </c>
      <c r="M546" s="14" t="n">
        <v>2.1186440677966</v>
      </c>
      <c r="N546" s="5" t="inlineStr">
        <is>
          <t>ENT</t>
        </is>
      </c>
      <c r="O546" s="5" t="inlineStr">
        <is>
          <t>DEC</t>
        </is>
      </c>
      <c r="P546" s="15" t="n">
        <v>0</v>
      </c>
      <c r="Q546" s="15" t="n">
        <v>2</v>
      </c>
      <c r="R546" s="5" t="inlineStr">
        <is>
          <t>145-2022-12-31</t>
        </is>
      </c>
    </row>
    <row r="547" hidden="1">
      <c r="A547" s="26" t="n">
        <v>145</v>
      </c>
      <c r="B547" s="5" t="inlineStr">
        <is>
          <t>Semilleros de Investigación, Innovación y Creación</t>
        </is>
      </c>
      <c r="C547" s="5" t="inlineStr">
        <is>
          <t>Formación para la investigación, creación e innovación</t>
        </is>
      </c>
      <c r="D547" s="5" t="inlineStr">
        <is>
          <t>Semestral</t>
        </is>
      </c>
      <c r="E547" s="5" t="inlineStr">
        <is>
          <t>Positivo</t>
        </is>
      </c>
      <c r="F547" s="109" t="n">
        <v>45107</v>
      </c>
      <c r="G547" s="5" t="n">
        <v>2023</v>
      </c>
      <c r="H547" s="5" t="inlineStr">
        <is>
          <t>Junio</t>
        </is>
      </c>
      <c r="I547" s="6" t="inlineStr">
        <is>
          <t>2023-1</t>
        </is>
      </c>
      <c r="J547" s="5" t="n">
        <v>1</v>
      </c>
      <c r="K547" s="9" t="n">
        <v>2</v>
      </c>
      <c r="L547" s="14" t="n">
        <v>1.3</v>
      </c>
      <c r="M547" s="14" t="n">
        <v>2</v>
      </c>
      <c r="N547" s="5" t="inlineStr">
        <is>
          <t>ENT</t>
        </is>
      </c>
      <c r="O547" s="5" t="inlineStr">
        <is>
          <t>DEC</t>
        </is>
      </c>
      <c r="P547" s="15" t="n">
        <v>0</v>
      </c>
      <c r="Q547" s="15" t="n">
        <v>0</v>
      </c>
      <c r="R547" s="5" t="inlineStr">
        <is>
          <t>145-2023-06-30</t>
        </is>
      </c>
    </row>
    <row r="548" hidden="1">
      <c r="A548" s="26" t="n">
        <v>145</v>
      </c>
      <c r="B548" s="5" t="inlineStr">
        <is>
          <t>Semilleros de Investigación, Innovación y Creación</t>
        </is>
      </c>
      <c r="C548" s="5" t="inlineStr">
        <is>
          <t>Formación para la investigación, creación e innovación</t>
        </is>
      </c>
      <c r="D548" s="5" t="inlineStr">
        <is>
          <t>Semestral</t>
        </is>
      </c>
      <c r="E548" s="5" t="inlineStr">
        <is>
          <t>Positivo</t>
        </is>
      </c>
      <c r="F548" s="109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>
        <v>1</v>
      </c>
      <c r="K548" s="9" t="n">
        <v>2</v>
      </c>
      <c r="L548" s="14" t="n">
        <v>1.3</v>
      </c>
      <c r="M548" s="14" t="n">
        <v>2</v>
      </c>
      <c r="N548" s="5" t="inlineStr">
        <is>
          <t>ENT</t>
        </is>
      </c>
      <c r="O548" s="5" t="inlineStr">
        <is>
          <t>DEC</t>
        </is>
      </c>
      <c r="P548" s="15" t="n">
        <v>0</v>
      </c>
      <c r="Q548" s="15" t="n">
        <v>0</v>
      </c>
      <c r="R548" s="5" t="inlineStr">
        <is>
          <t>145-2023-12-31</t>
        </is>
      </c>
    </row>
    <row r="549" hidden="1">
      <c r="A549" s="21" t="n">
        <v>145</v>
      </c>
      <c r="B549" s="5" t="inlineStr">
        <is>
          <t>Semilleros de Investigación, Innovación y Creación</t>
        </is>
      </c>
      <c r="C549" s="5" t="inlineStr">
        <is>
          <t>Formación para la investigación, creación e innovación</t>
        </is>
      </c>
      <c r="D549" s="5" t="inlineStr">
        <is>
          <t>Semestral</t>
        </is>
      </c>
      <c r="E549" s="5" t="inlineStr">
        <is>
          <t>Positivo</t>
        </is>
      </c>
      <c r="F549" s="108" t="n">
        <v>45473</v>
      </c>
      <c r="G549" s="5" t="n">
        <v>2024</v>
      </c>
      <c r="H549" s="5" t="inlineStr">
        <is>
          <t>Junio</t>
        </is>
      </c>
      <c r="I549" s="6" t="inlineStr">
        <is>
          <t>2024-1</t>
        </is>
      </c>
      <c r="J549" s="5" t="n">
        <v>1</v>
      </c>
      <c r="K549" s="9" t="n">
        <v>1.97</v>
      </c>
      <c r="L549" s="14" t="n">
        <v>1.3</v>
      </c>
      <c r="M549" s="14" t="n">
        <v>1.97</v>
      </c>
      <c r="N549" s="5" t="inlineStr">
        <is>
          <t>ENT</t>
        </is>
      </c>
      <c r="O549" s="5" t="inlineStr">
        <is>
          <t>DEC</t>
        </is>
      </c>
      <c r="P549" s="15" t="n">
        <v>0</v>
      </c>
      <c r="Q549" s="15" t="n">
        <v>2</v>
      </c>
      <c r="R549" s="5" t="inlineStr">
        <is>
          <t>145-2024-06-30</t>
        </is>
      </c>
    </row>
    <row r="550" hidden="1">
      <c r="A550" s="26" t="n">
        <v>145</v>
      </c>
      <c r="B550" s="5" t="inlineStr">
        <is>
          <t>Semilleros de Investigación, Innovación y Creación</t>
        </is>
      </c>
      <c r="C550" s="5" t="inlineStr">
        <is>
          <t>Formación para la investigación, creación e innovación</t>
        </is>
      </c>
      <c r="D550" s="5" t="inlineStr">
        <is>
          <t>Semestral</t>
        </is>
      </c>
      <c r="E550" s="5" t="inlineStr">
        <is>
          <t>Positivo</t>
        </is>
      </c>
      <c r="F550" s="109" t="n">
        <v>45657</v>
      </c>
      <c r="G550" s="5" t="n">
        <v>2024</v>
      </c>
      <c r="H550" s="5" t="inlineStr">
        <is>
          <t>Diciembre</t>
        </is>
      </c>
      <c r="I550" s="6" t="inlineStr">
        <is>
          <t>2024-2</t>
        </is>
      </c>
      <c r="J550" s="5" t="n">
        <v>1</v>
      </c>
      <c r="K550" s="9" t="n">
        <v>1.94</v>
      </c>
      <c r="L550" s="14" t="n">
        <v>1.3</v>
      </c>
      <c r="M550" s="14" t="n">
        <v>1.94</v>
      </c>
      <c r="N550" s="5" t="inlineStr">
        <is>
          <t>ENT</t>
        </is>
      </c>
      <c r="O550" s="5" t="inlineStr">
        <is>
          <t>DEC</t>
        </is>
      </c>
      <c r="P550" s="15" t="n">
        <v>0</v>
      </c>
      <c r="Q550" s="15" t="n">
        <v>2</v>
      </c>
      <c r="R550" s="5" t="inlineStr">
        <is>
          <t>145-2024-12-31</t>
        </is>
      </c>
    </row>
    <row r="551" hidden="1">
      <c r="A551" s="5" t="n">
        <v>145</v>
      </c>
      <c r="B551" s="5" t="inlineStr">
        <is>
          <t>Semilleros de Investigación, Innovación y Creación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09" t="n">
        <v>45838</v>
      </c>
      <c r="G551" s="5" t="n">
        <v>2025</v>
      </c>
      <c r="H551" s="5" t="inlineStr">
        <is>
          <t>Junio</t>
        </is>
      </c>
      <c r="I551" s="6" t="inlineStr">
        <is>
          <t>2025-1</t>
        </is>
      </c>
      <c r="J551" s="5" t="n">
        <v>1</v>
      </c>
      <c r="K551" s="5" t="n">
        <v>1.74</v>
      </c>
      <c r="L551" s="14" t="n">
        <v>1.3</v>
      </c>
      <c r="M551" s="14" t="n">
        <v>1.74</v>
      </c>
      <c r="N551" s="5" t="inlineStr">
        <is>
          <t>ENT</t>
        </is>
      </c>
      <c r="O551" s="5" t="inlineStr">
        <is>
          <t>DEC</t>
        </is>
      </c>
      <c r="P551" s="5" t="n">
        <v>0</v>
      </c>
      <c r="Q551" s="5" t="n">
        <v>2</v>
      </c>
      <c r="R551" s="5" t="inlineStr">
        <is>
          <t>145-2025-06-30</t>
        </is>
      </c>
    </row>
    <row r="552" hidden="1">
      <c r="A552" s="21" t="n">
        <v>145</v>
      </c>
      <c r="B552" s="5" t="inlineStr">
        <is>
          <t>Semilleros de Investigación, Innovación y Creación</t>
        </is>
      </c>
      <c r="C552" s="5" t="inlineStr">
        <is>
          <t>Formación para la investigación, creación e innovación</t>
        </is>
      </c>
      <c r="D552" s="5" t="inlineStr">
        <is>
          <t>Trimestral</t>
        </is>
      </c>
      <c r="E552" s="5" t="inlineStr">
        <is>
          <t>Positivo</t>
        </is>
      </c>
      <c r="F552" s="109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>
        <v>1</v>
      </c>
      <c r="K552" s="10" t="n">
        <v>1.62</v>
      </c>
      <c r="L552" s="14" t="n">
        <v>1.3</v>
      </c>
      <c r="M552" s="14" t="n">
        <v>1.62</v>
      </c>
      <c r="N552" s="5" t="inlineStr">
        <is>
          <t>ENT</t>
        </is>
      </c>
      <c r="O552" s="5" t="inlineStr">
        <is>
          <t>DEC</t>
        </is>
      </c>
      <c r="P552" s="15" t="n">
        <v>0</v>
      </c>
      <c r="Q552" s="15" t="n">
        <v>2</v>
      </c>
      <c r="R552" s="5" t="inlineStr">
        <is>
          <t>145-2025-12-31</t>
        </is>
      </c>
    </row>
    <row r="553" hidden="1">
      <c r="A553" s="21" t="n">
        <v>146</v>
      </c>
      <c r="B553" s="5" t="inlineStr">
        <is>
          <t>Docentes vinculados a investigación</t>
        </is>
      </c>
      <c r="C553" s="5" t="inlineStr">
        <is>
          <t>Investigación, desarrollo tecnológico, innovación y creación</t>
        </is>
      </c>
      <c r="D553" s="5" t="inlineStr">
        <is>
          <t>Trimestral</t>
        </is>
      </c>
      <c r="E553" s="5" t="inlineStr">
        <is>
          <t>Positivo</t>
        </is>
      </c>
      <c r="F553" s="108" t="n">
        <v>44742</v>
      </c>
      <c r="G553" s="5" t="n">
        <v>2022</v>
      </c>
      <c r="H553" s="5" t="inlineStr">
        <is>
          <t>Junio</t>
        </is>
      </c>
      <c r="I553" s="6" t="inlineStr">
        <is>
          <t>2022-1</t>
        </is>
      </c>
      <c r="J553" s="5" t="n">
        <v>230</v>
      </c>
      <c r="K553" s="9" t="n">
        <v>100.43</v>
      </c>
      <c r="L553" s="14" t="n">
        <v>0.4366521739130435</v>
      </c>
      <c r="M553" s="14" t="n">
        <v>0.4366521739130435</v>
      </c>
      <c r="N553" s="5" t="inlineStr">
        <is>
          <t>ENT</t>
        </is>
      </c>
      <c r="O553" s="5" t="inlineStr">
        <is>
          <t>ENT</t>
        </is>
      </c>
      <c r="P553" s="15" t="n">
        <v>0</v>
      </c>
      <c r="Q553" s="15" t="n">
        <v>0</v>
      </c>
      <c r="R553" s="5" t="inlineStr">
        <is>
          <t>146-2022-06-30</t>
        </is>
      </c>
    </row>
    <row r="554" hidden="1">
      <c r="A554" s="5" t="n">
        <v>146</v>
      </c>
      <c r="B554" s="5" t="inlineStr">
        <is>
          <t>Docentes vinculados a investigación</t>
        </is>
      </c>
      <c r="C554" s="5" t="inlineStr">
        <is>
          <t>Investigación, desarrollo tecnológico, innovación y creación</t>
        </is>
      </c>
      <c r="D554" s="5" t="inlineStr">
        <is>
          <t>Trimestral</t>
        </is>
      </c>
      <c r="E554" s="5" t="inlineStr">
        <is>
          <t>Positivo</t>
        </is>
      </c>
      <c r="F554" s="109" t="n">
        <v>44926</v>
      </c>
      <c r="G554" s="5" t="n">
        <v>2022</v>
      </c>
      <c r="H554" s="5" t="inlineStr">
        <is>
          <t>Diciembre</t>
        </is>
      </c>
      <c r="I554" s="6" t="inlineStr">
        <is>
          <t>2022-2</t>
        </is>
      </c>
      <c r="J554" s="5" t="n">
        <v>230</v>
      </c>
      <c r="K554" s="5" t="n">
        <v>121.74</v>
      </c>
      <c r="L554" s="14" t="n">
        <v>0.5293043478260869</v>
      </c>
      <c r="M554" s="14" t="n">
        <v>0.5293043478260869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146-2022-12-31</t>
        </is>
      </c>
    </row>
    <row r="555" hidden="1">
      <c r="A555" s="21" t="n">
        <v>146</v>
      </c>
      <c r="B555" s="5" t="inlineStr">
        <is>
          <t>Docentes vinculados a investigación</t>
        </is>
      </c>
      <c r="C555" s="5" t="inlineStr">
        <is>
          <t>Investigación, desarrollo tecnológico, innovación y creación</t>
        </is>
      </c>
      <c r="D555" s="5" t="inlineStr">
        <is>
          <t>Semestral</t>
        </is>
      </c>
      <c r="E555" s="5" t="inlineStr">
        <is>
          <t>Positivo</t>
        </is>
      </c>
      <c r="F555" s="109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230</v>
      </c>
      <c r="K555" s="10" t="n">
        <v>120.87</v>
      </c>
      <c r="L555" s="14" t="n">
        <v>0.5255217391304348</v>
      </c>
      <c r="M555" s="14" t="n">
        <v>0.5255217391304348</v>
      </c>
      <c r="N555" s="5" t="inlineStr">
        <is>
          <t>ENT</t>
        </is>
      </c>
      <c r="O555" s="5" t="inlineStr">
        <is>
          <t>ENT</t>
        </is>
      </c>
      <c r="P555" s="15" t="n">
        <v>0</v>
      </c>
      <c r="Q555" s="15" t="n">
        <v>0</v>
      </c>
      <c r="R555" s="5" t="inlineStr">
        <is>
          <t>146-2023-06-30</t>
        </is>
      </c>
    </row>
    <row r="556" hidden="1">
      <c r="A556" s="21" t="n">
        <v>146</v>
      </c>
      <c r="B556" s="5" t="inlineStr">
        <is>
          <t>Docentes vinculados a investigación</t>
        </is>
      </c>
      <c r="C556" s="5" t="inlineStr">
        <is>
          <t>Investigación, desarrollo tecnológico, innovación y creación</t>
        </is>
      </c>
      <c r="D556" s="5" t="inlineStr">
        <is>
          <t>Semestral</t>
        </is>
      </c>
      <c r="E556" s="5" t="inlineStr">
        <is>
          <t>Positivo</t>
        </is>
      </c>
      <c r="F556" s="109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230</v>
      </c>
      <c r="K556" s="10" t="n">
        <v>148.7</v>
      </c>
      <c r="L556" s="14" t="n">
        <v>0.6465217391304348</v>
      </c>
      <c r="M556" s="14" t="n">
        <v>0.6465217391304348</v>
      </c>
      <c r="N556" s="5" t="inlineStr">
        <is>
          <t>ENT</t>
        </is>
      </c>
      <c r="O556" s="5" t="inlineStr">
        <is>
          <t>ENT</t>
        </is>
      </c>
      <c r="P556" s="15" t="n">
        <v>0</v>
      </c>
      <c r="Q556" s="15" t="n">
        <v>0</v>
      </c>
      <c r="R556" s="5" t="inlineStr">
        <is>
          <t>146-2023-12-31</t>
        </is>
      </c>
    </row>
    <row r="557" hidden="1">
      <c r="A557" s="5" t="n">
        <v>146</v>
      </c>
      <c r="B557" s="5" t="inlineStr">
        <is>
          <t>Docentes vinculados a investigación</t>
        </is>
      </c>
      <c r="C557" s="5" t="inlineStr">
        <is>
          <t>Investigación, desarrollo tecnológico, innovación y creación</t>
        </is>
      </c>
      <c r="D557" s="5" t="inlineStr">
        <is>
          <t>Semestral</t>
        </is>
      </c>
      <c r="E557" s="5" t="inlineStr">
        <is>
          <t>Positivo</t>
        </is>
      </c>
      <c r="F557" s="109" t="n">
        <v>45473</v>
      </c>
      <c r="G557" s="5" t="n">
        <v>2024</v>
      </c>
      <c r="H557" s="5" t="inlineStr">
        <is>
          <t>Junio</t>
        </is>
      </c>
      <c r="I557" s="6" t="inlineStr">
        <is>
          <t>2024-1</t>
        </is>
      </c>
      <c r="J557" s="5" t="n">
        <v>294</v>
      </c>
      <c r="K557" s="5" t="n">
        <v>113.61</v>
      </c>
      <c r="L557" s="14" t="n">
        <v>0.3864285714285714</v>
      </c>
      <c r="M557" s="14" t="n">
        <v>0.3864285714285714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146-2024-06-30</t>
        </is>
      </c>
    </row>
    <row r="558" hidden="1">
      <c r="A558" s="21" t="n">
        <v>146</v>
      </c>
      <c r="B558" s="5" t="inlineStr">
        <is>
          <t>Docentes vinculados a investigación</t>
        </is>
      </c>
      <c r="C558" s="5" t="inlineStr">
        <is>
          <t>Investigación, desarrollo tecnológico, innovación y creación</t>
        </is>
      </c>
      <c r="D558" s="5" t="inlineStr">
        <is>
          <t>Semestral</t>
        </is>
      </c>
      <c r="E558" s="5" t="inlineStr">
        <is>
          <t>Positivo</t>
        </is>
      </c>
      <c r="F558" s="109" t="n">
        <v>45657</v>
      </c>
      <c r="G558" s="5" t="n">
        <v>2024</v>
      </c>
      <c r="H558" s="5" t="inlineStr">
        <is>
          <t>Diciembre</t>
        </is>
      </c>
      <c r="I558" s="6" t="inlineStr">
        <is>
          <t>2024-2</t>
        </is>
      </c>
      <c r="J558" s="5" t="n">
        <v>294</v>
      </c>
      <c r="K558" s="10" t="n">
        <v>116.67</v>
      </c>
      <c r="L558" s="14" t="n">
        <v>0.3968367346938775</v>
      </c>
      <c r="M558" s="14" t="n">
        <v>0.3968367346938775</v>
      </c>
      <c r="N558" s="5" t="inlineStr">
        <is>
          <t>ENT</t>
        </is>
      </c>
      <c r="O558" s="5" t="inlineStr">
        <is>
          <t>ENT</t>
        </is>
      </c>
      <c r="P558" s="15" t="n">
        <v>0</v>
      </c>
      <c r="Q558" s="15" t="n">
        <v>0</v>
      </c>
      <c r="R558" s="5" t="inlineStr">
        <is>
          <t>146-2024-12-31</t>
        </is>
      </c>
    </row>
    <row r="559" hidden="1">
      <c r="A559" s="21" t="n">
        <v>146</v>
      </c>
      <c r="B559" s="5" t="inlineStr">
        <is>
          <t>Docentes vinculados a investigación</t>
        </is>
      </c>
      <c r="C559" s="5" t="inlineStr">
        <is>
          <t>Investigación, desarrollo tecnológico, innovación y creación</t>
        </is>
      </c>
      <c r="D559" s="5" t="inlineStr">
        <is>
          <t>Semestral</t>
        </is>
      </c>
      <c r="E559" s="5" t="inlineStr">
        <is>
          <t>Positivo</t>
        </is>
      </c>
      <c r="F559" s="109" t="n">
        <v>45838</v>
      </c>
      <c r="G559" s="5" t="n">
        <v>2025</v>
      </c>
      <c r="H559" s="5" t="inlineStr">
        <is>
          <t>Junio</t>
        </is>
      </c>
      <c r="I559" s="6" t="inlineStr">
        <is>
          <t>2025-1</t>
        </is>
      </c>
      <c r="J559" s="5" t="n">
        <v>100</v>
      </c>
      <c r="K559" s="10" t="n">
        <v>107</v>
      </c>
      <c r="L559" s="14" t="n">
        <v>1.07</v>
      </c>
      <c r="M559" s="14" t="n">
        <v>1.07</v>
      </c>
      <c r="N559" s="5" t="inlineStr">
        <is>
          <t>ENT</t>
        </is>
      </c>
      <c r="O559" s="5" t="inlineStr">
        <is>
          <t>ENT</t>
        </is>
      </c>
      <c r="P559" s="15" t="n">
        <v>0</v>
      </c>
      <c r="Q559" s="15" t="n">
        <v>0</v>
      </c>
      <c r="R559" s="5" t="inlineStr">
        <is>
          <t>146-2025-06-30</t>
        </is>
      </c>
    </row>
    <row r="560" hidden="1">
      <c r="A560" s="5" t="n">
        <v>146</v>
      </c>
      <c r="B560" s="5" t="inlineStr">
        <is>
          <t>Docentes vinculados a investigación</t>
        </is>
      </c>
      <c r="C560" s="5" t="inlineStr">
        <is>
          <t>Investigación, desarrollo tecnológico, innovación y creación</t>
        </is>
      </c>
      <c r="D560" s="5" t="inlineStr">
        <is>
          <t>Trimestral</t>
        </is>
      </c>
      <c r="E560" s="5" t="inlineStr">
        <is>
          <t>Positivo</t>
        </is>
      </c>
      <c r="F560" s="109" t="n">
        <v>46022</v>
      </c>
      <c r="G560" s="5" t="n">
        <v>2025</v>
      </c>
      <c r="H560" s="5" t="inlineStr">
        <is>
          <t>Diciembre</t>
        </is>
      </c>
      <c r="I560" s="6" t="inlineStr">
        <is>
          <t>2025-2</t>
        </is>
      </c>
      <c r="J560" s="5" t="n">
        <v>100</v>
      </c>
      <c r="K560" s="5" t="n">
        <v>133</v>
      </c>
      <c r="L560" s="14" t="n">
        <v>1.3</v>
      </c>
      <c r="M560" s="14" t="n">
        <v>1.33</v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146-2025-12-31</t>
        </is>
      </c>
    </row>
    <row r="561" hidden="1">
      <c r="A561" s="21" t="n">
        <v>147</v>
      </c>
      <c r="B561" s="5" t="inlineStr">
        <is>
          <t>Grupos de investigación categorizados</t>
        </is>
      </c>
      <c r="C561" s="5" t="inlineStr">
        <is>
          <t>Investigación, desarrollo tecnológico, innovación y creación</t>
        </is>
      </c>
      <c r="D561" s="5" t="inlineStr">
        <is>
          <t>Anual</t>
        </is>
      </c>
      <c r="E561" s="5" t="inlineStr">
        <is>
          <t>Positivo</t>
        </is>
      </c>
      <c r="F561" s="109" t="n">
        <v>44926</v>
      </c>
      <c r="G561" s="5" t="n">
        <v>2022</v>
      </c>
      <c r="H561" s="5" t="inlineStr">
        <is>
          <t>Diciembre</t>
        </is>
      </c>
      <c r="I561" s="6" t="inlineStr">
        <is>
          <t>2022-2</t>
        </is>
      </c>
      <c r="J561" s="5" t="n">
        <v>18</v>
      </c>
      <c r="K561" s="10" t="n">
        <v>11</v>
      </c>
      <c r="L561" s="14" t="n">
        <v>0.6111111111111112</v>
      </c>
      <c r="M561" s="14" t="n">
        <v>0.6111111111111112</v>
      </c>
      <c r="N561" s="5" t="inlineStr">
        <is>
          <t>ENT</t>
        </is>
      </c>
      <c r="O561" s="5" t="inlineStr">
        <is>
          <t>ENT</t>
        </is>
      </c>
      <c r="P561" s="15" t="n">
        <v>0</v>
      </c>
      <c r="Q561" s="15" t="n">
        <v>0</v>
      </c>
      <c r="R561" s="5" t="inlineStr">
        <is>
          <t>147-2022-12-31</t>
        </is>
      </c>
    </row>
    <row r="562" hidden="1">
      <c r="A562" s="21" t="n">
        <v>147</v>
      </c>
      <c r="B562" s="5" t="inlineStr">
        <is>
          <t>Grupos de investigación categorizados</t>
        </is>
      </c>
      <c r="C562" s="5" t="inlineStr">
        <is>
          <t>Investigación, desarrollo tecnológico, innovación y creación</t>
        </is>
      </c>
      <c r="D562" s="5" t="inlineStr">
        <is>
          <t>Anual</t>
        </is>
      </c>
      <c r="E562" s="5" t="inlineStr">
        <is>
          <t>Positivo</t>
        </is>
      </c>
      <c r="F562" s="109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>
        <v>13</v>
      </c>
      <c r="K562" s="9" t="n">
        <v>12</v>
      </c>
      <c r="L562" s="14" t="n">
        <v>0.9230769230769231</v>
      </c>
      <c r="M562" s="14" t="n">
        <v>0.9230769230769231</v>
      </c>
      <c r="N562" s="5" t="inlineStr">
        <is>
          <t>ENT</t>
        </is>
      </c>
      <c r="O562" s="5" t="inlineStr">
        <is>
          <t>ENT</t>
        </is>
      </c>
      <c r="P562" s="15" t="n">
        <v>0</v>
      </c>
      <c r="Q562" s="15" t="n">
        <v>0</v>
      </c>
      <c r="R562" s="5" t="inlineStr">
        <is>
          <t>147-2023-12-31</t>
        </is>
      </c>
    </row>
    <row r="563" hidden="1">
      <c r="A563" s="21" t="n">
        <v>147</v>
      </c>
      <c r="B563" s="5" t="inlineStr">
        <is>
          <t>Grupos de investigación categorizados</t>
        </is>
      </c>
      <c r="C563" s="5" t="inlineStr">
        <is>
          <t>Investigación, desarrollo tecnológico, innovación y creación</t>
        </is>
      </c>
      <c r="D563" s="5" t="inlineStr">
        <is>
          <t>Anual</t>
        </is>
      </c>
      <c r="E563" s="5" t="inlineStr">
        <is>
          <t>Positivo</t>
        </is>
      </c>
      <c r="F563" s="108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0</v>
      </c>
      <c r="K563" s="9" t="n">
        <v>12</v>
      </c>
      <c r="L563" s="14" t="n"/>
      <c r="M563" s="14" t="n"/>
      <c r="N563" s="5" t="n"/>
      <c r="O563" s="5" t="n"/>
      <c r="P563" s="15" t="n">
        <v>0</v>
      </c>
      <c r="Q563" s="15" t="n">
        <v>0</v>
      </c>
      <c r="R563" s="5" t="inlineStr">
        <is>
          <t>147-2024-12-31</t>
        </is>
      </c>
    </row>
    <row r="564" hidden="1">
      <c r="A564" s="21" t="n">
        <v>147</v>
      </c>
      <c r="B564" s="5" t="inlineStr">
        <is>
          <t>Grupos de investigación categorizados</t>
        </is>
      </c>
      <c r="C564" s="5" t="inlineStr">
        <is>
          <t>Investigación, desarrollo tecnológico, innovación y creación</t>
        </is>
      </c>
      <c r="D564" s="5" t="inlineStr">
        <is>
          <t>Anual</t>
        </is>
      </c>
      <c r="E564" s="5" t="inlineStr">
        <is>
          <t>Positivo</t>
        </is>
      </c>
      <c r="F564" s="109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16</v>
      </c>
      <c r="K564" s="9" t="n">
        <v>16</v>
      </c>
      <c r="L564" s="14" t="n">
        <v>1</v>
      </c>
      <c r="M564" s="14" t="n">
        <v>1</v>
      </c>
      <c r="N564" s="5" t="inlineStr">
        <is>
          <t>ENT</t>
        </is>
      </c>
      <c r="O564" s="5" t="inlineStr">
        <is>
          <t>ENT</t>
        </is>
      </c>
      <c r="P564" s="15" t="n">
        <v>0</v>
      </c>
      <c r="Q564" s="15" t="n">
        <v>0</v>
      </c>
      <c r="R564" s="5" t="inlineStr">
        <is>
          <t>147-2025-12-31</t>
        </is>
      </c>
    </row>
    <row r="565" hidden="1">
      <c r="A565" s="21" t="n">
        <v>148</v>
      </c>
      <c r="B565" s="5" t="inlineStr">
        <is>
          <t>Estudiantes vinculados a investigación</t>
        </is>
      </c>
      <c r="C565" s="5" t="inlineStr">
        <is>
          <t>Formación para la investigación, creación e innovación</t>
        </is>
      </c>
      <c r="D565" s="5" t="inlineStr">
        <is>
          <t>Trimestral</t>
        </is>
      </c>
      <c r="E565" s="5" t="inlineStr">
        <is>
          <t>Positivo</t>
        </is>
      </c>
      <c r="F565" s="109" t="n">
        <v>44742</v>
      </c>
      <c r="G565" s="5" t="n">
        <v>2022</v>
      </c>
      <c r="H565" s="5" t="inlineStr">
        <is>
          <t>Junio</t>
        </is>
      </c>
      <c r="I565" s="6" t="inlineStr">
        <is>
          <t>2022-1</t>
        </is>
      </c>
      <c r="J565" s="5" t="n">
        <v>2</v>
      </c>
      <c r="K565" s="9" t="n">
        <v>1.56749025217</v>
      </c>
      <c r="L565" s="14" t="n">
        <v>0.783745126085</v>
      </c>
      <c r="M565" s="14" t="n">
        <v>0.783745126085</v>
      </c>
      <c r="N565" s="5" t="inlineStr">
        <is>
          <t>%</t>
        </is>
      </c>
      <c r="O565" s="5" t="inlineStr">
        <is>
          <t>%</t>
        </is>
      </c>
      <c r="P565" s="15" t="n">
        <v>0</v>
      </c>
      <c r="Q565" s="15" t="n">
        <v>1</v>
      </c>
      <c r="R565" s="5" t="inlineStr">
        <is>
          <t>148-2022-06-30</t>
        </is>
      </c>
    </row>
    <row r="566" hidden="1">
      <c r="A566" s="21" t="n">
        <v>148</v>
      </c>
      <c r="B566" s="5" t="inlineStr">
        <is>
          <t>% Estudiantes vinculados a investigación</t>
        </is>
      </c>
      <c r="C566" s="5" t="inlineStr">
        <is>
          <t>Formación para la investigación, creación e innovación</t>
        </is>
      </c>
      <c r="D566" s="5" t="inlineStr">
        <is>
          <t>Semestral</t>
        </is>
      </c>
      <c r="E566" s="5" t="inlineStr">
        <is>
          <t>Positivo</t>
        </is>
      </c>
      <c r="F566" s="109" t="n">
        <v>44926</v>
      </c>
      <c r="G566" s="5" t="n">
        <v>2022</v>
      </c>
      <c r="H566" s="5" t="inlineStr">
        <is>
          <t>Diciembre</t>
        </is>
      </c>
      <c r="I566" s="6" t="inlineStr">
        <is>
          <t>2022-2</t>
        </is>
      </c>
      <c r="J566" s="5" t="n">
        <v>2</v>
      </c>
      <c r="K566" s="9" t="n">
        <v>3.0897703549061</v>
      </c>
      <c r="L566" s="14" t="n">
        <v>1.3</v>
      </c>
      <c r="M566" s="14" t="n">
        <v>1.54488517745305</v>
      </c>
      <c r="N566" s="5" t="inlineStr">
        <is>
          <t>%</t>
        </is>
      </c>
      <c r="O566" s="5" t="inlineStr">
        <is>
          <t>%</t>
        </is>
      </c>
      <c r="P566" s="15" t="n">
        <v>0</v>
      </c>
      <c r="Q566" s="15" t="n">
        <v>1</v>
      </c>
      <c r="R566" s="5" t="inlineStr">
        <is>
          <t>148-2022-12-31</t>
        </is>
      </c>
    </row>
    <row r="567" hidden="1">
      <c r="A567" s="21" t="n">
        <v>148</v>
      </c>
      <c r="B567" s="5" t="inlineStr">
        <is>
          <t>% Estudiantes vinculados a investigación</t>
        </is>
      </c>
      <c r="C567" s="5" t="inlineStr">
        <is>
          <t>Formación para la investigación, creación e innovación</t>
        </is>
      </c>
      <c r="D567" s="5" t="inlineStr">
        <is>
          <t>Semestral</t>
        </is>
      </c>
      <c r="E567" s="5" t="inlineStr">
        <is>
          <t>Positivo</t>
        </is>
      </c>
      <c r="F567" s="109" t="n">
        <v>45107</v>
      </c>
      <c r="G567" s="5" t="n">
        <v>2023</v>
      </c>
      <c r="H567" s="5" t="inlineStr">
        <is>
          <t>Junio</t>
        </is>
      </c>
      <c r="I567" s="6" t="inlineStr">
        <is>
          <t>2023-1</t>
        </is>
      </c>
      <c r="J567" s="5" t="n">
        <v>2.5</v>
      </c>
      <c r="K567" s="9" t="n">
        <v>4.11</v>
      </c>
      <c r="L567" s="14" t="n">
        <v>1.3</v>
      </c>
      <c r="M567" s="14" t="n">
        <v>1.644</v>
      </c>
      <c r="N567" s="5" t="inlineStr">
        <is>
          <t>%</t>
        </is>
      </c>
      <c r="O567" s="5" t="inlineStr">
        <is>
          <t>%</t>
        </is>
      </c>
      <c r="P567" s="15" t="n">
        <v>2</v>
      </c>
      <c r="Q567" s="15" t="n">
        <v>1</v>
      </c>
      <c r="R567" s="5" t="inlineStr">
        <is>
          <t>148-2023-06-30</t>
        </is>
      </c>
    </row>
    <row r="568" hidden="1">
      <c r="A568" s="21" t="n">
        <v>148</v>
      </c>
      <c r="B568" s="5" t="inlineStr">
        <is>
          <t>% Estudiantes vinculados a investigación</t>
        </is>
      </c>
      <c r="C568" s="5" t="inlineStr">
        <is>
          <t>Formación para la investigación, creación e innovación</t>
        </is>
      </c>
      <c r="D568" s="5" t="inlineStr">
        <is>
          <t>Semestral</t>
        </is>
      </c>
      <c r="E568" s="5" t="inlineStr">
        <is>
          <t>Positivo</t>
        </is>
      </c>
      <c r="F568" s="109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5</v>
      </c>
      <c r="K568" s="9" t="n">
        <v>5.71</v>
      </c>
      <c r="L568" s="14" t="n">
        <v>1.142</v>
      </c>
      <c r="M568" s="14" t="n">
        <v>1.142</v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1</v>
      </c>
      <c r="R568" s="5" t="inlineStr">
        <is>
          <t>148-2023-12-31</t>
        </is>
      </c>
    </row>
    <row r="569" hidden="1">
      <c r="A569" s="21" t="n">
        <v>148</v>
      </c>
      <c r="B569" s="5" t="inlineStr">
        <is>
          <t>% Estudiantes vinculados a investigación</t>
        </is>
      </c>
      <c r="C569" s="5" t="inlineStr">
        <is>
          <t>Formación para la investigación, creación e innovación</t>
        </is>
      </c>
      <c r="D569" s="5" t="inlineStr">
        <is>
          <t>Semestral</t>
        </is>
      </c>
      <c r="E569" s="5" t="inlineStr">
        <is>
          <t>Positivo</t>
        </is>
      </c>
      <c r="F569" s="109" t="n">
        <v>45473</v>
      </c>
      <c r="G569" s="5" t="n">
        <v>2024</v>
      </c>
      <c r="H569" s="5" t="inlineStr">
        <is>
          <t>Junio</t>
        </is>
      </c>
      <c r="I569" s="6" t="inlineStr">
        <is>
          <t>2024-1</t>
        </is>
      </c>
      <c r="J569" s="5" t="n">
        <v>5</v>
      </c>
      <c r="K569" s="9" t="n">
        <v>4.3</v>
      </c>
      <c r="L569" s="14" t="n">
        <v>0.86</v>
      </c>
      <c r="M569" s="14" t="n">
        <v>0.86</v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1</v>
      </c>
      <c r="R569" s="5" t="inlineStr">
        <is>
          <t>148-2024-06-30</t>
        </is>
      </c>
    </row>
    <row r="570" hidden="1">
      <c r="A570" s="21" t="n">
        <v>148</v>
      </c>
      <c r="B570" s="5" t="inlineStr">
        <is>
          <t>Estudiantes vinculados a investigación</t>
        </is>
      </c>
      <c r="C570" s="5" t="inlineStr">
        <is>
          <t>Formación para la investigación, creación e innovación</t>
        </is>
      </c>
      <c r="D570" s="5" t="inlineStr">
        <is>
          <t>Semestral</t>
        </is>
      </c>
      <c r="E570" s="5" t="inlineStr">
        <is>
          <t>Positivo</t>
        </is>
      </c>
      <c r="F570" s="109" t="n">
        <v>45657</v>
      </c>
      <c r="G570" s="5" t="n">
        <v>2024</v>
      </c>
      <c r="H570" s="5" t="inlineStr">
        <is>
          <t>Diciembre</t>
        </is>
      </c>
      <c r="I570" s="6" t="inlineStr">
        <is>
          <t>2024-2</t>
        </is>
      </c>
      <c r="J570" s="5" t="n">
        <v>5</v>
      </c>
      <c r="K570" s="9" t="n">
        <v>6.3</v>
      </c>
      <c r="L570" s="14" t="n">
        <v>1.26</v>
      </c>
      <c r="M570" s="14" t="n">
        <v>1.26</v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1</v>
      </c>
      <c r="R570" s="5" t="inlineStr">
        <is>
          <t>148-2024-12-31</t>
        </is>
      </c>
    </row>
    <row r="571" hidden="1">
      <c r="A571" s="26" t="n">
        <v>148</v>
      </c>
      <c r="B571" s="5" t="inlineStr">
        <is>
          <t>% Estudiantes vinculados a investigación</t>
        </is>
      </c>
      <c r="C571" s="5" t="inlineStr">
        <is>
          <t>Formación para la investigación, creación e innovación</t>
        </is>
      </c>
      <c r="D571" s="5" t="inlineStr">
        <is>
          <t>Semestral</t>
        </is>
      </c>
      <c r="E571" s="5" t="inlineStr">
        <is>
          <t>Positivo</t>
        </is>
      </c>
      <c r="F571" s="109" t="n">
        <v>45838</v>
      </c>
      <c r="G571" s="5" t="n">
        <v>2025</v>
      </c>
      <c r="H571" s="5" t="inlineStr">
        <is>
          <t>Junio</t>
        </is>
      </c>
      <c r="I571" s="6" t="inlineStr">
        <is>
          <t>2025-1</t>
        </is>
      </c>
      <c r="J571" s="5" t="n">
        <v>4</v>
      </c>
      <c r="K571" s="9" t="n">
        <v>4.08</v>
      </c>
      <c r="L571" s="14" t="n">
        <v>1.02</v>
      </c>
      <c r="M571" s="14" t="n">
        <v>1.02</v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1</v>
      </c>
      <c r="R571" s="5" t="inlineStr">
        <is>
          <t>148-2025-06-30</t>
        </is>
      </c>
    </row>
    <row r="572" hidden="1">
      <c r="A572" s="26" t="n">
        <v>148</v>
      </c>
      <c r="B572" s="5" t="inlineStr">
        <is>
          <t>Estudiantes vinculados a investigación</t>
        </is>
      </c>
      <c r="C572" s="5" t="inlineStr">
        <is>
          <t>Formación para la investigación, creación e innovación</t>
        </is>
      </c>
      <c r="D572" s="5" t="inlineStr">
        <is>
          <t>Trimestral</t>
        </is>
      </c>
      <c r="E572" s="5" t="inlineStr">
        <is>
          <t>Positivo</t>
        </is>
      </c>
      <c r="F572" s="109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5</v>
      </c>
      <c r="K572" s="9" t="n">
        <v>6.78</v>
      </c>
      <c r="L572" s="14" t="n">
        <v>1.3</v>
      </c>
      <c r="M572" s="14" t="n">
        <v>1.356</v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1</v>
      </c>
      <c r="R572" s="5" t="inlineStr">
        <is>
          <t>148-2025-12-31</t>
        </is>
      </c>
    </row>
    <row r="573" hidden="1">
      <c r="A573" s="26" t="n">
        <v>150</v>
      </c>
      <c r="B573" s="5" t="inlineStr">
        <is>
          <t>Nivel de Satisfacción Servicios Prestados</t>
        </is>
      </c>
      <c r="C573" s="5" t="inlineStr">
        <is>
          <t>Investigación, desarrollo tecnológico e innovación</t>
        </is>
      </c>
      <c r="D573" s="5" t="inlineStr">
        <is>
          <t>Anual</t>
        </is>
      </c>
      <c r="E573" s="5" t="inlineStr">
        <is>
          <t>Positivo</t>
        </is>
      </c>
      <c r="F573" s="109" t="n">
        <v>44865</v>
      </c>
      <c r="G573" s="5" t="n">
        <v>2022</v>
      </c>
      <c r="H573" s="5" t="inlineStr">
        <is>
          <t>Octubre</t>
        </is>
      </c>
      <c r="I573" s="6" t="inlineStr">
        <is>
          <t>2022-2</t>
        </is>
      </c>
      <c r="J573" s="5" t="n">
        <v>80</v>
      </c>
      <c r="K573" s="9" t="n">
        <v>80</v>
      </c>
      <c r="L573" s="14" t="n">
        <v>1</v>
      </c>
      <c r="M573" s="14" t="n">
        <v>1</v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0</v>
      </c>
      <c r="R573" s="5" t="inlineStr">
        <is>
          <t>150-2022-10-31</t>
        </is>
      </c>
    </row>
    <row r="574" hidden="1">
      <c r="A574" s="21" t="n">
        <v>150</v>
      </c>
      <c r="B574" s="5" t="inlineStr">
        <is>
          <t>Nivel de Satisfacción Servicios Prestados</t>
        </is>
      </c>
      <c r="C574" s="5" t="inlineStr">
        <is>
          <t>INVESTIGACIÓN, INNOVACIÓN Y CREACIÓN</t>
        </is>
      </c>
      <c r="D574" s="5" t="inlineStr">
        <is>
          <t>Anual</t>
        </is>
      </c>
      <c r="E574" s="5" t="inlineStr">
        <is>
          <t>Positivo</t>
        </is>
      </c>
      <c r="F574" s="109" t="n">
        <v>45230</v>
      </c>
      <c r="G574" s="5" t="n">
        <v>2023</v>
      </c>
      <c r="H574" s="5" t="inlineStr">
        <is>
          <t>Octubre</t>
        </is>
      </c>
      <c r="I574" s="6" t="inlineStr">
        <is>
          <t>2023-2</t>
        </is>
      </c>
      <c r="J574" s="5" t="n">
        <v>80</v>
      </c>
      <c r="K574" s="9" t="n">
        <v>94</v>
      </c>
      <c r="L574" s="14" t="n">
        <v>1.175</v>
      </c>
      <c r="M574" s="14" t="n">
        <v>1.175</v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0</v>
      </c>
      <c r="R574" s="5" t="inlineStr">
        <is>
          <t>150-2023-10-31</t>
        </is>
      </c>
    </row>
    <row r="575" hidden="1">
      <c r="A575" s="21" t="n">
        <v>150</v>
      </c>
      <c r="B575" s="5" t="inlineStr">
        <is>
          <t>Nivel de Satisfacción Servicios Prestados</t>
        </is>
      </c>
      <c r="C575" s="5" t="inlineStr">
        <is>
          <t>Investigación, desarrollo tecnológico e innovación</t>
        </is>
      </c>
      <c r="D575" s="5" t="inlineStr">
        <is>
          <t>Anual</t>
        </is>
      </c>
      <c r="E575" s="5" t="inlineStr">
        <is>
          <t>Positivo</t>
        </is>
      </c>
      <c r="F575" s="109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80</v>
      </c>
      <c r="K575" s="10" t="n">
        <v>84.34350070811109</v>
      </c>
      <c r="L575" s="14" t="n">
        <v>1.054293758851389</v>
      </c>
      <c r="M575" s="14" t="n">
        <v>1.054293758851389</v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150-2023-12-31</t>
        </is>
      </c>
    </row>
    <row r="576" hidden="1">
      <c r="A576" s="21" t="n">
        <v>150</v>
      </c>
      <c r="B576" s="5" t="inlineStr">
        <is>
          <t>Nivel de Satisfacción Servicios Prestados- Investigación, desarrollo tecnológico, innovación y creación</t>
        </is>
      </c>
      <c r="C576" s="5" t="inlineStr">
        <is>
          <t>Investigación, desarrollo tecnológico, innovación y creación</t>
        </is>
      </c>
      <c r="D576" s="5" t="inlineStr">
        <is>
          <t>Anual</t>
        </is>
      </c>
      <c r="E576" s="5" t="inlineStr">
        <is>
          <t>Positivo</t>
        </is>
      </c>
      <c r="F576" s="109" t="n">
        <v>45596</v>
      </c>
      <c r="G576" s="5" t="n">
        <v>2024</v>
      </c>
      <c r="H576" s="5" t="inlineStr">
        <is>
          <t>Octubre</t>
        </is>
      </c>
      <c r="I576" s="6" t="inlineStr">
        <is>
          <t>2024-2</t>
        </is>
      </c>
      <c r="J576" s="5" t="n">
        <v>80</v>
      </c>
      <c r="K576" s="9" t="n">
        <v>89</v>
      </c>
      <c r="L576" s="14" t="n">
        <v>1.1125</v>
      </c>
      <c r="M576" s="14" t="n">
        <v>1.1125</v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150-2024-10-31</t>
        </is>
      </c>
    </row>
    <row r="577" hidden="1">
      <c r="A577" s="21" t="n">
        <v>151</v>
      </c>
      <c r="B577" s="5" t="inlineStr">
        <is>
          <t>Nivel de Satisfacción Servicios Prestados</t>
        </is>
      </c>
      <c r="C577" s="5" t="inlineStr">
        <is>
          <t>Biblioteca Institucional</t>
        </is>
      </c>
      <c r="D577" s="5" t="inlineStr">
        <is>
          <t>Anual</t>
        </is>
      </c>
      <c r="E577" s="5" t="inlineStr">
        <is>
          <t>Positivo</t>
        </is>
      </c>
      <c r="F577" s="109" t="n">
        <v>44865</v>
      </c>
      <c r="G577" s="5" t="n">
        <v>2022</v>
      </c>
      <c r="H577" s="5" t="inlineStr">
        <is>
          <t>Octubre</t>
        </is>
      </c>
      <c r="I577" s="6" t="inlineStr">
        <is>
          <t>2022-2</t>
        </is>
      </c>
      <c r="J577" s="5" t="n">
        <v>80</v>
      </c>
      <c r="K577" s="9" t="n">
        <v>83</v>
      </c>
      <c r="L577" s="14" t="n">
        <v>1.0375</v>
      </c>
      <c r="M577" s="14" t="n">
        <v>1.0375</v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0</v>
      </c>
      <c r="R577" s="5" t="inlineStr">
        <is>
          <t>151-2022-10-31</t>
        </is>
      </c>
    </row>
    <row r="578" hidden="1">
      <c r="A578" s="21" t="n">
        <v>151</v>
      </c>
      <c r="B578" s="5" t="inlineStr">
        <is>
          <t>Nivel de Satisfacción Servicios Prestados</t>
        </is>
      </c>
      <c r="C578" s="5" t="inlineStr">
        <is>
          <t>Biblioteca Institucional</t>
        </is>
      </c>
      <c r="D578" s="5" t="inlineStr">
        <is>
          <t>Anual</t>
        </is>
      </c>
      <c r="E578" s="5" t="inlineStr">
        <is>
          <t>Positivo</t>
        </is>
      </c>
      <c r="F578" s="109" t="n">
        <v>45230</v>
      </c>
      <c r="G578" s="5" t="n">
        <v>2023</v>
      </c>
      <c r="H578" s="5" t="inlineStr">
        <is>
          <t>Octubre</t>
        </is>
      </c>
      <c r="I578" s="6" t="inlineStr">
        <is>
          <t>2023-2</t>
        </is>
      </c>
      <c r="J578" s="5" t="n">
        <v>80</v>
      </c>
      <c r="K578" s="9" t="n">
        <v>90.37</v>
      </c>
      <c r="L578" s="14" t="n">
        <v>1.129625</v>
      </c>
      <c r="M578" s="14" t="n">
        <v>1.129625</v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0</v>
      </c>
      <c r="R578" s="5" t="inlineStr">
        <is>
          <t>151-2023-10-31</t>
        </is>
      </c>
    </row>
    <row r="579" hidden="1">
      <c r="A579" s="21" t="n">
        <v>151</v>
      </c>
      <c r="B579" s="5" t="inlineStr">
        <is>
          <t>Nivel de Satisfacción Servicios Prestados</t>
        </is>
      </c>
      <c r="C579" s="5" t="inlineStr">
        <is>
          <t>Biblioteca Institucional</t>
        </is>
      </c>
      <c r="D579" s="5" t="inlineStr">
        <is>
          <t>Anual</t>
        </is>
      </c>
      <c r="E579" s="5" t="inlineStr">
        <is>
          <t>Positivo</t>
        </is>
      </c>
      <c r="F579" s="109" t="n">
        <v>45596</v>
      </c>
      <c r="G579" s="5" t="n">
        <v>2024</v>
      </c>
      <c r="H579" s="5" t="inlineStr">
        <is>
          <t>Octubre</t>
        </is>
      </c>
      <c r="I579" s="6" t="inlineStr">
        <is>
          <t>2024-2</t>
        </is>
      </c>
      <c r="J579" s="5" t="n">
        <v>80</v>
      </c>
      <c r="K579" s="9" t="n">
        <v>80</v>
      </c>
      <c r="L579" s="14" t="n">
        <v>1</v>
      </c>
      <c r="M579" s="14" t="n">
        <v>1</v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0</v>
      </c>
      <c r="R579" s="5" t="inlineStr">
        <is>
          <t>151-2024-10-31</t>
        </is>
      </c>
    </row>
    <row r="580" hidden="1">
      <c r="A580" s="21" t="n">
        <v>151</v>
      </c>
      <c r="B580" s="5" t="inlineStr">
        <is>
          <t>Nivel de Satisfacción Servicios Prestados</t>
        </is>
      </c>
      <c r="C580" s="5" t="inlineStr">
        <is>
          <t>Biblioteca Institucional</t>
        </is>
      </c>
      <c r="D580" s="5" t="inlineStr">
        <is>
          <t>Anual</t>
        </is>
      </c>
      <c r="E580" s="5" t="inlineStr">
        <is>
          <t>Positivo</t>
        </is>
      </c>
      <c r="F580" s="109" t="n">
        <v>45961</v>
      </c>
      <c r="G580" s="5" t="n">
        <v>2025</v>
      </c>
      <c r="H580" s="5" t="inlineStr">
        <is>
          <t>Octubre</t>
        </is>
      </c>
      <c r="I580" s="6" t="inlineStr">
        <is>
          <t>2025-2</t>
        </is>
      </c>
      <c r="J580" s="5" t="n">
        <v>80</v>
      </c>
      <c r="K580" s="9" t="n">
        <v>95</v>
      </c>
      <c r="L580" s="14" t="n">
        <v>1.1875</v>
      </c>
      <c r="M580" s="14" t="n">
        <v>1.1875</v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0</v>
      </c>
      <c r="R580" s="5" t="inlineStr">
        <is>
          <t>151-2025-10-31</t>
        </is>
      </c>
    </row>
    <row r="581" hidden="1">
      <c r="A581" s="21" t="n">
        <v>157</v>
      </c>
      <c r="B581" s="5" t="inlineStr">
        <is>
          <t>Indexación de bases de datos o SIRES</t>
        </is>
      </c>
      <c r="C581" s="5" t="inlineStr">
        <is>
          <t>Editorial y Publicaciones</t>
        </is>
      </c>
      <c r="D581" s="5" t="inlineStr">
        <is>
          <t>Anual</t>
        </is>
      </c>
      <c r="E581" s="5" t="inlineStr">
        <is>
          <t>Positivo</t>
        </is>
      </c>
      <c r="F581" s="109" t="n">
        <v>45107</v>
      </c>
      <c r="G581" s="5" t="n">
        <v>2023</v>
      </c>
      <c r="H581" s="5" t="inlineStr">
        <is>
          <t>Junio</t>
        </is>
      </c>
      <c r="I581" s="6" t="inlineStr">
        <is>
          <t>2023-1</t>
        </is>
      </c>
      <c r="J581" s="5" t="n">
        <v>3</v>
      </c>
      <c r="K581" s="9" t="n">
        <v>4</v>
      </c>
      <c r="L581" s="14" t="n">
        <v>1.3</v>
      </c>
      <c r="M581" s="14" t="n">
        <v>1.333333333333333</v>
      </c>
      <c r="N581" s="5" t="inlineStr">
        <is>
          <t>No Aplica</t>
        </is>
      </c>
      <c r="O581" s="5" t="inlineStr">
        <is>
          <t>No Aplica</t>
        </is>
      </c>
      <c r="P581" s="15" t="n">
        <v>0</v>
      </c>
      <c r="Q581" s="15" t="n">
        <v>0</v>
      </c>
      <c r="R581" s="5" t="inlineStr">
        <is>
          <t>157-2023-06-30</t>
        </is>
      </c>
    </row>
    <row r="582" hidden="1">
      <c r="A582" s="21" t="n">
        <v>157</v>
      </c>
      <c r="B582" s="5" t="inlineStr">
        <is>
          <t>Indexación de bases de datos o SIRES</t>
        </is>
      </c>
      <c r="C582" s="5" t="inlineStr">
        <is>
          <t>Editorial y Publicaciones</t>
        </is>
      </c>
      <c r="D582" s="5" t="inlineStr">
        <is>
          <t>Anual</t>
        </is>
      </c>
      <c r="E582" s="5" t="inlineStr">
        <is>
          <t>Positivo</t>
        </is>
      </c>
      <c r="F582" s="109" t="n">
        <v>45291</v>
      </c>
      <c r="G582" s="5" t="n">
        <v>2023</v>
      </c>
      <c r="H582" s="5" t="inlineStr">
        <is>
          <t>Diciembre</t>
        </is>
      </c>
      <c r="I582" s="6" t="inlineStr">
        <is>
          <t>2023-2</t>
        </is>
      </c>
      <c r="J582" s="5" t="n">
        <v>3</v>
      </c>
      <c r="K582" s="9" t="n">
        <v>7</v>
      </c>
      <c r="L582" s="14" t="n">
        <v>1.3</v>
      </c>
      <c r="M582" s="14" t="n">
        <v>2.333333333333333</v>
      </c>
      <c r="N582" s="5" t="inlineStr">
        <is>
          <t>No Aplica</t>
        </is>
      </c>
      <c r="O582" s="5" t="inlineStr">
        <is>
          <t>No Aplica</t>
        </is>
      </c>
      <c r="P582" s="15" t="n">
        <v>0</v>
      </c>
      <c r="Q582" s="15" t="n">
        <v>0</v>
      </c>
      <c r="R582" s="5" t="inlineStr">
        <is>
          <t>157-2023-12-31</t>
        </is>
      </c>
    </row>
    <row r="583" hidden="1">
      <c r="A583" s="26" t="n">
        <v>157</v>
      </c>
      <c r="B583" s="5" t="inlineStr">
        <is>
          <t>Indexación de bases de datos o SIRES</t>
        </is>
      </c>
      <c r="C583" s="5" t="inlineStr">
        <is>
          <t>Editorial y Publicaciones</t>
        </is>
      </c>
      <c r="D583" s="5" t="inlineStr">
        <is>
          <t>Anual</t>
        </is>
      </c>
      <c r="E583" s="5" t="inlineStr">
        <is>
          <t>Positivo</t>
        </is>
      </c>
      <c r="F583" s="109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100</v>
      </c>
      <c r="K583" s="9" t="n">
        <v>125</v>
      </c>
      <c r="L583" s="14" t="n">
        <v>1.25</v>
      </c>
      <c r="M583" s="14" t="n">
        <v>1.25</v>
      </c>
      <c r="N583" s="5" t="n"/>
      <c r="O583" s="5" t="n"/>
      <c r="P583" s="15" t="n">
        <v>0</v>
      </c>
      <c r="Q583" s="15" t="n">
        <v>0</v>
      </c>
      <c r="R583" s="5" t="inlineStr">
        <is>
          <t>157-2024-12-31</t>
        </is>
      </c>
    </row>
    <row r="584" hidden="1">
      <c r="A584" s="26" t="n">
        <v>159</v>
      </c>
      <c r="B584" s="5" t="inlineStr">
        <is>
          <t>Nivel de Satisfacción Servicios Prestados</t>
        </is>
      </c>
      <c r="C584" s="5" t="inlineStr">
        <is>
          <t>Editorial y Publicaciones</t>
        </is>
      </c>
      <c r="D584" s="5" t="inlineStr">
        <is>
          <t>Trimestral</t>
        </is>
      </c>
      <c r="E584" s="5" t="inlineStr">
        <is>
          <t>Positivo</t>
        </is>
      </c>
      <c r="F584" s="109" t="n">
        <v>44742</v>
      </c>
      <c r="G584" s="5" t="n">
        <v>2022</v>
      </c>
      <c r="H584" s="5" t="inlineStr">
        <is>
          <t>Junio</t>
        </is>
      </c>
      <c r="I584" s="6" t="inlineStr">
        <is>
          <t>2022-1</t>
        </is>
      </c>
      <c r="J584" s="5" t="n">
        <v>80</v>
      </c>
      <c r="K584" s="9" t="n">
        <v>0</v>
      </c>
      <c r="L584" s="14" t="n">
        <v>0</v>
      </c>
      <c r="M584" s="14" t="n">
        <v>0</v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0</v>
      </c>
      <c r="R584" s="5" t="inlineStr">
        <is>
          <t>159-2022-06-30</t>
        </is>
      </c>
    </row>
    <row r="585" hidden="1">
      <c r="A585" s="26" t="n">
        <v>159</v>
      </c>
      <c r="B585" s="5" t="inlineStr">
        <is>
          <t>Nivel de Satisfacción Servicios Prestados</t>
        </is>
      </c>
      <c r="C585" s="5" t="inlineStr">
        <is>
          <t>Editorial y Publicaciones</t>
        </is>
      </c>
      <c r="D585" s="5" t="inlineStr">
        <is>
          <t>Trimestral</t>
        </is>
      </c>
      <c r="E585" s="5" t="inlineStr">
        <is>
          <t>Positivo</t>
        </is>
      </c>
      <c r="F585" s="109" t="n">
        <v>44926</v>
      </c>
      <c r="G585" s="5" t="n">
        <v>2022</v>
      </c>
      <c r="H585" s="5" t="inlineStr">
        <is>
          <t>Diciembre</t>
        </is>
      </c>
      <c r="I585" s="6" t="inlineStr">
        <is>
          <t>2022-2</t>
        </is>
      </c>
      <c r="J585" s="5" t="n">
        <v>80</v>
      </c>
      <c r="K585" s="9" t="n">
        <v>70</v>
      </c>
      <c r="L585" s="14" t="n">
        <v>0.875</v>
      </c>
      <c r="M585" s="14" t="n">
        <v>0.875</v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159-2022-12-31</t>
        </is>
      </c>
    </row>
    <row r="586" hidden="1">
      <c r="A586" s="5" t="n">
        <v>159</v>
      </c>
      <c r="B586" s="5" t="inlineStr">
        <is>
          <t>Nivel de Satisfacción Servicios Prestados</t>
        </is>
      </c>
      <c r="C586" s="5" t="inlineStr">
        <is>
          <t>Editorial y Publicaciones</t>
        </is>
      </c>
      <c r="D586" s="5" t="inlineStr">
        <is>
          <t>Semestral</t>
        </is>
      </c>
      <c r="E586" s="5" t="inlineStr">
        <is>
          <t>Positivo</t>
        </is>
      </c>
      <c r="F586" s="109" t="n">
        <v>45107</v>
      </c>
      <c r="G586" s="5" t="n">
        <v>2023</v>
      </c>
      <c r="H586" s="5" t="inlineStr">
        <is>
          <t>Junio</t>
        </is>
      </c>
      <c r="I586" s="6" t="inlineStr">
        <is>
          <t>2023-1</t>
        </is>
      </c>
      <c r="J586" s="5" t="n">
        <v>80</v>
      </c>
      <c r="K586" s="5" t="n">
        <v>96</v>
      </c>
      <c r="L586" s="14" t="n">
        <v>1.2</v>
      </c>
      <c r="M586" s="14" t="n">
        <v>1.2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159-2023-06-30</t>
        </is>
      </c>
    </row>
    <row r="587" hidden="1">
      <c r="A587" s="5" t="n">
        <v>159</v>
      </c>
      <c r="B587" s="5" t="inlineStr">
        <is>
          <t>Nivel de Satisfacción Servicios Prestados</t>
        </is>
      </c>
      <c r="C587" s="5" t="inlineStr">
        <is>
          <t>Editorial y Publicaciones</t>
        </is>
      </c>
      <c r="D587" s="5" t="inlineStr">
        <is>
          <t>Semestral</t>
        </is>
      </c>
      <c r="E587" s="5" t="inlineStr">
        <is>
          <t>Positivo</t>
        </is>
      </c>
      <c r="F587" s="109" t="n">
        <v>45291</v>
      </c>
      <c r="G587" s="5" t="n">
        <v>2023</v>
      </c>
      <c r="H587" s="5" t="inlineStr">
        <is>
          <t>Diciembre</t>
        </is>
      </c>
      <c r="I587" s="6" t="inlineStr">
        <is>
          <t>2023-2</t>
        </is>
      </c>
      <c r="J587" s="5" t="n">
        <v>80</v>
      </c>
      <c r="K587" s="5" t="n">
        <v>100</v>
      </c>
      <c r="L587" s="14" t="n">
        <v>1.25</v>
      </c>
      <c r="M587" s="14" t="n">
        <v>1.25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159-2023-12-31</t>
        </is>
      </c>
    </row>
    <row r="588" hidden="1">
      <c r="A588" s="21" t="n">
        <v>159</v>
      </c>
      <c r="B588" s="5" t="inlineStr">
        <is>
          <t>Nivel de Satisfacción Servicios Prestados</t>
        </is>
      </c>
      <c r="C588" s="5" t="inlineStr">
        <is>
          <t>Editorial y Publicaciones</t>
        </is>
      </c>
      <c r="D588" s="5" t="inlineStr">
        <is>
          <t>Semestral</t>
        </is>
      </c>
      <c r="E588" s="5" t="inlineStr">
        <is>
          <t>Positivo</t>
        </is>
      </c>
      <c r="F588" s="109" t="n">
        <v>45473</v>
      </c>
      <c r="G588" s="5" t="n">
        <v>2024</v>
      </c>
      <c r="H588" s="5" t="inlineStr">
        <is>
          <t>Junio</t>
        </is>
      </c>
      <c r="I588" s="6" t="inlineStr">
        <is>
          <t>2024-1</t>
        </is>
      </c>
      <c r="J588" s="5" t="n">
        <v>80</v>
      </c>
      <c r="K588" s="10" t="n">
        <v>95</v>
      </c>
      <c r="L588" s="14" t="n">
        <v>1.1875</v>
      </c>
      <c r="M588" s="14" t="n">
        <v>1.1875</v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159-2024-06-30</t>
        </is>
      </c>
    </row>
    <row r="589" hidden="1">
      <c r="A589" s="26" t="n">
        <v>159</v>
      </c>
      <c r="B589" s="5" t="inlineStr">
        <is>
          <t>Nivel de Satisfacción Servicios Prestados</t>
        </is>
      </c>
      <c r="C589" s="5" t="inlineStr">
        <is>
          <t>Editorial y Publicaciones</t>
        </is>
      </c>
      <c r="D589" s="5" t="inlineStr">
        <is>
          <t>Semestral</t>
        </is>
      </c>
      <c r="E589" s="5" t="inlineStr">
        <is>
          <t>Positivo</t>
        </is>
      </c>
      <c r="F589" s="109" t="n">
        <v>45657</v>
      </c>
      <c r="G589" s="5" t="n">
        <v>2024</v>
      </c>
      <c r="H589" s="5" t="inlineStr">
        <is>
          <t>Diciembre</t>
        </is>
      </c>
      <c r="I589" s="6" t="inlineStr">
        <is>
          <t>2024-2</t>
        </is>
      </c>
      <c r="J589" s="5" t="n">
        <v>80</v>
      </c>
      <c r="K589" s="5" t="n">
        <v>97.8</v>
      </c>
      <c r="L589" s="14" t="n">
        <v>1.2225</v>
      </c>
      <c r="M589" s="14" t="n">
        <v>1.2225</v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159-2024-12-31</t>
        </is>
      </c>
    </row>
    <row r="590" hidden="1">
      <c r="A590" s="5" t="n">
        <v>159</v>
      </c>
      <c r="B590" s="5" t="inlineStr">
        <is>
          <t>Nivel de Satisfacción Servicios Prestados</t>
        </is>
      </c>
      <c r="C590" s="5" t="inlineStr">
        <is>
          <t>Editorial y Publicaciones</t>
        </is>
      </c>
      <c r="D590" s="5" t="inlineStr">
        <is>
          <t>Semestral</t>
        </is>
      </c>
      <c r="E590" s="5" t="inlineStr">
        <is>
          <t>Positivo</t>
        </is>
      </c>
      <c r="F590" s="109" t="n">
        <v>45838</v>
      </c>
      <c r="G590" s="5" t="n">
        <v>2025</v>
      </c>
      <c r="H590" s="5" t="inlineStr">
        <is>
          <t>Junio</t>
        </is>
      </c>
      <c r="I590" s="6" t="inlineStr">
        <is>
          <t>2025-1</t>
        </is>
      </c>
      <c r="J590" s="5" t="n">
        <v>80</v>
      </c>
      <c r="K590" s="5" t="n">
        <v>100</v>
      </c>
      <c r="L590" s="14" t="n">
        <v>1.25</v>
      </c>
      <c r="M590" s="14" t="n">
        <v>1.25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159-2025-06-30</t>
        </is>
      </c>
    </row>
    <row r="591" hidden="1">
      <c r="A591" s="21" t="n">
        <v>159</v>
      </c>
      <c r="B591" s="5" t="inlineStr">
        <is>
          <t>Nivel de Satisfacción Servicios Prestados</t>
        </is>
      </c>
      <c r="C591" s="5" t="inlineStr">
        <is>
          <t>Editorial y Publicaciones</t>
        </is>
      </c>
      <c r="D591" s="5" t="inlineStr">
        <is>
          <t>Trimestral</t>
        </is>
      </c>
      <c r="E591" s="5" t="inlineStr">
        <is>
          <t>Positivo</t>
        </is>
      </c>
      <c r="F591" s="109" t="n">
        <v>46022</v>
      </c>
      <c r="G591" s="5" t="n">
        <v>2025</v>
      </c>
      <c r="H591" s="5" t="inlineStr">
        <is>
          <t>Diciembre</t>
        </is>
      </c>
      <c r="I591" s="6" t="inlineStr">
        <is>
          <t>2025-2</t>
        </is>
      </c>
      <c r="J591" s="5" t="n">
        <v>80</v>
      </c>
      <c r="K591" s="5" t="n">
        <v>100</v>
      </c>
      <c r="L591" s="14" t="n">
        <v>1.25</v>
      </c>
      <c r="M591" s="14" t="n">
        <v>1.25</v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159-2025-12-31</t>
        </is>
      </c>
    </row>
    <row r="592" hidden="1">
      <c r="A592" s="21" t="n">
        <v>167</v>
      </c>
      <c r="B592" s="5" t="inlineStr">
        <is>
          <t>Satisfacción actividades plan de bienestar</t>
        </is>
      </c>
      <c r="C592" s="5" t="inlineStr">
        <is>
          <t>GESTIÓN Y DESARROLLO DEL TALENTO HUMANO</t>
        </is>
      </c>
      <c r="D592" s="5" t="inlineStr">
        <is>
          <t>Trimestral</t>
        </is>
      </c>
      <c r="E592" s="5" t="inlineStr">
        <is>
          <t>Positivo</t>
        </is>
      </c>
      <c r="F592" s="108" t="n">
        <v>44651</v>
      </c>
      <c r="G592" s="5" t="n">
        <v>2022</v>
      </c>
      <c r="H592" s="5" t="inlineStr">
        <is>
          <t>Marzo</t>
        </is>
      </c>
      <c r="I592" s="6" t="inlineStr">
        <is>
          <t>2022-1</t>
        </is>
      </c>
      <c r="J592" s="5" t="n">
        <v>80</v>
      </c>
      <c r="K592" s="9" t="n">
        <v>0</v>
      </c>
      <c r="L592" s="14" t="n">
        <v>0</v>
      </c>
      <c r="M592" s="14" t="n">
        <v>0</v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1</v>
      </c>
      <c r="R592" s="5" t="inlineStr">
        <is>
          <t>167-2022-03-31</t>
        </is>
      </c>
    </row>
    <row r="593" hidden="1">
      <c r="A593" s="5" t="n">
        <v>167</v>
      </c>
      <c r="B593" s="5" t="inlineStr">
        <is>
          <t>Satisfacción actividades plan de bienestar</t>
        </is>
      </c>
      <c r="C593" s="5" t="inlineStr">
        <is>
          <t>GESTIÓN Y DESARROLLO DEL TALENTO HUMANO</t>
        </is>
      </c>
      <c r="D593" s="5" t="inlineStr">
        <is>
          <t>Trimestral</t>
        </is>
      </c>
      <c r="E593" s="5" t="inlineStr">
        <is>
          <t>Positivo</t>
        </is>
      </c>
      <c r="F593" s="109" t="n">
        <v>44742</v>
      </c>
      <c r="G593" s="5" t="n">
        <v>2022</v>
      </c>
      <c r="H593" s="5" t="inlineStr">
        <is>
          <t>Junio</t>
        </is>
      </c>
      <c r="I593" s="6" t="inlineStr">
        <is>
          <t>2022-1</t>
        </is>
      </c>
      <c r="J593" s="5" t="n">
        <v>80</v>
      </c>
      <c r="K593" s="5" t="n">
        <v>97.64</v>
      </c>
      <c r="L593" s="14" t="n">
        <v>1.2205</v>
      </c>
      <c r="M593" s="14" t="n">
        <v>1.2205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1</v>
      </c>
      <c r="R593" s="5" t="inlineStr">
        <is>
          <t>167-2022-06-30</t>
        </is>
      </c>
    </row>
    <row r="594" hidden="1">
      <c r="A594" s="21" t="n">
        <v>167</v>
      </c>
      <c r="B594" s="5" t="inlineStr">
        <is>
          <t>Satisfacción actividades plan de bienestar</t>
        </is>
      </c>
      <c r="C594" s="5" t="inlineStr">
        <is>
          <t>GESTIÓN Y DESARROLLO DEL TALENTO HUMANO</t>
        </is>
      </c>
      <c r="D594" s="5" t="inlineStr">
        <is>
          <t>Trimestral</t>
        </is>
      </c>
      <c r="E594" s="5" t="inlineStr">
        <is>
          <t>Positivo</t>
        </is>
      </c>
      <c r="F594" s="109" t="n">
        <v>44926</v>
      </c>
      <c r="G594" s="5" t="n">
        <v>2022</v>
      </c>
      <c r="H594" s="5" t="inlineStr">
        <is>
          <t>Diciembre</t>
        </is>
      </c>
      <c r="I594" s="6" t="inlineStr">
        <is>
          <t>2022-2</t>
        </is>
      </c>
      <c r="J594" s="5" t="n">
        <v>80</v>
      </c>
      <c r="K594" s="10" t="n">
        <v>96.55</v>
      </c>
      <c r="L594" s="14" t="n">
        <v>1.206875</v>
      </c>
      <c r="M594" s="14" t="n">
        <v>1.206875</v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1</v>
      </c>
      <c r="R594" s="5" t="inlineStr">
        <is>
          <t>167-2022-12-31</t>
        </is>
      </c>
    </row>
    <row r="595" hidden="1">
      <c r="A595" s="21" t="n">
        <v>167</v>
      </c>
      <c r="B595" s="5" t="inlineStr">
        <is>
          <t>Satisfacción actividades plan de bienestar</t>
        </is>
      </c>
      <c r="C595" s="5" t="inlineStr">
        <is>
          <t>GESTIÓN Y DESARROLLO DEL TALENTO HUMANO</t>
        </is>
      </c>
      <c r="D595" s="5" t="inlineStr">
        <is>
          <t>Semestral</t>
        </is>
      </c>
      <c r="E595" s="5" t="inlineStr">
        <is>
          <t>Positivo</t>
        </is>
      </c>
      <c r="F595" s="108" t="n">
        <v>45107</v>
      </c>
      <c r="G595" s="5" t="n">
        <v>2023</v>
      </c>
      <c r="H595" s="5" t="inlineStr">
        <is>
          <t>Junio</t>
        </is>
      </c>
      <c r="I595" s="6" t="inlineStr">
        <is>
          <t>2023-1</t>
        </is>
      </c>
      <c r="J595" s="5" t="n">
        <v>80</v>
      </c>
      <c r="K595" s="9" t="n">
        <v>97.7</v>
      </c>
      <c r="L595" s="14" t="n">
        <v>1.22125</v>
      </c>
      <c r="M595" s="14" t="n">
        <v>1.22125</v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1</v>
      </c>
      <c r="R595" s="5" t="inlineStr">
        <is>
          <t>167-2023-06-30</t>
        </is>
      </c>
    </row>
    <row r="596" hidden="1">
      <c r="A596" s="5" t="n">
        <v>167</v>
      </c>
      <c r="B596" s="5" t="inlineStr">
        <is>
          <t>Satisfacción actividades plan de bienestar</t>
        </is>
      </c>
      <c r="C596" s="5" t="inlineStr">
        <is>
          <t>GESTIÓN Y DESARROLLO DEL TALENTO HUMANO</t>
        </is>
      </c>
      <c r="D596" s="5" t="inlineStr">
        <is>
          <t>Semestral</t>
        </is>
      </c>
      <c r="E596" s="5" t="inlineStr">
        <is>
          <t>Positivo</t>
        </is>
      </c>
      <c r="F596" s="109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80</v>
      </c>
      <c r="K596" s="5" t="n">
        <v>96.15000000000001</v>
      </c>
      <c r="L596" s="14" t="n">
        <v>1.201875</v>
      </c>
      <c r="M596" s="14" t="n">
        <v>1.201875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1</v>
      </c>
      <c r="R596" s="5" t="inlineStr">
        <is>
          <t>167-2023-12-31</t>
        </is>
      </c>
    </row>
    <row r="597" hidden="1">
      <c r="A597" s="21" t="n">
        <v>167</v>
      </c>
      <c r="B597" s="5" t="inlineStr">
        <is>
          <t>Satisfacción actividades plan de bienestar</t>
        </is>
      </c>
      <c r="C597" s="5" t="inlineStr">
        <is>
          <t>GESTIÓN Y DESARROLLO DEL TALENTO HUMANO</t>
        </is>
      </c>
      <c r="D597" s="5" t="inlineStr">
        <is>
          <t>Semestral</t>
        </is>
      </c>
      <c r="E597" s="5" t="inlineStr">
        <is>
          <t>Positivo</t>
        </is>
      </c>
      <c r="F597" s="109" t="n">
        <v>45473</v>
      </c>
      <c r="G597" s="5" t="n">
        <v>2024</v>
      </c>
      <c r="H597" s="5" t="inlineStr">
        <is>
          <t>Junio</t>
        </is>
      </c>
      <c r="I597" s="6" t="inlineStr">
        <is>
          <t>2024-1</t>
        </is>
      </c>
      <c r="J597" s="5" t="n">
        <v>85</v>
      </c>
      <c r="K597" s="10" t="n">
        <v>96.86</v>
      </c>
      <c r="L597" s="14" t="n">
        <v>1.139529411764706</v>
      </c>
      <c r="M597" s="14" t="n">
        <v>1.139529411764706</v>
      </c>
      <c r="N597" s="5" t="inlineStr">
        <is>
          <t>%</t>
        </is>
      </c>
      <c r="O597" s="5" t="inlineStr">
        <is>
          <t>%</t>
        </is>
      </c>
      <c r="P597" s="15" t="n">
        <v>0</v>
      </c>
      <c r="Q597" s="15" t="n">
        <v>1</v>
      </c>
      <c r="R597" s="5" t="inlineStr">
        <is>
          <t>167-2024-06-30</t>
        </is>
      </c>
    </row>
    <row r="598" hidden="1">
      <c r="A598" s="21" t="n">
        <v>167</v>
      </c>
      <c r="B598" s="5" t="inlineStr">
        <is>
          <t>Satisfacción actividades plan de bienestar</t>
        </is>
      </c>
      <c r="C598" s="5" t="inlineStr">
        <is>
          <t>GESTIÓN Y DESARROLLO DEL TALENTO HUMANO</t>
        </is>
      </c>
      <c r="D598" s="5" t="inlineStr">
        <is>
          <t>Semestral</t>
        </is>
      </c>
      <c r="E598" s="5" t="inlineStr">
        <is>
          <t>Positivo</t>
        </is>
      </c>
      <c r="F598" s="108" t="n">
        <v>45657</v>
      </c>
      <c r="G598" s="5" t="n">
        <v>2024</v>
      </c>
      <c r="H598" s="5" t="inlineStr">
        <is>
          <t>Diciembre</t>
        </is>
      </c>
      <c r="I598" s="6" t="inlineStr">
        <is>
          <t>2024-2</t>
        </is>
      </c>
      <c r="J598" s="5" t="n">
        <v>85</v>
      </c>
      <c r="K598" s="9" t="n">
        <v>96.8</v>
      </c>
      <c r="L598" s="14" t="n">
        <v>1.138823529411765</v>
      </c>
      <c r="M598" s="14" t="n">
        <v>1.138823529411765</v>
      </c>
      <c r="N598" s="5" t="inlineStr">
        <is>
          <t>%</t>
        </is>
      </c>
      <c r="O598" s="5" t="inlineStr">
        <is>
          <t>%</t>
        </is>
      </c>
      <c r="P598" s="15" t="n">
        <v>0</v>
      </c>
      <c r="Q598" s="15" t="n">
        <v>1</v>
      </c>
      <c r="R598" s="5" t="inlineStr">
        <is>
          <t>167-2024-12-31</t>
        </is>
      </c>
    </row>
    <row r="599" hidden="1">
      <c r="A599" s="5" t="n">
        <v>167</v>
      </c>
      <c r="B599" s="5" t="inlineStr">
        <is>
          <t>Satisfacción actividades plan de bienestar</t>
        </is>
      </c>
      <c r="C599" s="5" t="inlineStr">
        <is>
          <t>GESTIÓN Y DESARROLLO DEL TALENTO HUMANO</t>
        </is>
      </c>
      <c r="D599" s="5" t="inlineStr">
        <is>
          <t>Semestral</t>
        </is>
      </c>
      <c r="E599" s="5" t="inlineStr">
        <is>
          <t>Positivo</t>
        </is>
      </c>
      <c r="F599" s="109" t="n">
        <v>45838</v>
      </c>
      <c r="G599" s="5" t="n">
        <v>2025</v>
      </c>
      <c r="H599" s="5" t="inlineStr">
        <is>
          <t>Junio</t>
        </is>
      </c>
      <c r="I599" s="6" t="inlineStr">
        <is>
          <t>2025-1</t>
        </is>
      </c>
      <c r="J599" s="5" t="n">
        <v>90</v>
      </c>
      <c r="K599" s="5" t="n">
        <v>93.63</v>
      </c>
      <c r="L599" s="14" t="n">
        <v>1.040333333333333</v>
      </c>
      <c r="M599" s="14" t="n">
        <v>1.040333333333333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1</v>
      </c>
      <c r="R599" s="5" t="inlineStr">
        <is>
          <t>167-2025-06-30</t>
        </is>
      </c>
    </row>
    <row r="600" hidden="1">
      <c r="A600" s="21" t="n">
        <v>167</v>
      </c>
      <c r="B600" s="5" t="inlineStr">
        <is>
          <t>Satisfacción actividades plan de bienestar</t>
        </is>
      </c>
      <c r="C600" s="5" t="inlineStr">
        <is>
          <t>GESTIÓN Y DESARROLLO DEL TALENTO HUMANO</t>
        </is>
      </c>
      <c r="D600" s="5" t="inlineStr">
        <is>
          <t>Trimestral</t>
        </is>
      </c>
      <c r="E600" s="5" t="inlineStr">
        <is>
          <t>Positivo</t>
        </is>
      </c>
      <c r="F600" s="109" t="n">
        <v>46022</v>
      </c>
      <c r="G600" s="5" t="n">
        <v>2025</v>
      </c>
      <c r="H600" s="5" t="inlineStr">
        <is>
          <t>Diciembre</t>
        </is>
      </c>
      <c r="I600" s="6" t="inlineStr">
        <is>
          <t>2025-2</t>
        </is>
      </c>
      <c r="J600" s="5" t="n">
        <v>90</v>
      </c>
      <c r="K600" s="10" t="n">
        <v>94</v>
      </c>
      <c r="L600" s="14" t="n">
        <v>1.044444444444445</v>
      </c>
      <c r="M600" s="14" t="n">
        <v>1.044444444444445</v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1</v>
      </c>
      <c r="R600" s="5" t="inlineStr">
        <is>
          <t>167-2025-12-31</t>
        </is>
      </c>
    </row>
    <row r="601" hidden="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9" t="n">
        <v>44592</v>
      </c>
      <c r="G601" s="5" t="n">
        <v>2022</v>
      </c>
      <c r="H601" s="5" t="inlineStr">
        <is>
          <t>Enero</t>
        </is>
      </c>
      <c r="I601" s="6" t="inlineStr">
        <is>
          <t>2022-1</t>
        </is>
      </c>
      <c r="J601" s="5" t="n">
        <v>90</v>
      </c>
      <c r="K601" s="9" t="n">
        <v>0</v>
      </c>
      <c r="L601" s="14" t="n">
        <v>0</v>
      </c>
      <c r="M601" s="14" t="n">
        <v>0</v>
      </c>
      <c r="N601" s="5" t="inlineStr">
        <is>
          <t>%</t>
        </is>
      </c>
      <c r="O601" s="5" t="inlineStr">
        <is>
          <t>%</t>
        </is>
      </c>
      <c r="P601" s="15" t="n">
        <v>0</v>
      </c>
      <c r="Q601" s="15" t="n">
        <v>0</v>
      </c>
      <c r="R601" s="5" t="inlineStr">
        <is>
          <t>172-2022-01-31</t>
        </is>
      </c>
    </row>
    <row r="602" hidden="1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9" t="n">
        <v>44620</v>
      </c>
      <c r="G602" s="5" t="n">
        <v>2022</v>
      </c>
      <c r="H602" s="5" t="inlineStr">
        <is>
          <t>Febrero</t>
        </is>
      </c>
      <c r="I602" s="6" t="inlineStr">
        <is>
          <t>2022-1</t>
        </is>
      </c>
      <c r="J602" s="5" t="n">
        <v>90</v>
      </c>
      <c r="K602" s="9" t="n">
        <v>0</v>
      </c>
      <c r="L602" s="14" t="n">
        <v>0</v>
      </c>
      <c r="M602" s="14" t="n">
        <v>0</v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172-2022-02-28</t>
        </is>
      </c>
    </row>
    <row r="603" hidden="1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9" t="n">
        <v>44651</v>
      </c>
      <c r="G603" s="5" t="n">
        <v>2022</v>
      </c>
      <c r="H603" s="5" t="inlineStr">
        <is>
          <t>Marzo</t>
        </is>
      </c>
      <c r="I603" s="6" t="inlineStr">
        <is>
          <t>2022-1</t>
        </is>
      </c>
      <c r="J603" s="5" t="n">
        <v>90</v>
      </c>
      <c r="K603" s="10" t="n">
        <v>0</v>
      </c>
      <c r="L603" s="14" t="n">
        <v>0</v>
      </c>
      <c r="M603" s="14" t="n">
        <v>0</v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172-2022-03-31</t>
        </is>
      </c>
    </row>
    <row r="604" hidden="1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9" t="n">
        <v>44681</v>
      </c>
      <c r="G604" s="5" t="n">
        <v>2022</v>
      </c>
      <c r="H604" s="5" t="inlineStr">
        <is>
          <t>Abril</t>
        </is>
      </c>
      <c r="I604" s="6" t="inlineStr">
        <is>
          <t>2022-1</t>
        </is>
      </c>
      <c r="J604" s="5" t="n">
        <v>90</v>
      </c>
      <c r="K604" s="5" t="n">
        <v>0</v>
      </c>
      <c r="L604" s="14" t="n">
        <v>0</v>
      </c>
      <c r="M604" s="14" t="n">
        <v>0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172-2022-04-30</t>
        </is>
      </c>
    </row>
    <row r="605" hidden="1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9" t="n">
        <v>44712</v>
      </c>
      <c r="G605" s="5" t="n">
        <v>2022</v>
      </c>
      <c r="H605" s="5" t="inlineStr">
        <is>
          <t>Mayo</t>
        </is>
      </c>
      <c r="I605" s="6" t="inlineStr">
        <is>
          <t>2022-1</t>
        </is>
      </c>
      <c r="J605" s="5" t="n">
        <v>90</v>
      </c>
      <c r="K605" s="10" t="n">
        <v>0</v>
      </c>
      <c r="L605" s="14" t="n">
        <v>0</v>
      </c>
      <c r="M605" s="14" t="n">
        <v>0</v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172-2022-05-31</t>
        </is>
      </c>
    </row>
    <row r="606" hidden="1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9" t="n">
        <v>44742</v>
      </c>
      <c r="G606" s="5" t="n">
        <v>2022</v>
      </c>
      <c r="H606" s="5" t="inlineStr">
        <is>
          <t>Junio</t>
        </is>
      </c>
      <c r="I606" s="6" t="inlineStr">
        <is>
          <t>2022-1</t>
        </is>
      </c>
      <c r="J606" s="5" t="n">
        <v>90</v>
      </c>
      <c r="K606" s="9" t="n">
        <v>95.238095238095</v>
      </c>
      <c r="L606" s="14" t="n">
        <v>1.058201058201055</v>
      </c>
      <c r="M606" s="14" t="n">
        <v>1.058201058201055</v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172-2022-06-30</t>
        </is>
      </c>
    </row>
    <row r="607" hidden="1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9" t="n">
        <v>44773</v>
      </c>
      <c r="G607" s="5" t="n">
        <v>2022</v>
      </c>
      <c r="H607" s="5" t="inlineStr">
        <is>
          <t>Julio</t>
        </is>
      </c>
      <c r="I607" s="6" t="inlineStr">
        <is>
          <t>2022-2</t>
        </is>
      </c>
      <c r="J607" s="5" t="n">
        <v>90</v>
      </c>
      <c r="K607" s="9" t="n">
        <v>95.652173913043</v>
      </c>
      <c r="L607" s="14" t="n">
        <v>1.062801932367144</v>
      </c>
      <c r="M607" s="14" t="n">
        <v>1.062801932367144</v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172-2022-07-31</t>
        </is>
      </c>
    </row>
    <row r="608" hidden="1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9" t="n">
        <v>44804</v>
      </c>
      <c r="G608" s="5" t="n">
        <v>2022</v>
      </c>
      <c r="H608" s="5" t="inlineStr">
        <is>
          <t>Agosto</t>
        </is>
      </c>
      <c r="I608" s="6" t="inlineStr">
        <is>
          <t>2022-2</t>
        </is>
      </c>
      <c r="J608" s="5" t="n">
        <v>90</v>
      </c>
      <c r="K608" s="10" t="n">
        <v>100</v>
      </c>
      <c r="L608" s="14" t="n">
        <v>1.111111111111111</v>
      </c>
      <c r="M608" s="14" t="n">
        <v>1.111111111111111</v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172-2022-08-31</t>
        </is>
      </c>
    </row>
    <row r="609" hidden="1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9" t="n">
        <v>44834</v>
      </c>
      <c r="G609" s="5" t="n">
        <v>2022</v>
      </c>
      <c r="H609" s="5" t="inlineStr">
        <is>
          <t>Septiembre</t>
        </is>
      </c>
      <c r="I609" s="6" t="inlineStr">
        <is>
          <t>2022-2</t>
        </is>
      </c>
      <c r="J609" s="5" t="n">
        <v>90</v>
      </c>
      <c r="K609" s="5" t="n">
        <v>100</v>
      </c>
      <c r="L609" s="14" t="n">
        <v>1.111111111111111</v>
      </c>
      <c r="M609" s="14" t="n">
        <v>1.111111111111111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172-2022-09-30</t>
        </is>
      </c>
    </row>
    <row r="610" hidden="1">
      <c r="A610" s="21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9" t="n">
        <v>44865</v>
      </c>
      <c r="G610" s="5" t="n">
        <v>2022</v>
      </c>
      <c r="H610" s="5" t="inlineStr">
        <is>
          <t>Octubre</t>
        </is>
      </c>
      <c r="I610" s="6" t="inlineStr">
        <is>
          <t>2022-2</t>
        </is>
      </c>
      <c r="J610" s="5" t="n">
        <v>90</v>
      </c>
      <c r="K610" s="10" t="n">
        <v>96.385542168675</v>
      </c>
      <c r="L610" s="14" t="n">
        <v>1.070950468540833</v>
      </c>
      <c r="M610" s="14" t="n">
        <v>1.070950468540833</v>
      </c>
      <c r="N610" s="5" t="inlineStr">
        <is>
          <t>%</t>
        </is>
      </c>
      <c r="O610" s="5" t="inlineStr">
        <is>
          <t>%</t>
        </is>
      </c>
      <c r="P610" s="15" t="n">
        <v>0</v>
      </c>
      <c r="Q610" s="15" t="n">
        <v>0</v>
      </c>
      <c r="R610" s="5" t="inlineStr">
        <is>
          <t>172-2022-10-31</t>
        </is>
      </c>
    </row>
    <row r="611" hidden="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9" t="n">
        <v>44895</v>
      </c>
      <c r="G611" s="5" t="n">
        <v>2022</v>
      </c>
      <c r="H611" s="5" t="inlineStr">
        <is>
          <t>Noviembre</t>
        </is>
      </c>
      <c r="I611" s="6" t="inlineStr">
        <is>
          <t>2022-2</t>
        </is>
      </c>
      <c r="J611" s="5" t="n">
        <v>90</v>
      </c>
      <c r="K611" s="9" t="n">
        <v>100</v>
      </c>
      <c r="L611" s="14" t="n">
        <v>1.111111111111111</v>
      </c>
      <c r="M611" s="14" t="n">
        <v>1.111111111111111</v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172-2022-11-30</t>
        </is>
      </c>
    </row>
    <row r="612" hidden="1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9" t="n">
        <v>44926</v>
      </c>
      <c r="G612" s="5" t="n">
        <v>2022</v>
      </c>
      <c r="H612" s="5" t="inlineStr">
        <is>
          <t>Diciembre</t>
        </is>
      </c>
      <c r="I612" s="6" t="inlineStr">
        <is>
          <t>2022-2</t>
        </is>
      </c>
      <c r="J612" s="5" t="n">
        <v>90</v>
      </c>
      <c r="K612" s="9" t="n">
        <v>100</v>
      </c>
      <c r="L612" s="14" t="n">
        <v>1.111111111111111</v>
      </c>
      <c r="M612" s="14" t="n">
        <v>1.111111111111111</v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172-2022-12-31</t>
        </is>
      </c>
    </row>
    <row r="613" hidden="1">
      <c r="A613" s="28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9" t="n">
        <v>44957</v>
      </c>
      <c r="G613" s="5" t="n">
        <v>2023</v>
      </c>
      <c r="H613" s="5" t="inlineStr">
        <is>
          <t>Enero</t>
        </is>
      </c>
      <c r="I613" s="6" t="inlineStr">
        <is>
          <t>2023-1</t>
        </is>
      </c>
      <c r="J613" s="5" t="n">
        <v>95</v>
      </c>
      <c r="K613" s="9" t="n">
        <v>0</v>
      </c>
      <c r="L613" s="14" t="n">
        <v>0</v>
      </c>
      <c r="M613" s="14" t="n">
        <v>0</v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172-2023-01-31</t>
        </is>
      </c>
    </row>
    <row r="614" hidden="1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9" t="n">
        <v>45016</v>
      </c>
      <c r="G614" s="5" t="n">
        <v>2023</v>
      </c>
      <c r="H614" s="5" t="inlineStr">
        <is>
          <t>Marzo</t>
        </is>
      </c>
      <c r="I614" s="6" t="inlineStr">
        <is>
          <t>2023-1</t>
        </is>
      </c>
      <c r="J614" s="5" t="n">
        <v>95</v>
      </c>
      <c r="K614" s="10" t="n">
        <v>100</v>
      </c>
      <c r="L614" s="14" t="n">
        <v>1.052631578947368</v>
      </c>
      <c r="M614" s="14" t="n">
        <v>1.052631578947368</v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172-2023-03-31</t>
        </is>
      </c>
    </row>
    <row r="615" hidden="1">
      <c r="A615" s="21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9" t="n">
        <v>45046</v>
      </c>
      <c r="G615" s="5" t="n">
        <v>2023</v>
      </c>
      <c r="H615" s="5" t="inlineStr">
        <is>
          <t>Abril</t>
        </is>
      </c>
      <c r="I615" s="6" t="inlineStr">
        <is>
          <t>2023-1</t>
        </is>
      </c>
      <c r="J615" s="5" t="n">
        <v>95</v>
      </c>
      <c r="K615" s="10" t="n">
        <v>85.71428571428601</v>
      </c>
      <c r="L615" s="14" t="n">
        <v>0.9022556390977474</v>
      </c>
      <c r="M615" s="14" t="n">
        <v>0.9022556390977474</v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172-2023-04-30</t>
        </is>
      </c>
    </row>
    <row r="616" hidden="1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9" t="n">
        <v>45077</v>
      </c>
      <c r="G616" s="5" t="n">
        <v>2023</v>
      </c>
      <c r="H616" s="5" t="inlineStr">
        <is>
          <t>Mayo</t>
        </is>
      </c>
      <c r="I616" s="6" t="inlineStr">
        <is>
          <t>2023-1</t>
        </is>
      </c>
      <c r="J616" s="5" t="n">
        <v>95</v>
      </c>
      <c r="K616" s="10" t="n">
        <v>93.333333333333</v>
      </c>
      <c r="L616" s="14" t="n">
        <v>0.9824561403508737</v>
      </c>
      <c r="M616" s="14" t="n">
        <v>0.9824561403508737</v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172-2023-05-31</t>
        </is>
      </c>
    </row>
    <row r="617" hidden="1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9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95</v>
      </c>
      <c r="K617" s="9" t="n">
        <v>91.666666666667</v>
      </c>
      <c r="L617" s="14" t="n">
        <v>0.9649122807017578</v>
      </c>
      <c r="M617" s="14" t="n">
        <v>0.9649122807017578</v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172-2023-06-30</t>
        </is>
      </c>
    </row>
    <row r="618" hidden="1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8" t="n">
        <v>45138</v>
      </c>
      <c r="G618" s="5" t="n">
        <v>2023</v>
      </c>
      <c r="H618" s="5" t="inlineStr">
        <is>
          <t>Julio</t>
        </is>
      </c>
      <c r="I618" s="6" t="inlineStr">
        <is>
          <t>2023-2</t>
        </is>
      </c>
      <c r="J618" s="5" t="n">
        <v>95</v>
      </c>
      <c r="K618" s="9" t="n">
        <v>95</v>
      </c>
      <c r="L618" s="14" t="n">
        <v>1</v>
      </c>
      <c r="M618" s="14" t="n">
        <v>1</v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172-2023-07-31</t>
        </is>
      </c>
    </row>
    <row r="619" hidden="1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9" t="n">
        <v>45169</v>
      </c>
      <c r="G619" s="5" t="n">
        <v>2023</v>
      </c>
      <c r="H619" s="5" t="inlineStr">
        <is>
          <t>Agosto</t>
        </is>
      </c>
      <c r="I619" s="6" t="inlineStr">
        <is>
          <t>2023-2</t>
        </is>
      </c>
      <c r="J619" s="5" t="n">
        <v>95</v>
      </c>
      <c r="K619" s="9" t="n">
        <v>91.67</v>
      </c>
      <c r="L619" s="14" t="n">
        <v>0.9649473684210527</v>
      </c>
      <c r="M619" s="14" t="n">
        <v>0.9649473684210527</v>
      </c>
      <c r="N619" s="5" t="inlineStr">
        <is>
          <t>%</t>
        </is>
      </c>
      <c r="O619" s="11" t="inlineStr">
        <is>
          <t>%</t>
        </is>
      </c>
      <c r="P619" s="15" t="n">
        <v>0</v>
      </c>
      <c r="Q619" s="15" t="n">
        <v>0</v>
      </c>
      <c r="R619" s="5" t="inlineStr">
        <is>
          <t>172-2023-08-31</t>
        </is>
      </c>
    </row>
    <row r="620" hidden="1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9" t="n">
        <v>45199</v>
      </c>
      <c r="G620" s="5" t="n">
        <v>2023</v>
      </c>
      <c r="H620" s="5" t="inlineStr">
        <is>
          <t>Septiembre</t>
        </is>
      </c>
      <c r="I620" s="6" t="inlineStr">
        <is>
          <t>2023-2</t>
        </is>
      </c>
      <c r="J620" s="5" t="n">
        <v>95</v>
      </c>
      <c r="K620" s="9" t="n">
        <v>96.67</v>
      </c>
      <c r="L620" s="14" t="n">
        <v>1.017578947368421</v>
      </c>
      <c r="M620" s="14" t="n">
        <v>1.017578947368421</v>
      </c>
      <c r="N620" s="5" t="inlineStr">
        <is>
          <t>%</t>
        </is>
      </c>
      <c r="O620" s="11" t="inlineStr">
        <is>
          <t>%</t>
        </is>
      </c>
      <c r="P620" s="15" t="n">
        <v>0</v>
      </c>
      <c r="Q620" s="15" t="n">
        <v>0</v>
      </c>
      <c r="R620" s="5" t="inlineStr">
        <is>
          <t>172-2023-09-30</t>
        </is>
      </c>
    </row>
    <row r="621" hidden="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09" t="n">
        <v>45230</v>
      </c>
      <c r="G621" s="5" t="n">
        <v>2023</v>
      </c>
      <c r="H621" s="5" t="inlineStr">
        <is>
          <t>Octubre</t>
        </is>
      </c>
      <c r="I621" s="6" t="inlineStr">
        <is>
          <t>2023-2</t>
        </is>
      </c>
      <c r="J621" s="5" t="n">
        <v>95</v>
      </c>
      <c r="K621" s="9" t="n">
        <v>93.18000000000001</v>
      </c>
      <c r="L621" s="14" t="n">
        <v>0.980842105263158</v>
      </c>
      <c r="M621" s="14" t="n">
        <v>0.980842105263158</v>
      </c>
      <c r="N621" s="5" t="inlineStr">
        <is>
          <t>%</t>
        </is>
      </c>
      <c r="O621" s="11" t="inlineStr">
        <is>
          <t>%</t>
        </is>
      </c>
      <c r="P621" s="15" t="n">
        <v>0</v>
      </c>
      <c r="Q621" s="15" t="n">
        <v>0</v>
      </c>
      <c r="R621" s="5" t="inlineStr">
        <is>
          <t>172-2023-10-31</t>
        </is>
      </c>
    </row>
    <row r="622" hidden="1">
      <c r="A622" s="21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09" t="n">
        <v>45260</v>
      </c>
      <c r="G622" s="5" t="n">
        <v>2023</v>
      </c>
      <c r="H622" s="5" t="inlineStr">
        <is>
          <t>Noviembre</t>
        </is>
      </c>
      <c r="I622" s="6" t="inlineStr">
        <is>
          <t>2023-2</t>
        </is>
      </c>
      <c r="J622" s="5" t="n">
        <v>95</v>
      </c>
      <c r="K622" s="9" t="n">
        <v>97.92</v>
      </c>
      <c r="L622" s="14" t="n">
        <v>1.030736842105263</v>
      </c>
      <c r="M622" s="14" t="n">
        <v>1.030736842105263</v>
      </c>
      <c r="N622" s="5" t="inlineStr">
        <is>
          <t>%</t>
        </is>
      </c>
      <c r="O622" s="11" t="inlineStr">
        <is>
          <t>%</t>
        </is>
      </c>
      <c r="P622" s="15" t="n">
        <v>0</v>
      </c>
      <c r="Q622" s="15" t="n">
        <v>0</v>
      </c>
      <c r="R622" s="5" t="inlineStr">
        <is>
          <t>172-2023-11-30</t>
        </is>
      </c>
    </row>
    <row r="623" hidden="1">
      <c r="A623" s="21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09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9" t="n">
        <v>100</v>
      </c>
      <c r="L623" s="14" t="n">
        <v>1.052631578947368</v>
      </c>
      <c r="M623" s="14" t="n">
        <v>1.052631578947368</v>
      </c>
      <c r="N623" s="5" t="inlineStr">
        <is>
          <t>%</t>
        </is>
      </c>
      <c r="O623" s="11" t="inlineStr">
        <is>
          <t>%</t>
        </is>
      </c>
      <c r="P623" s="15" t="n">
        <v>0</v>
      </c>
      <c r="Q623" s="15" t="n">
        <v>0</v>
      </c>
      <c r="R623" s="5" t="inlineStr">
        <is>
          <t>172-2023-12-31</t>
        </is>
      </c>
    </row>
    <row r="624" hidden="1">
      <c r="A624" s="26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9" t="n">
        <v>45322</v>
      </c>
      <c r="G624" s="5" t="n">
        <v>2024</v>
      </c>
      <c r="H624" s="5" t="inlineStr">
        <is>
          <t>Enero</t>
        </is>
      </c>
      <c r="I624" s="6" t="inlineStr">
        <is>
          <t>2024-1</t>
        </is>
      </c>
      <c r="J624" s="5" t="n">
        <v>95</v>
      </c>
      <c r="K624" s="9" t="n">
        <v>0</v>
      </c>
      <c r="L624" s="14" t="n">
        <v>0</v>
      </c>
      <c r="M624" s="14" t="n">
        <v>0</v>
      </c>
      <c r="N624" s="5" t="inlineStr">
        <is>
          <t>%</t>
        </is>
      </c>
      <c r="O624" s="11" t="inlineStr">
        <is>
          <t>%</t>
        </is>
      </c>
      <c r="P624" s="15" t="n">
        <v>0</v>
      </c>
      <c r="Q624" s="15" t="n">
        <v>0</v>
      </c>
      <c r="R624" s="5" t="inlineStr">
        <is>
          <t>172-2024-01-31</t>
        </is>
      </c>
    </row>
    <row r="625" hidden="1">
      <c r="A625" s="26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9" t="n">
        <v>45351</v>
      </c>
      <c r="G625" s="5" t="n">
        <v>2024</v>
      </c>
      <c r="H625" s="5" t="inlineStr">
        <is>
          <t>Febrero</t>
        </is>
      </c>
      <c r="I625" s="6" t="inlineStr">
        <is>
          <t>2024-1</t>
        </is>
      </c>
      <c r="J625" s="5" t="n">
        <v>95</v>
      </c>
      <c r="K625" s="9" t="n">
        <v>0</v>
      </c>
      <c r="L625" s="14" t="n">
        <v>0</v>
      </c>
      <c r="M625" s="14" t="n">
        <v>0</v>
      </c>
      <c r="N625" s="5" t="inlineStr">
        <is>
          <t>%</t>
        </is>
      </c>
      <c r="O625" s="11" t="inlineStr">
        <is>
          <t>%</t>
        </is>
      </c>
      <c r="P625" s="15" t="n">
        <v>0</v>
      </c>
      <c r="Q625" s="15" t="n">
        <v>0</v>
      </c>
      <c r="R625" s="5" t="inlineStr">
        <is>
          <t>172-2024-02-29</t>
        </is>
      </c>
    </row>
    <row r="626" hidden="1">
      <c r="A626" s="26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9" t="n">
        <v>45382</v>
      </c>
      <c r="G626" s="5" t="n">
        <v>2024</v>
      </c>
      <c r="H626" s="5" t="inlineStr">
        <is>
          <t>Marzo</t>
        </is>
      </c>
      <c r="I626" s="6" t="inlineStr">
        <is>
          <t>2024-1</t>
        </is>
      </c>
      <c r="J626" s="5" t="n">
        <v>95</v>
      </c>
      <c r="K626" s="9" t="n">
        <v>0</v>
      </c>
      <c r="L626" s="14" t="n">
        <v>0</v>
      </c>
      <c r="M626" s="14" t="n">
        <v>0</v>
      </c>
      <c r="N626" s="5" t="inlineStr">
        <is>
          <t>%</t>
        </is>
      </c>
      <c r="O626" s="11" t="inlineStr">
        <is>
          <t>%</t>
        </is>
      </c>
      <c r="P626" s="15" t="n">
        <v>0</v>
      </c>
      <c r="Q626" s="15" t="n">
        <v>0</v>
      </c>
      <c r="R626" s="5" t="inlineStr">
        <is>
          <t>172-2024-03-31</t>
        </is>
      </c>
    </row>
    <row r="627" hidden="1">
      <c r="A627" s="21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9" t="n">
        <v>45412</v>
      </c>
      <c r="G627" s="5" t="n">
        <v>2024</v>
      </c>
      <c r="H627" s="5" t="inlineStr">
        <is>
          <t>Abril</t>
        </is>
      </c>
      <c r="I627" s="6" t="inlineStr">
        <is>
          <t>2024-1</t>
        </is>
      </c>
      <c r="J627" s="5" t="n">
        <v>95</v>
      </c>
      <c r="K627" s="9" t="n">
        <v>90</v>
      </c>
      <c r="L627" s="14" t="n">
        <v>0.9473684210526315</v>
      </c>
      <c r="M627" s="14" t="n">
        <v>0.9473684210526315</v>
      </c>
      <c r="N627" s="5" t="inlineStr">
        <is>
          <t>%</t>
        </is>
      </c>
      <c r="O627" s="11" t="inlineStr">
        <is>
          <t>%</t>
        </is>
      </c>
      <c r="P627" s="15" t="n">
        <v>0</v>
      </c>
      <c r="Q627" s="15" t="n">
        <v>0</v>
      </c>
      <c r="R627" s="5" t="inlineStr">
        <is>
          <t>172-2024-04-30</t>
        </is>
      </c>
    </row>
    <row r="628" hidden="1">
      <c r="A628" s="21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9" t="n">
        <v>45443</v>
      </c>
      <c r="G628" s="5" t="n">
        <v>2024</v>
      </c>
      <c r="H628" s="5" t="inlineStr">
        <is>
          <t>Mayo</t>
        </is>
      </c>
      <c r="I628" s="6" t="inlineStr">
        <is>
          <t>2024-1</t>
        </is>
      </c>
      <c r="J628" s="5" t="n">
        <v>95</v>
      </c>
      <c r="K628" s="10" t="n">
        <v>83.33333333333334</v>
      </c>
      <c r="L628" s="14" t="n">
        <v>0.8771929824561404</v>
      </c>
      <c r="M628" s="14" t="n">
        <v>0.8771929824561404</v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172-2024-05-31</t>
        </is>
      </c>
    </row>
    <row r="629" hidden="1">
      <c r="A629" s="21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9" t="n">
        <v>45473</v>
      </c>
      <c r="G629" s="5" t="n">
        <v>2024</v>
      </c>
      <c r="H629" s="5" t="inlineStr">
        <is>
          <t>Junio</t>
        </is>
      </c>
      <c r="I629" s="6" t="inlineStr">
        <is>
          <t>2024-1</t>
        </is>
      </c>
      <c r="J629" s="5" t="n">
        <v>95</v>
      </c>
      <c r="K629" s="9" t="n">
        <v>87.5</v>
      </c>
      <c r="L629" s="14" t="n">
        <v>0.9210526315789473</v>
      </c>
      <c r="M629" s="14" t="n">
        <v>0.9210526315789473</v>
      </c>
      <c r="N629" s="5" t="inlineStr">
        <is>
          <t>%</t>
        </is>
      </c>
      <c r="O629" s="11" t="inlineStr">
        <is>
          <t>%</t>
        </is>
      </c>
      <c r="P629" s="15" t="n">
        <v>0</v>
      </c>
      <c r="Q629" s="15" t="n">
        <v>0</v>
      </c>
      <c r="R629" s="5" t="inlineStr">
        <is>
          <t>172-2024-06-30</t>
        </is>
      </c>
    </row>
    <row r="630" hidden="1">
      <c r="A630" s="21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9" t="n">
        <v>45504</v>
      </c>
      <c r="G630" s="5" t="n">
        <v>2024</v>
      </c>
      <c r="H630" s="5" t="inlineStr">
        <is>
          <t>Julio</t>
        </is>
      </c>
      <c r="I630" s="6" t="inlineStr">
        <is>
          <t>2024-2</t>
        </is>
      </c>
      <c r="J630" s="5" t="n">
        <v>95</v>
      </c>
      <c r="K630" s="9" t="n">
        <v>90.90909090909091</v>
      </c>
      <c r="L630" s="14" t="n">
        <v>0.9569377990430622</v>
      </c>
      <c r="M630" s="14" t="n">
        <v>0.9569377990430622</v>
      </c>
      <c r="N630" s="5" t="inlineStr">
        <is>
          <t>%</t>
        </is>
      </c>
      <c r="O630" s="11" t="inlineStr">
        <is>
          <t>%</t>
        </is>
      </c>
      <c r="P630" s="15" t="n">
        <v>0</v>
      </c>
      <c r="Q630" s="15" t="n">
        <v>0</v>
      </c>
      <c r="R630" s="5" t="inlineStr">
        <is>
          <t>172-2024-07-31</t>
        </is>
      </c>
    </row>
    <row r="631" hidden="1">
      <c r="A631" s="21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9" t="n">
        <v>45535</v>
      </c>
      <c r="G631" s="5" t="n">
        <v>2024</v>
      </c>
      <c r="H631" s="5" t="inlineStr">
        <is>
          <t>Agosto</t>
        </is>
      </c>
      <c r="I631" s="6" t="inlineStr">
        <is>
          <t>2024-2</t>
        </is>
      </c>
      <c r="J631" s="5" t="n">
        <v>95</v>
      </c>
      <c r="K631" s="9" t="n">
        <v>92.85714285714286</v>
      </c>
      <c r="L631" s="14" t="n">
        <v>0.9774436090225564</v>
      </c>
      <c r="M631" s="14" t="n">
        <v>0.9774436090225564</v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172-2024-08-31</t>
        </is>
      </c>
    </row>
    <row r="632" hidden="1">
      <c r="A632" s="21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9" t="n">
        <v>45565</v>
      </c>
      <c r="G632" s="5" t="n">
        <v>2024</v>
      </c>
      <c r="H632" s="5" t="inlineStr">
        <is>
          <t>Septiembre</t>
        </is>
      </c>
      <c r="I632" s="6" t="inlineStr">
        <is>
          <t>2024-2</t>
        </is>
      </c>
      <c r="J632" s="5" t="n">
        <v>95</v>
      </c>
      <c r="K632" s="9" t="n">
        <v>93.75</v>
      </c>
      <c r="L632" s="14" t="n">
        <v>0.9868421052631579</v>
      </c>
      <c r="M632" s="14" t="n">
        <v>0.9868421052631579</v>
      </c>
      <c r="N632" s="5" t="inlineStr">
        <is>
          <t>%</t>
        </is>
      </c>
      <c r="O632" s="11" t="inlineStr">
        <is>
          <t>%</t>
        </is>
      </c>
      <c r="P632" s="15" t="n">
        <v>0</v>
      </c>
      <c r="Q632" s="15" t="n">
        <v>0</v>
      </c>
      <c r="R632" s="5" t="inlineStr">
        <is>
          <t>172-2024-09-30</t>
        </is>
      </c>
    </row>
    <row r="633" hidden="1">
      <c r="A633" s="21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9" t="n">
        <v>45596</v>
      </c>
      <c r="G633" s="5" t="n">
        <v>2024</v>
      </c>
      <c r="H633" s="5" t="inlineStr">
        <is>
          <t>Octubre</t>
        </is>
      </c>
      <c r="I633" s="6" t="inlineStr">
        <is>
          <t>2024-2</t>
        </is>
      </c>
      <c r="J633" s="5" t="n">
        <v>95</v>
      </c>
      <c r="K633" s="9" t="n">
        <v>94.11764705882352</v>
      </c>
      <c r="L633" s="14" t="n">
        <v>0.9907120743034055</v>
      </c>
      <c r="M633" s="14" t="n">
        <v>0.9907120743034055</v>
      </c>
      <c r="N633" s="5" t="inlineStr">
        <is>
          <t>%</t>
        </is>
      </c>
      <c r="O633" s="11" t="inlineStr">
        <is>
          <t>%</t>
        </is>
      </c>
      <c r="P633" s="15" t="n">
        <v>0</v>
      </c>
      <c r="Q633" s="15" t="n">
        <v>0</v>
      </c>
      <c r="R633" s="5" t="inlineStr">
        <is>
          <t>172-2024-10-31</t>
        </is>
      </c>
    </row>
    <row r="634" hidden="1">
      <c r="A634" s="21" t="n">
        <v>172</v>
      </c>
      <c r="B634" s="5" t="inlineStr">
        <is>
          <t>Cumplimiento plan operativo del SGC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09" t="n">
        <v>45626</v>
      </c>
      <c r="G634" s="5" t="n">
        <v>2024</v>
      </c>
      <c r="H634" s="5" t="inlineStr">
        <is>
          <t>Noviembre</t>
        </is>
      </c>
      <c r="I634" s="6" t="inlineStr">
        <is>
          <t>2024-2</t>
        </is>
      </c>
      <c r="J634" s="5" t="n">
        <v>95</v>
      </c>
      <c r="K634" s="9" t="n">
        <v>100</v>
      </c>
      <c r="L634" s="14" t="n">
        <v>1.052631578947368</v>
      </c>
      <c r="M634" s="14" t="n">
        <v>1.052631578947368</v>
      </c>
      <c r="N634" s="5" t="inlineStr">
        <is>
          <t>%</t>
        </is>
      </c>
      <c r="O634" s="11" t="inlineStr">
        <is>
          <t>%</t>
        </is>
      </c>
      <c r="P634" s="15" t="n">
        <v>0</v>
      </c>
      <c r="Q634" s="15" t="n">
        <v>0</v>
      </c>
      <c r="R634" s="5" t="inlineStr">
        <is>
          <t>172-2024-11-30</t>
        </is>
      </c>
    </row>
    <row r="635" hidden="1">
      <c r="A635" s="21" t="n">
        <v>172</v>
      </c>
      <c r="B635" s="5" t="inlineStr">
        <is>
          <t>Cumplimiento plan operativo del SGC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09" t="n">
        <v>45657</v>
      </c>
      <c r="G635" s="5" t="n">
        <v>2024</v>
      </c>
      <c r="H635" s="5" t="inlineStr">
        <is>
          <t>Diciembre</t>
        </is>
      </c>
      <c r="I635" s="6" t="inlineStr">
        <is>
          <t>2024-2</t>
        </is>
      </c>
      <c r="J635" s="5" t="n">
        <v>95</v>
      </c>
      <c r="K635" s="9" t="n">
        <v>97.36842105263158</v>
      </c>
      <c r="L635" s="14" t="n">
        <v>1.024930747922438</v>
      </c>
      <c r="M635" s="14" t="n">
        <v>1.024930747922438</v>
      </c>
      <c r="N635" s="5" t="inlineStr">
        <is>
          <t>%</t>
        </is>
      </c>
      <c r="O635" s="11" t="inlineStr">
        <is>
          <t>%</t>
        </is>
      </c>
      <c r="P635" s="15" t="n">
        <v>0</v>
      </c>
      <c r="Q635" s="15" t="n">
        <v>0</v>
      </c>
      <c r="R635" s="5" t="inlineStr">
        <is>
          <t>172-2024-12-31</t>
        </is>
      </c>
    </row>
    <row r="636" hidden="1">
      <c r="A636" s="26" t="n">
        <v>172</v>
      </c>
      <c r="B636" s="5" t="inlineStr">
        <is>
          <t>Cumplimiento plan operativo del SGC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09" t="n">
        <v>45688</v>
      </c>
      <c r="G636" s="5" t="n">
        <v>2025</v>
      </c>
      <c r="H636" s="5" t="inlineStr">
        <is>
          <t>Enero</t>
        </is>
      </c>
      <c r="I636" s="6" t="inlineStr">
        <is>
          <t>2025-1</t>
        </is>
      </c>
      <c r="J636" s="5" t="n">
        <v>95</v>
      </c>
      <c r="K636" s="9" t="n">
        <v>80</v>
      </c>
      <c r="L636" s="14" t="n">
        <v>0.8421052631578947</v>
      </c>
      <c r="M636" s="14" t="n">
        <v>0.8421052631578947</v>
      </c>
      <c r="N636" s="5" t="inlineStr">
        <is>
          <t>%</t>
        </is>
      </c>
      <c r="O636" s="11" t="inlineStr">
        <is>
          <t>%</t>
        </is>
      </c>
      <c r="P636" s="15" t="n">
        <v>0</v>
      </c>
      <c r="Q636" s="15" t="n">
        <v>0</v>
      </c>
      <c r="R636" s="5" t="inlineStr">
        <is>
          <t>172-2025-01-31</t>
        </is>
      </c>
    </row>
    <row r="637" hidden="1">
      <c r="A637" s="26" t="n">
        <v>172</v>
      </c>
      <c r="B637" s="5" t="inlineStr">
        <is>
          <t>Cumplimiento plan operativo del SGC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9" t="n">
        <v>45716</v>
      </c>
      <c r="G637" s="5" t="n">
        <v>2025</v>
      </c>
      <c r="H637" s="5" t="inlineStr">
        <is>
          <t>Febrero</t>
        </is>
      </c>
      <c r="I637" s="6" t="inlineStr">
        <is>
          <t>2025-1</t>
        </is>
      </c>
      <c r="J637" s="5" t="n">
        <v>95</v>
      </c>
      <c r="K637" s="9" t="n">
        <v>100</v>
      </c>
      <c r="L637" s="14" t="n">
        <v>1.052631578947368</v>
      </c>
      <c r="M637" s="14" t="n">
        <v>1.052631578947368</v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172-2025-02-28</t>
        </is>
      </c>
    </row>
    <row r="638" hidden="1">
      <c r="A638" s="26" t="n">
        <v>172</v>
      </c>
      <c r="B638" s="5" t="inlineStr">
        <is>
          <t>Cumplimiento plan operativo del SGC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9" t="n">
        <v>45747</v>
      </c>
      <c r="G638" s="5" t="n">
        <v>2025</v>
      </c>
      <c r="H638" s="5" t="inlineStr">
        <is>
          <t>Marzo</t>
        </is>
      </c>
      <c r="I638" s="6" t="inlineStr">
        <is>
          <t>2025-1</t>
        </is>
      </c>
      <c r="J638" s="5" t="n">
        <v>95</v>
      </c>
      <c r="K638" s="9" t="n">
        <v>83.33</v>
      </c>
      <c r="L638" s="14" t="n">
        <v>0.8771578947368421</v>
      </c>
      <c r="M638" s="14" t="n">
        <v>0.8771578947368421</v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172-2025-03-31</t>
        </is>
      </c>
    </row>
    <row r="639" hidden="1">
      <c r="A639" s="21" t="n">
        <v>172</v>
      </c>
      <c r="B639" s="5" t="inlineStr">
        <is>
          <t>Cumplimiento plan operativo del SGC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9" t="n">
        <v>45777</v>
      </c>
      <c r="G639" s="5" t="n">
        <v>2025</v>
      </c>
      <c r="H639" s="5" t="inlineStr">
        <is>
          <t>Abril</t>
        </is>
      </c>
      <c r="I639" s="6" t="inlineStr">
        <is>
          <t>2025-1</t>
        </is>
      </c>
      <c r="J639" s="5" t="n">
        <v>95</v>
      </c>
      <c r="K639" s="9" t="n">
        <v>88.89</v>
      </c>
      <c r="L639" s="14" t="n">
        <v>0.9356842105263158</v>
      </c>
      <c r="M639" s="14" t="n">
        <v>0.9356842105263158</v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172-2025-04-30</t>
        </is>
      </c>
    </row>
    <row r="640" hidden="1">
      <c r="A640" s="21" t="n">
        <v>172</v>
      </c>
      <c r="B640" s="5" t="inlineStr">
        <is>
          <t>Cumplimiento plan operativo del SGC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9" t="n">
        <v>45808</v>
      </c>
      <c r="G640" s="5" t="n">
        <v>2025</v>
      </c>
      <c r="H640" s="5" t="inlineStr">
        <is>
          <t>Mayo</t>
        </is>
      </c>
      <c r="I640" s="6" t="inlineStr">
        <is>
          <t>2025-1</t>
        </is>
      </c>
      <c r="J640" s="5" t="n">
        <v>95</v>
      </c>
      <c r="K640" s="9" t="n">
        <v>95.65000000000001</v>
      </c>
      <c r="L640" s="14" t="n">
        <v>1.006842105263158</v>
      </c>
      <c r="M640" s="14" t="n">
        <v>1.006842105263158</v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172-2025-05-31</t>
        </is>
      </c>
    </row>
    <row r="641" hidden="1">
      <c r="A641" s="28" t="n">
        <v>172</v>
      </c>
      <c r="B641" s="5" t="inlineStr">
        <is>
          <t>Cumplimiento plan operativo del SGC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9" t="n">
        <v>45838</v>
      </c>
      <c r="G641" s="5" t="n">
        <v>2025</v>
      </c>
      <c r="H641" s="5" t="inlineStr">
        <is>
          <t>Junio</t>
        </is>
      </c>
      <c r="I641" s="6" t="inlineStr">
        <is>
          <t>2025-1</t>
        </is>
      </c>
      <c r="J641" s="5" t="n">
        <v>95</v>
      </c>
      <c r="K641" s="9" t="n">
        <v>81.81999999999999</v>
      </c>
      <c r="L641" s="14" t="n">
        <v>0.8612631578947367</v>
      </c>
      <c r="M641" s="14" t="n">
        <v>0.8612631578947367</v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172-2025-06-30</t>
        </is>
      </c>
    </row>
    <row r="642" hidden="1">
      <c r="A642" s="26" t="n">
        <v>172</v>
      </c>
      <c r="B642" s="5" t="inlineStr">
        <is>
          <t>Cumplimiento plan operativo del SGC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09" t="n">
        <v>45869</v>
      </c>
      <c r="G642" s="5" t="n">
        <v>2025</v>
      </c>
      <c r="H642" s="5" t="inlineStr">
        <is>
          <t>Julio</t>
        </is>
      </c>
      <c r="I642" s="6" t="inlineStr">
        <is>
          <t>2025-2</t>
        </is>
      </c>
      <c r="J642" s="5" t="n">
        <v>95</v>
      </c>
      <c r="K642" s="9" t="n">
        <v>91.43000000000001</v>
      </c>
      <c r="L642" s="14" t="n">
        <v>0.9624210526315791</v>
      </c>
      <c r="M642" s="14" t="n">
        <v>0.9624210526315791</v>
      </c>
      <c r="N642" s="5" t="inlineStr">
        <is>
          <t>%</t>
        </is>
      </c>
      <c r="O642" s="5" t="inlineStr">
        <is>
          <t>%</t>
        </is>
      </c>
      <c r="P642" s="15" t="n">
        <v>0</v>
      </c>
      <c r="Q642" s="15" t="n">
        <v>0</v>
      </c>
      <c r="R642" s="5" t="inlineStr">
        <is>
          <t>172-2025-07-31</t>
        </is>
      </c>
    </row>
    <row r="643" hidden="1">
      <c r="A643" s="21" t="n">
        <v>172</v>
      </c>
      <c r="B643" s="5" t="inlineStr">
        <is>
          <t>Cumplimiento plan operativo del SGC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09" t="n">
        <v>45900</v>
      </c>
      <c r="G643" s="5" t="n">
        <v>2025</v>
      </c>
      <c r="H643" s="5" t="inlineStr">
        <is>
          <t>Agosto</t>
        </is>
      </c>
      <c r="I643" s="6" t="inlineStr">
        <is>
          <t>2025-2</t>
        </is>
      </c>
      <c r="J643" s="5" t="n">
        <v>95</v>
      </c>
      <c r="K643" s="10" t="n">
        <v>86.36</v>
      </c>
      <c r="L643" s="14" t="n">
        <v>0.9090526315789473</v>
      </c>
      <c r="M643" s="14" t="n">
        <v>0.9090526315789473</v>
      </c>
      <c r="N643" s="5" t="inlineStr">
        <is>
          <t>%</t>
        </is>
      </c>
      <c r="O643" s="5" t="inlineStr">
        <is>
          <t>%</t>
        </is>
      </c>
      <c r="P643" s="15" t="n">
        <v>0</v>
      </c>
      <c r="Q643" s="15" t="n">
        <v>0</v>
      </c>
      <c r="R643" s="5" t="inlineStr">
        <is>
          <t>172-2025-08-31</t>
        </is>
      </c>
    </row>
    <row r="644" hidden="1">
      <c r="A644" s="5" t="n">
        <v>172</v>
      </c>
      <c r="B644" s="5" t="inlineStr">
        <is>
          <t>Cumplimiento plan operativo del SGC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09" t="n">
        <v>45930</v>
      </c>
      <c r="G644" s="5" t="n">
        <v>2025</v>
      </c>
      <c r="H644" s="5" t="inlineStr">
        <is>
          <t>Septiembre</t>
        </is>
      </c>
      <c r="I644" s="6" t="inlineStr">
        <is>
          <t>2025-2</t>
        </is>
      </c>
      <c r="J644" s="5" t="n">
        <v>95</v>
      </c>
      <c r="K644" s="5" t="n">
        <v>89.8</v>
      </c>
      <c r="L644" s="14" t="n">
        <v>0.9452631578947368</v>
      </c>
      <c r="M644" s="14" t="n">
        <v>0.9452631578947368</v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172-2025-09-30</t>
        </is>
      </c>
    </row>
    <row r="645" hidden="1">
      <c r="A645" s="21" t="n">
        <v>172</v>
      </c>
      <c r="B645" s="5" t="inlineStr">
        <is>
          <t>Cumplimiento plan operativo del SGC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09" t="n">
        <v>45961</v>
      </c>
      <c r="G645" s="5" t="n">
        <v>2025</v>
      </c>
      <c r="H645" s="5" t="inlineStr">
        <is>
          <t>Octubre</t>
        </is>
      </c>
      <c r="I645" s="6" t="inlineStr">
        <is>
          <t>2025-2</t>
        </is>
      </c>
      <c r="J645" s="5" t="n">
        <v>95</v>
      </c>
      <c r="K645" s="10" t="n">
        <v>98.20999999999999</v>
      </c>
      <c r="L645" s="14" t="n">
        <v>1.03378947368421</v>
      </c>
      <c r="M645" s="14" t="n">
        <v>1.03378947368421</v>
      </c>
      <c r="N645" s="5" t="inlineStr">
        <is>
          <t>%</t>
        </is>
      </c>
      <c r="O645" s="5" t="inlineStr">
        <is>
          <t>%</t>
        </is>
      </c>
      <c r="P645" s="15" t="n">
        <v>0</v>
      </c>
      <c r="Q645" s="15" t="n">
        <v>0</v>
      </c>
      <c r="R645" s="5" t="inlineStr">
        <is>
          <t>172-2025-10-31</t>
        </is>
      </c>
    </row>
    <row r="646" hidden="1">
      <c r="A646" s="21" t="n">
        <v>172</v>
      </c>
      <c r="B646" s="5" t="inlineStr">
        <is>
          <t>Cumplimiento plan operativo del SGC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09" t="n">
        <v>45991</v>
      </c>
      <c r="G646" s="5" t="n">
        <v>2025</v>
      </c>
      <c r="H646" s="5" t="inlineStr">
        <is>
          <t>Noviembre</t>
        </is>
      </c>
      <c r="I646" s="6" t="inlineStr">
        <is>
          <t>2025-2</t>
        </is>
      </c>
      <c r="J646" s="5" t="n">
        <v>95</v>
      </c>
      <c r="K646" s="10" t="n">
        <v>96.77</v>
      </c>
      <c r="L646" s="14" t="n">
        <v>1.018631578947368</v>
      </c>
      <c r="M646" s="14" t="n">
        <v>1.018631578947368</v>
      </c>
      <c r="N646" s="5" t="inlineStr">
        <is>
          <t>%</t>
        </is>
      </c>
      <c r="O646" s="5" t="inlineStr">
        <is>
          <t>%</t>
        </is>
      </c>
      <c r="P646" s="15" t="n">
        <v>0</v>
      </c>
      <c r="Q646" s="15" t="n">
        <v>0</v>
      </c>
      <c r="R646" s="5" t="inlineStr">
        <is>
          <t>172-2025-11-30</t>
        </is>
      </c>
    </row>
    <row r="647" hidden="1">
      <c r="A647" s="21" t="n">
        <v>172</v>
      </c>
      <c r="B647" s="5" t="inlineStr">
        <is>
          <t>Cumplimiento plan operativo del SGC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09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95</v>
      </c>
      <c r="K647" s="9" t="n">
        <v>98.44</v>
      </c>
      <c r="L647" s="14" t="n">
        <v>1.036210526315789</v>
      </c>
      <c r="M647" s="14" t="n">
        <v>1.036210526315789</v>
      </c>
      <c r="N647" s="5" t="inlineStr">
        <is>
          <t>%</t>
        </is>
      </c>
      <c r="O647" s="5" t="inlineStr">
        <is>
          <t>%</t>
        </is>
      </c>
      <c r="P647" s="15" t="n">
        <v>0</v>
      </c>
      <c r="Q647" s="15" t="n">
        <v>0</v>
      </c>
      <c r="R647" s="5" t="inlineStr">
        <is>
          <t>172-2025-12-31</t>
        </is>
      </c>
    </row>
    <row r="648" hidden="1">
      <c r="A648" s="21" t="n">
        <v>172</v>
      </c>
      <c r="B648" s="5" t="inlineStr">
        <is>
          <t>Cumplimiento plan operativo del SGC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08" t="n">
        <v>46053</v>
      </c>
      <c r="G648" s="5" t="n">
        <v>2026</v>
      </c>
      <c r="H648" s="5" t="inlineStr">
        <is>
          <t>Enero</t>
        </is>
      </c>
      <c r="I648" s="6" t="inlineStr">
        <is>
          <t>2026-1</t>
        </is>
      </c>
      <c r="J648" s="5" t="n">
        <v>95</v>
      </c>
      <c r="K648" s="9" t="n">
        <v>0</v>
      </c>
      <c r="L648" s="14" t="n">
        <v>0</v>
      </c>
      <c r="M648" s="14" t="n">
        <v>0</v>
      </c>
      <c r="N648" s="5" t="inlineStr">
        <is>
          <t>%</t>
        </is>
      </c>
      <c r="O648" s="5" t="inlineStr">
        <is>
          <t>%</t>
        </is>
      </c>
      <c r="P648" s="15" t="n">
        <v>0</v>
      </c>
      <c r="Q648" s="15" t="n">
        <v>0</v>
      </c>
      <c r="R648" s="5" t="inlineStr">
        <is>
          <t>172-2026-01-31</t>
        </is>
      </c>
    </row>
    <row r="649" hidden="1">
      <c r="A649" s="21" t="n">
        <v>172</v>
      </c>
      <c r="B649" s="5" t="inlineStr">
        <is>
          <t>Cumplimiento plan operativo del SGC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09" t="n">
        <v>46081</v>
      </c>
      <c r="G649" s="5" t="n">
        <v>2026</v>
      </c>
      <c r="H649" s="5" t="inlineStr">
        <is>
          <t>Febrero</t>
        </is>
      </c>
      <c r="I649" s="6" t="inlineStr">
        <is>
          <t>2026-1</t>
        </is>
      </c>
      <c r="J649" s="5" t="n">
        <v>95</v>
      </c>
      <c r="K649" s="9" t="n">
        <v>90.91</v>
      </c>
      <c r="L649" s="14" t="n">
        <v>0.9569473684210525</v>
      </c>
      <c r="M649" s="14" t="n">
        <v>0.9569473684210525</v>
      </c>
      <c r="N649" s="5" t="inlineStr">
        <is>
          <t>%</t>
        </is>
      </c>
      <c r="O649" s="5" t="inlineStr">
        <is>
          <t>%</t>
        </is>
      </c>
      <c r="P649" s="15" t="n">
        <v>0</v>
      </c>
      <c r="Q649" s="15" t="n">
        <v>0</v>
      </c>
      <c r="R649" s="5" t="inlineStr">
        <is>
          <t>172-2026-02-28</t>
        </is>
      </c>
    </row>
    <row r="650" hidden="1">
      <c r="A650" s="21" t="n">
        <v>174</v>
      </c>
      <c r="B650" s="5" t="inlineStr">
        <is>
          <t>Cumplimiento Plan de Formación SGC</t>
        </is>
      </c>
      <c r="C650" s="5" t="inlineStr">
        <is>
          <t>Gestión de calidad</t>
        </is>
      </c>
      <c r="D650" s="5" t="inlineStr">
        <is>
          <t>Semestral</t>
        </is>
      </c>
      <c r="E650" s="5" t="inlineStr">
        <is>
          <t>Positivo</t>
        </is>
      </c>
      <c r="F650" s="109" t="n">
        <v>45107</v>
      </c>
      <c r="G650" s="5" t="n">
        <v>2023</v>
      </c>
      <c r="H650" s="5" t="inlineStr">
        <is>
          <t>Junio</t>
        </is>
      </c>
      <c r="I650" s="6" t="inlineStr">
        <is>
          <t>2023-1</t>
        </is>
      </c>
      <c r="J650" s="5" t="n">
        <v>95</v>
      </c>
      <c r="K650" s="9" t="n">
        <v>100</v>
      </c>
      <c r="L650" s="14" t="n">
        <v>1.052631578947368</v>
      </c>
      <c r="M650" s="14" t="n">
        <v>1.052631578947368</v>
      </c>
      <c r="N650" s="5" t="inlineStr">
        <is>
          <t>%</t>
        </is>
      </c>
      <c r="O650" s="5" t="inlineStr">
        <is>
          <t>%</t>
        </is>
      </c>
      <c r="P650" s="15" t="n">
        <v>0</v>
      </c>
      <c r="Q650" s="15" t="n">
        <v>0</v>
      </c>
      <c r="R650" s="5" t="inlineStr">
        <is>
          <t>174-2023-06-30</t>
        </is>
      </c>
    </row>
    <row r="651" hidden="1">
      <c r="A651" s="21" t="n">
        <v>174</v>
      </c>
      <c r="B651" s="5" t="inlineStr">
        <is>
          <t>Cumplimiento Plan de Formación SGC</t>
        </is>
      </c>
      <c r="C651" s="5" t="inlineStr">
        <is>
          <t>Gestión de calidad</t>
        </is>
      </c>
      <c r="D651" s="5" t="inlineStr">
        <is>
          <t>Semestral</t>
        </is>
      </c>
      <c r="E651" s="5" t="inlineStr">
        <is>
          <t>Positivo</t>
        </is>
      </c>
      <c r="F651" s="109" t="n">
        <v>45291</v>
      </c>
      <c r="G651" s="5" t="n">
        <v>2023</v>
      </c>
      <c r="H651" s="5" t="inlineStr">
        <is>
          <t>Diciembre</t>
        </is>
      </c>
      <c r="I651" s="6" t="inlineStr">
        <is>
          <t>2023-2</t>
        </is>
      </c>
      <c r="J651" s="5" t="n">
        <v>95</v>
      </c>
      <c r="K651" s="9" t="n">
        <v>100</v>
      </c>
      <c r="L651" s="14" t="n">
        <v>1.052631578947368</v>
      </c>
      <c r="M651" s="14" t="n">
        <v>1.052631578947368</v>
      </c>
      <c r="N651" s="5" t="inlineStr">
        <is>
          <t>%</t>
        </is>
      </c>
      <c r="O651" s="5" t="inlineStr">
        <is>
          <t>%</t>
        </is>
      </c>
      <c r="P651" s="15" t="n">
        <v>0</v>
      </c>
      <c r="Q651" s="15" t="n">
        <v>0</v>
      </c>
      <c r="R651" s="5" t="inlineStr">
        <is>
          <t>174-2023-12-31</t>
        </is>
      </c>
    </row>
    <row r="652" hidden="1">
      <c r="A652" s="21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09" t="n">
        <v>45046</v>
      </c>
      <c r="G652" s="5" t="n">
        <v>2023</v>
      </c>
      <c r="H652" s="5" t="inlineStr">
        <is>
          <t>Abril</t>
        </is>
      </c>
      <c r="I652" s="6" t="inlineStr">
        <is>
          <t>2023-1</t>
        </is>
      </c>
      <c r="J652" s="5" t="n">
        <v>80</v>
      </c>
      <c r="K652" s="9" t="n">
        <v>70.19</v>
      </c>
      <c r="L652" s="14" t="n">
        <v>0.877375</v>
      </c>
      <c r="M652" s="14" t="n">
        <v>0.877375</v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176-2023-04-30</t>
        </is>
      </c>
    </row>
    <row r="653" hidden="1">
      <c r="A653" s="21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09" t="n">
        <v>45077</v>
      </c>
      <c r="G653" s="5" t="n">
        <v>2023</v>
      </c>
      <c r="H653" s="5" t="inlineStr">
        <is>
          <t>Mayo</t>
        </is>
      </c>
      <c r="I653" s="6" t="inlineStr">
        <is>
          <t>2023-1</t>
        </is>
      </c>
      <c r="J653" s="5" t="n">
        <v>80</v>
      </c>
      <c r="K653" s="9" t="n">
        <v>91.53</v>
      </c>
      <c r="L653" s="14" t="n">
        <v>1.144125</v>
      </c>
      <c r="M653" s="14" t="n">
        <v>1.144125</v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176-2023-05-31</t>
        </is>
      </c>
    </row>
    <row r="654" hidden="1">
      <c r="A654" s="21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09" t="n">
        <v>45107</v>
      </c>
      <c r="G654" s="5" t="n">
        <v>2023</v>
      </c>
      <c r="H654" s="5" t="inlineStr">
        <is>
          <t>Junio</t>
        </is>
      </c>
      <c r="I654" s="6" t="inlineStr">
        <is>
          <t>2023-1</t>
        </is>
      </c>
      <c r="J654" s="5" t="n">
        <v>80</v>
      </c>
      <c r="K654" s="9" t="n">
        <v>88.23999999999999</v>
      </c>
      <c r="L654" s="14" t="n">
        <v>1.103</v>
      </c>
      <c r="M654" s="14" t="n">
        <v>1.103</v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176-2023-06-30</t>
        </is>
      </c>
    </row>
    <row r="655" hidden="1">
      <c r="A655" s="21" t="n">
        <v>176</v>
      </c>
      <c r="B655" s="5" t="inlineStr">
        <is>
          <t>Cumplimiento Planes de Mejora</t>
        </is>
      </c>
      <c r="C655" s="5" t="inlineStr">
        <is>
          <t>Gestión de calidad</t>
        </is>
      </c>
      <c r="D655" s="5" t="inlineStr">
        <is>
          <t>Mensual</t>
        </is>
      </c>
      <c r="E655" s="5" t="inlineStr">
        <is>
          <t>Positivo</t>
        </is>
      </c>
      <c r="F655" s="109" t="n">
        <v>45138</v>
      </c>
      <c r="G655" s="5" t="n">
        <v>2023</v>
      </c>
      <c r="H655" s="5" t="inlineStr">
        <is>
          <t>Julio</t>
        </is>
      </c>
      <c r="I655" s="6" t="inlineStr">
        <is>
          <t>2023-2</t>
        </is>
      </c>
      <c r="J655" s="5" t="n">
        <v>80</v>
      </c>
      <c r="K655" s="9" t="n">
        <v>70.67</v>
      </c>
      <c r="L655" s="14" t="n">
        <v>0.883375</v>
      </c>
      <c r="M655" s="14" t="n">
        <v>0.883375</v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176-2023-07-31</t>
        </is>
      </c>
    </row>
    <row r="656" hidden="1">
      <c r="A656" s="26" t="n">
        <v>176</v>
      </c>
      <c r="B656" s="5" t="inlineStr">
        <is>
          <t>Cumplimiento Planes de Mejora</t>
        </is>
      </c>
      <c r="C656" s="5" t="inlineStr">
        <is>
          <t>Gestión de calidad</t>
        </is>
      </c>
      <c r="D656" s="5" t="inlineStr">
        <is>
          <t>Mensual</t>
        </is>
      </c>
      <c r="E656" s="5" t="inlineStr">
        <is>
          <t>Positivo</t>
        </is>
      </c>
      <c r="F656" s="109" t="n">
        <v>45169</v>
      </c>
      <c r="G656" s="5" t="n">
        <v>2023</v>
      </c>
      <c r="H656" s="5" t="inlineStr">
        <is>
          <t>Agosto</t>
        </is>
      </c>
      <c r="I656" s="6" t="inlineStr">
        <is>
          <t>2023-2</t>
        </is>
      </c>
      <c r="J656" s="5" t="n">
        <v>80</v>
      </c>
      <c r="K656" s="9" t="n">
        <v>78.13</v>
      </c>
      <c r="L656" s="14" t="n">
        <v>0.976625</v>
      </c>
      <c r="M656" s="14" t="n">
        <v>0.976625</v>
      </c>
      <c r="N656" s="5" t="inlineStr">
        <is>
          <t>%</t>
        </is>
      </c>
      <c r="O656" s="5" t="inlineStr">
        <is>
          <t>%</t>
        </is>
      </c>
      <c r="P656" s="15" t="n">
        <v>0</v>
      </c>
      <c r="Q656" s="15" t="n">
        <v>0</v>
      </c>
      <c r="R656" s="5" t="inlineStr">
        <is>
          <t>176-2023-08-31</t>
        </is>
      </c>
    </row>
    <row r="657" hidden="1">
      <c r="A657" s="26" t="n">
        <v>176</v>
      </c>
      <c r="B657" s="5" t="inlineStr">
        <is>
          <t>Cumplimiento Planes de Mejora</t>
        </is>
      </c>
      <c r="C657" s="5" t="inlineStr">
        <is>
          <t>Gestión de calidad</t>
        </is>
      </c>
      <c r="D657" s="5" t="inlineStr">
        <is>
          <t>Mensual</t>
        </is>
      </c>
      <c r="E657" s="5" t="inlineStr">
        <is>
          <t>Positivo</t>
        </is>
      </c>
      <c r="F657" s="109" t="n">
        <v>45199</v>
      </c>
      <c r="G657" s="5" t="n">
        <v>2023</v>
      </c>
      <c r="H657" s="5" t="inlineStr">
        <is>
          <t>Septiembre</t>
        </is>
      </c>
      <c r="I657" s="6" t="inlineStr">
        <is>
          <t>2023-2</t>
        </is>
      </c>
      <c r="J657" s="5" t="n">
        <v>80</v>
      </c>
      <c r="K657" s="9" t="n">
        <v>92.73</v>
      </c>
      <c r="L657" s="14" t="n">
        <v>1.159125</v>
      </c>
      <c r="M657" s="14" t="n">
        <v>1.159125</v>
      </c>
      <c r="N657" s="5" t="inlineStr">
        <is>
          <t>%</t>
        </is>
      </c>
      <c r="O657" s="5" t="inlineStr">
        <is>
          <t>%</t>
        </is>
      </c>
      <c r="P657" s="15" t="n">
        <v>0</v>
      </c>
      <c r="Q657" s="15" t="n">
        <v>0</v>
      </c>
      <c r="R657" s="5" t="inlineStr">
        <is>
          <t>176-2023-09-30</t>
        </is>
      </c>
    </row>
    <row r="658" hidden="1">
      <c r="A658" s="26" t="n">
        <v>176</v>
      </c>
      <c r="B658" s="5" t="inlineStr">
        <is>
          <t>Cumplimiento Planes de Mejora</t>
        </is>
      </c>
      <c r="C658" s="5" t="inlineStr">
        <is>
          <t>Gestión de calidad</t>
        </is>
      </c>
      <c r="D658" s="5" t="inlineStr">
        <is>
          <t>Mensual</t>
        </is>
      </c>
      <c r="E658" s="5" t="inlineStr">
        <is>
          <t>Positivo</t>
        </is>
      </c>
      <c r="F658" s="109" t="n">
        <v>45230</v>
      </c>
      <c r="G658" s="5" t="n">
        <v>2023</v>
      </c>
      <c r="H658" s="5" t="inlineStr">
        <is>
          <t>Octubre</t>
        </is>
      </c>
      <c r="I658" s="6" t="inlineStr">
        <is>
          <t>2023-2</t>
        </is>
      </c>
      <c r="J658" s="5" t="n">
        <v>80</v>
      </c>
      <c r="K658" s="9" t="n">
        <v>70.3</v>
      </c>
      <c r="L658" s="14" t="n">
        <v>0.8787499999999999</v>
      </c>
      <c r="M658" s="14" t="n">
        <v>0.8787499999999999</v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176-2023-10-31</t>
        </is>
      </c>
    </row>
    <row r="659" hidden="1">
      <c r="A659" s="21" t="n">
        <v>176</v>
      </c>
      <c r="B659" s="5" t="inlineStr">
        <is>
          <t>Cumplimiento Planes de Mejora</t>
        </is>
      </c>
      <c r="C659" s="5" t="inlineStr">
        <is>
          <t>Gestión de calidad</t>
        </is>
      </c>
      <c r="D659" s="5" t="inlineStr">
        <is>
          <t>Mensual</t>
        </is>
      </c>
      <c r="E659" s="5" t="inlineStr">
        <is>
          <t>Positivo</t>
        </is>
      </c>
      <c r="F659" s="109" t="n">
        <v>45260</v>
      </c>
      <c r="G659" s="5" t="n">
        <v>2023</v>
      </c>
      <c r="H659" s="5" t="inlineStr">
        <is>
          <t>Noviembre</t>
        </is>
      </c>
      <c r="I659" s="6" t="inlineStr">
        <is>
          <t>2023-2</t>
        </is>
      </c>
      <c r="J659" s="5" t="n">
        <v>80</v>
      </c>
      <c r="K659" s="10" t="n">
        <v>87.36</v>
      </c>
      <c r="L659" s="14" t="n">
        <v>1.092</v>
      </c>
      <c r="M659" s="14" t="n">
        <v>1.092</v>
      </c>
      <c r="N659" s="5" t="inlineStr">
        <is>
          <t>%</t>
        </is>
      </c>
      <c r="O659" s="5" t="inlineStr">
        <is>
          <t>%</t>
        </is>
      </c>
      <c r="P659" s="15" t="n">
        <v>0</v>
      </c>
      <c r="Q659" s="15" t="n">
        <v>0</v>
      </c>
      <c r="R659" s="5" t="inlineStr">
        <is>
          <t>176-2023-11-30</t>
        </is>
      </c>
    </row>
    <row r="660" hidden="1">
      <c r="A660" s="21" t="n">
        <v>176</v>
      </c>
      <c r="B660" s="5" t="inlineStr">
        <is>
          <t>Cumplimiento Planes de Mejora</t>
        </is>
      </c>
      <c r="C660" s="5" t="inlineStr">
        <is>
          <t>Gestión de calidad</t>
        </is>
      </c>
      <c r="D660" s="5" t="inlineStr">
        <is>
          <t>Mensual</t>
        </is>
      </c>
      <c r="E660" s="5" t="inlineStr">
        <is>
          <t>Positivo</t>
        </is>
      </c>
      <c r="F660" s="109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80</v>
      </c>
      <c r="K660" s="10" t="n">
        <v>83.16</v>
      </c>
      <c r="L660" s="14" t="n">
        <v>1.0395</v>
      </c>
      <c r="M660" s="14" t="n">
        <v>1.0395</v>
      </c>
      <c r="N660" s="5" t="inlineStr">
        <is>
          <t>%</t>
        </is>
      </c>
      <c r="O660" s="5" t="inlineStr">
        <is>
          <t>%</t>
        </is>
      </c>
      <c r="P660" s="15" t="n">
        <v>0</v>
      </c>
      <c r="Q660" s="15" t="n">
        <v>0</v>
      </c>
      <c r="R660" s="5" t="inlineStr">
        <is>
          <t>176-2023-12-31</t>
        </is>
      </c>
    </row>
    <row r="661" hidden="1">
      <c r="A661" s="21" t="n">
        <v>176</v>
      </c>
      <c r="B661" s="5" t="inlineStr">
        <is>
          <t>Cumplimiento Planes de Mejora</t>
        </is>
      </c>
      <c r="C661" s="5" t="inlineStr">
        <is>
          <t>Gestión de calidad</t>
        </is>
      </c>
      <c r="D661" s="5" t="inlineStr">
        <is>
          <t>Mensual</t>
        </is>
      </c>
      <c r="E661" s="5" t="inlineStr">
        <is>
          <t>Positivo</t>
        </is>
      </c>
      <c r="F661" s="109" t="n">
        <v>45322</v>
      </c>
      <c r="G661" s="5" t="n">
        <v>2024</v>
      </c>
      <c r="H661" s="5" t="inlineStr">
        <is>
          <t>Enero</t>
        </is>
      </c>
      <c r="I661" s="6" t="inlineStr">
        <is>
          <t>2024-1</t>
        </is>
      </c>
      <c r="J661" s="5" t="n">
        <v>85</v>
      </c>
      <c r="K661" s="10" t="n">
        <v>83.33</v>
      </c>
      <c r="L661" s="14" t="n">
        <v>0.9803529411764705</v>
      </c>
      <c r="M661" s="14" t="n">
        <v>0.9803529411764705</v>
      </c>
      <c r="N661" s="5" t="inlineStr">
        <is>
          <t>N/A</t>
        </is>
      </c>
      <c r="O661" s="5" t="inlineStr">
        <is>
          <t>N/A</t>
        </is>
      </c>
      <c r="P661" s="15" t="n">
        <v>0</v>
      </c>
      <c r="Q661" s="15" t="n">
        <v>0</v>
      </c>
      <c r="R661" s="5" t="inlineStr">
        <is>
          <t>176-2024-01-31</t>
        </is>
      </c>
    </row>
    <row r="662" hidden="1">
      <c r="A662" s="21" t="n">
        <v>176</v>
      </c>
      <c r="B662" s="5" t="inlineStr">
        <is>
          <t>Cumplimiento Planes de Mejora</t>
        </is>
      </c>
      <c r="C662" s="5" t="inlineStr">
        <is>
          <t>Gestión de calidad</t>
        </is>
      </c>
      <c r="D662" s="5" t="inlineStr">
        <is>
          <t>Mensual</t>
        </is>
      </c>
      <c r="E662" s="5" t="inlineStr">
        <is>
          <t>Positivo</t>
        </is>
      </c>
      <c r="F662" s="109" t="n">
        <v>45350</v>
      </c>
      <c r="G662" s="5" t="n">
        <v>2024</v>
      </c>
      <c r="H662" s="5" t="inlineStr">
        <is>
          <t>Febrero</t>
        </is>
      </c>
      <c r="I662" s="6" t="inlineStr">
        <is>
          <t>2024-1</t>
        </is>
      </c>
      <c r="J662" s="5" t="n">
        <v>85</v>
      </c>
      <c r="K662" s="10" t="n">
        <v>80.42</v>
      </c>
      <c r="L662" s="14" t="n">
        <v>0.9461176470588235</v>
      </c>
      <c r="M662" s="14" t="n">
        <v>0.9461176470588235</v>
      </c>
      <c r="N662" s="5" t="inlineStr">
        <is>
          <t>N/A</t>
        </is>
      </c>
      <c r="O662" s="5" t="inlineStr">
        <is>
          <t>N/A</t>
        </is>
      </c>
      <c r="P662" s="15" t="n">
        <v>0</v>
      </c>
      <c r="Q662" s="15" t="n">
        <v>0</v>
      </c>
      <c r="R662" s="5" t="inlineStr">
        <is>
          <t>176-2024-02-28</t>
        </is>
      </c>
    </row>
    <row r="663" hidden="1">
      <c r="A663" s="21" t="n">
        <v>176</v>
      </c>
      <c r="B663" s="5" t="inlineStr">
        <is>
          <t>Cumplimiento Planes de Mejora</t>
        </is>
      </c>
      <c r="C663" s="5" t="inlineStr">
        <is>
          <t>Gestión de calidad</t>
        </is>
      </c>
      <c r="D663" s="5" t="inlineStr">
        <is>
          <t>Mensual</t>
        </is>
      </c>
      <c r="E663" s="5" t="inlineStr">
        <is>
          <t>Positivo</t>
        </is>
      </c>
      <c r="F663" s="109" t="n">
        <v>45351</v>
      </c>
      <c r="G663" s="5" t="n">
        <v>2024</v>
      </c>
      <c r="H663" s="5" t="inlineStr">
        <is>
          <t>Febrero</t>
        </is>
      </c>
      <c r="I663" s="6" t="inlineStr">
        <is>
          <t>2024-1</t>
        </is>
      </c>
      <c r="J663" s="5" t="n">
        <v>85</v>
      </c>
      <c r="K663" s="10" t="n">
        <v>80.42</v>
      </c>
      <c r="L663" s="14" t="n">
        <v>0.9461176470588235</v>
      </c>
      <c r="M663" s="14" t="n">
        <v>0.9461176470588235</v>
      </c>
      <c r="N663" s="5" t="inlineStr">
        <is>
          <t>%</t>
        </is>
      </c>
      <c r="O663" s="5" t="inlineStr">
        <is>
          <t>%</t>
        </is>
      </c>
      <c r="P663" s="15" t="n">
        <v>0</v>
      </c>
      <c r="Q663" s="15" t="n">
        <v>0</v>
      </c>
      <c r="R663" s="5" t="inlineStr">
        <is>
          <t>176-2024-02-29</t>
        </is>
      </c>
    </row>
    <row r="664" hidden="1">
      <c r="A664" s="5" t="n">
        <v>176</v>
      </c>
      <c r="B664" s="5" t="inlineStr">
        <is>
          <t>Cumplimiento Planes de Mejora</t>
        </is>
      </c>
      <c r="C664" s="5" t="inlineStr">
        <is>
          <t>Gestión de calidad</t>
        </is>
      </c>
      <c r="D664" s="5" t="inlineStr">
        <is>
          <t>Mensual</t>
        </is>
      </c>
      <c r="E664" s="5" t="inlineStr">
        <is>
          <t>Positivo</t>
        </is>
      </c>
      <c r="F664" s="109" t="n">
        <v>45382</v>
      </c>
      <c r="G664" s="5" t="n">
        <v>2024</v>
      </c>
      <c r="H664" s="5" t="inlineStr">
        <is>
          <t>Marzo</t>
        </is>
      </c>
      <c r="I664" s="6" t="inlineStr">
        <is>
          <t>2024-1</t>
        </is>
      </c>
      <c r="J664" s="5" t="n">
        <v>85</v>
      </c>
      <c r="K664" s="5" t="n">
        <v>84.05</v>
      </c>
      <c r="L664" s="14" t="n">
        <v>0.9888235294117647</v>
      </c>
      <c r="M664" s="14" t="n">
        <v>0.9888235294117647</v>
      </c>
      <c r="N664" s="5" t="inlineStr">
        <is>
          <t>N/A</t>
        </is>
      </c>
      <c r="O664" s="5" t="inlineStr">
        <is>
          <t>N/A</t>
        </is>
      </c>
      <c r="P664" s="5" t="n">
        <v>0</v>
      </c>
      <c r="Q664" s="5" t="n">
        <v>0</v>
      </c>
      <c r="R664" s="5" t="inlineStr">
        <is>
          <t>176-2024-03-31</t>
        </is>
      </c>
    </row>
    <row r="665" hidden="1">
      <c r="A665" s="21" t="n">
        <v>176</v>
      </c>
      <c r="B665" s="5" t="inlineStr">
        <is>
          <t>Cumplimiento Planes de Mejora</t>
        </is>
      </c>
      <c r="C665" s="5" t="inlineStr">
        <is>
          <t>Gestión de calidad</t>
        </is>
      </c>
      <c r="D665" s="5" t="inlineStr">
        <is>
          <t>Mensual</t>
        </is>
      </c>
      <c r="E665" s="5" t="inlineStr">
        <is>
          <t>Positivo</t>
        </is>
      </c>
      <c r="F665" s="109" t="n">
        <v>45412</v>
      </c>
      <c r="G665" s="5" t="n">
        <v>2024</v>
      </c>
      <c r="H665" s="5" t="inlineStr">
        <is>
          <t>Abril</t>
        </is>
      </c>
      <c r="I665" s="6" t="inlineStr">
        <is>
          <t>2024-1</t>
        </is>
      </c>
      <c r="J665" s="5" t="n">
        <v>85</v>
      </c>
      <c r="K665" s="10" t="n">
        <v>85.09</v>
      </c>
      <c r="L665" s="14" t="n">
        <v>1.001058823529412</v>
      </c>
      <c r="M665" s="14" t="n">
        <v>1.001058823529412</v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176-2024-04-30</t>
        </is>
      </c>
    </row>
    <row r="666" hidden="1">
      <c r="A666" s="21" t="n">
        <v>176</v>
      </c>
      <c r="B666" s="5" t="inlineStr">
        <is>
          <t>Cumplimiento Planes de Mejora</t>
        </is>
      </c>
      <c r="C666" s="5" t="inlineStr">
        <is>
          <t>Gestión de calidad</t>
        </is>
      </c>
      <c r="D666" s="5" t="inlineStr">
        <is>
          <t>Mensual</t>
        </is>
      </c>
      <c r="E666" s="5" t="inlineStr">
        <is>
          <t>Positivo</t>
        </is>
      </c>
      <c r="F666" s="109" t="n">
        <v>45443</v>
      </c>
      <c r="G666" s="5" t="n">
        <v>2024</v>
      </c>
      <c r="H666" s="5" t="inlineStr">
        <is>
          <t>Mayo</t>
        </is>
      </c>
      <c r="I666" s="6" t="inlineStr">
        <is>
          <t>2024-1</t>
        </is>
      </c>
      <c r="J666" s="5" t="n">
        <v>85</v>
      </c>
      <c r="K666" s="10" t="n">
        <v>84.08</v>
      </c>
      <c r="L666" s="14" t="n">
        <v>0.9891764705882353</v>
      </c>
      <c r="M666" s="14" t="n">
        <v>0.9891764705882353</v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176-2024-05-31</t>
        </is>
      </c>
    </row>
    <row r="667" hidden="1">
      <c r="A667" s="21" t="n">
        <v>176</v>
      </c>
      <c r="B667" s="5" t="inlineStr">
        <is>
          <t>Cumplimiento Planes de Mejora</t>
        </is>
      </c>
      <c r="C667" s="5" t="inlineStr">
        <is>
          <t>Gestión de calidad</t>
        </is>
      </c>
      <c r="D667" s="5" t="inlineStr">
        <is>
          <t>Mensual</t>
        </is>
      </c>
      <c r="E667" s="5" t="inlineStr">
        <is>
          <t>Positivo</t>
        </is>
      </c>
      <c r="F667" s="109" t="n">
        <v>45473</v>
      </c>
      <c r="G667" s="5" t="n">
        <v>2024</v>
      </c>
      <c r="H667" s="5" t="inlineStr">
        <is>
          <t>Junio</t>
        </is>
      </c>
      <c r="I667" s="6" t="inlineStr">
        <is>
          <t>2024-1</t>
        </is>
      </c>
      <c r="J667" s="5" t="n">
        <v>85</v>
      </c>
      <c r="K667" s="10" t="n">
        <v>92.5</v>
      </c>
      <c r="L667" s="14" t="n">
        <v>1.088235294117647</v>
      </c>
      <c r="M667" s="14" t="n">
        <v>1.088235294117647</v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176-2024-06-30</t>
        </is>
      </c>
    </row>
    <row r="668" hidden="1">
      <c r="A668" s="21" t="n">
        <v>176</v>
      </c>
      <c r="B668" s="5" t="inlineStr">
        <is>
          <t>Cumplimiento Planes de Mejora</t>
        </is>
      </c>
      <c r="C668" s="5" t="inlineStr">
        <is>
          <t>Gestión de calidad</t>
        </is>
      </c>
      <c r="D668" s="5" t="inlineStr">
        <is>
          <t>Mensual</t>
        </is>
      </c>
      <c r="E668" s="5" t="inlineStr">
        <is>
          <t>Positivo</t>
        </is>
      </c>
      <c r="F668" s="109" t="n">
        <v>45504</v>
      </c>
      <c r="G668" s="5" t="n">
        <v>2024</v>
      </c>
      <c r="H668" s="5" t="inlineStr">
        <is>
          <t>Julio</t>
        </is>
      </c>
      <c r="I668" s="6" t="inlineStr">
        <is>
          <t>2024-2</t>
        </is>
      </c>
      <c r="J668" s="5" t="n">
        <v>85</v>
      </c>
      <c r="K668" s="10" t="n">
        <v>94.72</v>
      </c>
      <c r="L668" s="14" t="n">
        <v>1.114352941176471</v>
      </c>
      <c r="M668" s="14" t="n">
        <v>1.114352941176471</v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176-2024-07-31</t>
        </is>
      </c>
    </row>
    <row r="669" hidden="1">
      <c r="A669" s="21" t="n">
        <v>176</v>
      </c>
      <c r="B669" s="5" t="inlineStr">
        <is>
          <t>Cumplimiento Planes de Mejora</t>
        </is>
      </c>
      <c r="C669" s="5" t="inlineStr">
        <is>
          <t>Gestión de calidad</t>
        </is>
      </c>
      <c r="D669" s="5" t="inlineStr">
        <is>
          <t>Mensual</t>
        </is>
      </c>
      <c r="E669" s="5" t="inlineStr">
        <is>
          <t>Positivo</t>
        </is>
      </c>
      <c r="F669" s="109" t="n">
        <v>45535</v>
      </c>
      <c r="G669" s="5" t="n">
        <v>2024</v>
      </c>
      <c r="H669" s="5" t="inlineStr">
        <is>
          <t>Agosto</t>
        </is>
      </c>
      <c r="I669" s="6" t="inlineStr">
        <is>
          <t>2024-2</t>
        </is>
      </c>
      <c r="J669" s="5" t="n">
        <v>85</v>
      </c>
      <c r="K669" s="10" t="n">
        <v>92.53</v>
      </c>
      <c r="L669" s="14" t="n">
        <v>1.088588235294118</v>
      </c>
      <c r="M669" s="14" t="n">
        <v>1.088588235294118</v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176-2024-08-31</t>
        </is>
      </c>
    </row>
    <row r="670" hidden="1">
      <c r="A670" s="21" t="n">
        <v>176</v>
      </c>
      <c r="B670" s="5" t="inlineStr">
        <is>
          <t>Cumplimiento Planes de Mejora</t>
        </is>
      </c>
      <c r="C670" s="5" t="inlineStr">
        <is>
          <t>Gestión de calidad</t>
        </is>
      </c>
      <c r="D670" s="5" t="inlineStr">
        <is>
          <t>Mensual</t>
        </is>
      </c>
      <c r="E670" s="5" t="inlineStr">
        <is>
          <t>Positivo</t>
        </is>
      </c>
      <c r="F670" s="109" t="n">
        <v>45565</v>
      </c>
      <c r="G670" s="5" t="n">
        <v>2024</v>
      </c>
      <c r="H670" s="5" t="inlineStr">
        <is>
          <t>Septiembre</t>
        </is>
      </c>
      <c r="I670" s="6" t="inlineStr">
        <is>
          <t>2024-2</t>
        </is>
      </c>
      <c r="J670" s="5" t="n">
        <v>85</v>
      </c>
      <c r="K670" s="10" t="n">
        <v>94.44</v>
      </c>
      <c r="L670" s="14" t="n">
        <v>1.111058823529412</v>
      </c>
      <c r="M670" s="14" t="n">
        <v>1.111058823529412</v>
      </c>
      <c r="N670" s="5" t="inlineStr">
        <is>
          <t>%</t>
        </is>
      </c>
      <c r="O670" s="5" t="inlineStr">
        <is>
          <t>%</t>
        </is>
      </c>
      <c r="P670" s="15" t="n">
        <v>0</v>
      </c>
      <c r="Q670" s="15" t="n">
        <v>0</v>
      </c>
      <c r="R670" s="5" t="inlineStr">
        <is>
          <t>176-2024-09-30</t>
        </is>
      </c>
    </row>
    <row r="671" hidden="1">
      <c r="A671" s="21" t="n">
        <v>193</v>
      </c>
      <c r="B671" s="5" t="inlineStr">
        <is>
          <t>Mejorar flujo de atención en todos los niveles de servicio al estudiante (ANS)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09" t="n">
        <v>44742</v>
      </c>
      <c r="G671" s="5" t="n">
        <v>2022</v>
      </c>
      <c r="H671" s="5" t="inlineStr">
        <is>
          <t>Junio</t>
        </is>
      </c>
      <c r="I671" s="6" t="inlineStr">
        <is>
          <t>2022-1</t>
        </is>
      </c>
      <c r="J671" s="5" t="n">
        <v>76</v>
      </c>
      <c r="K671" s="9" t="n">
        <v>91.8</v>
      </c>
      <c r="L671" s="14" t="n">
        <v>1.207894736842105</v>
      </c>
      <c r="M671" s="14" t="n">
        <v>1.207894736842105</v>
      </c>
      <c r="N671" s="5" t="inlineStr">
        <is>
          <t>%</t>
        </is>
      </c>
      <c r="O671" s="11" t="inlineStr">
        <is>
          <t>%</t>
        </is>
      </c>
      <c r="P671" s="15" t="n">
        <v>1</v>
      </c>
      <c r="Q671" s="15" t="n">
        <v>1</v>
      </c>
      <c r="R671" s="5" t="inlineStr">
        <is>
          <t>193-2022-06-30</t>
        </is>
      </c>
    </row>
    <row r="672" hidden="1">
      <c r="A672" s="21" t="n">
        <v>193</v>
      </c>
      <c r="B672" s="5" t="inlineStr">
        <is>
          <t>Mejorar flujo de atención en todos los niveles de servicio al estudiante (ANS)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08" t="n">
        <v>44926</v>
      </c>
      <c r="G672" s="5" t="n">
        <v>2022</v>
      </c>
      <c r="H672" s="5" t="inlineStr">
        <is>
          <t>Diciembre</t>
        </is>
      </c>
      <c r="I672" s="6" t="inlineStr">
        <is>
          <t>2022-2</t>
        </is>
      </c>
      <c r="J672" s="5" t="n">
        <v>76</v>
      </c>
      <c r="K672" s="9" t="n">
        <v>92.40000000000001</v>
      </c>
      <c r="L672" s="14" t="n">
        <v>1.215789473684211</v>
      </c>
      <c r="M672" s="14" t="n">
        <v>1.215789473684211</v>
      </c>
      <c r="N672" s="5" t="inlineStr">
        <is>
          <t>%</t>
        </is>
      </c>
      <c r="O672" s="11" t="inlineStr">
        <is>
          <t>%</t>
        </is>
      </c>
      <c r="P672" s="15" t="n">
        <v>1</v>
      </c>
      <c r="Q672" s="15" t="n">
        <v>1</v>
      </c>
      <c r="R672" s="5" t="inlineStr">
        <is>
          <t>193-2022-12-31</t>
        </is>
      </c>
    </row>
    <row r="673" hidden="1">
      <c r="A673" s="21" t="n">
        <v>193</v>
      </c>
      <c r="B673" s="5" t="inlineStr">
        <is>
          <t>Mejorar flujo de atención en todos los niveles de servicio al estudiante (ANS)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Positivo</t>
        </is>
      </c>
      <c r="F673" s="109" t="n">
        <v>45107</v>
      </c>
      <c r="G673" s="5" t="n">
        <v>2023</v>
      </c>
      <c r="H673" s="5" t="inlineStr">
        <is>
          <t>Junio</t>
        </is>
      </c>
      <c r="I673" s="6" t="inlineStr">
        <is>
          <t>2023-1</t>
        </is>
      </c>
      <c r="J673" s="5" t="n">
        <v>92</v>
      </c>
      <c r="K673" s="9" t="n">
        <v>91.899679829242</v>
      </c>
      <c r="L673" s="14" t="n">
        <v>0.9989095633613261</v>
      </c>
      <c r="M673" s="14" t="n">
        <v>0.9989095633613261</v>
      </c>
      <c r="N673" s="5" t="inlineStr">
        <is>
          <t>%</t>
        </is>
      </c>
      <c r="O673" s="11" t="inlineStr">
        <is>
          <t>%</t>
        </is>
      </c>
      <c r="P673" s="15" t="n">
        <v>1</v>
      </c>
      <c r="Q673" s="15" t="n">
        <v>1</v>
      </c>
      <c r="R673" s="5" t="inlineStr">
        <is>
          <t>193-2023-06-30</t>
        </is>
      </c>
    </row>
    <row r="674" hidden="1">
      <c r="A674" s="21" t="n">
        <v>193</v>
      </c>
      <c r="B674" s="5" t="inlineStr">
        <is>
          <t>Mejorar flujo de atención en todos los niveles de servicio al estudiante (ANS)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Positivo</t>
        </is>
      </c>
      <c r="F674" s="109" t="n">
        <v>45291</v>
      </c>
      <c r="G674" s="5" t="n">
        <v>2023</v>
      </c>
      <c r="H674" s="5" t="inlineStr">
        <is>
          <t>Diciembre</t>
        </is>
      </c>
      <c r="I674" s="6" t="inlineStr">
        <is>
          <t>2023-2</t>
        </is>
      </c>
      <c r="J674" s="5" t="n">
        <v>92</v>
      </c>
      <c r="K674" s="9" t="n">
        <v>91.3</v>
      </c>
      <c r="L674" s="14" t="n">
        <v>0.9923913043478261</v>
      </c>
      <c r="M674" s="14" t="n">
        <v>0.9923913043478261</v>
      </c>
      <c r="N674" s="5" t="inlineStr">
        <is>
          <t>%</t>
        </is>
      </c>
      <c r="O674" s="11" t="inlineStr">
        <is>
          <t>%</t>
        </is>
      </c>
      <c r="P674" s="15" t="n">
        <v>1</v>
      </c>
      <c r="Q674" s="15" t="n">
        <v>1</v>
      </c>
      <c r="R674" s="5" t="inlineStr">
        <is>
          <t>193-2023-12-31</t>
        </is>
      </c>
    </row>
    <row r="675" hidden="1">
      <c r="A675" s="21" t="n">
        <v>193</v>
      </c>
      <c r="B675" s="5" t="inlineStr">
        <is>
          <t>Mejorar flujo de atención en todos los niveles de servicio al estudiante (ANS)</t>
        </is>
      </c>
      <c r="C675" s="5" t="inlineStr">
        <is>
          <t>Servicio</t>
        </is>
      </c>
      <c r="D675" s="5" t="inlineStr">
        <is>
          <t>Semestral</t>
        </is>
      </c>
      <c r="E675" s="5" t="inlineStr">
        <is>
          <t>Positivo</t>
        </is>
      </c>
      <c r="F675" s="109" t="n">
        <v>45473</v>
      </c>
      <c r="G675" s="5" t="n">
        <v>2024</v>
      </c>
      <c r="H675" s="5" t="inlineStr">
        <is>
          <t>Junio</t>
        </is>
      </c>
      <c r="I675" s="6" t="inlineStr">
        <is>
          <t>2024-1</t>
        </is>
      </c>
      <c r="J675" s="5" t="n">
        <v>90</v>
      </c>
      <c r="K675" s="9" t="n">
        <v>91.7002307620256</v>
      </c>
      <c r="L675" s="14" t="n">
        <v>1.018891452911395</v>
      </c>
      <c r="M675" s="14" t="n">
        <v>1.018891452911395</v>
      </c>
      <c r="N675" s="5" t="inlineStr">
        <is>
          <t>%</t>
        </is>
      </c>
      <c r="O675" s="11" t="inlineStr">
        <is>
          <t>%</t>
        </is>
      </c>
      <c r="P675" s="15" t="n">
        <v>1</v>
      </c>
      <c r="Q675" s="15" t="n">
        <v>1</v>
      </c>
      <c r="R675" s="5" t="inlineStr">
        <is>
          <t>193-2024-06-30</t>
        </is>
      </c>
    </row>
    <row r="676" hidden="1">
      <c r="A676" s="21" t="n">
        <v>193</v>
      </c>
      <c r="B676" s="5" t="inlineStr">
        <is>
          <t>Mejorar flujo de atención en todos los niveles de servicio al estudiante (ANS)</t>
        </is>
      </c>
      <c r="C676" s="5" t="inlineStr">
        <is>
          <t>Servicio</t>
        </is>
      </c>
      <c r="D676" s="5" t="inlineStr">
        <is>
          <t>Semestral</t>
        </is>
      </c>
      <c r="E676" s="5" t="inlineStr">
        <is>
          <t>Positivo</t>
        </is>
      </c>
      <c r="F676" s="109" t="n">
        <v>45657</v>
      </c>
      <c r="G676" s="5" t="n">
        <v>2024</v>
      </c>
      <c r="H676" s="5" t="inlineStr">
        <is>
          <t>Diciembre</t>
        </is>
      </c>
      <c r="I676" s="6" t="inlineStr">
        <is>
          <t>2024-2</t>
        </is>
      </c>
      <c r="J676" s="5" t="n">
        <v>90</v>
      </c>
      <c r="K676" s="9" t="n">
        <v>93.5</v>
      </c>
      <c r="L676" s="14" t="n">
        <v>1.038888888888889</v>
      </c>
      <c r="M676" s="14" t="n">
        <v>1.038888888888889</v>
      </c>
      <c r="N676" s="5" t="inlineStr">
        <is>
          <t>%</t>
        </is>
      </c>
      <c r="O676" s="11" t="inlineStr">
        <is>
          <t>%</t>
        </is>
      </c>
      <c r="P676" s="15" t="n">
        <v>1</v>
      </c>
      <c r="Q676" s="15" t="n">
        <v>1</v>
      </c>
      <c r="R676" s="5" t="inlineStr">
        <is>
          <t>193-2024-12-31</t>
        </is>
      </c>
    </row>
    <row r="677" hidden="1">
      <c r="A677" s="21" t="n">
        <v>193</v>
      </c>
      <c r="B677" s="5" t="inlineStr">
        <is>
          <t>Mejorar flujo de atención en todos los niveles de servicio al estudiante (ANS)</t>
        </is>
      </c>
      <c r="C677" s="5" t="inlineStr">
        <is>
          <t>Servicio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45838</v>
      </c>
      <c r="G677" s="5" t="n">
        <v>2025</v>
      </c>
      <c r="H677" s="5" t="inlineStr">
        <is>
          <t>Junio</t>
        </is>
      </c>
      <c r="I677" s="6" t="inlineStr">
        <is>
          <t>2025-1</t>
        </is>
      </c>
      <c r="J677" s="5" t="n">
        <v>93</v>
      </c>
      <c r="K677" s="9" t="n">
        <v>96.20999999999999</v>
      </c>
      <c r="L677" s="14" t="n">
        <v>1.034516129032258</v>
      </c>
      <c r="M677" s="14" t="n">
        <v>1.034516129032258</v>
      </c>
      <c r="N677" s="5" t="inlineStr">
        <is>
          <t>%</t>
        </is>
      </c>
      <c r="O677" s="11" t="inlineStr">
        <is>
          <t>%</t>
        </is>
      </c>
      <c r="P677" s="15" t="n">
        <v>1</v>
      </c>
      <c r="Q677" s="15" t="n">
        <v>1</v>
      </c>
      <c r="R677" s="5" t="inlineStr">
        <is>
          <t>193-2025-06-30</t>
        </is>
      </c>
    </row>
    <row r="678" hidden="1">
      <c r="A678" s="21" t="n">
        <v>193</v>
      </c>
      <c r="B678" s="5" t="inlineStr">
        <is>
          <t>Porcentaje de Cumplimiento del Acuerdo de Nivel de Servicio (ANS)</t>
        </is>
      </c>
      <c r="C678" s="5" t="inlineStr">
        <is>
          <t>Servicio</t>
        </is>
      </c>
      <c r="D678" s="5" t="inlineStr">
        <is>
          <t>Trimestral</t>
        </is>
      </c>
      <c r="E678" s="5" t="inlineStr">
        <is>
          <t>Positivo</t>
        </is>
      </c>
      <c r="F678" s="109" t="n">
        <v>46022</v>
      </c>
      <c r="G678" s="5" t="n">
        <v>2025</v>
      </c>
      <c r="H678" s="5" t="inlineStr">
        <is>
          <t>Diciembre</t>
        </is>
      </c>
      <c r="I678" s="6" t="inlineStr">
        <is>
          <t>2025-2</t>
        </is>
      </c>
      <c r="J678" s="5" t="n">
        <v>94</v>
      </c>
      <c r="K678" s="9" t="n">
        <v>95</v>
      </c>
      <c r="L678" s="14" t="n">
        <v>1.01063829787234</v>
      </c>
      <c r="M678" s="14" t="n">
        <v>1.01063829787234</v>
      </c>
      <c r="N678" s="5" t="inlineStr">
        <is>
          <t>%</t>
        </is>
      </c>
      <c r="O678" s="11" t="inlineStr">
        <is>
          <t>%</t>
        </is>
      </c>
      <c r="P678" s="15" t="n">
        <v>1</v>
      </c>
      <c r="Q678" s="15" t="n">
        <v>1</v>
      </c>
      <c r="R678" s="5" t="inlineStr">
        <is>
          <t>193-2025-12-31</t>
        </is>
      </c>
    </row>
    <row r="679" hidden="1">
      <c r="A679" s="21" t="n">
        <v>194</v>
      </c>
      <c r="B679" s="5" t="inlineStr">
        <is>
          <t>Índice de satisfacción del estudiante (SSI)</t>
        </is>
      </c>
      <c r="C679" s="5" t="inlineStr">
        <is>
          <t>Servicio</t>
        </is>
      </c>
      <c r="D679" s="5" t="inlineStr">
        <is>
          <t>Semestral</t>
        </is>
      </c>
      <c r="E679" s="5" t="inlineStr">
        <is>
          <t>Positivo</t>
        </is>
      </c>
      <c r="F679" s="109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73</v>
      </c>
      <c r="K679" s="9" t="n">
        <v>83.26000000000001</v>
      </c>
      <c r="L679" s="14" t="n">
        <v>1.140547945205479</v>
      </c>
      <c r="M679" s="14" t="n">
        <v>1.140547945205479</v>
      </c>
      <c r="N679" s="5" t="inlineStr">
        <is>
          <t>%</t>
        </is>
      </c>
      <c r="O679" s="11" t="inlineStr">
        <is>
          <t>%</t>
        </is>
      </c>
      <c r="P679" s="15" t="n">
        <v>0</v>
      </c>
      <c r="Q679" s="15" t="n">
        <v>0</v>
      </c>
      <c r="R679" s="5" t="inlineStr">
        <is>
          <t>194-2022-06-30</t>
        </is>
      </c>
    </row>
    <row r="680" hidden="1">
      <c r="A680" s="26" t="n">
        <v>194</v>
      </c>
      <c r="B680" s="5" t="inlineStr">
        <is>
          <t>Índice de satisfacción del estudiante (SSI)</t>
        </is>
      </c>
      <c r="C680" s="5" t="inlineStr">
        <is>
          <t>Servicio</t>
        </is>
      </c>
      <c r="D680" s="5" t="inlineStr">
        <is>
          <t>Semestral</t>
        </is>
      </c>
      <c r="E680" s="5" t="inlineStr">
        <is>
          <t>Positivo</t>
        </is>
      </c>
      <c r="F680" s="109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73</v>
      </c>
      <c r="K680" s="9" t="n">
        <v>83.11</v>
      </c>
      <c r="L680" s="14" t="n">
        <v>1.138493150684931</v>
      </c>
      <c r="M680" s="14" t="n">
        <v>1.138493150684931</v>
      </c>
      <c r="N680" s="5" t="inlineStr">
        <is>
          <t>%</t>
        </is>
      </c>
      <c r="O680" s="11" t="inlineStr">
        <is>
          <t>%</t>
        </is>
      </c>
      <c r="P680" s="15" t="n">
        <v>0</v>
      </c>
      <c r="Q680" s="15" t="n">
        <v>0</v>
      </c>
      <c r="R680" s="5" t="inlineStr">
        <is>
          <t>194-2022-12-31</t>
        </is>
      </c>
    </row>
    <row r="681" hidden="1">
      <c r="A681" s="26" t="n">
        <v>194</v>
      </c>
      <c r="B681" s="5" t="inlineStr">
        <is>
          <t>Índice de satisfacción del estudiante (SSI)</t>
        </is>
      </c>
      <c r="C681" s="5" t="inlineStr">
        <is>
          <t>Servicio</t>
        </is>
      </c>
      <c r="D681" s="5" t="inlineStr">
        <is>
          <t>Semestral</t>
        </is>
      </c>
      <c r="E681" s="5" t="inlineStr">
        <is>
          <t>Positivo</t>
        </is>
      </c>
      <c r="F681" s="109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80</v>
      </c>
      <c r="K681" s="9" t="n">
        <v>79.18000000000001</v>
      </c>
      <c r="L681" s="14" t="n">
        <v>0.9897500000000001</v>
      </c>
      <c r="M681" s="14" t="n">
        <v>0.9897500000000001</v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194-2023-06-30</t>
        </is>
      </c>
    </row>
    <row r="682" hidden="1">
      <c r="A682" s="26" t="n">
        <v>194</v>
      </c>
      <c r="B682" s="5" t="inlineStr">
        <is>
          <t>Índice de satisfacción del estudiante (SSI)</t>
        </is>
      </c>
      <c r="C682" s="5" t="inlineStr">
        <is>
          <t>Servicio</t>
        </is>
      </c>
      <c r="D682" s="5" t="inlineStr">
        <is>
          <t>Semestral</t>
        </is>
      </c>
      <c r="E682" s="5" t="inlineStr">
        <is>
          <t>Positivo</t>
        </is>
      </c>
      <c r="F682" s="109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80</v>
      </c>
      <c r="K682" s="9" t="n">
        <v>81.91</v>
      </c>
      <c r="L682" s="14" t="n">
        <v>1.023875</v>
      </c>
      <c r="M682" s="14" t="n">
        <v>1.023875</v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194-2023-12-31</t>
        </is>
      </c>
    </row>
    <row r="683" hidden="1">
      <c r="A683" s="21" t="n">
        <v>194</v>
      </c>
      <c r="B683" s="5" t="inlineStr">
        <is>
          <t>Índice de satisfacción del estudiante (SSI)</t>
        </is>
      </c>
      <c r="C683" s="5" t="inlineStr">
        <is>
          <t>Servicio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81</v>
      </c>
      <c r="K683" s="9" t="n">
        <v>83.01000000000001</v>
      </c>
      <c r="L683" s="14" t="n">
        <v>1.024814814814815</v>
      </c>
      <c r="M683" s="14" t="n">
        <v>1.024814814814815</v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194-2024-06-30</t>
        </is>
      </c>
    </row>
    <row r="684" hidden="1">
      <c r="A684" s="21" t="n">
        <v>194</v>
      </c>
      <c r="B684" s="5" t="inlineStr">
        <is>
          <t>Índice de satisfacción del estudiante (SSI)</t>
        </is>
      </c>
      <c r="C684" s="5" t="inlineStr">
        <is>
          <t>Servicio</t>
        </is>
      </c>
      <c r="D684" s="5" t="inlineStr">
        <is>
          <t>Semestral</t>
        </is>
      </c>
      <c r="E684" s="5" t="inlineStr">
        <is>
          <t>Positivo</t>
        </is>
      </c>
      <c r="F684" s="108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81</v>
      </c>
      <c r="K684" s="9" t="n">
        <v>89</v>
      </c>
      <c r="L684" s="14" t="n">
        <v>1.098765432098765</v>
      </c>
      <c r="M684" s="14" t="n">
        <v>1.098765432098765</v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194-2024-12-31</t>
        </is>
      </c>
    </row>
    <row r="685" hidden="1">
      <c r="A685" s="21" t="n">
        <v>195</v>
      </c>
      <c r="B685" s="5" t="inlineStr">
        <is>
          <t>NPS- Net Promotor Score</t>
        </is>
      </c>
      <c r="C685" s="5" t="inlineStr">
        <is>
          <t>Servicio</t>
        </is>
      </c>
      <c r="D685" s="5" t="inlineStr">
        <is>
          <t>Semestral</t>
        </is>
      </c>
      <c r="E685" s="5" t="inlineStr">
        <is>
          <t>Positivo</t>
        </is>
      </c>
      <c r="F685" s="109" t="n">
        <v>44742</v>
      </c>
      <c r="G685" s="5" t="n">
        <v>2022</v>
      </c>
      <c r="H685" s="5" t="inlineStr">
        <is>
          <t>Junio</t>
        </is>
      </c>
      <c r="I685" s="6" t="inlineStr">
        <is>
          <t>2022-1</t>
        </is>
      </c>
      <c r="J685" s="5" t="n">
        <v>25</v>
      </c>
      <c r="K685" s="9" t="n">
        <v>46.11</v>
      </c>
      <c r="L685" s="14" t="n">
        <v>1.3</v>
      </c>
      <c r="M685" s="14" t="n">
        <v>1.8444</v>
      </c>
      <c r="N685" s="5" t="inlineStr">
        <is>
          <t>%</t>
        </is>
      </c>
      <c r="O685" s="5" t="inlineStr">
        <is>
          <t>%</t>
        </is>
      </c>
      <c r="P685" s="15" t="n">
        <v>1</v>
      </c>
      <c r="Q685" s="15" t="n">
        <v>1</v>
      </c>
      <c r="R685" s="5" t="inlineStr">
        <is>
          <t>195-2022-06-30</t>
        </is>
      </c>
    </row>
    <row r="686" hidden="1">
      <c r="A686" s="21" t="n">
        <v>195</v>
      </c>
      <c r="B686" s="5" t="inlineStr">
        <is>
          <t>NPS- Net Promotor Score</t>
        </is>
      </c>
      <c r="C686" s="5" t="inlineStr">
        <is>
          <t>Servicio</t>
        </is>
      </c>
      <c r="D686" s="5" t="inlineStr">
        <is>
          <t>Semestral</t>
        </is>
      </c>
      <c r="E686" s="5" t="inlineStr">
        <is>
          <t>Positivo</t>
        </is>
      </c>
      <c r="F686" s="109" t="n">
        <v>44926</v>
      </c>
      <c r="G686" s="5" t="n">
        <v>2022</v>
      </c>
      <c r="H686" s="5" t="inlineStr">
        <is>
          <t>Diciembre</t>
        </is>
      </c>
      <c r="I686" s="6" t="inlineStr">
        <is>
          <t>2022-2</t>
        </is>
      </c>
      <c r="J686" s="5" t="n">
        <v>25</v>
      </c>
      <c r="K686" s="9" t="n">
        <v>43.56</v>
      </c>
      <c r="L686" s="14" t="n">
        <v>1.3</v>
      </c>
      <c r="M686" s="14" t="n">
        <v>1.7424</v>
      </c>
      <c r="N686" s="5" t="inlineStr">
        <is>
          <t>%</t>
        </is>
      </c>
      <c r="O686" s="5" t="inlineStr">
        <is>
          <t>%</t>
        </is>
      </c>
      <c r="P686" s="15" t="n">
        <v>1</v>
      </c>
      <c r="Q686" s="15" t="n">
        <v>1</v>
      </c>
      <c r="R686" s="5" t="inlineStr">
        <is>
          <t>195-2022-12-31</t>
        </is>
      </c>
    </row>
    <row r="687" hidden="1">
      <c r="A687" s="21" t="n">
        <v>195</v>
      </c>
      <c r="B687" s="5" t="inlineStr">
        <is>
          <t>NPS- Net Promotor Score</t>
        </is>
      </c>
      <c r="C687" s="5" t="inlineStr">
        <is>
          <t>Servicio</t>
        </is>
      </c>
      <c r="D687" s="5" t="inlineStr">
        <is>
          <t>Semestral</t>
        </is>
      </c>
      <c r="E687" s="5" t="inlineStr">
        <is>
          <t>Positivo</t>
        </is>
      </c>
      <c r="F687" s="109" t="n">
        <v>45107</v>
      </c>
      <c r="G687" s="5" t="n">
        <v>2023</v>
      </c>
      <c r="H687" s="5" t="inlineStr">
        <is>
          <t>Junio</t>
        </is>
      </c>
      <c r="I687" s="6" t="inlineStr">
        <is>
          <t>2023-1</t>
        </is>
      </c>
      <c r="J687" s="5" t="n">
        <v>42</v>
      </c>
      <c r="K687" s="9" t="n">
        <v>36.54</v>
      </c>
      <c r="L687" s="14" t="n">
        <v>0.87</v>
      </c>
      <c r="M687" s="14" t="n">
        <v>0.87</v>
      </c>
      <c r="N687" s="5" t="inlineStr">
        <is>
          <t>%</t>
        </is>
      </c>
      <c r="O687" s="5" t="inlineStr">
        <is>
          <t>%</t>
        </is>
      </c>
      <c r="P687" s="15" t="n">
        <v>0</v>
      </c>
      <c r="Q687" s="15" t="n">
        <v>0</v>
      </c>
      <c r="R687" s="5" t="inlineStr">
        <is>
          <t>195-2023-06-30</t>
        </is>
      </c>
    </row>
    <row r="688" hidden="1">
      <c r="A688" s="21" t="n">
        <v>195</v>
      </c>
      <c r="B688" s="5" t="inlineStr">
        <is>
          <t>NPS- Net Promotor Score</t>
        </is>
      </c>
      <c r="C688" s="5" t="inlineStr">
        <is>
          <t>Servicio</t>
        </is>
      </c>
      <c r="D688" s="5" t="inlineStr">
        <is>
          <t>Semestral</t>
        </is>
      </c>
      <c r="E688" s="5" t="inlineStr">
        <is>
          <t>Positivo</t>
        </is>
      </c>
      <c r="F688" s="109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42</v>
      </c>
      <c r="K688" s="9" t="n">
        <v>53.34</v>
      </c>
      <c r="L688" s="14" t="n">
        <v>1.27</v>
      </c>
      <c r="M688" s="14" t="n">
        <v>1.27</v>
      </c>
      <c r="N688" s="5" t="inlineStr">
        <is>
          <t>%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195-2023-12-31</t>
        </is>
      </c>
    </row>
    <row r="689" hidden="1">
      <c r="A689" s="21" t="n">
        <v>196</v>
      </c>
      <c r="B689" s="5" t="inlineStr">
        <is>
          <t>(% de solicitudes procesos Pareto)</t>
        </is>
      </c>
      <c r="C689" s="5" t="inlineStr">
        <is>
          <t>Servicio</t>
        </is>
      </c>
      <c r="D689" s="5" t="inlineStr">
        <is>
          <t>Semestral</t>
        </is>
      </c>
      <c r="E689" s="5" t="inlineStr">
        <is>
          <t>Negativo</t>
        </is>
      </c>
      <c r="F689" s="109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37</v>
      </c>
      <c r="K689" s="9" t="n">
        <v>34.41</v>
      </c>
      <c r="L689" s="14" t="n">
        <v>1.075268817204301</v>
      </c>
      <c r="M689" s="14" t="n">
        <v>1.075268817204301</v>
      </c>
      <c r="N689" s="5" t="inlineStr">
        <is>
          <t>%</t>
        </is>
      </c>
      <c r="O689" s="5" t="inlineStr">
        <is>
          <t>%</t>
        </is>
      </c>
      <c r="P689" s="15" t="n">
        <v>0</v>
      </c>
      <c r="Q689" s="15" t="n">
        <v>0</v>
      </c>
      <c r="R689" s="5" t="inlineStr">
        <is>
          <t>196-2023-06-30</t>
        </is>
      </c>
    </row>
    <row r="690" hidden="1">
      <c r="A690" s="21" t="n">
        <v>196</v>
      </c>
      <c r="B690" s="5" t="inlineStr">
        <is>
          <t>(% de solicitudes procesos Pareto)</t>
        </is>
      </c>
      <c r="C690" s="5" t="inlineStr">
        <is>
          <t>Servicio</t>
        </is>
      </c>
      <c r="D690" s="5" t="inlineStr">
        <is>
          <t>Semestral</t>
        </is>
      </c>
      <c r="E690" s="5" t="inlineStr">
        <is>
          <t>Negativo</t>
        </is>
      </c>
      <c r="F690" s="109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37</v>
      </c>
      <c r="K690" s="9" t="n">
        <v>26.62</v>
      </c>
      <c r="L690" s="14" t="n">
        <v>1.3</v>
      </c>
      <c r="M690" s="14" t="n">
        <v>1.389932381667919</v>
      </c>
      <c r="N690" s="5" t="inlineStr">
        <is>
          <t>%</t>
        </is>
      </c>
      <c r="O690" s="5" t="inlineStr">
        <is>
          <t>%</t>
        </is>
      </c>
      <c r="P690" s="15" t="n">
        <v>0</v>
      </c>
      <c r="Q690" s="15" t="n">
        <v>0</v>
      </c>
      <c r="R690" s="5" t="inlineStr">
        <is>
          <t>196-2023-12-31</t>
        </is>
      </c>
    </row>
    <row r="691" hidden="1">
      <c r="A691" s="21" t="n">
        <v>197</v>
      </c>
      <c r="B691" s="5" t="inlineStr">
        <is>
          <t>Cumplimiento cronograma Mantenimiento de Equipos</t>
        </is>
      </c>
      <c r="C691" s="5" t="inlineStr">
        <is>
          <t>Gestión Infraestructura Física</t>
        </is>
      </c>
      <c r="D691" s="5" t="inlineStr">
        <is>
          <t>Semestral</t>
        </is>
      </c>
      <c r="E691" s="5" t="inlineStr">
        <is>
          <t>Positivo</t>
        </is>
      </c>
      <c r="F691" s="109" t="n">
        <v>44742</v>
      </c>
      <c r="G691" s="5" t="n">
        <v>2022</v>
      </c>
      <c r="H691" s="5" t="inlineStr">
        <is>
          <t>Junio</t>
        </is>
      </c>
      <c r="I691" s="6" t="inlineStr">
        <is>
          <t>2022-1</t>
        </is>
      </c>
      <c r="J691" s="5" t="n">
        <v>0</v>
      </c>
      <c r="K691" s="9" t="n"/>
      <c r="L691" s="14" t="n"/>
      <c r="M691" s="14" t="n"/>
      <c r="N691" s="5" t="inlineStr">
        <is>
          <t>%</t>
        </is>
      </c>
      <c r="O691" s="5" t="inlineStr">
        <is>
          <t>No Aplica</t>
        </is>
      </c>
      <c r="P691" s="15" t="n">
        <v>0</v>
      </c>
      <c r="Q691" s="15" t="n">
        <v>0</v>
      </c>
      <c r="R691" s="5" t="inlineStr">
        <is>
          <t>197-2022-06-30</t>
        </is>
      </c>
      <c r="S691" t="inlineStr">
        <is>
          <t>No Aplica</t>
        </is>
      </c>
    </row>
    <row r="692" hidden="1">
      <c r="A692" s="26" t="n">
        <v>197</v>
      </c>
      <c r="B692" s="5" t="inlineStr">
        <is>
          <t>Cumplimiento cronograma Mantenimiento de Equipos</t>
        </is>
      </c>
      <c r="C692" s="5" t="inlineStr">
        <is>
          <t>Gestión Infraestructura Física</t>
        </is>
      </c>
      <c r="D692" s="5" t="inlineStr">
        <is>
          <t>Semestral</t>
        </is>
      </c>
      <c r="E692" s="5" t="inlineStr">
        <is>
          <t>Positivo</t>
        </is>
      </c>
      <c r="F692" s="109" t="n">
        <v>44834</v>
      </c>
      <c r="G692" s="5" t="n">
        <v>2022</v>
      </c>
      <c r="H692" s="5" t="inlineStr">
        <is>
          <t>Septiembre</t>
        </is>
      </c>
      <c r="I692" s="6" t="inlineStr">
        <is>
          <t>2022-2</t>
        </is>
      </c>
      <c r="J692" s="5" t="n">
        <v>90</v>
      </c>
      <c r="K692" s="9" t="n">
        <v>100</v>
      </c>
      <c r="L692" s="14" t="n">
        <v>1.111111111111111</v>
      </c>
      <c r="M692" s="14" t="n">
        <v>1.111111111111111</v>
      </c>
      <c r="N692" s="5" t="inlineStr">
        <is>
          <t>%</t>
        </is>
      </c>
      <c r="O692" s="5" t="inlineStr">
        <is>
          <t>%</t>
        </is>
      </c>
      <c r="P692" s="15" t="n">
        <v>0</v>
      </c>
      <c r="Q692" s="15" t="n">
        <v>0</v>
      </c>
      <c r="R692" s="5" t="inlineStr">
        <is>
          <t>197-2022-09-30</t>
        </is>
      </c>
    </row>
    <row r="693" hidden="1">
      <c r="A693" s="26" t="n">
        <v>197</v>
      </c>
      <c r="B693" s="5" t="inlineStr">
        <is>
          <t>Cumplimiento cronograma Mantenimiento de Equipos</t>
        </is>
      </c>
      <c r="C693" s="5" t="inlineStr">
        <is>
          <t>Gestión Infraestructura Física</t>
        </is>
      </c>
      <c r="D693" s="5" t="inlineStr">
        <is>
          <t>Semestral</t>
        </is>
      </c>
      <c r="E693" s="5" t="inlineStr">
        <is>
          <t>Positivo</t>
        </is>
      </c>
      <c r="F693" s="109" t="n">
        <v>44926</v>
      </c>
      <c r="G693" s="5" t="n">
        <v>2022</v>
      </c>
      <c r="H693" s="5" t="inlineStr">
        <is>
          <t>Diciembre</t>
        </is>
      </c>
      <c r="I693" s="6" t="inlineStr">
        <is>
          <t>2022-2</t>
        </is>
      </c>
      <c r="J693" s="5" t="n">
        <v>90</v>
      </c>
      <c r="K693" s="9" t="n">
        <v>100</v>
      </c>
      <c r="L693" s="14" t="n">
        <v>1.111111111111111</v>
      </c>
      <c r="M693" s="14" t="n">
        <v>1.111111111111111</v>
      </c>
      <c r="N693" s="5" t="inlineStr">
        <is>
          <t>%</t>
        </is>
      </c>
      <c r="O693" s="5" t="inlineStr">
        <is>
          <t>%</t>
        </is>
      </c>
      <c r="P693" s="15" t="n">
        <v>0</v>
      </c>
      <c r="Q693" s="15" t="n">
        <v>0</v>
      </c>
      <c r="R693" s="5" t="inlineStr">
        <is>
          <t>197-2022-12-31</t>
        </is>
      </c>
    </row>
    <row r="694" hidden="1">
      <c r="A694" s="26" t="n">
        <v>197</v>
      </c>
      <c r="B694" s="5" t="inlineStr">
        <is>
          <t>Cumplimiento cronograma Mantenimiento de Equipos</t>
        </is>
      </c>
      <c r="C694" s="5" t="inlineStr">
        <is>
          <t>Gestión Infraestructura Física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45016</v>
      </c>
      <c r="G694" s="5" t="n">
        <v>2023</v>
      </c>
      <c r="H694" s="5" t="inlineStr">
        <is>
          <t>Marzo</t>
        </is>
      </c>
      <c r="I694" s="6" t="inlineStr">
        <is>
          <t>2023-1</t>
        </is>
      </c>
      <c r="J694" s="5" t="n">
        <v>90</v>
      </c>
      <c r="K694" s="9" t="n">
        <v>100</v>
      </c>
      <c r="L694" s="14" t="n">
        <v>1.111111111111111</v>
      </c>
      <c r="M694" s="14" t="n">
        <v>1.111111111111111</v>
      </c>
      <c r="N694" s="5" t="inlineStr">
        <is>
          <t>%</t>
        </is>
      </c>
      <c r="O694" s="5" t="inlineStr">
        <is>
          <t>%</t>
        </is>
      </c>
      <c r="P694" s="15" t="n">
        <v>0</v>
      </c>
      <c r="Q694" s="15" t="n">
        <v>0</v>
      </c>
      <c r="R694" s="5" t="inlineStr">
        <is>
          <t>197-2023-03-31</t>
        </is>
      </c>
    </row>
    <row r="695" hidden="1">
      <c r="A695" s="21" t="n">
        <v>197</v>
      </c>
      <c r="B695" s="5" t="inlineStr">
        <is>
          <t>Cumplimiento cronograma Mantenimiento de Equipos</t>
        </is>
      </c>
      <c r="C695" s="5" t="inlineStr">
        <is>
          <t>Gestión Infraestructura Física</t>
        </is>
      </c>
      <c r="D695" s="5" t="inlineStr">
        <is>
          <t>Trimestral</t>
        </is>
      </c>
      <c r="E695" s="5" t="inlineStr">
        <is>
          <t>Positivo</t>
        </is>
      </c>
      <c r="F695" s="109" t="n">
        <v>45107</v>
      </c>
      <c r="G695" s="5" t="n">
        <v>2023</v>
      </c>
      <c r="H695" s="5" t="inlineStr">
        <is>
          <t>Junio</t>
        </is>
      </c>
      <c r="I695" s="6" t="inlineStr">
        <is>
          <t>2023-1</t>
        </is>
      </c>
      <c r="J695" s="5" t="n">
        <v>90</v>
      </c>
      <c r="K695" s="10" t="n">
        <v>100</v>
      </c>
      <c r="L695" s="14" t="n">
        <v>1.111111111111111</v>
      </c>
      <c r="M695" s="14" t="n">
        <v>1.111111111111111</v>
      </c>
      <c r="N695" s="5" t="inlineStr">
        <is>
          <t>%</t>
        </is>
      </c>
      <c r="O695" s="5" t="inlineStr">
        <is>
          <t>%</t>
        </is>
      </c>
      <c r="P695" s="15" t="n">
        <v>0</v>
      </c>
      <c r="Q695" s="15" t="n">
        <v>0</v>
      </c>
      <c r="R695" s="5" t="inlineStr">
        <is>
          <t>197-2023-06-30</t>
        </is>
      </c>
    </row>
    <row r="696" hidden="1">
      <c r="A696" s="21" t="n">
        <v>197</v>
      </c>
      <c r="B696" s="5" t="inlineStr">
        <is>
          <t>Cumplimiento cronograma Mantenimiento de Equipos</t>
        </is>
      </c>
      <c r="C696" s="5" t="inlineStr">
        <is>
          <t>Gestión Infraestructura Física</t>
        </is>
      </c>
      <c r="D696" s="5" t="inlineStr">
        <is>
          <t>Trimestral</t>
        </is>
      </c>
      <c r="E696" s="5" t="inlineStr">
        <is>
          <t>Positivo</t>
        </is>
      </c>
      <c r="F696" s="108" t="n">
        <v>45199</v>
      </c>
      <c r="G696" s="5" t="n">
        <v>2023</v>
      </c>
      <c r="H696" s="5" t="inlineStr">
        <is>
          <t>Septiembre</t>
        </is>
      </c>
      <c r="I696" s="6" t="inlineStr">
        <is>
          <t>2023-2</t>
        </is>
      </c>
      <c r="J696" s="5" t="n">
        <v>90</v>
      </c>
      <c r="K696" s="9" t="n">
        <v>100</v>
      </c>
      <c r="L696" s="14" t="n">
        <v>1.111111111111111</v>
      </c>
      <c r="M696" s="14" t="n">
        <v>1.111111111111111</v>
      </c>
      <c r="N696" s="5" t="inlineStr">
        <is>
          <t>%</t>
        </is>
      </c>
      <c r="O696" s="5" t="inlineStr">
        <is>
          <t>%</t>
        </is>
      </c>
      <c r="P696" s="15" t="n">
        <v>0</v>
      </c>
      <c r="Q696" s="15" t="n">
        <v>0</v>
      </c>
      <c r="R696" s="5" t="inlineStr">
        <is>
          <t>197-2023-09-30</t>
        </is>
      </c>
    </row>
    <row r="697" hidden="1">
      <c r="A697" s="26" t="n">
        <v>197</v>
      </c>
      <c r="B697" s="5" t="inlineStr">
        <is>
          <t>Cumplimiento cronograma Mantenimiento de Equipos</t>
        </is>
      </c>
      <c r="C697" s="5" t="inlineStr">
        <is>
          <t>Gestión Infraestructura Física</t>
        </is>
      </c>
      <c r="D697" s="5" t="inlineStr">
        <is>
          <t>Trimestral</t>
        </is>
      </c>
      <c r="E697" s="5" t="inlineStr">
        <is>
          <t>Positivo</t>
        </is>
      </c>
      <c r="F697" s="109" t="n">
        <v>45291</v>
      </c>
      <c r="G697" s="5" t="n">
        <v>2023</v>
      </c>
      <c r="H697" s="5" t="inlineStr">
        <is>
          <t>Diciembre</t>
        </is>
      </c>
      <c r="I697" s="6" t="inlineStr">
        <is>
          <t>2023-2</t>
        </is>
      </c>
      <c r="J697" s="5" t="n">
        <v>90</v>
      </c>
      <c r="K697" s="9" t="n">
        <v>100</v>
      </c>
      <c r="L697" s="14" t="n">
        <v>1.111111111111111</v>
      </c>
      <c r="M697" s="14" t="n">
        <v>1.111111111111111</v>
      </c>
      <c r="N697" s="5" t="inlineStr">
        <is>
          <t>%</t>
        </is>
      </c>
      <c r="O697" s="5" t="inlineStr">
        <is>
          <t>%</t>
        </is>
      </c>
      <c r="P697" s="15" t="n">
        <v>0</v>
      </c>
      <c r="Q697" s="15" t="n">
        <v>0</v>
      </c>
      <c r="R697" s="5" t="inlineStr">
        <is>
          <t>197-2023-12-31</t>
        </is>
      </c>
    </row>
    <row r="698" hidden="1">
      <c r="A698" s="21" t="n">
        <v>197</v>
      </c>
      <c r="B698" s="5" t="inlineStr">
        <is>
          <t>Cumplimiento cronograma Mantenimiento de Equipos</t>
        </is>
      </c>
      <c r="C698" s="5" t="inlineStr">
        <is>
          <t>Gestión Infraestructura Física</t>
        </is>
      </c>
      <c r="D698" s="5" t="inlineStr">
        <is>
          <t>Trimestral</t>
        </is>
      </c>
      <c r="E698" s="5" t="inlineStr">
        <is>
          <t>Positivo</t>
        </is>
      </c>
      <c r="F698" s="108" t="n">
        <v>45382</v>
      </c>
      <c r="G698" s="5" t="n">
        <v>2024</v>
      </c>
      <c r="H698" s="5" t="inlineStr">
        <is>
          <t>Marzo</t>
        </is>
      </c>
      <c r="I698" s="6" t="inlineStr">
        <is>
          <t>2024-1</t>
        </is>
      </c>
      <c r="J698" s="5" t="n">
        <v>95</v>
      </c>
      <c r="K698" s="9" t="n">
        <v>100</v>
      </c>
      <c r="L698" s="14" t="n">
        <v>1.052631578947368</v>
      </c>
      <c r="M698" s="14" t="n">
        <v>1.052631578947368</v>
      </c>
      <c r="N698" s="5" t="inlineStr">
        <is>
          <t>%</t>
        </is>
      </c>
      <c r="O698" s="5" t="inlineStr">
        <is>
          <t>%</t>
        </is>
      </c>
      <c r="P698" s="15" t="n">
        <v>0</v>
      </c>
      <c r="Q698" s="15" t="n">
        <v>0</v>
      </c>
      <c r="R698" s="5" t="inlineStr">
        <is>
          <t>197-2024-03-31</t>
        </is>
      </c>
    </row>
    <row r="699" hidden="1">
      <c r="A699" s="21" t="n">
        <v>197</v>
      </c>
      <c r="B699" s="5" t="inlineStr">
        <is>
          <t>Cumplimiento cronograma Mantenimiento de Equipos</t>
        </is>
      </c>
      <c r="C699" s="5" t="inlineStr">
        <is>
          <t>Gestión Infraestructura Física</t>
        </is>
      </c>
      <c r="D699" s="5" t="inlineStr">
        <is>
          <t>Trimestral</t>
        </is>
      </c>
      <c r="E699" s="5" t="inlineStr">
        <is>
          <t>Positivo</t>
        </is>
      </c>
      <c r="F699" s="109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0" t="n">
        <v>100</v>
      </c>
      <c r="L699" s="14" t="n">
        <v>1.052631578947368</v>
      </c>
      <c r="M699" s="14" t="n">
        <v>1.052631578947368</v>
      </c>
      <c r="N699" s="5" t="inlineStr">
        <is>
          <t>%</t>
        </is>
      </c>
      <c r="O699" s="5" t="inlineStr">
        <is>
          <t>%</t>
        </is>
      </c>
      <c r="P699" s="15" t="n">
        <v>0</v>
      </c>
      <c r="Q699" s="15" t="n">
        <v>0</v>
      </c>
      <c r="R699" s="5" t="inlineStr">
        <is>
          <t>197-2024-06-30</t>
        </is>
      </c>
    </row>
    <row r="700" hidden="1">
      <c r="A700" s="26" t="n">
        <v>197</v>
      </c>
      <c r="B700" s="5" t="inlineStr">
        <is>
          <t>Cumplimiento cronograma Mantenimiento de Equipos</t>
        </is>
      </c>
      <c r="C700" s="5" t="inlineStr">
        <is>
          <t>Gestión Infraestructura Física</t>
        </is>
      </c>
      <c r="D700" s="5" t="inlineStr">
        <is>
          <t>Trimestral</t>
        </is>
      </c>
      <c r="E700" s="5" t="inlineStr">
        <is>
          <t>Positivo</t>
        </is>
      </c>
      <c r="F700" s="109" t="n">
        <v>45565</v>
      </c>
      <c r="G700" s="5" t="n">
        <v>2024</v>
      </c>
      <c r="H700" s="5" t="inlineStr">
        <is>
          <t>Septiembre</t>
        </is>
      </c>
      <c r="I700" s="6" t="inlineStr">
        <is>
          <t>2024-2</t>
        </is>
      </c>
      <c r="J700" s="5" t="n">
        <v>95</v>
      </c>
      <c r="K700" s="9" t="n">
        <v>100</v>
      </c>
      <c r="L700" s="14" t="n">
        <v>1.052631578947368</v>
      </c>
      <c r="M700" s="14" t="n">
        <v>1.052631578947368</v>
      </c>
      <c r="N700" s="5" t="inlineStr">
        <is>
          <t>%</t>
        </is>
      </c>
      <c r="O700" s="5" t="inlineStr">
        <is>
          <t>%</t>
        </is>
      </c>
      <c r="P700" s="15" t="n">
        <v>0</v>
      </c>
      <c r="Q700" s="15" t="n">
        <v>0</v>
      </c>
      <c r="R700" s="5" t="inlineStr">
        <is>
          <t>197-2024-09-30</t>
        </is>
      </c>
    </row>
    <row r="701" hidden="1">
      <c r="A701" s="5" t="n">
        <v>197</v>
      </c>
      <c r="B701" s="5" t="inlineStr">
        <is>
          <t>Cumplimiento cronograma Mantenimiento de Equipos</t>
        </is>
      </c>
      <c r="C701" s="5" t="inlineStr">
        <is>
          <t>Gestión Infraestructura Física</t>
        </is>
      </c>
      <c r="D701" s="5" t="inlineStr">
        <is>
          <t>Trimestral</t>
        </is>
      </c>
      <c r="E701" s="5" t="inlineStr">
        <is>
          <t>Positivo</t>
        </is>
      </c>
      <c r="F701" s="109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95</v>
      </c>
      <c r="K701" s="5" t="n">
        <v>100</v>
      </c>
      <c r="L701" s="14" t="n">
        <v>1.052631578947368</v>
      </c>
      <c r="M701" s="14" t="n">
        <v>1.052631578947368</v>
      </c>
      <c r="N701" s="5" t="inlineStr">
        <is>
          <t>%</t>
        </is>
      </c>
      <c r="O701" s="5" t="inlineStr">
        <is>
          <t>%</t>
        </is>
      </c>
      <c r="P701" s="5" t="n">
        <v>0</v>
      </c>
      <c r="Q701" s="5" t="n">
        <v>0</v>
      </c>
      <c r="R701" s="5" t="inlineStr">
        <is>
          <t>197-2024-12-31</t>
        </is>
      </c>
    </row>
    <row r="702" hidden="1">
      <c r="A702" s="21" t="n">
        <v>197</v>
      </c>
      <c r="B702" s="5" t="inlineStr">
        <is>
          <t>Cumplimiento cronograma Mantenimiento de Equipos</t>
        </is>
      </c>
      <c r="C702" s="5" t="inlineStr">
        <is>
          <t>Gestión Infraestructura Física</t>
        </is>
      </c>
      <c r="D702" s="5" t="inlineStr">
        <is>
          <t>Trimestral</t>
        </is>
      </c>
      <c r="E702" s="5" t="inlineStr">
        <is>
          <t>Positivo</t>
        </is>
      </c>
      <c r="F702" s="109" t="n">
        <v>45747</v>
      </c>
      <c r="G702" s="5" t="n">
        <v>2025</v>
      </c>
      <c r="H702" s="5" t="inlineStr">
        <is>
          <t>Marzo</t>
        </is>
      </c>
      <c r="I702" s="6" t="inlineStr">
        <is>
          <t>2025-1</t>
        </is>
      </c>
      <c r="J702" s="5" t="n">
        <v>97</v>
      </c>
      <c r="K702" s="10" t="n">
        <v>100</v>
      </c>
      <c r="L702" s="14" t="n">
        <v>1.030927835051546</v>
      </c>
      <c r="M702" s="14" t="n">
        <v>1.030927835051546</v>
      </c>
      <c r="N702" s="5" t="inlineStr">
        <is>
          <t>%</t>
        </is>
      </c>
      <c r="O702" s="5" t="inlineStr">
        <is>
          <t>%</t>
        </is>
      </c>
      <c r="P702" s="15" t="n">
        <v>0</v>
      </c>
      <c r="Q702" s="15" t="n">
        <v>0</v>
      </c>
      <c r="R702" s="5" t="inlineStr">
        <is>
          <t>197-2025-03-31</t>
        </is>
      </c>
    </row>
    <row r="703" hidden="1">
      <c r="A703" s="21" t="n">
        <v>197</v>
      </c>
      <c r="B703" s="5" t="inlineStr">
        <is>
          <t>Cumplimiento cronograma Mantenimiento de Equipos</t>
        </is>
      </c>
      <c r="C703" s="5" t="inlineStr">
        <is>
          <t>Gestión Infraestructura Física</t>
        </is>
      </c>
      <c r="D703" s="5" t="inlineStr">
        <is>
          <t>Trimestral</t>
        </is>
      </c>
      <c r="E703" s="5" t="inlineStr">
        <is>
          <t>Positivo</t>
        </is>
      </c>
      <c r="F703" s="109" t="n">
        <v>45838</v>
      </c>
      <c r="G703" s="5" t="n">
        <v>2025</v>
      </c>
      <c r="H703" s="5" t="inlineStr">
        <is>
          <t>Junio</t>
        </is>
      </c>
      <c r="I703" s="6" t="inlineStr">
        <is>
          <t>2025-1</t>
        </is>
      </c>
      <c r="J703" s="5" t="n">
        <v>97</v>
      </c>
      <c r="K703" s="9" t="n">
        <v>96.43000000000001</v>
      </c>
      <c r="L703" s="14" t="n">
        <v>0.9941237113402063</v>
      </c>
      <c r="M703" s="14" t="n">
        <v>0.9941237113402063</v>
      </c>
      <c r="N703" s="5" t="inlineStr">
        <is>
          <t>%</t>
        </is>
      </c>
      <c r="O703" s="11" t="inlineStr">
        <is>
          <t>%</t>
        </is>
      </c>
      <c r="P703" s="15" t="n">
        <v>0</v>
      </c>
      <c r="Q703" s="15" t="n">
        <v>0</v>
      </c>
      <c r="R703" s="5" t="inlineStr">
        <is>
          <t>197-2025-06-30</t>
        </is>
      </c>
    </row>
    <row r="704" hidden="1">
      <c r="A704" s="21" t="n">
        <v>197</v>
      </c>
      <c r="B704" s="5" t="inlineStr">
        <is>
          <t>Cumplimiento cronograma Mantenimiento de Equipos</t>
        </is>
      </c>
      <c r="C704" s="5" t="inlineStr">
        <is>
          <t>Gestión Infraestructura Física</t>
        </is>
      </c>
      <c r="D704" s="5" t="inlineStr">
        <is>
          <t>Semestral</t>
        </is>
      </c>
      <c r="E704" s="5" t="inlineStr">
        <is>
          <t>Positivo</t>
        </is>
      </c>
      <c r="F704" s="108" t="n">
        <v>45930</v>
      </c>
      <c r="G704" s="5" t="n">
        <v>2025</v>
      </c>
      <c r="H704" s="5" t="inlineStr">
        <is>
          <t>Septiembre</t>
        </is>
      </c>
      <c r="I704" s="6" t="inlineStr">
        <is>
          <t>2025-2</t>
        </is>
      </c>
      <c r="J704" s="5" t="n">
        <v>97</v>
      </c>
      <c r="K704" s="9" t="n">
        <v>104</v>
      </c>
      <c r="L704" s="14" t="n">
        <v>1.072164948453608</v>
      </c>
      <c r="M704" s="14" t="n">
        <v>1.072164948453608</v>
      </c>
      <c r="N704" s="5" t="inlineStr">
        <is>
          <t>%</t>
        </is>
      </c>
      <c r="O704" s="11" t="inlineStr">
        <is>
          <t>%</t>
        </is>
      </c>
      <c r="P704" s="15" t="n">
        <v>0</v>
      </c>
      <c r="Q704" s="15" t="n">
        <v>0</v>
      </c>
      <c r="R704" s="5" t="inlineStr">
        <is>
          <t>197-2025-09-30</t>
        </is>
      </c>
    </row>
    <row r="705" hidden="1">
      <c r="A705" s="21" t="n">
        <v>197</v>
      </c>
      <c r="B705" s="5" t="inlineStr">
        <is>
          <t>Cumplimiento cronograma Mantenimiento de Equipos</t>
        </is>
      </c>
      <c r="C705" s="5" t="inlineStr">
        <is>
          <t>Gestión Infraestructura Física</t>
        </is>
      </c>
      <c r="D705" s="5" t="inlineStr">
        <is>
          <t>Semestral</t>
        </is>
      </c>
      <c r="E705" s="5" t="inlineStr">
        <is>
          <t>Positivo</t>
        </is>
      </c>
      <c r="F705" s="109" t="n">
        <v>46022</v>
      </c>
      <c r="G705" s="5" t="n">
        <v>2025</v>
      </c>
      <c r="H705" s="5" t="inlineStr">
        <is>
          <t>Diciembre</t>
        </is>
      </c>
      <c r="I705" s="6" t="inlineStr">
        <is>
          <t>2025-2</t>
        </is>
      </c>
      <c r="J705" s="5" t="n">
        <v>97</v>
      </c>
      <c r="K705" s="9" t="n">
        <v>100</v>
      </c>
      <c r="L705" s="14" t="n">
        <v>1.030927835051546</v>
      </c>
      <c r="M705" s="14" t="n">
        <v>1.030927835051546</v>
      </c>
      <c r="N705" s="5" t="inlineStr">
        <is>
          <t>%</t>
        </is>
      </c>
      <c r="O705" s="11" t="inlineStr">
        <is>
          <t>%</t>
        </is>
      </c>
      <c r="P705" s="15" t="n">
        <v>0</v>
      </c>
      <c r="Q705" s="15" t="n">
        <v>0</v>
      </c>
      <c r="R705" s="5" t="inlineStr">
        <is>
          <t>197-2025-12-31</t>
        </is>
      </c>
    </row>
    <row r="706" hidden="1">
      <c r="A706" s="21" t="n">
        <v>197</v>
      </c>
      <c r="B706" s="5" t="inlineStr">
        <is>
          <t>Cumplimiento cronograma Mantenimiento de Equipos</t>
        </is>
      </c>
      <c r="C706" s="5" t="inlineStr">
        <is>
          <t>Gestión Infraestructura Física</t>
        </is>
      </c>
      <c r="D706" s="5" t="inlineStr">
        <is>
          <t>Semestral</t>
        </is>
      </c>
      <c r="E706" s="5" t="inlineStr">
        <is>
          <t>Positivo</t>
        </is>
      </c>
      <c r="F706" s="109" t="n">
        <v>46112</v>
      </c>
      <c r="G706" s="5" t="n">
        <v>2026</v>
      </c>
      <c r="H706" s="5" t="inlineStr">
        <is>
          <t>Marzo</t>
        </is>
      </c>
      <c r="I706" s="6" t="inlineStr">
        <is>
          <t>2026-1</t>
        </is>
      </c>
      <c r="J706" s="5" t="n">
        <v>97</v>
      </c>
      <c r="K706" s="9" t="n">
        <v>100</v>
      </c>
      <c r="L706" s="14" t="n">
        <v>1.030927835051546</v>
      </c>
      <c r="M706" s="14" t="n">
        <v>1.030927835051546</v>
      </c>
      <c r="N706" s="5" t="inlineStr">
        <is>
          <t>%</t>
        </is>
      </c>
      <c r="O706" s="11" t="inlineStr">
        <is>
          <t>%</t>
        </is>
      </c>
      <c r="P706" s="15" t="n">
        <v>0</v>
      </c>
      <c r="Q706" s="15" t="n">
        <v>0</v>
      </c>
      <c r="R706" s="5" t="inlineStr">
        <is>
          <t>197-2026-03-31</t>
        </is>
      </c>
    </row>
    <row r="707" hidden="1">
      <c r="A707" s="21" t="n">
        <v>199</v>
      </c>
      <c r="B707" s="5" t="inlineStr">
        <is>
          <t>Nivel de cumplimiento de eficacia las capacitaciones</t>
        </is>
      </c>
      <c r="C707" s="5" t="inlineStr">
        <is>
          <t>GESTIÓN Y DESARROLLO DEL TALENTO HUMANO</t>
        </is>
      </c>
      <c r="D707" s="5" t="inlineStr">
        <is>
          <t>Trimestral</t>
        </is>
      </c>
      <c r="E707" s="5" t="inlineStr">
        <is>
          <t>Positivo</t>
        </is>
      </c>
      <c r="F707" s="109" t="n">
        <v>44651</v>
      </c>
      <c r="G707" s="5" t="n">
        <v>2022</v>
      </c>
      <c r="H707" s="5" t="inlineStr">
        <is>
          <t>Marzo</t>
        </is>
      </c>
      <c r="I707" s="6" t="inlineStr">
        <is>
          <t>2022-1</t>
        </is>
      </c>
      <c r="J707" s="5" t="n">
        <v>80</v>
      </c>
      <c r="K707" s="9" t="n"/>
      <c r="L707" s="14" t="n"/>
      <c r="M707" s="14" t="n"/>
      <c r="N707" s="5" t="inlineStr">
        <is>
          <t>%</t>
        </is>
      </c>
      <c r="O707" s="11" t="inlineStr">
        <is>
          <t>No Aplica</t>
        </is>
      </c>
      <c r="P707" s="15" t="n">
        <v>0</v>
      </c>
      <c r="Q707" s="15" t="n">
        <v>0</v>
      </c>
      <c r="R707" s="5" t="inlineStr">
        <is>
          <t>199-2022-03-31</t>
        </is>
      </c>
      <c r="S707" t="inlineStr">
        <is>
          <t>No Aplica</t>
        </is>
      </c>
    </row>
    <row r="708" hidden="1">
      <c r="A708" s="21" t="n">
        <v>199</v>
      </c>
      <c r="B708" s="5" t="inlineStr">
        <is>
          <t>Nivel de cumplimiento de eficacia las capacitaciones</t>
        </is>
      </c>
      <c r="C708" s="5" t="inlineStr">
        <is>
          <t>GESTIÓN Y DESARROLLO DEL TALENTO HUMANO</t>
        </is>
      </c>
      <c r="D708" s="5" t="inlineStr">
        <is>
          <t>Trimestral</t>
        </is>
      </c>
      <c r="E708" s="5" t="inlineStr">
        <is>
          <t>Positivo</t>
        </is>
      </c>
      <c r="F708" s="109" t="n">
        <v>44742</v>
      </c>
      <c r="G708" s="5" t="n">
        <v>2022</v>
      </c>
      <c r="H708" s="5" t="inlineStr">
        <is>
          <t>Junio</t>
        </is>
      </c>
      <c r="I708" s="6" t="inlineStr">
        <is>
          <t>2022-1</t>
        </is>
      </c>
      <c r="J708" s="5" t="n">
        <v>80</v>
      </c>
      <c r="K708" s="9" t="n"/>
      <c r="L708" s="14" t="n"/>
      <c r="M708" s="14" t="n"/>
      <c r="N708" s="5" t="inlineStr">
        <is>
          <t>%</t>
        </is>
      </c>
      <c r="O708" s="11" t="inlineStr">
        <is>
          <t>No Aplica</t>
        </is>
      </c>
      <c r="P708" s="15" t="n">
        <v>0</v>
      </c>
      <c r="Q708" s="15" t="n">
        <v>0</v>
      </c>
      <c r="R708" s="5" t="inlineStr">
        <is>
          <t>199-2022-06-30</t>
        </is>
      </c>
      <c r="S708" t="inlineStr">
        <is>
          <t>No Aplica</t>
        </is>
      </c>
    </row>
    <row r="709" hidden="1">
      <c r="A709" s="21" t="n">
        <v>199</v>
      </c>
      <c r="B709" s="5" t="inlineStr">
        <is>
          <t>Nivel de cumplimiento de eficacia las capacitaciones</t>
        </is>
      </c>
      <c r="C709" s="5" t="inlineStr">
        <is>
          <t>GESTIÓN Y DESARROLLO DEL TALENTO HUMANO</t>
        </is>
      </c>
      <c r="D709" s="5" t="inlineStr">
        <is>
          <t>Trimestral</t>
        </is>
      </c>
      <c r="E709" s="5" t="inlineStr">
        <is>
          <t>Positivo</t>
        </is>
      </c>
      <c r="F709" s="109" t="n">
        <v>44926</v>
      </c>
      <c r="G709" s="5" t="n">
        <v>2022</v>
      </c>
      <c r="H709" s="5" t="inlineStr">
        <is>
          <t>Diciembre</t>
        </is>
      </c>
      <c r="I709" s="6" t="inlineStr">
        <is>
          <t>2022-2</t>
        </is>
      </c>
      <c r="J709" s="5" t="n">
        <v>80</v>
      </c>
      <c r="K709" s="9" t="n"/>
      <c r="L709" s="14" t="n"/>
      <c r="M709" s="14" t="n"/>
      <c r="N709" s="5" t="inlineStr">
        <is>
          <t>%</t>
        </is>
      </c>
      <c r="O709" s="11" t="inlineStr">
        <is>
          <t>No Aplica</t>
        </is>
      </c>
      <c r="P709" s="15" t="n">
        <v>0</v>
      </c>
      <c r="Q709" s="15" t="n">
        <v>0</v>
      </c>
      <c r="R709" s="5" t="inlineStr">
        <is>
          <t>199-2022-12-31</t>
        </is>
      </c>
      <c r="S709" t="inlineStr">
        <is>
          <t>No Aplica</t>
        </is>
      </c>
    </row>
    <row r="710" hidden="1">
      <c r="A710" s="21" t="n">
        <v>199</v>
      </c>
      <c r="B710" s="5" t="inlineStr">
        <is>
          <t>Nivel de cumplimiento de eficacia las capacitaciones</t>
        </is>
      </c>
      <c r="C710" s="5" t="inlineStr">
        <is>
          <t>GESTIÓN Y DESARROLLO DEL TALENTO HUMANO</t>
        </is>
      </c>
      <c r="D710" s="5" t="inlineStr">
        <is>
          <t>Semestral</t>
        </is>
      </c>
      <c r="E710" s="5" t="inlineStr">
        <is>
          <t>Positivo</t>
        </is>
      </c>
      <c r="F710" s="109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95</v>
      </c>
      <c r="K710" s="9" t="n">
        <v>87.666666666667</v>
      </c>
      <c r="L710" s="14" t="n">
        <v>0.9228070175438632</v>
      </c>
      <c r="M710" s="14" t="n">
        <v>0.9228070175438632</v>
      </c>
      <c r="N710" s="5" t="inlineStr">
        <is>
          <t>%</t>
        </is>
      </c>
      <c r="O710" s="11" t="inlineStr">
        <is>
          <t>%</t>
        </is>
      </c>
      <c r="P710" s="15" t="n">
        <v>0</v>
      </c>
      <c r="Q710" s="15" t="n">
        <v>0</v>
      </c>
      <c r="R710" s="5" t="inlineStr">
        <is>
          <t>199-2023-06-30</t>
        </is>
      </c>
    </row>
    <row r="711" hidden="1">
      <c r="A711" s="21" t="n">
        <v>199</v>
      </c>
      <c r="B711" s="5" t="inlineStr">
        <is>
          <t>Nivel de cumplimiento de eficacia las capacitaciones</t>
        </is>
      </c>
      <c r="C711" s="5" t="inlineStr">
        <is>
          <t>GESTIÓN Y DESARROLLO DEL TALENTO HUMANO</t>
        </is>
      </c>
      <c r="D711" s="5" t="inlineStr">
        <is>
          <t>Semestral</t>
        </is>
      </c>
      <c r="E711" s="5" t="inlineStr">
        <is>
          <t>Positivo</t>
        </is>
      </c>
      <c r="F711" s="109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95</v>
      </c>
      <c r="K711" s="9" t="n">
        <v>87.67</v>
      </c>
      <c r="L711" s="14" t="n">
        <v>0.9228421052631579</v>
      </c>
      <c r="M711" s="14" t="n">
        <v>0.9228421052631579</v>
      </c>
      <c r="N711" s="5" t="inlineStr">
        <is>
          <t>%</t>
        </is>
      </c>
      <c r="O711" s="11" t="inlineStr">
        <is>
          <t>%</t>
        </is>
      </c>
      <c r="P711" s="15" t="n">
        <v>0</v>
      </c>
      <c r="Q711" s="15" t="n">
        <v>0</v>
      </c>
      <c r="R711" s="5" t="inlineStr">
        <is>
          <t>199-2023-12-31</t>
        </is>
      </c>
    </row>
    <row r="712" hidden="1">
      <c r="A712" s="26" t="n">
        <v>199</v>
      </c>
      <c r="B712" s="5" t="inlineStr">
        <is>
          <t>Nivel de cumplimiento de eficacia las capacitaciones</t>
        </is>
      </c>
      <c r="C712" s="5" t="inlineStr">
        <is>
          <t>GESTIÓN Y DESARROLLO DEL TALENTO HUMANO</t>
        </is>
      </c>
      <c r="D712" s="5" t="inlineStr">
        <is>
          <t>Semestral</t>
        </is>
      </c>
      <c r="E712" s="5" t="inlineStr">
        <is>
          <t>Positivo</t>
        </is>
      </c>
      <c r="F712" s="109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70</v>
      </c>
      <c r="K712" s="9" t="n">
        <v>92.19</v>
      </c>
      <c r="L712" s="14" t="n">
        <v>1.3</v>
      </c>
      <c r="M712" s="14" t="n">
        <v>1.317</v>
      </c>
      <c r="N712" s="5" t="inlineStr">
        <is>
          <t>%</t>
        </is>
      </c>
      <c r="O712" s="5" t="inlineStr">
        <is>
          <t>%</t>
        </is>
      </c>
      <c r="P712" s="15" t="n">
        <v>0</v>
      </c>
      <c r="Q712" s="15" t="n">
        <v>0</v>
      </c>
      <c r="R712" s="5" t="inlineStr">
        <is>
          <t>199-2024-06-30</t>
        </is>
      </c>
    </row>
    <row r="713" hidden="1">
      <c r="A713" s="26" t="n">
        <v>199</v>
      </c>
      <c r="B713" s="5" t="inlineStr">
        <is>
          <t>Nivel de cumplimiento de eficacia las capacitaciones</t>
        </is>
      </c>
      <c r="C713" s="5" t="inlineStr">
        <is>
          <t>GESTIÓN Y DESARROLLO DEL TALENTO HUMANO</t>
        </is>
      </c>
      <c r="D713" s="5" t="inlineStr">
        <is>
          <t>Semestral</t>
        </is>
      </c>
      <c r="E713" s="5" t="inlineStr">
        <is>
          <t>Positivo</t>
        </is>
      </c>
      <c r="F713" s="109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>
        <v>70</v>
      </c>
      <c r="K713" s="9" t="n">
        <v>92.81</v>
      </c>
      <c r="L713" s="14" t="n">
        <v>1.3</v>
      </c>
      <c r="M713" s="14" t="n">
        <v>1.325857142857143</v>
      </c>
      <c r="N713" s="5" t="inlineStr">
        <is>
          <t>%</t>
        </is>
      </c>
      <c r="O713" s="5" t="inlineStr">
        <is>
          <t>%</t>
        </is>
      </c>
      <c r="P713" s="15" t="n">
        <v>0</v>
      </c>
      <c r="Q713" s="15" t="n">
        <v>0</v>
      </c>
      <c r="R713" s="5" t="inlineStr">
        <is>
          <t>199-2024-12-31</t>
        </is>
      </c>
    </row>
    <row r="714" hidden="1">
      <c r="A714" s="26" t="n">
        <v>199</v>
      </c>
      <c r="B714" s="5" t="inlineStr">
        <is>
          <t>Nivel de cumplimiento de eficacia las capacitaciones</t>
        </is>
      </c>
      <c r="C714" s="5" t="inlineStr">
        <is>
          <t>GESTIÓN Y DESARROLLO DEL TALENTO HUMANO</t>
        </is>
      </c>
      <c r="D714" s="5" t="inlineStr">
        <is>
          <t>Trimestral</t>
        </is>
      </c>
      <c r="E714" s="5" t="inlineStr">
        <is>
          <t>Positivo</t>
        </is>
      </c>
      <c r="F714" s="109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80</v>
      </c>
      <c r="K714" s="9" t="n">
        <v>92.09999999999999</v>
      </c>
      <c r="L714" s="14" t="n">
        <v>1.15125</v>
      </c>
      <c r="M714" s="14" t="n">
        <v>1.15125</v>
      </c>
      <c r="N714" s="5" t="inlineStr">
        <is>
          <t>%</t>
        </is>
      </c>
      <c r="O714" s="5" t="inlineStr">
        <is>
          <t>%</t>
        </is>
      </c>
      <c r="P714" s="15" t="n">
        <v>0</v>
      </c>
      <c r="Q714" s="15" t="n">
        <v>0</v>
      </c>
      <c r="R714" s="5" t="inlineStr">
        <is>
          <t>199-2025-06-30</t>
        </is>
      </c>
    </row>
    <row r="715" hidden="1">
      <c r="A715" s="28" t="n">
        <v>199</v>
      </c>
      <c r="B715" s="5" t="inlineStr">
        <is>
          <t>Nivel de cumplimiento de eficacia las capacitaciones</t>
        </is>
      </c>
      <c r="C715" s="5" t="inlineStr">
        <is>
          <t>GESTIÓN Y DESARROLLO DEL TALENTO HUMANO</t>
        </is>
      </c>
      <c r="D715" s="5" t="inlineStr">
        <is>
          <t>Trimestral</t>
        </is>
      </c>
      <c r="E715" s="5" t="inlineStr">
        <is>
          <t>Positivo</t>
        </is>
      </c>
      <c r="F715" s="109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3" t="n">
        <v>80</v>
      </c>
      <c r="K715" s="9" t="n">
        <v>92.89</v>
      </c>
      <c r="L715" s="14" t="n">
        <v>1.161125</v>
      </c>
      <c r="M715" s="14" t="n">
        <v>1.161125</v>
      </c>
      <c r="N715" s="5" t="inlineStr">
        <is>
          <t>%</t>
        </is>
      </c>
      <c r="O715" s="5" t="inlineStr">
        <is>
          <t>%</t>
        </is>
      </c>
      <c r="P715" s="15" t="n">
        <v>0</v>
      </c>
      <c r="Q715" s="15" t="n">
        <v>0</v>
      </c>
      <c r="R715" s="5" t="inlineStr">
        <is>
          <t>199-2025-12-31</t>
        </is>
      </c>
    </row>
    <row r="716" hidden="1">
      <c r="A716" s="26" t="n">
        <v>200</v>
      </c>
      <c r="B716" s="5" t="inlineStr">
        <is>
          <t>Nivel de efectividad de las capacitaciones</t>
        </is>
      </c>
      <c r="C716" s="5" t="inlineStr">
        <is>
          <t>GESTIÓN Y DESARROLLO DEL TALENTO HUMANO</t>
        </is>
      </c>
      <c r="D716" s="5" t="inlineStr">
        <is>
          <t>Anual</t>
        </is>
      </c>
      <c r="E716" s="5" t="inlineStr">
        <is>
          <t>Positivo</t>
        </is>
      </c>
      <c r="F716" s="109" t="n">
        <v>44926</v>
      </c>
      <c r="G716" s="5" t="n">
        <v>2022</v>
      </c>
      <c r="H716" s="5" t="inlineStr">
        <is>
          <t>Diciembre</t>
        </is>
      </c>
      <c r="I716" s="6" t="inlineStr">
        <is>
          <t>2022-2</t>
        </is>
      </c>
      <c r="J716" s="3" t="n">
        <v>70</v>
      </c>
      <c r="K716" s="9" t="n"/>
      <c r="L716" s="14" t="n"/>
      <c r="M716" s="14" t="n"/>
      <c r="N716" s="5" t="inlineStr">
        <is>
          <t>%</t>
        </is>
      </c>
      <c r="O716" s="5" t="inlineStr">
        <is>
          <t>No Aplica</t>
        </is>
      </c>
      <c r="P716" s="15" t="n">
        <v>0</v>
      </c>
      <c r="Q716" s="15" t="n">
        <v>1</v>
      </c>
      <c r="R716" s="5" t="inlineStr">
        <is>
          <t>200-2022-12-31</t>
        </is>
      </c>
      <c r="S716" t="inlineStr">
        <is>
          <t>No Aplica</t>
        </is>
      </c>
    </row>
    <row r="717" hidden="1">
      <c r="A717" s="28" t="n">
        <v>200</v>
      </c>
      <c r="B717" s="5" t="inlineStr">
        <is>
          <t>Nivel de efectividad de las capacitaciones</t>
        </is>
      </c>
      <c r="C717" s="5" t="inlineStr">
        <is>
          <t>GESTIÓN Y DESARROLLO DEL TALENTO HUMANO</t>
        </is>
      </c>
      <c r="D717" s="5" t="inlineStr">
        <is>
          <t>Anual</t>
        </is>
      </c>
      <c r="E717" s="5" t="inlineStr">
        <is>
          <t>Positivo</t>
        </is>
      </c>
      <c r="F717" s="109" t="n">
        <v>45291</v>
      </c>
      <c r="G717" s="5" t="n">
        <v>2023</v>
      </c>
      <c r="H717" s="5" t="inlineStr">
        <is>
          <t>Diciembre</t>
        </is>
      </c>
      <c r="I717" s="6" t="inlineStr">
        <is>
          <t>2023-2</t>
        </is>
      </c>
      <c r="J717" s="5" t="n">
        <v>70</v>
      </c>
      <c r="K717" s="9" t="n">
        <v>90</v>
      </c>
      <c r="L717" s="14" t="n">
        <v>1.285714285714286</v>
      </c>
      <c r="M717" s="14" t="n">
        <v>1.285714285714286</v>
      </c>
      <c r="N717" s="5" t="inlineStr">
        <is>
          <t>Linea Base</t>
        </is>
      </c>
      <c r="O717" s="5" t="inlineStr">
        <is>
          <t>%</t>
        </is>
      </c>
      <c r="P717" s="15" t="n">
        <v>0</v>
      </c>
      <c r="Q717" s="15" t="n">
        <v>0</v>
      </c>
      <c r="R717" s="5" t="inlineStr">
        <is>
          <t>200-2023-12-31</t>
        </is>
      </c>
    </row>
    <row r="718" hidden="1">
      <c r="A718" s="26" t="n">
        <v>200</v>
      </c>
      <c r="B718" s="5" t="inlineStr">
        <is>
          <t>Nivel de efectividad de las capacitaciones</t>
        </is>
      </c>
      <c r="C718" s="5" t="inlineStr">
        <is>
          <t>GESTIÓN Y DESARROLLO DEL TALENTO HUMANO</t>
        </is>
      </c>
      <c r="D718" s="5" t="inlineStr">
        <is>
          <t>Anual</t>
        </is>
      </c>
      <c r="E718" s="5" t="inlineStr">
        <is>
          <t>Positivo</t>
        </is>
      </c>
      <c r="F718" s="109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80</v>
      </c>
      <c r="K718" s="9" t="n">
        <v>87.40000000000001</v>
      </c>
      <c r="L718" s="14" t="n">
        <v>1.0925</v>
      </c>
      <c r="M718" s="14" t="n">
        <v>1.0925</v>
      </c>
      <c r="N718" s="5" t="inlineStr">
        <is>
          <t>Linea Base</t>
        </is>
      </c>
      <c r="O718" s="5" t="inlineStr">
        <is>
          <t>%</t>
        </is>
      </c>
      <c r="P718" s="15" t="n">
        <v>0</v>
      </c>
      <c r="Q718" s="15" t="n">
        <v>0</v>
      </c>
      <c r="R718" s="5" t="inlineStr">
        <is>
          <t>200-2024-12-31</t>
        </is>
      </c>
    </row>
    <row r="719" hidden="1">
      <c r="A719" s="21" t="n">
        <v>200</v>
      </c>
      <c r="B719" s="5" t="inlineStr">
        <is>
          <t>Nivel de efectividad de las capacitaciones</t>
        </is>
      </c>
      <c r="C719" s="5" t="inlineStr">
        <is>
          <t>GESTIÓN Y DESARROLLO DEL TALENTO HUMANO</t>
        </is>
      </c>
      <c r="D719" s="5" t="inlineStr">
        <is>
          <t>Anual</t>
        </is>
      </c>
      <c r="E719" s="5" t="inlineStr">
        <is>
          <t>Positivo</t>
        </is>
      </c>
      <c r="F719" s="109" t="n">
        <v>46022</v>
      </c>
      <c r="G719" s="5" t="n">
        <v>2025</v>
      </c>
      <c r="H719" s="5" t="inlineStr">
        <is>
          <t>Diciembre</t>
        </is>
      </c>
      <c r="I719" s="6" t="inlineStr">
        <is>
          <t>2025-2</t>
        </is>
      </c>
      <c r="J719" s="5" t="n">
        <v>87</v>
      </c>
      <c r="K719" s="9" t="n">
        <v>90.84999999999999</v>
      </c>
      <c r="L719" s="14" t="n">
        <v>1.044252873563218</v>
      </c>
      <c r="M719" s="14" t="n">
        <v>1.044252873563218</v>
      </c>
      <c r="N719" s="5" t="inlineStr">
        <is>
          <t>%</t>
        </is>
      </c>
      <c r="O719" s="5" t="inlineStr">
        <is>
          <t>%</t>
        </is>
      </c>
      <c r="P719" s="15" t="n">
        <v>0</v>
      </c>
      <c r="Q719" s="15" t="n">
        <v>1</v>
      </c>
      <c r="R719" s="5" t="inlineStr">
        <is>
          <t>200-2025-12-31</t>
        </is>
      </c>
    </row>
    <row r="720" hidden="1">
      <c r="A720" s="28" t="n">
        <v>202</v>
      </c>
      <c r="B720" s="5" t="inlineStr">
        <is>
          <t>Great Place to Work</t>
        </is>
      </c>
      <c r="C720" s="5" t="inlineStr">
        <is>
          <t>GESTIÓN Y DESARROLLO DEL TALENTO HUMANO</t>
        </is>
      </c>
      <c r="D720" s="5" t="inlineStr">
        <is>
          <t>Anual</t>
        </is>
      </c>
      <c r="E720" s="5" t="inlineStr">
        <is>
          <t>Positivo</t>
        </is>
      </c>
      <c r="F720" s="109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66</v>
      </c>
      <c r="K720" s="9" t="n">
        <v>64.7</v>
      </c>
      <c r="L720" s="14" t="n">
        <v>0.9803030303030303</v>
      </c>
      <c r="M720" s="14" t="n">
        <v>0.9803030303030303</v>
      </c>
      <c r="N720" s="5" t="inlineStr">
        <is>
          <t>Linea Base</t>
        </is>
      </c>
      <c r="O720" s="5" t="inlineStr">
        <is>
          <t>%</t>
        </is>
      </c>
      <c r="P720" s="15" t="n">
        <v>1</v>
      </c>
      <c r="Q720" s="15" t="n">
        <v>1</v>
      </c>
      <c r="R720" s="5" t="inlineStr">
        <is>
          <t>202-2023-12-31</t>
        </is>
      </c>
    </row>
    <row r="721" hidden="1">
      <c r="A721" s="26" t="n">
        <v>202</v>
      </c>
      <c r="B721" s="5" t="inlineStr">
        <is>
          <t>Great Place to Work</t>
        </is>
      </c>
      <c r="C721" s="5" t="inlineStr">
        <is>
          <t>GESTIÓN Y DESARROLLO DEL TALENTO HUMANO</t>
        </is>
      </c>
      <c r="D721" s="5" t="inlineStr">
        <is>
          <t>Anual</t>
        </is>
      </c>
      <c r="E721" s="5" t="inlineStr">
        <is>
          <t>Positivo</t>
        </is>
      </c>
      <c r="F721" s="109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/>
      <c r="K721" s="9" t="n">
        <v>0</v>
      </c>
      <c r="L721" s="14" t="n"/>
      <c r="M721" s="14" t="n"/>
      <c r="N721" s="5" t="inlineStr">
        <is>
          <t>DEC</t>
        </is>
      </c>
      <c r="O721" s="5" t="inlineStr">
        <is>
          <t>DEC</t>
        </is>
      </c>
      <c r="P721" s="15" t="n">
        <v>1</v>
      </c>
      <c r="Q721" s="15" t="n">
        <v>0</v>
      </c>
      <c r="R721" s="5" t="inlineStr">
        <is>
          <t>202-2024-12-31</t>
        </is>
      </c>
    </row>
    <row r="722" hidden="1">
      <c r="A722" s="26" t="n">
        <v>202</v>
      </c>
      <c r="B722" s="5" t="inlineStr">
        <is>
          <t>Great Place to Work</t>
        </is>
      </c>
      <c r="C722" s="5" t="inlineStr">
        <is>
          <t>GESTIÓN Y DESARROLLO DEL TALENTO HUMANO</t>
        </is>
      </c>
      <c r="D722" s="5" t="inlineStr">
        <is>
          <t>Anual</t>
        </is>
      </c>
      <c r="E722" s="5" t="inlineStr">
        <is>
          <t>Positivo</t>
        </is>
      </c>
      <c r="F722" s="109" t="n">
        <v>46022</v>
      </c>
      <c r="G722" s="5" t="n">
        <v>2025</v>
      </c>
      <c r="H722" s="5" t="inlineStr">
        <is>
          <t>Diciembre</t>
        </is>
      </c>
      <c r="I722" s="6" t="inlineStr">
        <is>
          <t>2025-2</t>
        </is>
      </c>
      <c r="J722" s="5" t="n">
        <v>68.7</v>
      </c>
      <c r="K722" s="9" t="n">
        <v>81</v>
      </c>
      <c r="L722" s="17" t="n">
        <v>1.179039301310044</v>
      </c>
      <c r="M722" s="14" t="n">
        <v>1.179039301310044</v>
      </c>
      <c r="N722" s="5" t="inlineStr">
        <is>
          <t>DEC</t>
        </is>
      </c>
      <c r="O722" s="5" t="inlineStr">
        <is>
          <t>DEC</t>
        </is>
      </c>
      <c r="P722" s="15" t="n">
        <v>1</v>
      </c>
      <c r="Q722" s="15" t="n">
        <v>0</v>
      </c>
      <c r="R722" s="5" t="inlineStr">
        <is>
          <t>202-2025-12-31</t>
        </is>
      </c>
    </row>
    <row r="723" hidden="1">
      <c r="A723" s="21" t="n">
        <v>203</v>
      </c>
      <c r="B723" s="5" t="inlineStr">
        <is>
          <t>Cumplimiento de Ingresos</t>
        </is>
      </c>
      <c r="C723" s="5" t="inlineStr">
        <is>
          <t>Planeación Financiera</t>
        </is>
      </c>
      <c r="D723" s="5" t="inlineStr">
        <is>
          <t>Trimestral</t>
        </is>
      </c>
      <c r="E723" s="5" t="inlineStr">
        <is>
          <t>Positivo</t>
        </is>
      </c>
      <c r="F723" s="109" t="n">
        <v>44651</v>
      </c>
      <c r="G723" s="5" t="n">
        <v>2022</v>
      </c>
      <c r="H723" s="5" t="inlineStr">
        <is>
          <t>Marzo</t>
        </is>
      </c>
      <c r="I723" s="6" t="inlineStr">
        <is>
          <t>2022-1</t>
        </is>
      </c>
      <c r="J723" s="5" t="n"/>
      <c r="K723" s="10" t="n"/>
      <c r="L723" s="14" t="n"/>
      <c r="M723" s="14" t="n"/>
      <c r="N723" s="5" t="inlineStr">
        <is>
          <t>$</t>
        </is>
      </c>
      <c r="O723" s="5" t="inlineStr">
        <is>
          <t>No Aplica</t>
        </is>
      </c>
      <c r="P723" s="15" t="n">
        <v>0</v>
      </c>
      <c r="Q723" s="15" t="n">
        <v>0</v>
      </c>
      <c r="R723" s="5" t="inlineStr">
        <is>
          <t>203-2022-03-31</t>
        </is>
      </c>
      <c r="S723" t="inlineStr">
        <is>
          <t>No Aplica</t>
        </is>
      </c>
    </row>
    <row r="724" hidden="1">
      <c r="A724" s="21" t="n">
        <v>203</v>
      </c>
      <c r="B724" s="5" t="inlineStr">
        <is>
          <t>Cumplimiento de Ingresos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09" t="n">
        <v>44742</v>
      </c>
      <c r="G724" s="5" t="n">
        <v>2022</v>
      </c>
      <c r="H724" s="5" t="inlineStr">
        <is>
          <t>Junio</t>
        </is>
      </c>
      <c r="I724" s="6" t="inlineStr">
        <is>
          <t>2022-1</t>
        </is>
      </c>
      <c r="J724" s="5" t="n">
        <v>113672</v>
      </c>
      <c r="K724" s="10" t="n">
        <v>119144</v>
      </c>
      <c r="L724" s="14" t="n">
        <v>1.048138503765219</v>
      </c>
      <c r="M724" s="14" t="n">
        <v>1.048138503765219</v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203-2022-06-30</t>
        </is>
      </c>
    </row>
    <row r="725" hidden="1">
      <c r="A725" s="21" t="n">
        <v>203</v>
      </c>
      <c r="B725" s="5" t="inlineStr">
        <is>
          <t>Cumplimiento de Ingresos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08" t="n">
        <v>44926</v>
      </c>
      <c r="G725" s="5" t="n">
        <v>2022</v>
      </c>
      <c r="H725" s="5" t="inlineStr">
        <is>
          <t>Diciembre</t>
        </is>
      </c>
      <c r="I725" s="6" t="inlineStr">
        <is>
          <t>2022-2</t>
        </is>
      </c>
      <c r="J725" s="5" t="n">
        <v>224440</v>
      </c>
      <c r="K725" s="9" t="n">
        <v>240882</v>
      </c>
      <c r="L725" s="14" t="n">
        <v>1.073257886294778</v>
      </c>
      <c r="M725" s="14" t="n">
        <v>1.073257886294778</v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203-2022-12-31</t>
        </is>
      </c>
    </row>
    <row r="726" hidden="1">
      <c r="A726" s="26" t="n">
        <v>203</v>
      </c>
      <c r="B726" s="5" t="inlineStr">
        <is>
          <t>Cumplimiento de Ingresos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09" t="n">
        <v>45107</v>
      </c>
      <c r="G726" s="5" t="n">
        <v>2023</v>
      </c>
      <c r="H726" s="5" t="inlineStr">
        <is>
          <t>Junio</t>
        </is>
      </c>
      <c r="I726" s="6" t="inlineStr">
        <is>
          <t>2023-1</t>
        </is>
      </c>
      <c r="J726" s="5" t="n">
        <v>95</v>
      </c>
      <c r="K726" s="9" t="n">
        <v>104.63235542785</v>
      </c>
      <c r="L726" s="14" t="n">
        <v>1.10139321503</v>
      </c>
      <c r="M726" s="14" t="n">
        <v>1.10139321503</v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203-2023-06-30</t>
        </is>
      </c>
    </row>
    <row r="727" hidden="1">
      <c r="A727" s="5" t="n">
        <v>203</v>
      </c>
      <c r="B727" s="5" t="inlineStr">
        <is>
          <t>Cumplimiento de Ingresos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09" t="n">
        <v>45291</v>
      </c>
      <c r="G727" s="5" t="n">
        <v>2023</v>
      </c>
      <c r="H727" s="5" t="inlineStr">
        <is>
          <t>Diciembre</t>
        </is>
      </c>
      <c r="I727" s="6" t="inlineStr">
        <is>
          <t>2023-2</t>
        </is>
      </c>
      <c r="J727" s="5" t="n">
        <v>95</v>
      </c>
      <c r="K727" s="5" t="n">
        <v>103.36740380481</v>
      </c>
      <c r="L727" s="14" t="n">
        <v>1.088077934787474</v>
      </c>
      <c r="M727" s="14" t="n">
        <v>1.088077934787474</v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203-2023-12-31</t>
        </is>
      </c>
    </row>
    <row r="728" hidden="1">
      <c r="A728" s="21" t="n">
        <v>203</v>
      </c>
      <c r="B728" s="5" t="inlineStr">
        <is>
          <t>Cumplimiento de Ingresos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09" t="n">
        <v>45473</v>
      </c>
      <c r="G728" s="5" t="n">
        <v>2024</v>
      </c>
      <c r="H728" s="5" t="inlineStr">
        <is>
          <t>Junio</t>
        </is>
      </c>
      <c r="I728" s="6" t="inlineStr">
        <is>
          <t>2024-1</t>
        </is>
      </c>
      <c r="J728" s="5" t="n">
        <v>95</v>
      </c>
      <c r="K728" s="10" t="n">
        <v>102.01</v>
      </c>
      <c r="L728" s="14" t="n">
        <v>1.073789473684211</v>
      </c>
      <c r="M728" s="14" t="n">
        <v>1.073789473684211</v>
      </c>
      <c r="N728" s="5" t="inlineStr">
        <is>
          <t>$</t>
        </is>
      </c>
      <c r="O728" s="5" t="inlineStr">
        <is>
          <t>$</t>
        </is>
      </c>
      <c r="P728" s="15" t="n">
        <v>0</v>
      </c>
      <c r="Q728" s="15" t="n">
        <v>0</v>
      </c>
      <c r="R728" s="5" t="inlineStr">
        <is>
          <t>203-2024-06-30</t>
        </is>
      </c>
    </row>
    <row r="729" hidden="1">
      <c r="A729" s="21" t="n">
        <v>203</v>
      </c>
      <c r="B729" s="5" t="inlineStr">
        <is>
          <t>Cumplimiento de Ingresos</t>
        </is>
      </c>
      <c r="C729" s="5" t="inlineStr">
        <is>
          <t>Planeación Financiera</t>
        </is>
      </c>
      <c r="D729" s="5" t="inlineStr">
        <is>
          <t>Semestral</t>
        </is>
      </c>
      <c r="E729" s="5" t="inlineStr">
        <is>
          <t>Positivo</t>
        </is>
      </c>
      <c r="F729" s="108" t="n">
        <v>45657</v>
      </c>
      <c r="G729" s="5" t="n">
        <v>2024</v>
      </c>
      <c r="H729" s="5" t="inlineStr">
        <is>
          <t>Diciembre</t>
        </is>
      </c>
      <c r="I729" s="6" t="inlineStr">
        <is>
          <t>2024-2</t>
        </is>
      </c>
      <c r="J729" s="5" t="n">
        <v>95</v>
      </c>
      <c r="K729" s="9" t="n">
        <v>102.84</v>
      </c>
      <c r="L729" s="14" t="n">
        <v>1.082526315789474</v>
      </c>
      <c r="M729" s="14" t="n">
        <v>1.082526315789474</v>
      </c>
      <c r="N729" s="5" t="inlineStr">
        <is>
          <t>$</t>
        </is>
      </c>
      <c r="O729" s="5" t="inlineStr">
        <is>
          <t>$</t>
        </is>
      </c>
      <c r="P729" s="15" t="n">
        <v>0</v>
      </c>
      <c r="Q729" s="15" t="n">
        <v>0</v>
      </c>
      <c r="R729" s="5" t="inlineStr">
        <is>
          <t>203-2024-12-31</t>
        </is>
      </c>
    </row>
    <row r="730" hidden="1">
      <c r="A730" s="21" t="n">
        <v>203</v>
      </c>
      <c r="B730" s="5" t="inlineStr">
        <is>
          <t>Cumplimiento de Ingresos</t>
        </is>
      </c>
      <c r="C730" s="5" t="inlineStr">
        <is>
          <t>Planeación Financiera</t>
        </is>
      </c>
      <c r="D730" s="5" t="inlineStr">
        <is>
          <t>Semestral</t>
        </is>
      </c>
      <c r="E730" s="5" t="inlineStr">
        <is>
          <t>Positivo</t>
        </is>
      </c>
      <c r="F730" s="109" t="n">
        <v>45838</v>
      </c>
      <c r="G730" s="5" t="n">
        <v>2025</v>
      </c>
      <c r="H730" s="5" t="inlineStr">
        <is>
          <t>Junio</t>
        </is>
      </c>
      <c r="I730" s="6" t="inlineStr">
        <is>
          <t>2025-1</t>
        </is>
      </c>
      <c r="J730" s="5" t="n">
        <v>95</v>
      </c>
      <c r="K730" s="9" t="n">
        <v>111.77</v>
      </c>
      <c r="L730" s="14" t="n">
        <v>1.176526315789474</v>
      </c>
      <c r="M730" s="14" t="n">
        <v>1.176526315789474</v>
      </c>
      <c r="N730" s="5" t="inlineStr">
        <is>
          <t>$</t>
        </is>
      </c>
      <c r="O730" s="5" t="inlineStr">
        <is>
          <t>$</t>
        </is>
      </c>
      <c r="P730" s="15" t="n">
        <v>0</v>
      </c>
      <c r="Q730" s="15" t="n">
        <v>0</v>
      </c>
      <c r="R730" s="5" t="inlineStr">
        <is>
          <t>203-2025-06-30</t>
        </is>
      </c>
    </row>
    <row r="731" hidden="1">
      <c r="A731" s="21" t="n">
        <v>203</v>
      </c>
      <c r="B731" s="5" t="inlineStr">
        <is>
          <t>Cumplimiento de Ingresos</t>
        </is>
      </c>
      <c r="C731" s="5" t="inlineStr">
        <is>
          <t>Planeación Financiera</t>
        </is>
      </c>
      <c r="D731" s="5" t="inlineStr">
        <is>
          <t>Trimestral</t>
        </is>
      </c>
      <c r="E731" s="5" t="inlineStr">
        <is>
          <t>Positivo</t>
        </is>
      </c>
      <c r="F731" s="109" t="n">
        <v>46022</v>
      </c>
      <c r="G731" s="5" t="n">
        <v>2025</v>
      </c>
      <c r="H731" s="5" t="inlineStr">
        <is>
          <t>Diciembre</t>
        </is>
      </c>
      <c r="I731" s="6" t="inlineStr">
        <is>
          <t>2025-2</t>
        </is>
      </c>
      <c r="J731" s="5" t="n">
        <v>95</v>
      </c>
      <c r="K731" s="9" t="n">
        <v>111.33</v>
      </c>
      <c r="L731" s="14" t="n">
        <v>1.171894736842105</v>
      </c>
      <c r="M731" s="14" t="n">
        <v>1.171894736842105</v>
      </c>
      <c r="N731" s="5" t="inlineStr">
        <is>
          <t>$</t>
        </is>
      </c>
      <c r="O731" s="5" t="inlineStr">
        <is>
          <t>$</t>
        </is>
      </c>
      <c r="P731" s="15" t="n">
        <v>0</v>
      </c>
      <c r="Q731" s="15" t="n">
        <v>0</v>
      </c>
      <c r="R731" s="5" t="inlineStr">
        <is>
          <t>203-2025-12-31</t>
        </is>
      </c>
    </row>
    <row r="732" hidden="1">
      <c r="A732" s="26" t="n">
        <v>204</v>
      </c>
      <c r="B732" s="5" t="inlineStr">
        <is>
          <t>Caja</t>
        </is>
      </c>
      <c r="C732" s="5" t="inlineStr">
        <is>
          <t>Planeación Financiera</t>
        </is>
      </c>
      <c r="D732" s="5" t="inlineStr">
        <is>
          <t>Semestral</t>
        </is>
      </c>
      <c r="E732" s="5" t="inlineStr">
        <is>
          <t>Positivo</t>
        </is>
      </c>
      <c r="F732" s="109" t="n">
        <v>44742</v>
      </c>
      <c r="G732" s="5" t="n">
        <v>2022</v>
      </c>
      <c r="H732" s="5" t="inlineStr">
        <is>
          <t>Junio</t>
        </is>
      </c>
      <c r="I732" s="6" t="inlineStr">
        <is>
          <t>2022-1</t>
        </is>
      </c>
      <c r="J732" s="5" t="n">
        <v>58804</v>
      </c>
      <c r="K732" s="9" t="n">
        <v>37101</v>
      </c>
      <c r="L732" s="14" t="n">
        <v>0.6309264675872389</v>
      </c>
      <c r="M732" s="14" t="n">
        <v>0.6309264675872389</v>
      </c>
      <c r="N732" s="5" t="inlineStr">
        <is>
          <t>$</t>
        </is>
      </c>
      <c r="O732" s="5" t="inlineStr">
        <is>
          <t>$</t>
        </is>
      </c>
      <c r="P732" s="15" t="n">
        <v>0</v>
      </c>
      <c r="Q732" s="15" t="n">
        <v>0</v>
      </c>
      <c r="R732" s="5" t="inlineStr">
        <is>
          <t>204-2022-06-30</t>
        </is>
      </c>
    </row>
    <row r="733" hidden="1">
      <c r="A733" s="26" t="n">
        <v>204</v>
      </c>
      <c r="B733" s="5" t="inlineStr">
        <is>
          <t>Caja</t>
        </is>
      </c>
      <c r="C733" s="5" t="inlineStr">
        <is>
          <t>Planeación Financiera</t>
        </is>
      </c>
      <c r="D733" s="5" t="inlineStr">
        <is>
          <t>Semestral</t>
        </is>
      </c>
      <c r="E733" s="5" t="inlineStr">
        <is>
          <t>Positivo</t>
        </is>
      </c>
      <c r="F733" s="109" t="n">
        <v>44925</v>
      </c>
      <c r="G733" s="5" t="n">
        <v>2022</v>
      </c>
      <c r="H733" s="5" t="inlineStr">
        <is>
          <t>Diciembre</t>
        </is>
      </c>
      <c r="I733" s="6" t="inlineStr">
        <is>
          <t>2022-2</t>
        </is>
      </c>
      <c r="J733" s="5" t="n">
        <v>82987</v>
      </c>
      <c r="K733" s="9" t="n">
        <v>18386</v>
      </c>
      <c r="L733" s="14" t="n">
        <v>0.2215527733259426</v>
      </c>
      <c r="M733" s="14" t="n">
        <v>0.2215527733259426</v>
      </c>
      <c r="N733" s="5" t="inlineStr">
        <is>
          <t>$</t>
        </is>
      </c>
      <c r="O733" s="5" t="inlineStr">
        <is>
          <t>$</t>
        </is>
      </c>
      <c r="P733" s="15" t="n">
        <v>0</v>
      </c>
      <c r="Q733" s="15" t="n">
        <v>0</v>
      </c>
      <c r="R733" s="5" t="inlineStr">
        <is>
          <t>204-2022-12-30</t>
        </is>
      </c>
    </row>
    <row r="734" hidden="1">
      <c r="A734" s="21" t="n">
        <v>204</v>
      </c>
      <c r="B734" s="5" t="inlineStr">
        <is>
          <t>Caja</t>
        </is>
      </c>
      <c r="C734" s="5" t="inlineStr">
        <is>
          <t>Planeación Financiera</t>
        </is>
      </c>
      <c r="D734" s="5" t="inlineStr">
        <is>
          <t>Semestral</t>
        </is>
      </c>
      <c r="E734" s="5" t="inlineStr">
        <is>
          <t>Positivo</t>
        </is>
      </c>
      <c r="F734" s="109" t="n">
        <v>45107</v>
      </c>
      <c r="G734" s="5" t="n">
        <v>2023</v>
      </c>
      <c r="H734" s="5" t="inlineStr">
        <is>
          <t>Junio</t>
        </is>
      </c>
      <c r="I734" s="6" t="inlineStr">
        <is>
          <t>2023-1</t>
        </is>
      </c>
      <c r="J734" s="5" t="n">
        <v>95</v>
      </c>
      <c r="K734" s="9" t="n">
        <v>194.75668793403</v>
      </c>
      <c r="L734" s="14" t="n">
        <v>1.3</v>
      </c>
      <c r="M734" s="14" t="n">
        <v>2.050070399305579</v>
      </c>
      <c r="N734" s="5" t="inlineStr">
        <is>
          <t>$</t>
        </is>
      </c>
      <c r="O734" s="5" t="inlineStr">
        <is>
          <t>$</t>
        </is>
      </c>
      <c r="P734" s="15" t="n">
        <v>0</v>
      </c>
      <c r="Q734" s="15" t="n">
        <v>0</v>
      </c>
      <c r="R734" s="5" t="inlineStr">
        <is>
          <t>204-2023-06-30</t>
        </is>
      </c>
    </row>
    <row r="735" hidden="1">
      <c r="A735" s="28" t="n">
        <v>204</v>
      </c>
      <c r="B735" s="5" t="inlineStr">
        <is>
          <t>Caja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Positivo</t>
        </is>
      </c>
      <c r="F735" s="109" t="n">
        <v>45291</v>
      </c>
      <c r="G735" s="5" t="n">
        <v>2023</v>
      </c>
      <c r="H735" s="5" t="inlineStr">
        <is>
          <t>Diciembre</t>
        </is>
      </c>
      <c r="I735" s="6" t="inlineStr">
        <is>
          <t>2023-2</t>
        </is>
      </c>
      <c r="J735" s="5" t="n">
        <v>95</v>
      </c>
      <c r="K735" s="9" t="n">
        <v>162.37</v>
      </c>
      <c r="L735" s="14" t="n">
        <v>1.3</v>
      </c>
      <c r="M735" s="14" t="n">
        <v>1.709157894736842</v>
      </c>
      <c r="N735" s="5" t="inlineStr">
        <is>
          <t>$</t>
        </is>
      </c>
      <c r="O735" s="5" t="inlineStr">
        <is>
          <t>$</t>
        </is>
      </c>
      <c r="P735" s="15" t="n">
        <v>0</v>
      </c>
      <c r="Q735" s="15" t="n">
        <v>0</v>
      </c>
      <c r="R735" s="5" t="inlineStr">
        <is>
          <t>204-2023-12-31</t>
        </is>
      </c>
    </row>
    <row r="736" hidden="1">
      <c r="A736" s="26" t="n">
        <v>204</v>
      </c>
      <c r="B736" s="5" t="inlineStr">
        <is>
          <t>Caja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Positivo</t>
        </is>
      </c>
      <c r="F736" s="109" t="n">
        <v>45473</v>
      </c>
      <c r="G736" s="5" t="n">
        <v>2024</v>
      </c>
      <c r="H736" s="5" t="inlineStr">
        <is>
          <t>Junio</t>
        </is>
      </c>
      <c r="I736" s="6" t="inlineStr">
        <is>
          <t>2024-1</t>
        </is>
      </c>
      <c r="J736" s="5" t="n">
        <v>95</v>
      </c>
      <c r="K736" s="9" t="n">
        <v>133.55</v>
      </c>
      <c r="L736" s="14" t="n">
        <v>1.3</v>
      </c>
      <c r="M736" s="14" t="n">
        <v>1.405789473684211</v>
      </c>
      <c r="N736" s="5" t="inlineStr">
        <is>
          <t>$</t>
        </is>
      </c>
      <c r="O736" s="5" t="inlineStr">
        <is>
          <t>$</t>
        </is>
      </c>
      <c r="P736" s="15" t="n">
        <v>0</v>
      </c>
      <c r="Q736" s="15" t="n">
        <v>0</v>
      </c>
      <c r="R736" s="5" t="inlineStr">
        <is>
          <t>204-2024-06-30</t>
        </is>
      </c>
    </row>
    <row r="737" hidden="1">
      <c r="A737" s="26" t="n">
        <v>204</v>
      </c>
      <c r="B737" s="5" t="inlineStr">
        <is>
          <t>Caja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Positivo</t>
        </is>
      </c>
      <c r="F737" s="109" t="n">
        <v>45657</v>
      </c>
      <c r="G737" s="5" t="n">
        <v>2024</v>
      </c>
      <c r="H737" s="5" t="inlineStr">
        <is>
          <t>Diciembre</t>
        </is>
      </c>
      <c r="I737" s="6" t="inlineStr">
        <is>
          <t>2024-2</t>
        </is>
      </c>
      <c r="J737" s="5" t="n">
        <v>95</v>
      </c>
      <c r="K737" s="5" t="n">
        <v>144.53</v>
      </c>
      <c r="L737" s="14" t="n">
        <v>1.3</v>
      </c>
      <c r="M737" s="14" t="n">
        <v>1.521368421052631</v>
      </c>
      <c r="N737" s="5" t="inlineStr">
        <is>
          <t>$</t>
        </is>
      </c>
      <c r="O737" s="5" t="inlineStr">
        <is>
          <t>$</t>
        </is>
      </c>
      <c r="P737" s="15" t="n">
        <v>0</v>
      </c>
      <c r="Q737" s="15" t="n">
        <v>0</v>
      </c>
      <c r="R737" s="5" t="inlineStr">
        <is>
          <t>204-2024-12-31</t>
        </is>
      </c>
    </row>
    <row r="738" hidden="1">
      <c r="A738" s="26" t="n">
        <v>204</v>
      </c>
      <c r="B738" s="5" t="inlineStr">
        <is>
          <t>Caja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Positivo</t>
        </is>
      </c>
      <c r="F738" s="109" t="n">
        <v>45838</v>
      </c>
      <c r="G738" s="5" t="n">
        <v>2025</v>
      </c>
      <c r="H738" s="5" t="inlineStr">
        <is>
          <t>Junio</t>
        </is>
      </c>
      <c r="I738" s="6" t="inlineStr">
        <is>
          <t>2025-1</t>
        </is>
      </c>
      <c r="J738" s="5" t="n">
        <v>95</v>
      </c>
      <c r="K738" s="5" t="n">
        <v>86.89</v>
      </c>
      <c r="L738" s="14" t="n">
        <v>0.9146315789473685</v>
      </c>
      <c r="M738" s="14" t="n">
        <v>0.9146315789473685</v>
      </c>
      <c r="N738" s="5" t="inlineStr">
        <is>
          <t>$</t>
        </is>
      </c>
      <c r="O738" s="5" t="inlineStr">
        <is>
          <t>$</t>
        </is>
      </c>
      <c r="P738" s="15" t="n">
        <v>0</v>
      </c>
      <c r="Q738" s="15" t="n">
        <v>0</v>
      </c>
      <c r="R738" s="5" t="inlineStr">
        <is>
          <t>204-2025-06-30</t>
        </is>
      </c>
    </row>
    <row r="739" hidden="1">
      <c r="A739" s="21" t="n">
        <v>204</v>
      </c>
      <c r="B739" s="5" t="inlineStr">
        <is>
          <t>Caja</t>
        </is>
      </c>
      <c r="C739" s="5" t="inlineStr">
        <is>
          <t>Planeación Financiera</t>
        </is>
      </c>
      <c r="D739" s="5" t="inlineStr">
        <is>
          <t>Trimestral</t>
        </is>
      </c>
      <c r="E739" s="5" t="inlineStr">
        <is>
          <t>Positivo</t>
        </is>
      </c>
      <c r="F739" s="109" t="n">
        <v>46022</v>
      </c>
      <c r="G739" s="5" t="n">
        <v>2025</v>
      </c>
      <c r="H739" s="5" t="inlineStr">
        <is>
          <t>Diciembre</t>
        </is>
      </c>
      <c r="I739" s="6" t="inlineStr">
        <is>
          <t>2025-2</t>
        </is>
      </c>
      <c r="J739" s="5" t="n">
        <v>95</v>
      </c>
      <c r="K739" s="5" t="n">
        <v>152.24</v>
      </c>
      <c r="L739" s="14" t="n">
        <v>1.3</v>
      </c>
      <c r="M739" s="14" t="n">
        <v>1.602526315789474</v>
      </c>
      <c r="N739" s="5" t="inlineStr">
        <is>
          <t>$</t>
        </is>
      </c>
      <c r="O739" s="5" t="inlineStr">
        <is>
          <t>$</t>
        </is>
      </c>
      <c r="P739" s="15" t="n">
        <v>0</v>
      </c>
      <c r="Q739" s="15" t="n">
        <v>0</v>
      </c>
      <c r="R739" s="5" t="inlineStr">
        <is>
          <t>204-2025-12-31</t>
        </is>
      </c>
    </row>
    <row r="740" hidden="1">
      <c r="A740" s="21" t="n">
        <v>205</v>
      </c>
      <c r="B740" s="5" t="inlineStr">
        <is>
          <t>Utilidad Neta</t>
        </is>
      </c>
      <c r="C740" s="5" t="inlineStr">
        <is>
          <t>Planeación Financiera</t>
        </is>
      </c>
      <c r="D740" s="5" t="inlineStr">
        <is>
          <t>Semestral</t>
        </is>
      </c>
      <c r="E740" s="5" t="inlineStr">
        <is>
          <t>Positivo</t>
        </is>
      </c>
      <c r="F740" s="109" t="n">
        <v>44926</v>
      </c>
      <c r="G740" s="5" t="n">
        <v>2022</v>
      </c>
      <c r="H740" s="5" t="inlineStr">
        <is>
          <t>Diciembre</t>
        </is>
      </c>
      <c r="I740" s="6" t="inlineStr">
        <is>
          <t>2022-2</t>
        </is>
      </c>
      <c r="J740" s="5" t="n">
        <v>2605</v>
      </c>
      <c r="K740" s="5" t="n">
        <v>2605</v>
      </c>
      <c r="L740" s="14" t="n">
        <v>1</v>
      </c>
      <c r="M740" s="14" t="n">
        <v>1</v>
      </c>
      <c r="N740" s="5" t="inlineStr">
        <is>
          <t>$</t>
        </is>
      </c>
      <c r="O740" s="5" t="inlineStr">
        <is>
          <t>$</t>
        </is>
      </c>
      <c r="P740" s="15" t="n">
        <v>0</v>
      </c>
      <c r="Q740" s="15" t="n">
        <v>0</v>
      </c>
      <c r="R740" s="5" t="inlineStr">
        <is>
          <t>205-2022-12-31</t>
        </is>
      </c>
    </row>
    <row r="741" hidden="1">
      <c r="A741" s="26" t="n">
        <v>205</v>
      </c>
      <c r="B741" s="5" t="inlineStr">
        <is>
          <t>Utilidad Neta</t>
        </is>
      </c>
      <c r="C741" s="5" t="inlineStr">
        <is>
          <t>Planeación Financiera</t>
        </is>
      </c>
      <c r="D741" s="5" t="inlineStr">
        <is>
          <t>Semestral</t>
        </is>
      </c>
      <c r="E741" s="5" t="inlineStr">
        <is>
          <t>Positivo</t>
        </is>
      </c>
      <c r="F741" s="109" t="n">
        <v>45107</v>
      </c>
      <c r="G741" s="5" t="n">
        <v>2023</v>
      </c>
      <c r="H741" s="5" t="inlineStr">
        <is>
          <t>Junio</t>
        </is>
      </c>
      <c r="I741" s="6" t="inlineStr">
        <is>
          <t>2023-1</t>
        </is>
      </c>
      <c r="J741" s="5" t="n">
        <v>95</v>
      </c>
      <c r="K741" s="9" t="n">
        <v>165.42728645151</v>
      </c>
      <c r="L741" s="14" t="n">
        <v>1.3</v>
      </c>
      <c r="M741" s="14" t="n">
        <v>1.741339857384316</v>
      </c>
      <c r="N741" s="5" t="inlineStr">
        <is>
          <t>$</t>
        </is>
      </c>
      <c r="O741" s="5" t="inlineStr">
        <is>
          <t>$</t>
        </is>
      </c>
      <c r="P741" s="15" t="n">
        <v>0</v>
      </c>
      <c r="Q741" s="15" t="n">
        <v>0</v>
      </c>
      <c r="R741" s="5" t="inlineStr">
        <is>
          <t>205-2023-06-30</t>
        </is>
      </c>
    </row>
    <row r="742" hidden="1">
      <c r="A742" s="21" t="n">
        <v>205</v>
      </c>
      <c r="B742" s="5" t="inlineStr">
        <is>
          <t>Utilidad Neta</t>
        </is>
      </c>
      <c r="C742" s="5" t="inlineStr">
        <is>
          <t>Planeación Financiera</t>
        </is>
      </c>
      <c r="D742" s="5" t="inlineStr">
        <is>
          <t>Semestral</t>
        </is>
      </c>
      <c r="E742" s="5" t="inlineStr">
        <is>
          <t>Positivo</t>
        </is>
      </c>
      <c r="F742" s="109" t="n">
        <v>45291</v>
      </c>
      <c r="G742" s="5" t="n">
        <v>2023</v>
      </c>
      <c r="H742" s="5" t="inlineStr">
        <is>
          <t>Diciembre</t>
        </is>
      </c>
      <c r="I742" s="6" t="inlineStr">
        <is>
          <t>2023-2</t>
        </is>
      </c>
      <c r="J742" s="5" t="n">
        <v>95</v>
      </c>
      <c r="K742" s="10" t="n">
        <v>426.51</v>
      </c>
      <c r="L742" s="14" t="n">
        <v>1.3</v>
      </c>
      <c r="M742" s="14" t="n">
        <v>4.489578947368421</v>
      </c>
      <c r="N742" s="5" t="inlineStr">
        <is>
          <t>$</t>
        </is>
      </c>
      <c r="O742" s="5" t="inlineStr">
        <is>
          <t>$</t>
        </is>
      </c>
      <c r="P742" s="15" t="n">
        <v>0</v>
      </c>
      <c r="Q742" s="15" t="n">
        <v>0</v>
      </c>
      <c r="R742" s="5" t="inlineStr">
        <is>
          <t>205-2023-12-31</t>
        </is>
      </c>
    </row>
    <row r="743" hidden="1">
      <c r="A743" s="21" t="n">
        <v>205</v>
      </c>
      <c r="B743" s="5" t="inlineStr">
        <is>
          <t>Utilidad Neta</t>
        </is>
      </c>
      <c r="C743" s="5" t="inlineStr">
        <is>
          <t>Planeación Financiera</t>
        </is>
      </c>
      <c r="D743" s="5" t="inlineStr">
        <is>
          <t>Semestral</t>
        </is>
      </c>
      <c r="E743" s="5" t="inlineStr">
        <is>
          <t>Positivo</t>
        </is>
      </c>
      <c r="F743" s="108" t="n">
        <v>45473</v>
      </c>
      <c r="G743" s="5" t="n">
        <v>2024</v>
      </c>
      <c r="H743" s="5" t="inlineStr">
        <is>
          <t>Junio</t>
        </is>
      </c>
      <c r="I743" s="6" t="inlineStr">
        <is>
          <t>2024-1</t>
        </is>
      </c>
      <c r="J743" s="5" t="n">
        <v>95</v>
      </c>
      <c r="K743" s="9" t="n">
        <v>215.07</v>
      </c>
      <c r="L743" s="14" t="n">
        <v>1.3</v>
      </c>
      <c r="M743" s="14" t="n">
        <v>2.263894736842105</v>
      </c>
      <c r="N743" s="5" t="inlineStr">
        <is>
          <t>$</t>
        </is>
      </c>
      <c r="O743" s="5" t="inlineStr">
        <is>
          <t>$</t>
        </is>
      </c>
      <c r="P743" s="15" t="n">
        <v>0</v>
      </c>
      <c r="Q743" s="15" t="n">
        <v>0</v>
      </c>
      <c r="R743" s="5" t="inlineStr">
        <is>
          <t>205-2024-06-30</t>
        </is>
      </c>
    </row>
    <row r="744" hidden="1">
      <c r="A744" s="26" t="n">
        <v>205</v>
      </c>
      <c r="B744" s="5" t="inlineStr">
        <is>
          <t>Utilidad Neta</t>
        </is>
      </c>
      <c r="C744" s="5" t="inlineStr">
        <is>
          <t>Planeación Financiera</t>
        </is>
      </c>
      <c r="D744" s="5" t="inlineStr">
        <is>
          <t>Semestral</t>
        </is>
      </c>
      <c r="E744" s="5" t="inlineStr">
        <is>
          <t>Positivo</t>
        </is>
      </c>
      <c r="F744" s="109" t="n">
        <v>45657</v>
      </c>
      <c r="G744" s="5" t="n">
        <v>2024</v>
      </c>
      <c r="H744" s="5" t="inlineStr">
        <is>
          <t>Diciembre</t>
        </is>
      </c>
      <c r="I744" s="6" t="inlineStr">
        <is>
          <t>2024-2</t>
        </is>
      </c>
      <c r="J744" s="5" t="n">
        <v>95</v>
      </c>
      <c r="K744" s="9" t="n">
        <v>184.72</v>
      </c>
      <c r="L744" s="14" t="n">
        <v>1.3</v>
      </c>
      <c r="M744" s="14" t="n">
        <v>1.944421052631579</v>
      </c>
      <c r="N744" s="5" t="inlineStr">
        <is>
          <t>$</t>
        </is>
      </c>
      <c r="O744" s="5" t="inlineStr">
        <is>
          <t>$</t>
        </is>
      </c>
      <c r="P744" s="15" t="n">
        <v>0</v>
      </c>
      <c r="Q744" s="15" t="n">
        <v>0</v>
      </c>
      <c r="R744" s="5" t="inlineStr">
        <is>
          <t>205-2024-12-31</t>
        </is>
      </c>
    </row>
    <row r="745" hidden="1">
      <c r="A745" s="5" t="n">
        <v>205</v>
      </c>
      <c r="B745" s="5" t="inlineStr">
        <is>
          <t>Utilidad Neta</t>
        </is>
      </c>
      <c r="C745" s="5" t="inlineStr">
        <is>
          <t>Planeación Financiera</t>
        </is>
      </c>
      <c r="D745" s="5" t="inlineStr">
        <is>
          <t>Semestral</t>
        </is>
      </c>
      <c r="E745" s="5" t="inlineStr">
        <is>
          <t>Positivo</t>
        </is>
      </c>
      <c r="F745" s="109" t="n">
        <v>45838</v>
      </c>
      <c r="G745" s="5" t="n">
        <v>2025</v>
      </c>
      <c r="H745" s="5" t="inlineStr">
        <is>
          <t>Junio</t>
        </is>
      </c>
      <c r="I745" s="6" t="inlineStr">
        <is>
          <t>2025-1</t>
        </is>
      </c>
      <c r="J745" s="5" t="n">
        <v>95</v>
      </c>
      <c r="K745" s="5" t="n">
        <v>186.31</v>
      </c>
      <c r="L745" s="14" t="n">
        <v>1.3</v>
      </c>
      <c r="M745" s="14" t="n">
        <v>1.961157894736842</v>
      </c>
      <c r="N745" s="5" t="inlineStr">
        <is>
          <t>$</t>
        </is>
      </c>
      <c r="O745" s="5" t="inlineStr">
        <is>
          <t>$</t>
        </is>
      </c>
      <c r="P745" s="5" t="n">
        <v>0</v>
      </c>
      <c r="Q745" s="5" t="n">
        <v>0</v>
      </c>
      <c r="R745" s="5" t="inlineStr">
        <is>
          <t>205-2025-06-30</t>
        </is>
      </c>
    </row>
    <row r="746" hidden="1">
      <c r="A746" s="21" t="n">
        <v>205</v>
      </c>
      <c r="B746" s="5" t="inlineStr">
        <is>
          <t>Utilidad Neta</t>
        </is>
      </c>
      <c r="C746" s="5" t="inlineStr">
        <is>
          <t>Planeación Financiera</t>
        </is>
      </c>
      <c r="D746" s="5" t="inlineStr">
        <is>
          <t>Trimestral</t>
        </is>
      </c>
      <c r="E746" s="5" t="inlineStr">
        <is>
          <t>Positivo</t>
        </is>
      </c>
      <c r="F746" s="109" t="n">
        <v>46022</v>
      </c>
      <c r="G746" s="5" t="n">
        <v>2025</v>
      </c>
      <c r="H746" s="5" t="inlineStr">
        <is>
          <t>Diciembre</t>
        </is>
      </c>
      <c r="I746" s="6" t="inlineStr">
        <is>
          <t>2025-2</t>
        </is>
      </c>
      <c r="J746" s="5" t="n">
        <v>95</v>
      </c>
      <c r="K746" s="10" t="n">
        <v>123.05</v>
      </c>
      <c r="L746" s="14" t="n">
        <v>1.295263157894737</v>
      </c>
      <c r="M746" s="14" t="n">
        <v>1.295263157894737</v>
      </c>
      <c r="N746" s="5" t="inlineStr">
        <is>
          <t>$</t>
        </is>
      </c>
      <c r="O746" s="5" t="inlineStr">
        <is>
          <t>$</t>
        </is>
      </c>
      <c r="P746" s="15" t="n">
        <v>0</v>
      </c>
      <c r="Q746" s="15" t="n">
        <v>0</v>
      </c>
      <c r="R746" s="5" t="inlineStr">
        <is>
          <t>205-2025-12-31</t>
        </is>
      </c>
    </row>
    <row r="747" hidden="1">
      <c r="A747" s="21" t="n">
        <v>206</v>
      </c>
      <c r="B747" s="5" t="inlineStr">
        <is>
          <t>Inversión en CAPEX de la utilidad anterior</t>
        </is>
      </c>
      <c r="C747" s="5" t="inlineStr">
        <is>
          <t>Planeación Financiera</t>
        </is>
      </c>
      <c r="D747" s="5" t="inlineStr">
        <is>
          <t>Semestral</t>
        </is>
      </c>
      <c r="E747" s="5" t="inlineStr">
        <is>
          <t>Positivo</t>
        </is>
      </c>
      <c r="F747" s="108" t="n">
        <v>45107</v>
      </c>
      <c r="G747" s="5" t="n">
        <v>2023</v>
      </c>
      <c r="H747" s="5" t="inlineStr">
        <is>
          <t>Junio</t>
        </is>
      </c>
      <c r="I747" s="6" t="inlineStr">
        <is>
          <t>2023-1</t>
        </is>
      </c>
      <c r="J747" s="5" t="n">
        <v>1</v>
      </c>
      <c r="K747" s="9" t="n">
        <v>1.2336951835584</v>
      </c>
      <c r="L747" s="14" t="n">
        <v>1.2336951835584</v>
      </c>
      <c r="M747" s="14" t="n">
        <v>1.2336951835584</v>
      </c>
      <c r="N747" s="5" t="inlineStr">
        <is>
          <t>$</t>
        </is>
      </c>
      <c r="O747" s="5" t="inlineStr">
        <is>
          <t>$</t>
        </is>
      </c>
      <c r="P747" s="15" t="n">
        <v>0</v>
      </c>
      <c r="Q747" s="15" t="n">
        <v>0</v>
      </c>
      <c r="R747" s="5" t="inlineStr">
        <is>
          <t>206-2023-06-30</t>
        </is>
      </c>
    </row>
    <row r="748" hidden="1">
      <c r="A748" s="26" t="n">
        <v>206</v>
      </c>
      <c r="B748" s="5" t="inlineStr">
        <is>
          <t>Inversión en CAPEX de la utilidad anterior</t>
        </is>
      </c>
      <c r="C748" s="5" t="inlineStr">
        <is>
          <t>Planeación Financiera</t>
        </is>
      </c>
      <c r="D748" s="5" t="inlineStr">
        <is>
          <t>Semestral</t>
        </is>
      </c>
      <c r="E748" s="5" t="inlineStr">
        <is>
          <t>Positivo</t>
        </is>
      </c>
      <c r="F748" s="109" t="n">
        <v>45291</v>
      </c>
      <c r="G748" s="5" t="n">
        <v>2023</v>
      </c>
      <c r="H748" s="5" t="inlineStr">
        <is>
          <t>Diciembre</t>
        </is>
      </c>
      <c r="I748" s="6" t="inlineStr">
        <is>
          <t>2023-2</t>
        </is>
      </c>
      <c r="J748" s="5" t="n">
        <v>1</v>
      </c>
      <c r="K748" s="9" t="n">
        <v>4.606790289121734</v>
      </c>
      <c r="L748" s="14" t="n">
        <v>1.3</v>
      </c>
      <c r="M748" s="14" t="n">
        <v>4.606790289121734</v>
      </c>
      <c r="N748" s="5" t="inlineStr">
        <is>
          <t>$</t>
        </is>
      </c>
      <c r="O748" s="5" t="inlineStr">
        <is>
          <t>$</t>
        </is>
      </c>
      <c r="P748" s="15" t="n">
        <v>0</v>
      </c>
      <c r="Q748" s="15" t="n">
        <v>0</v>
      </c>
      <c r="R748" s="5" t="inlineStr">
        <is>
          <t>206-2023-12-31</t>
        </is>
      </c>
    </row>
    <row r="749" hidden="1">
      <c r="A749" s="21" t="n">
        <v>206</v>
      </c>
      <c r="B749" s="5" t="inlineStr">
        <is>
          <t>Inversión en CAPEX de la utilidad anterior</t>
        </is>
      </c>
      <c r="C749" s="5" t="inlineStr">
        <is>
          <t>Planeación Financiera</t>
        </is>
      </c>
      <c r="D749" s="5" t="inlineStr">
        <is>
          <t>Anual</t>
        </is>
      </c>
      <c r="E749" s="5" t="inlineStr">
        <is>
          <t>Positivo</t>
        </is>
      </c>
      <c r="F749" s="109" t="n">
        <v>45657</v>
      </c>
      <c r="G749" s="5" t="n">
        <v>2024</v>
      </c>
      <c r="H749" s="5" t="inlineStr">
        <is>
          <t>Diciembre</t>
        </is>
      </c>
      <c r="I749" s="6" t="inlineStr">
        <is>
          <t>2024-2</t>
        </is>
      </c>
      <c r="J749" s="5" t="n">
        <v>1</v>
      </c>
      <c r="K749" s="9" t="n">
        <v>1.37</v>
      </c>
      <c r="L749" s="14" t="n">
        <v>1.3</v>
      </c>
      <c r="M749" s="14" t="n">
        <v>1.37</v>
      </c>
      <c r="N749" s="5" t="inlineStr">
        <is>
          <t>$</t>
        </is>
      </c>
      <c r="O749" s="5" t="inlineStr">
        <is>
          <t>$</t>
        </is>
      </c>
      <c r="P749" s="15" t="n">
        <v>0</v>
      </c>
      <c r="Q749" s="15" t="n">
        <v>0</v>
      </c>
      <c r="R749" s="5" t="inlineStr">
        <is>
          <t>206-2024-12-31</t>
        </is>
      </c>
    </row>
    <row r="750" hidden="1">
      <c r="A750" s="28" t="n">
        <v>206</v>
      </c>
      <c r="B750" s="5" t="inlineStr">
        <is>
          <t>Inversión en CAPEX de la utilidad anterior</t>
        </is>
      </c>
      <c r="C750" s="5" t="inlineStr">
        <is>
          <t>Planeación Financiera</t>
        </is>
      </c>
      <c r="D750" s="5" t="inlineStr">
        <is>
          <t>Anual</t>
        </is>
      </c>
      <c r="E750" s="5" t="inlineStr">
        <is>
          <t>Positivo</t>
        </is>
      </c>
      <c r="F750" s="109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5" t="n">
        <v>1</v>
      </c>
      <c r="K750" s="9" t="n">
        <v>2.14</v>
      </c>
      <c r="L750" s="14" t="n">
        <v>1.3</v>
      </c>
      <c r="M750" s="14" t="n">
        <v>2.14</v>
      </c>
      <c r="N750" s="5" t="inlineStr">
        <is>
          <t>%</t>
        </is>
      </c>
      <c r="O750" s="5" t="inlineStr">
        <is>
          <t>%</t>
        </is>
      </c>
      <c r="P750" s="15" t="n">
        <v>0</v>
      </c>
      <c r="Q750" s="15" t="n">
        <v>2</v>
      </c>
      <c r="R750" s="5" t="inlineStr">
        <is>
          <t>206-2025-12-31</t>
        </is>
      </c>
    </row>
    <row r="751" hidden="1">
      <c r="A751" s="5" t="n">
        <v>207</v>
      </c>
      <c r="B751" s="5" t="inlineStr">
        <is>
          <t>Nivel de Cumplimiento Opex</t>
        </is>
      </c>
      <c r="C751" s="5" t="inlineStr">
        <is>
          <t>Planeación Financiera</t>
        </is>
      </c>
      <c r="D751" s="5" t="inlineStr">
        <is>
          <t>Semestral</t>
        </is>
      </c>
      <c r="E751" s="5" t="inlineStr">
        <is>
          <t>Negativo</t>
        </is>
      </c>
      <c r="F751" s="109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>
        <v>100</v>
      </c>
      <c r="K751" s="5" t="n">
        <v>101.19882903781</v>
      </c>
      <c r="L751" s="14" t="n">
        <v>0.9881537261922063</v>
      </c>
      <c r="M751" s="14" t="n">
        <v>0.9881537261922063</v>
      </c>
      <c r="N751" s="5" t="inlineStr">
        <is>
          <t>$</t>
        </is>
      </c>
      <c r="O751" s="5" t="inlineStr">
        <is>
          <t>$</t>
        </is>
      </c>
      <c r="P751" s="5" t="n">
        <v>0</v>
      </c>
      <c r="Q751" s="5" t="n">
        <v>0</v>
      </c>
      <c r="R751" s="5" t="inlineStr">
        <is>
          <t>207-2023-06-30</t>
        </is>
      </c>
    </row>
    <row r="752" hidden="1">
      <c r="A752" s="21" t="n">
        <v>207</v>
      </c>
      <c r="B752" s="5" t="inlineStr">
        <is>
          <t>Nivel de Cumplimiento Opex</t>
        </is>
      </c>
      <c r="C752" s="5" t="inlineStr">
        <is>
          <t>Planeación Financiera</t>
        </is>
      </c>
      <c r="D752" s="5" t="inlineStr">
        <is>
          <t>Semestral</t>
        </is>
      </c>
      <c r="E752" s="5" t="inlineStr">
        <is>
          <t>Negativo</t>
        </is>
      </c>
      <c r="F752" s="109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>
        <v>100</v>
      </c>
      <c r="K752" s="10" t="n">
        <v>103.6</v>
      </c>
      <c r="L752" s="14" t="n">
        <v>0.9652509652509653</v>
      </c>
      <c r="M752" s="14" t="n">
        <v>0.9652509652509653</v>
      </c>
      <c r="N752" s="5" t="inlineStr">
        <is>
          <t>$</t>
        </is>
      </c>
      <c r="O752" s="5" t="inlineStr">
        <is>
          <t>$</t>
        </is>
      </c>
      <c r="P752" s="15" t="n">
        <v>0</v>
      </c>
      <c r="Q752" s="15" t="n">
        <v>0</v>
      </c>
      <c r="R752" s="5" t="inlineStr">
        <is>
          <t>207-2023-12-31</t>
        </is>
      </c>
    </row>
    <row r="753" hidden="1">
      <c r="A753" s="21" t="n">
        <v>207</v>
      </c>
      <c r="B753" s="5" t="inlineStr">
        <is>
          <t>Nivel de Cumplimiento Opex</t>
        </is>
      </c>
      <c r="C753" s="5" t="inlineStr">
        <is>
          <t>Planeación Financiera</t>
        </is>
      </c>
      <c r="D753" s="5" t="inlineStr">
        <is>
          <t>Semestral</t>
        </is>
      </c>
      <c r="E753" s="5" t="inlineStr">
        <is>
          <t>Negativo</t>
        </is>
      </c>
      <c r="F753" s="109" t="n">
        <v>45473</v>
      </c>
      <c r="G753" s="5" t="n">
        <v>2024</v>
      </c>
      <c r="H753" s="5" t="inlineStr">
        <is>
          <t>Junio</t>
        </is>
      </c>
      <c r="I753" s="6" t="inlineStr">
        <is>
          <t>2024-1</t>
        </is>
      </c>
      <c r="J753" s="5" t="n">
        <v>100</v>
      </c>
      <c r="K753" s="10" t="n">
        <v>101.79</v>
      </c>
      <c r="L753" s="14" t="n">
        <v>0.9824147755182238</v>
      </c>
      <c r="M753" s="14" t="n">
        <v>0.9824147755182238</v>
      </c>
      <c r="N753" s="5" t="inlineStr">
        <is>
          <t>$</t>
        </is>
      </c>
      <c r="O753" s="5" t="inlineStr">
        <is>
          <t>$</t>
        </is>
      </c>
      <c r="P753" s="15" t="n">
        <v>0</v>
      </c>
      <c r="Q753" s="15" t="n">
        <v>0</v>
      </c>
      <c r="R753" s="5" t="inlineStr">
        <is>
          <t>207-2024-06-30</t>
        </is>
      </c>
    </row>
    <row r="754" hidden="1">
      <c r="A754" s="21" t="n">
        <v>207</v>
      </c>
      <c r="B754" s="5" t="inlineStr">
        <is>
          <t>Nivel de Cumplimiento Opex</t>
        </is>
      </c>
      <c r="C754" s="5" t="inlineStr">
        <is>
          <t>Planeación Financiera</t>
        </is>
      </c>
      <c r="D754" s="5" t="inlineStr">
        <is>
          <t>Semestral</t>
        </is>
      </c>
      <c r="E754" s="5" t="inlineStr">
        <is>
          <t>Negativo</t>
        </is>
      </c>
      <c r="F754" s="108" t="n">
        <v>45657</v>
      </c>
      <c r="G754" s="5" t="n">
        <v>2024</v>
      </c>
      <c r="H754" s="5" t="inlineStr">
        <is>
          <t>Diciembre</t>
        </is>
      </c>
      <c r="I754" s="6" t="inlineStr">
        <is>
          <t>2024-2</t>
        </is>
      </c>
      <c r="J754" s="5" t="n">
        <v>100</v>
      </c>
      <c r="K754" s="9" t="n">
        <v>102.2</v>
      </c>
      <c r="L754" s="14" t="n">
        <v>0.9784735812133072</v>
      </c>
      <c r="M754" s="14" t="n">
        <v>0.9784735812133072</v>
      </c>
      <c r="N754" s="5" t="inlineStr">
        <is>
          <t>$</t>
        </is>
      </c>
      <c r="O754" s="5" t="inlineStr">
        <is>
          <t>$</t>
        </is>
      </c>
      <c r="P754" s="15" t="n">
        <v>0</v>
      </c>
      <c r="Q754" s="15" t="n">
        <v>0</v>
      </c>
      <c r="R754" s="5" t="inlineStr">
        <is>
          <t>207-2024-12-31</t>
        </is>
      </c>
    </row>
    <row r="755" hidden="1">
      <c r="A755" s="26" t="n">
        <v>207</v>
      </c>
      <c r="B755" s="5" t="inlineStr">
        <is>
          <t>Nivel de Cumplimiento Opex</t>
        </is>
      </c>
      <c r="C755" s="5" t="inlineStr">
        <is>
          <t>Planeación Financiera</t>
        </is>
      </c>
      <c r="D755" s="5" t="inlineStr">
        <is>
          <t>Semestral</t>
        </is>
      </c>
      <c r="E755" s="5" t="inlineStr">
        <is>
          <t>Negativo</t>
        </is>
      </c>
      <c r="F755" s="109" t="n">
        <v>45838</v>
      </c>
      <c r="G755" s="5" t="n">
        <v>2025</v>
      </c>
      <c r="H755" s="5" t="inlineStr">
        <is>
          <t>Junio</t>
        </is>
      </c>
      <c r="I755" s="6" t="inlineStr">
        <is>
          <t>2025-1</t>
        </is>
      </c>
      <c r="J755" s="5" t="n">
        <v>100</v>
      </c>
      <c r="K755" s="9" t="n">
        <v>110.9</v>
      </c>
      <c r="L755" s="14" t="n">
        <v>0.9017132551848511</v>
      </c>
      <c r="M755" s="14" t="n">
        <v>0.9017132551848511</v>
      </c>
      <c r="N755" s="5" t="inlineStr">
        <is>
          <t>$</t>
        </is>
      </c>
      <c r="O755" s="5" t="inlineStr">
        <is>
          <t>$</t>
        </is>
      </c>
      <c r="P755" s="15" t="n">
        <v>0</v>
      </c>
      <c r="Q755" s="15" t="n">
        <v>0</v>
      </c>
      <c r="R755" s="5" t="inlineStr">
        <is>
          <t>207-2025-06-30</t>
        </is>
      </c>
    </row>
    <row r="756" hidden="1">
      <c r="A756" s="5" t="n">
        <v>207</v>
      </c>
      <c r="B756" s="5" t="inlineStr">
        <is>
          <t>Nivel de Cumplimiento Opex</t>
        </is>
      </c>
      <c r="C756" s="5" t="inlineStr">
        <is>
          <t>Planeación Financiera</t>
        </is>
      </c>
      <c r="D756" s="5" t="inlineStr">
        <is>
          <t>Trimestral</t>
        </is>
      </c>
      <c r="E756" s="5" t="inlineStr">
        <is>
          <t>Negativo</t>
        </is>
      </c>
      <c r="F756" s="109" t="n">
        <v>46022</v>
      </c>
      <c r="G756" s="5" t="n">
        <v>2025</v>
      </c>
      <c r="H756" s="5" t="inlineStr">
        <is>
          <t>Diciembre</t>
        </is>
      </c>
      <c r="I756" s="6" t="inlineStr">
        <is>
          <t>2025-2</t>
        </is>
      </c>
      <c r="J756" s="5" t="n">
        <v>100</v>
      </c>
      <c r="K756" s="5" t="n">
        <v>110.62</v>
      </c>
      <c r="L756" s="14" t="n">
        <v>0.9039956608208281</v>
      </c>
      <c r="M756" s="14" t="n">
        <v>0.9039956608208281</v>
      </c>
      <c r="N756" s="5" t="inlineStr">
        <is>
          <t>$</t>
        </is>
      </c>
      <c r="O756" s="5" t="inlineStr">
        <is>
          <t>$</t>
        </is>
      </c>
      <c r="P756" s="5" t="n">
        <v>0</v>
      </c>
      <c r="Q756" s="5" t="n">
        <v>0</v>
      </c>
      <c r="R756" s="5" t="inlineStr">
        <is>
          <t>207-2025-12-31</t>
        </is>
      </c>
    </row>
    <row r="757" hidden="1">
      <c r="A757" s="21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9" t="n">
        <v>44592</v>
      </c>
      <c r="G757" s="5" t="n">
        <v>2022</v>
      </c>
      <c r="H757" s="5" t="inlineStr">
        <is>
          <t>Enero</t>
        </is>
      </c>
      <c r="I757" s="6" t="inlineStr">
        <is>
          <t>2022-1</t>
        </is>
      </c>
      <c r="J757" s="5" t="n">
        <v>1700</v>
      </c>
      <c r="K757" s="10" t="n">
        <v>654</v>
      </c>
      <c r="L757" s="14" t="n">
        <v>1</v>
      </c>
      <c r="M757" s="14" t="n">
        <v>2.599388379204893</v>
      </c>
      <c r="N757" s="5" t="inlineStr">
        <is>
          <t>m3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208-2022-01-31</t>
        </is>
      </c>
    </row>
    <row r="758" hidden="1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8" t="n">
        <v>44620</v>
      </c>
      <c r="G758" s="5" t="n">
        <v>2022</v>
      </c>
      <c r="H758" s="5" t="inlineStr">
        <is>
          <t>Febrero</t>
        </is>
      </c>
      <c r="I758" s="6" t="inlineStr">
        <is>
          <t>2022-1</t>
        </is>
      </c>
      <c r="J758" s="5" t="n">
        <v>1700</v>
      </c>
      <c r="K758" s="9" t="n">
        <v>915.5</v>
      </c>
      <c r="L758" s="14" t="n">
        <v>1</v>
      </c>
      <c r="M758" s="14" t="n">
        <v>1.856908793009284</v>
      </c>
      <c r="N758" s="5" t="inlineStr">
        <is>
          <t>m3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208-2022-02-28</t>
        </is>
      </c>
    </row>
    <row r="759" hidden="1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9" t="n">
        <v>44651</v>
      </c>
      <c r="G759" s="5" t="n">
        <v>2022</v>
      </c>
      <c r="H759" s="5" t="inlineStr">
        <is>
          <t>Marzo</t>
        </is>
      </c>
      <c r="I759" s="6" t="inlineStr">
        <is>
          <t>2022-1</t>
        </is>
      </c>
      <c r="J759" s="5" t="n">
        <v>1700</v>
      </c>
      <c r="K759" s="9" t="n">
        <v>782.5</v>
      </c>
      <c r="L759" s="14" t="n">
        <v>1</v>
      </c>
      <c r="M759" s="14" t="n">
        <v>2.172523961661342</v>
      </c>
      <c r="N759" s="5" t="inlineStr">
        <is>
          <t>m3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208-2022-03-31</t>
        </is>
      </c>
    </row>
    <row r="760" hidden="1">
      <c r="A760" s="5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9" t="n">
        <v>44681</v>
      </c>
      <c r="G760" s="5" t="n">
        <v>2022</v>
      </c>
      <c r="H760" s="5" t="inlineStr">
        <is>
          <t>Abril</t>
        </is>
      </c>
      <c r="I760" s="6" t="inlineStr">
        <is>
          <t>2022-1</t>
        </is>
      </c>
      <c r="J760" s="5" t="n">
        <v>1700</v>
      </c>
      <c r="K760" s="5" t="n">
        <v>1296</v>
      </c>
      <c r="L760" s="14" t="n">
        <v>1</v>
      </c>
      <c r="M760" s="14" t="n">
        <v>1.311728395061728</v>
      </c>
      <c r="N760" s="5" t="inlineStr">
        <is>
          <t>m3</t>
        </is>
      </c>
      <c r="O760" s="5" t="inlineStr">
        <is>
          <t>m3</t>
        </is>
      </c>
      <c r="P760" s="5" t="n">
        <v>0</v>
      </c>
      <c r="Q760" s="5" t="n">
        <v>0</v>
      </c>
      <c r="R760" s="5" t="inlineStr">
        <is>
          <t>208-2022-04-30</t>
        </is>
      </c>
    </row>
    <row r="761" hidden="1">
      <c r="A761" s="21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9" t="n">
        <v>44712</v>
      </c>
      <c r="G761" s="5" t="n">
        <v>2022</v>
      </c>
      <c r="H761" s="5" t="inlineStr">
        <is>
          <t>Mayo</t>
        </is>
      </c>
      <c r="I761" s="6" t="inlineStr">
        <is>
          <t>2022-1</t>
        </is>
      </c>
      <c r="J761" s="5" t="n">
        <v>1700</v>
      </c>
      <c r="K761" s="10" t="n">
        <v>1251</v>
      </c>
      <c r="L761" s="14" t="n">
        <v>1</v>
      </c>
      <c r="M761" s="14" t="n">
        <v>1.358912869704237</v>
      </c>
      <c r="N761" s="5" t="inlineStr">
        <is>
          <t>m3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208-2022-05-31</t>
        </is>
      </c>
    </row>
    <row r="762" hidden="1">
      <c r="A762" s="21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8" t="n">
        <v>44742</v>
      </c>
      <c r="G762" s="5" t="n">
        <v>2022</v>
      </c>
      <c r="H762" s="5" t="inlineStr">
        <is>
          <t>Junio</t>
        </is>
      </c>
      <c r="I762" s="6" t="inlineStr">
        <is>
          <t>2022-1</t>
        </is>
      </c>
      <c r="J762" s="5" t="n">
        <v>1700</v>
      </c>
      <c r="K762" s="9" t="n">
        <v>1229.5</v>
      </c>
      <c r="L762" s="14" t="n">
        <v>1</v>
      </c>
      <c r="M762" s="14" t="n">
        <v>1.382675884505897</v>
      </c>
      <c r="N762" s="5" t="inlineStr">
        <is>
          <t>m3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208-2022-06-30</t>
        </is>
      </c>
    </row>
    <row r="763" hidden="1">
      <c r="A763" s="5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9" t="n">
        <v>44773</v>
      </c>
      <c r="G763" s="5" t="n">
        <v>2022</v>
      </c>
      <c r="H763" s="5" t="inlineStr">
        <is>
          <t>Julio</t>
        </is>
      </c>
      <c r="I763" s="6" t="inlineStr">
        <is>
          <t>2022-2</t>
        </is>
      </c>
      <c r="J763" s="5" t="n">
        <v>1700</v>
      </c>
      <c r="K763" s="5" t="n">
        <v>1362.5</v>
      </c>
      <c r="L763" s="14" t="n">
        <v>1</v>
      </c>
      <c r="M763" s="14" t="n">
        <v>1.247706422018349</v>
      </c>
      <c r="N763" s="5" t="inlineStr">
        <is>
          <t>m3</t>
        </is>
      </c>
      <c r="O763" s="5" t="inlineStr">
        <is>
          <t>m3</t>
        </is>
      </c>
      <c r="P763" s="5" t="n">
        <v>0</v>
      </c>
      <c r="Q763" s="5" t="n">
        <v>0</v>
      </c>
      <c r="R763" s="5" t="inlineStr">
        <is>
          <t>208-2022-07-31</t>
        </is>
      </c>
    </row>
    <row r="764" hidden="1">
      <c r="A764" s="21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9" t="n">
        <v>44804</v>
      </c>
      <c r="G764" s="5" t="n">
        <v>2022</v>
      </c>
      <c r="H764" s="5" t="inlineStr">
        <is>
          <t>Agosto</t>
        </is>
      </c>
      <c r="I764" s="6" t="inlineStr">
        <is>
          <t>2022-2</t>
        </is>
      </c>
      <c r="J764" s="5" t="n">
        <v>1700</v>
      </c>
      <c r="K764" s="10" t="n">
        <v>1328.5</v>
      </c>
      <c r="L764" s="14" t="n">
        <v>1</v>
      </c>
      <c r="M764" s="14" t="n">
        <v>1.279638690252164</v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208-2022-08-31</t>
        </is>
      </c>
    </row>
    <row r="765" hidden="1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9" t="n">
        <v>44834</v>
      </c>
      <c r="G765" s="5" t="n">
        <v>2022</v>
      </c>
      <c r="H765" s="5" t="inlineStr">
        <is>
          <t>Septiembre</t>
        </is>
      </c>
      <c r="I765" s="6" t="inlineStr">
        <is>
          <t>2022-2</t>
        </is>
      </c>
      <c r="J765" s="5" t="n">
        <v>1700</v>
      </c>
      <c r="K765" s="9" t="n">
        <v>1687.5</v>
      </c>
      <c r="L765" s="14" t="n">
        <v>1</v>
      </c>
      <c r="M765" s="14" t="n">
        <v>1.007407407407407</v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208-2022-09-30</t>
        </is>
      </c>
    </row>
    <row r="766" hidden="1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9" t="n">
        <v>44865</v>
      </c>
      <c r="G766" s="5" t="n">
        <v>2022</v>
      </c>
      <c r="H766" s="5" t="inlineStr">
        <is>
          <t>Octubre</t>
        </is>
      </c>
      <c r="I766" s="6" t="inlineStr">
        <is>
          <t>2022-2</t>
        </is>
      </c>
      <c r="J766" s="5" t="n">
        <v>1700</v>
      </c>
      <c r="K766" s="9" t="n">
        <v>1687</v>
      </c>
      <c r="L766" s="14" t="n">
        <v>1</v>
      </c>
      <c r="M766" s="14" t="n">
        <v>1.007705986959099</v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208-2022-10-31</t>
        </is>
      </c>
    </row>
    <row r="767" hidden="1">
      <c r="A767" s="28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9" t="n">
        <v>44895</v>
      </c>
      <c r="G767" s="5" t="n">
        <v>2022</v>
      </c>
      <c r="H767" s="5" t="inlineStr">
        <is>
          <t>Noviembre</t>
        </is>
      </c>
      <c r="I767" s="6" t="inlineStr">
        <is>
          <t>2022-2</t>
        </is>
      </c>
      <c r="J767" s="5" t="n">
        <v>1700</v>
      </c>
      <c r="K767" s="9" t="n">
        <v>1494</v>
      </c>
      <c r="L767" s="14" t="n">
        <v>1</v>
      </c>
      <c r="M767" s="14" t="n">
        <v>1.137884872824632</v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208-2022-11-30</t>
        </is>
      </c>
    </row>
    <row r="768" hidden="1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9" t="n">
        <v>44926</v>
      </c>
      <c r="G768" s="5" t="n">
        <v>2022</v>
      </c>
      <c r="H768" s="5" t="inlineStr">
        <is>
          <t>Diciembre</t>
        </is>
      </c>
      <c r="I768" s="6" t="inlineStr">
        <is>
          <t>2022-2</t>
        </is>
      </c>
      <c r="J768" s="5" t="n">
        <v>1700</v>
      </c>
      <c r="K768" s="9" t="n">
        <v>1010</v>
      </c>
      <c r="L768" s="14" t="n">
        <v>1</v>
      </c>
      <c r="M768" s="14" t="n">
        <v>1.683168316831683</v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208-2022-12-31</t>
        </is>
      </c>
    </row>
    <row r="769" hidden="1">
      <c r="A769" s="21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9" t="n">
        <v>44957</v>
      </c>
      <c r="G769" s="5" t="n">
        <v>2023</v>
      </c>
      <c r="H769" s="5" t="inlineStr">
        <is>
          <t>Enero</t>
        </is>
      </c>
      <c r="I769" s="6" t="inlineStr">
        <is>
          <t>2023-1</t>
        </is>
      </c>
      <c r="J769" s="5" t="n">
        <v>1700</v>
      </c>
      <c r="K769" s="10" t="n">
        <v>1019</v>
      </c>
      <c r="L769" s="14" t="n">
        <v>1</v>
      </c>
      <c r="M769" s="14" t="n">
        <v>1.668302257114818</v>
      </c>
      <c r="N769" s="5" t="inlineStr">
        <is>
          <t>Linea Base</t>
        </is>
      </c>
      <c r="O769" s="5" t="inlineStr">
        <is>
          <t>m3</t>
        </is>
      </c>
      <c r="P769" s="15" t="n">
        <v>0</v>
      </c>
      <c r="Q769" s="15" t="n">
        <v>0</v>
      </c>
      <c r="R769" s="5" t="inlineStr">
        <is>
          <t>208-2023-01-31</t>
        </is>
      </c>
    </row>
    <row r="770" hidden="1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9" t="n">
        <v>44985</v>
      </c>
      <c r="G770" s="5" t="n">
        <v>2023</v>
      </c>
      <c r="H770" s="5" t="inlineStr">
        <is>
          <t>Febrero</t>
        </is>
      </c>
      <c r="I770" s="6" t="inlineStr">
        <is>
          <t>2023-1</t>
        </is>
      </c>
      <c r="J770" s="5" t="n">
        <v>1700</v>
      </c>
      <c r="K770" s="5" t="n">
        <v>896</v>
      </c>
      <c r="L770" s="14" t="n">
        <v>1</v>
      </c>
      <c r="M770" s="14" t="n">
        <v>1.897321428571429</v>
      </c>
      <c r="N770" s="5" t="inlineStr">
        <is>
          <t>Linea Base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208-2023-02-28</t>
        </is>
      </c>
    </row>
    <row r="771" hidden="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9" t="n">
        <v>45016</v>
      </c>
      <c r="G771" s="5" t="n">
        <v>2023</v>
      </c>
      <c r="H771" s="5" t="inlineStr">
        <is>
          <t>Marzo</t>
        </is>
      </c>
      <c r="I771" s="6" t="inlineStr">
        <is>
          <t>2023-1</t>
        </is>
      </c>
      <c r="J771" s="5" t="n">
        <v>1700</v>
      </c>
      <c r="K771" s="10" t="n">
        <v>961.7</v>
      </c>
      <c r="L771" s="14" t="n">
        <v>1</v>
      </c>
      <c r="M771" s="14" t="n">
        <v>1.76770302589165</v>
      </c>
      <c r="N771" s="5" t="inlineStr">
        <is>
          <t>Linea Base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208-2023-03-31</t>
        </is>
      </c>
    </row>
    <row r="772" hidden="1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9" t="n">
        <v>45046</v>
      </c>
      <c r="G772" s="5" t="n">
        <v>2023</v>
      </c>
      <c r="H772" s="5" t="inlineStr">
        <is>
          <t>Abril</t>
        </is>
      </c>
      <c r="I772" s="6" t="inlineStr">
        <is>
          <t>2023-1</t>
        </is>
      </c>
      <c r="J772" s="5" t="n">
        <v>1700</v>
      </c>
      <c r="K772" s="10" t="n">
        <v>957.6</v>
      </c>
      <c r="L772" s="14" t="n">
        <v>1</v>
      </c>
      <c r="M772" s="14" t="n">
        <v>1.775271512113617</v>
      </c>
      <c r="N772" s="5" t="inlineStr">
        <is>
          <t>Linea Base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208-2023-04-30</t>
        </is>
      </c>
    </row>
    <row r="773" hidden="1">
      <c r="A773" s="21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8" t="n">
        <v>45077</v>
      </c>
      <c r="G773" s="5" t="n">
        <v>2023</v>
      </c>
      <c r="H773" s="5" t="inlineStr">
        <is>
          <t>Mayo</t>
        </is>
      </c>
      <c r="I773" s="6" t="inlineStr">
        <is>
          <t>2023-1</t>
        </is>
      </c>
      <c r="J773" s="5" t="n">
        <v>1700</v>
      </c>
      <c r="K773" s="9" t="n">
        <v>1268</v>
      </c>
      <c r="L773" s="14" t="n">
        <v>1</v>
      </c>
      <c r="M773" s="14" t="n">
        <v>1.340694006309148</v>
      </c>
      <c r="N773" s="5" t="inlineStr">
        <is>
          <t>Linea Base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208-2023-05-31</t>
        </is>
      </c>
    </row>
    <row r="774" hidden="1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9" t="n">
        <v>45107</v>
      </c>
      <c r="G774" s="5" t="n">
        <v>2023</v>
      </c>
      <c r="H774" s="5" t="inlineStr">
        <is>
          <t>Junio</t>
        </is>
      </c>
      <c r="I774" s="6" t="inlineStr">
        <is>
          <t>2023-1</t>
        </is>
      </c>
      <c r="J774" s="5" t="n">
        <v>1700</v>
      </c>
      <c r="K774" s="9" t="n">
        <v>1457</v>
      </c>
      <c r="L774" s="14" t="n">
        <v>1</v>
      </c>
      <c r="M774" s="14" t="n">
        <v>1.166781056966369</v>
      </c>
      <c r="N774" s="5" t="inlineStr">
        <is>
          <t>Linea Base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208-2023-06-30</t>
        </is>
      </c>
    </row>
    <row r="775" hidden="1">
      <c r="A775" s="5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09" t="n">
        <v>45138</v>
      </c>
      <c r="G775" s="5" t="n">
        <v>2023</v>
      </c>
      <c r="H775" s="5" t="inlineStr">
        <is>
          <t>Julio</t>
        </is>
      </c>
      <c r="I775" s="6" t="inlineStr">
        <is>
          <t>2023-2</t>
        </is>
      </c>
      <c r="J775" s="5" t="n">
        <v>1700</v>
      </c>
      <c r="K775" s="5" t="n">
        <v>1160</v>
      </c>
      <c r="L775" s="14" t="n">
        <v>1</v>
      </c>
      <c r="M775" s="14" t="n">
        <v>1.46551724137931</v>
      </c>
      <c r="N775" s="5" t="inlineStr">
        <is>
          <t>Linea Base</t>
        </is>
      </c>
      <c r="O775" s="5" t="inlineStr">
        <is>
          <t>m3</t>
        </is>
      </c>
      <c r="P775" s="5" t="n">
        <v>0</v>
      </c>
      <c r="Q775" s="5" t="n">
        <v>0</v>
      </c>
      <c r="R775" s="5" t="inlineStr">
        <is>
          <t>208-2023-07-31</t>
        </is>
      </c>
    </row>
    <row r="776" hidden="1">
      <c r="A776" s="21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08" t="n">
        <v>45169</v>
      </c>
      <c r="G776" s="5" t="n">
        <v>2023</v>
      </c>
      <c r="H776" s="5" t="inlineStr">
        <is>
          <t>Agosto</t>
        </is>
      </c>
      <c r="I776" s="6" t="inlineStr">
        <is>
          <t>2023-2</t>
        </is>
      </c>
      <c r="J776" s="5" t="n">
        <v>1700</v>
      </c>
      <c r="K776" s="9" t="n">
        <v>1275</v>
      </c>
      <c r="L776" s="14" t="n">
        <v>1</v>
      </c>
      <c r="M776" s="14" t="n">
        <v>1.333333333333333</v>
      </c>
      <c r="N776" s="5" t="inlineStr">
        <is>
          <t>Linea Base</t>
        </is>
      </c>
      <c r="O776" s="5" t="inlineStr">
        <is>
          <t>m3</t>
        </is>
      </c>
      <c r="P776" s="15" t="n">
        <v>0</v>
      </c>
      <c r="Q776" s="15" t="n">
        <v>0</v>
      </c>
      <c r="R776" s="5" t="inlineStr">
        <is>
          <t>208-2023-08-31</t>
        </is>
      </c>
    </row>
    <row r="777" hidden="1">
      <c r="A777" s="26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09" t="n">
        <v>45199</v>
      </c>
      <c r="G777" s="5" t="n">
        <v>2023</v>
      </c>
      <c r="H777" s="5" t="inlineStr">
        <is>
          <t>Septiembre</t>
        </is>
      </c>
      <c r="I777" s="6" t="inlineStr">
        <is>
          <t>2023-2</t>
        </is>
      </c>
      <c r="J777" s="5" t="n">
        <v>1700</v>
      </c>
      <c r="K777" s="9" t="n">
        <v>1453.5</v>
      </c>
      <c r="L777" s="14" t="n">
        <v>1</v>
      </c>
      <c r="M777" s="14" t="n">
        <v>1.169590643274854</v>
      </c>
      <c r="N777" s="5" t="inlineStr">
        <is>
          <t>Linea Base</t>
        </is>
      </c>
      <c r="O777" s="5" t="inlineStr">
        <is>
          <t>m3</t>
        </is>
      </c>
      <c r="P777" s="15" t="n">
        <v>0</v>
      </c>
      <c r="Q777" s="15" t="n">
        <v>0</v>
      </c>
      <c r="R777" s="5" t="inlineStr">
        <is>
          <t>208-2023-09-30</t>
        </is>
      </c>
    </row>
    <row r="778" hidden="1">
      <c r="A778" s="5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09" t="n">
        <v>45230</v>
      </c>
      <c r="G778" s="5" t="n">
        <v>2023</v>
      </c>
      <c r="H778" s="5" t="inlineStr">
        <is>
          <t>Octubre</t>
        </is>
      </c>
      <c r="I778" s="6" t="inlineStr">
        <is>
          <t>2023-2</t>
        </is>
      </c>
      <c r="J778" s="5" t="n">
        <v>1700</v>
      </c>
      <c r="K778" s="5" t="n">
        <v>1575.9</v>
      </c>
      <c r="L778" s="14" t="n">
        <v>1</v>
      </c>
      <c r="M778" s="14" t="n">
        <v>1.078748651564186</v>
      </c>
      <c r="N778" s="5" t="inlineStr">
        <is>
          <t>Linea Base</t>
        </is>
      </c>
      <c r="O778" s="5" t="inlineStr">
        <is>
          <t>m3</t>
        </is>
      </c>
      <c r="P778" s="5" t="n">
        <v>0</v>
      </c>
      <c r="Q778" s="5" t="n">
        <v>0</v>
      </c>
      <c r="R778" s="5" t="inlineStr">
        <is>
          <t>208-2023-10-31</t>
        </is>
      </c>
    </row>
    <row r="779" hidden="1">
      <c r="A779" s="21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09" t="n">
        <v>45260</v>
      </c>
      <c r="G779" s="5" t="n">
        <v>2023</v>
      </c>
      <c r="H779" s="5" t="inlineStr">
        <is>
          <t>Noviembre</t>
        </is>
      </c>
      <c r="I779" s="6" t="inlineStr">
        <is>
          <t>2023-2</t>
        </is>
      </c>
      <c r="J779" s="5" t="n">
        <v>1700</v>
      </c>
      <c r="K779" s="10" t="n">
        <v>1380</v>
      </c>
      <c r="L779" s="14" t="n">
        <v>1</v>
      </c>
      <c r="M779" s="14" t="n">
        <v>1.231884057971014</v>
      </c>
      <c r="N779" s="5" t="inlineStr">
        <is>
          <t>Linea Base</t>
        </is>
      </c>
      <c r="O779" s="5" t="inlineStr">
        <is>
          <t>m3</t>
        </is>
      </c>
      <c r="P779" s="15" t="n">
        <v>0</v>
      </c>
      <c r="Q779" s="15" t="n">
        <v>0</v>
      </c>
      <c r="R779" s="5" t="inlineStr">
        <is>
          <t>208-2023-11-30</t>
        </is>
      </c>
    </row>
    <row r="780" hidden="1">
      <c r="A780" s="21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20" t="inlineStr">
        <is>
          <t>Mensual</t>
        </is>
      </c>
      <c r="E780" s="5" t="inlineStr">
        <is>
          <t>Negativo</t>
        </is>
      </c>
      <c r="F780" s="109" t="n">
        <v>45291</v>
      </c>
      <c r="G780" s="5" t="n">
        <v>2023</v>
      </c>
      <c r="H780" s="5" t="inlineStr">
        <is>
          <t>Diciembre</t>
        </is>
      </c>
      <c r="I780" s="6" t="inlineStr">
        <is>
          <t>2023-2</t>
        </is>
      </c>
      <c r="J780" s="5" t="n">
        <v>1700</v>
      </c>
      <c r="K780" s="9" t="n">
        <v>1336</v>
      </c>
      <c r="L780" s="14" t="n">
        <v>1</v>
      </c>
      <c r="M780" s="14" t="n">
        <v>1.272455089820359</v>
      </c>
      <c r="N780" s="5" t="inlineStr">
        <is>
          <t>Linea Base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208-2023-12-31</t>
        </is>
      </c>
    </row>
    <row r="781" hidden="1">
      <c r="A781" s="26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09" t="n">
        <v>45322</v>
      </c>
      <c r="G781" s="5" t="n">
        <v>2024</v>
      </c>
      <c r="H781" s="5" t="inlineStr">
        <is>
          <t>Enero</t>
        </is>
      </c>
      <c r="I781" s="6" t="inlineStr">
        <is>
          <t>2024-1</t>
        </is>
      </c>
      <c r="J781" s="5" t="n">
        <v>1700</v>
      </c>
      <c r="K781" s="9" t="n">
        <v>1326</v>
      </c>
      <c r="L781" s="14" t="n">
        <v>1</v>
      </c>
      <c r="M781" s="14" t="n">
        <v>1.282051282051282</v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208-2024-01-31</t>
        </is>
      </c>
    </row>
    <row r="782" hidden="1">
      <c r="A782" s="5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09" t="n">
        <v>45351</v>
      </c>
      <c r="G782" s="5" t="n">
        <v>2024</v>
      </c>
      <c r="H782" s="5" t="inlineStr">
        <is>
          <t>Febrero</t>
        </is>
      </c>
      <c r="I782" s="6" t="inlineStr">
        <is>
          <t>2024-1</t>
        </is>
      </c>
      <c r="J782" s="5" t="n">
        <v>1700</v>
      </c>
      <c r="K782" s="5" t="n">
        <v>1307</v>
      </c>
      <c r="L782" s="14" t="n">
        <v>1</v>
      </c>
      <c r="M782" s="14" t="n">
        <v>1.300688599846978</v>
      </c>
      <c r="N782" s="5" t="inlineStr">
        <is>
          <t>m3</t>
        </is>
      </c>
      <c r="O782" s="5" t="inlineStr">
        <is>
          <t>m3</t>
        </is>
      </c>
      <c r="P782" s="5" t="n">
        <v>0</v>
      </c>
      <c r="Q782" s="5" t="n">
        <v>0</v>
      </c>
      <c r="R782" s="5" t="inlineStr">
        <is>
          <t>208-2024-02-29</t>
        </is>
      </c>
    </row>
    <row r="783" hidden="1">
      <c r="A783" s="21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09" t="n">
        <v>45382</v>
      </c>
      <c r="G783" s="5" t="n">
        <v>2024</v>
      </c>
      <c r="H783" s="5" t="inlineStr">
        <is>
          <t>Marzo</t>
        </is>
      </c>
      <c r="I783" s="6" t="inlineStr">
        <is>
          <t>2024-1</t>
        </is>
      </c>
      <c r="J783" s="5" t="n">
        <v>1700</v>
      </c>
      <c r="K783" s="10" t="n">
        <v>1474.5</v>
      </c>
      <c r="L783" s="14" t="n">
        <v>1</v>
      </c>
      <c r="M783" s="14" t="n">
        <v>1.152933197694133</v>
      </c>
      <c r="N783" s="5" t="inlineStr">
        <is>
          <t>m3</t>
        </is>
      </c>
      <c r="O783" s="5" t="inlineStr">
        <is>
          <t>m3</t>
        </is>
      </c>
      <c r="P783" s="15" t="n">
        <v>0</v>
      </c>
      <c r="Q783" s="15" t="n">
        <v>0</v>
      </c>
      <c r="R783" s="5" t="inlineStr">
        <is>
          <t>208-2024-03-31</t>
        </is>
      </c>
    </row>
    <row r="784" hidden="1">
      <c r="A784" s="21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08" t="n">
        <v>45412</v>
      </c>
      <c r="G784" s="5" t="n">
        <v>2024</v>
      </c>
      <c r="H784" s="5" t="inlineStr">
        <is>
          <t>Abril</t>
        </is>
      </c>
      <c r="I784" s="6" t="inlineStr">
        <is>
          <t>2024-1</t>
        </is>
      </c>
      <c r="J784" s="5" t="n">
        <v>1700</v>
      </c>
      <c r="K784" s="9" t="n">
        <v>1526</v>
      </c>
      <c r="L784" s="14" t="n">
        <v>1</v>
      </c>
      <c r="M784" s="14" t="n">
        <v>1.114023591087811</v>
      </c>
      <c r="N784" s="5" t="inlineStr">
        <is>
          <t>m3</t>
        </is>
      </c>
      <c r="O784" s="5" t="inlineStr">
        <is>
          <t>m3</t>
        </is>
      </c>
      <c r="P784" s="15" t="n">
        <v>0</v>
      </c>
      <c r="Q784" s="15" t="n">
        <v>0</v>
      </c>
      <c r="R784" s="5" t="inlineStr">
        <is>
          <t>208-2024-04-30</t>
        </is>
      </c>
    </row>
    <row r="785" hidden="1">
      <c r="A785" s="26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09" t="n">
        <v>45443</v>
      </c>
      <c r="G785" s="5" t="n">
        <v>2024</v>
      </c>
      <c r="H785" s="5" t="inlineStr">
        <is>
          <t>Mayo</t>
        </is>
      </c>
      <c r="I785" s="6" t="inlineStr">
        <is>
          <t>2024-1</t>
        </is>
      </c>
      <c r="J785" s="5" t="n">
        <v>1700</v>
      </c>
      <c r="K785" s="9" t="n">
        <v>1517.5</v>
      </c>
      <c r="L785" s="14" t="n">
        <v>1</v>
      </c>
      <c r="M785" s="14" t="n">
        <v>1.120263591433278</v>
      </c>
      <c r="N785" s="5" t="inlineStr">
        <is>
          <t>m3</t>
        </is>
      </c>
      <c r="O785" s="5" t="inlineStr">
        <is>
          <t>m3</t>
        </is>
      </c>
      <c r="P785" s="15" t="n">
        <v>0</v>
      </c>
      <c r="Q785" s="15" t="n">
        <v>0</v>
      </c>
      <c r="R785" s="5" t="inlineStr">
        <is>
          <t>208-2024-05-31</t>
        </is>
      </c>
    </row>
    <row r="786" hidden="1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09" t="n">
        <v>45473</v>
      </c>
      <c r="G786" s="5" t="n">
        <v>2024</v>
      </c>
      <c r="H786" s="5" t="inlineStr">
        <is>
          <t>Junio</t>
        </is>
      </c>
      <c r="I786" s="6" t="inlineStr">
        <is>
          <t>2024-1</t>
        </is>
      </c>
      <c r="J786" s="5" t="n">
        <v>1700</v>
      </c>
      <c r="K786" s="5" t="n">
        <v>1291</v>
      </c>
      <c r="L786" s="14" t="n">
        <v>1</v>
      </c>
      <c r="M786" s="14" t="n">
        <v>1.316808675445391</v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208-2024-06-30</t>
        </is>
      </c>
    </row>
    <row r="787" hidden="1">
      <c r="A787" s="21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09" t="n">
        <v>45504</v>
      </c>
      <c r="G787" s="5" t="n">
        <v>2024</v>
      </c>
      <c r="H787" s="5" t="inlineStr">
        <is>
          <t>Julio</t>
        </is>
      </c>
      <c r="I787" s="6" t="inlineStr">
        <is>
          <t>2024-2</t>
        </is>
      </c>
      <c r="J787" s="5" t="n">
        <v>1700</v>
      </c>
      <c r="K787" s="10" t="n">
        <v>1086</v>
      </c>
      <c r="L787" s="14" t="n">
        <v>1</v>
      </c>
      <c r="M787" s="14" t="n">
        <v>1.565377532228361</v>
      </c>
      <c r="N787" s="5" t="inlineStr">
        <is>
          <t>m3</t>
        </is>
      </c>
      <c r="O787" s="5" t="inlineStr">
        <is>
          <t>m3</t>
        </is>
      </c>
      <c r="P787" s="15" t="n">
        <v>0</v>
      </c>
      <c r="Q787" s="15" t="n">
        <v>0</v>
      </c>
      <c r="R787" s="5" t="inlineStr">
        <is>
          <t>208-2024-07-31</t>
        </is>
      </c>
    </row>
    <row r="788" hidden="1">
      <c r="A788" s="21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08" t="n">
        <v>45535</v>
      </c>
      <c r="G788" s="5" t="n">
        <v>2024</v>
      </c>
      <c r="H788" s="5" t="inlineStr">
        <is>
          <t>Agosto</t>
        </is>
      </c>
      <c r="I788" s="6" t="inlineStr">
        <is>
          <t>2024-2</t>
        </is>
      </c>
      <c r="J788" s="5" t="n">
        <v>1700</v>
      </c>
      <c r="K788" s="9" t="n">
        <v>1281.5</v>
      </c>
      <c r="L788" s="14" t="n">
        <v>1</v>
      </c>
      <c r="M788" s="14" t="n">
        <v>1.326570425282872</v>
      </c>
      <c r="N788" s="5" t="inlineStr">
        <is>
          <t>m3</t>
        </is>
      </c>
      <c r="O788" s="5" t="inlineStr">
        <is>
          <t>m3</t>
        </is>
      </c>
      <c r="P788" s="15" t="n">
        <v>0</v>
      </c>
      <c r="Q788" s="15" t="n">
        <v>0</v>
      </c>
      <c r="R788" s="5" t="inlineStr">
        <is>
          <t>208-2024-08-31</t>
        </is>
      </c>
    </row>
    <row r="789" hidden="1">
      <c r="A789" s="26" t="n">
        <v>208</v>
      </c>
      <c r="B789" s="5" t="inlineStr">
        <is>
          <t>Consumo de Agua m3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109" t="n">
        <v>45565</v>
      </c>
      <c r="G789" s="5" t="n">
        <v>2024</v>
      </c>
      <c r="H789" s="5" t="inlineStr">
        <is>
          <t>Septiembre</t>
        </is>
      </c>
      <c r="I789" s="6" t="inlineStr">
        <is>
          <t>2024-2</t>
        </is>
      </c>
      <c r="J789" s="5" t="n">
        <v>1700</v>
      </c>
      <c r="K789" s="9" t="n">
        <v>1466</v>
      </c>
      <c r="L789" s="14" t="n">
        <v>1</v>
      </c>
      <c r="M789" s="14" t="n">
        <v>1.159618008185539</v>
      </c>
      <c r="N789" s="5" t="inlineStr">
        <is>
          <t>m3</t>
        </is>
      </c>
      <c r="O789" s="5" t="inlineStr">
        <is>
          <t>m3</t>
        </is>
      </c>
      <c r="P789" s="15" t="n">
        <v>0</v>
      </c>
      <c r="Q789" s="15" t="n">
        <v>0</v>
      </c>
      <c r="R789" s="5" t="inlineStr">
        <is>
          <t>208-2024-09-30</t>
        </is>
      </c>
    </row>
    <row r="790" hidden="1">
      <c r="A790" s="5" t="n">
        <v>208</v>
      </c>
      <c r="B790" s="5" t="inlineStr">
        <is>
          <t>Consumo de Agua m3 Mensual</t>
        </is>
      </c>
      <c r="C790" s="5" t="inlineStr">
        <is>
          <t>GESTIÓN AMBIENTAL</t>
        </is>
      </c>
      <c r="D790" s="5" t="inlineStr">
        <is>
          <t>Mensual</t>
        </is>
      </c>
      <c r="E790" s="5" t="inlineStr">
        <is>
          <t>Negativo</t>
        </is>
      </c>
      <c r="F790" s="109" t="n">
        <v>45596</v>
      </c>
      <c r="G790" s="5" t="n">
        <v>2024</v>
      </c>
      <c r="H790" s="5" t="inlineStr">
        <is>
          <t>Octubre</t>
        </is>
      </c>
      <c r="I790" s="6" t="inlineStr">
        <is>
          <t>2024-2</t>
        </is>
      </c>
      <c r="J790" s="5" t="n">
        <v>1700</v>
      </c>
      <c r="K790" s="5" t="n">
        <v>1345</v>
      </c>
      <c r="L790" s="14" t="n">
        <v>1</v>
      </c>
      <c r="M790" s="14" t="n">
        <v>1.263940520446097</v>
      </c>
      <c r="N790" s="5" t="inlineStr">
        <is>
          <t>m3</t>
        </is>
      </c>
      <c r="O790" s="5" t="inlineStr">
        <is>
          <t>m3</t>
        </is>
      </c>
      <c r="P790" s="5" t="n">
        <v>0</v>
      </c>
      <c r="Q790" s="5" t="n">
        <v>0</v>
      </c>
      <c r="R790" s="5" t="inlineStr">
        <is>
          <t>208-2024-10-31</t>
        </is>
      </c>
    </row>
    <row r="791" hidden="1">
      <c r="A791" s="21" t="n">
        <v>208</v>
      </c>
      <c r="B791" s="5" t="inlineStr">
        <is>
          <t>Consumo de Agua m3 Mensual</t>
        </is>
      </c>
      <c r="C791" s="5" t="inlineStr">
        <is>
          <t>GESTIÓN AMBIENTAL</t>
        </is>
      </c>
      <c r="D791" s="5" t="inlineStr">
        <is>
          <t>Mensual</t>
        </is>
      </c>
      <c r="E791" s="5" t="inlineStr">
        <is>
          <t>Negativo</t>
        </is>
      </c>
      <c r="F791" s="109" t="n">
        <v>45626</v>
      </c>
      <c r="G791" s="5" t="n">
        <v>2024</v>
      </c>
      <c r="H791" s="5" t="inlineStr">
        <is>
          <t>Noviembre</t>
        </is>
      </c>
      <c r="I791" s="6" t="inlineStr">
        <is>
          <t>2024-2</t>
        </is>
      </c>
      <c r="J791" s="5" t="n">
        <v>1700</v>
      </c>
      <c r="K791" s="10" t="n">
        <v>1115</v>
      </c>
      <c r="L791" s="14" t="n">
        <v>1</v>
      </c>
      <c r="M791" s="14" t="n">
        <v>1.524663677130045</v>
      </c>
      <c r="N791" s="5" t="inlineStr">
        <is>
          <t>m3</t>
        </is>
      </c>
      <c r="O791" s="5" t="inlineStr">
        <is>
          <t>m3</t>
        </is>
      </c>
      <c r="P791" s="15" t="n">
        <v>0</v>
      </c>
      <c r="Q791" s="15" t="n">
        <v>0</v>
      </c>
      <c r="R791" s="5" t="inlineStr">
        <is>
          <t>208-2024-11-30</t>
        </is>
      </c>
    </row>
    <row r="792" hidden="1">
      <c r="A792" s="21" t="n">
        <v>208</v>
      </c>
      <c r="B792" s="5" t="inlineStr">
        <is>
          <t>Consumo de Agua m3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108" t="n">
        <v>45657</v>
      </c>
      <c r="G792" s="5" t="n">
        <v>2024</v>
      </c>
      <c r="H792" s="5" t="inlineStr">
        <is>
          <t>Diciembre</t>
        </is>
      </c>
      <c r="I792" s="6" t="inlineStr">
        <is>
          <t>2024-2</t>
        </is>
      </c>
      <c r="J792" s="5" t="n">
        <v>1700</v>
      </c>
      <c r="K792" s="9" t="n">
        <v>939</v>
      </c>
      <c r="L792" s="14" t="n">
        <v>1</v>
      </c>
      <c r="M792" s="14" t="n">
        <v>1.810436634717785</v>
      </c>
      <c r="N792" s="5" t="inlineStr">
        <is>
          <t>m3</t>
        </is>
      </c>
      <c r="O792" s="5" t="inlineStr">
        <is>
          <t>m3</t>
        </is>
      </c>
      <c r="P792" s="15" t="n">
        <v>0</v>
      </c>
      <c r="Q792" s="15" t="n">
        <v>0</v>
      </c>
      <c r="R792" s="5" t="inlineStr">
        <is>
          <t>208-2024-12-31</t>
        </is>
      </c>
    </row>
    <row r="793" hidden="1">
      <c r="A793" s="26" t="n">
        <v>208</v>
      </c>
      <c r="B793" s="5" t="inlineStr">
        <is>
          <t>Consumo de Agua m3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09" t="n">
        <v>45688</v>
      </c>
      <c r="G793" s="5" t="n">
        <v>2025</v>
      </c>
      <c r="H793" s="5" t="inlineStr">
        <is>
          <t>Enero</t>
        </is>
      </c>
      <c r="I793" s="6" t="inlineStr">
        <is>
          <t>2025-1</t>
        </is>
      </c>
      <c r="J793" s="5" t="n">
        <v>1700</v>
      </c>
      <c r="K793" s="9" t="n">
        <v>800</v>
      </c>
      <c r="L793" s="14" t="n">
        <v>1</v>
      </c>
      <c r="M793" s="14" t="n">
        <v>2.125</v>
      </c>
      <c r="N793" s="5" t="inlineStr">
        <is>
          <t>m3</t>
        </is>
      </c>
      <c r="O793" s="5" t="inlineStr">
        <is>
          <t>m3</t>
        </is>
      </c>
      <c r="P793" s="15" t="n">
        <v>0</v>
      </c>
      <c r="Q793" s="15" t="n">
        <v>0</v>
      </c>
      <c r="R793" s="5" t="inlineStr">
        <is>
          <t>208-2025-01-31</t>
        </is>
      </c>
    </row>
    <row r="794" hidden="1">
      <c r="A794" s="5" t="n">
        <v>208</v>
      </c>
      <c r="B794" s="5" t="inlineStr">
        <is>
          <t>Consumo de Agua m3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109" t="n">
        <v>45716</v>
      </c>
      <c r="G794" s="5" t="n">
        <v>2025</v>
      </c>
      <c r="H794" s="5" t="inlineStr">
        <is>
          <t>Febrero</t>
        </is>
      </c>
      <c r="I794" s="6" t="inlineStr">
        <is>
          <t>2025-1</t>
        </is>
      </c>
      <c r="J794" s="5" t="n">
        <v>1700</v>
      </c>
      <c r="K794" s="5" t="n">
        <v>1123</v>
      </c>
      <c r="L794" s="14" t="n">
        <v>1</v>
      </c>
      <c r="M794" s="14" t="n">
        <v>1.51380231522707</v>
      </c>
      <c r="N794" s="5" t="inlineStr">
        <is>
          <t>m3</t>
        </is>
      </c>
      <c r="O794" s="5" t="inlineStr">
        <is>
          <t>m3</t>
        </is>
      </c>
      <c r="P794" s="5" t="n">
        <v>0</v>
      </c>
      <c r="Q794" s="5" t="n">
        <v>0</v>
      </c>
      <c r="R794" s="5" t="inlineStr">
        <is>
          <t>208-2025-02-28</t>
        </is>
      </c>
    </row>
    <row r="795" hidden="1">
      <c r="A795" s="21" t="n">
        <v>208</v>
      </c>
      <c r="B795" s="5" t="inlineStr">
        <is>
          <t>Consumo de Agua m3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09" t="n">
        <v>45747</v>
      </c>
      <c r="G795" s="5" t="n">
        <v>2025</v>
      </c>
      <c r="H795" s="5" t="inlineStr">
        <is>
          <t>Marzo</t>
        </is>
      </c>
      <c r="I795" s="6" t="inlineStr">
        <is>
          <t>2025-1</t>
        </is>
      </c>
      <c r="J795" s="5" t="n">
        <v>1700</v>
      </c>
      <c r="K795" s="10" t="n">
        <v>1309.5</v>
      </c>
      <c r="L795" s="14" t="n">
        <v>1</v>
      </c>
      <c r="M795" s="14" t="n">
        <v>1.298205421916762</v>
      </c>
      <c r="N795" s="5" t="inlineStr">
        <is>
          <t>m3</t>
        </is>
      </c>
      <c r="O795" s="5" t="inlineStr">
        <is>
          <t>m3</t>
        </is>
      </c>
      <c r="P795" s="15" t="n">
        <v>0</v>
      </c>
      <c r="Q795" s="15" t="n">
        <v>0</v>
      </c>
      <c r="R795" s="5" t="inlineStr">
        <is>
          <t>208-2025-03-31</t>
        </is>
      </c>
    </row>
    <row r="796" hidden="1">
      <c r="A796" s="21" t="n">
        <v>208</v>
      </c>
      <c r="B796" s="5" t="inlineStr">
        <is>
          <t>Consumo de Agua m3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08" t="n">
        <v>45777</v>
      </c>
      <c r="G796" s="5" t="n">
        <v>2025</v>
      </c>
      <c r="H796" s="5" t="inlineStr">
        <is>
          <t>Abril</t>
        </is>
      </c>
      <c r="I796" s="6" t="inlineStr">
        <is>
          <t>2025-1</t>
        </is>
      </c>
      <c r="J796" s="5" t="n">
        <v>1700</v>
      </c>
      <c r="K796" s="9" t="n">
        <v>1271</v>
      </c>
      <c r="L796" s="14" t="n">
        <v>1</v>
      </c>
      <c r="M796" s="14" t="n">
        <v>1.337529504327301</v>
      </c>
      <c r="N796" s="5" t="inlineStr">
        <is>
          <t>m3</t>
        </is>
      </c>
      <c r="O796" s="5" t="inlineStr">
        <is>
          <t>m3</t>
        </is>
      </c>
      <c r="P796" s="15" t="n">
        <v>0</v>
      </c>
      <c r="Q796" s="15" t="n">
        <v>0</v>
      </c>
      <c r="R796" s="5" t="inlineStr">
        <is>
          <t>208-2025-04-30</t>
        </is>
      </c>
    </row>
    <row r="797" hidden="1">
      <c r="A797" s="26" t="n">
        <v>208</v>
      </c>
      <c r="B797" s="5" t="inlineStr">
        <is>
          <t>Consumo de Agua m3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09" t="n">
        <v>45808</v>
      </c>
      <c r="G797" s="5" t="n">
        <v>2025</v>
      </c>
      <c r="H797" s="5" t="inlineStr">
        <is>
          <t>Mayo</t>
        </is>
      </c>
      <c r="I797" s="6" t="inlineStr">
        <is>
          <t>2025-1</t>
        </is>
      </c>
      <c r="J797" s="5" t="n">
        <v>1700</v>
      </c>
      <c r="K797" s="9" t="n">
        <v>1440.5</v>
      </c>
      <c r="L797" s="14" t="n">
        <v>1</v>
      </c>
      <c r="M797" s="14" t="n">
        <v>1.180145782714335</v>
      </c>
      <c r="N797" s="5" t="inlineStr">
        <is>
          <t>m3</t>
        </is>
      </c>
      <c r="O797" s="5" t="inlineStr">
        <is>
          <t>m3</t>
        </is>
      </c>
      <c r="P797" s="15" t="n">
        <v>0</v>
      </c>
      <c r="Q797" s="15" t="n">
        <v>0</v>
      </c>
      <c r="R797" s="5" t="inlineStr">
        <is>
          <t>208-2025-05-31</t>
        </is>
      </c>
    </row>
    <row r="798" hidden="1">
      <c r="A798" s="5" t="n">
        <v>208</v>
      </c>
      <c r="B798" s="5" t="inlineStr">
        <is>
          <t>Consumo de Agua m3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09" t="n">
        <v>45838</v>
      </c>
      <c r="G798" s="5" t="n">
        <v>2025</v>
      </c>
      <c r="H798" s="5" t="inlineStr">
        <is>
          <t>Junio</t>
        </is>
      </c>
      <c r="I798" s="6" t="inlineStr">
        <is>
          <t>2025-1</t>
        </is>
      </c>
      <c r="J798" s="5" t="n">
        <v>1700</v>
      </c>
      <c r="K798" s="5" t="n">
        <v>1408.5</v>
      </c>
      <c r="L798" s="14" t="n">
        <v>1</v>
      </c>
      <c r="M798" s="14" t="n">
        <v>1.206957756478523</v>
      </c>
      <c r="N798" s="5" t="inlineStr">
        <is>
          <t>m3</t>
        </is>
      </c>
      <c r="O798" s="5" t="inlineStr">
        <is>
          <t>m3</t>
        </is>
      </c>
      <c r="P798" s="5" t="n">
        <v>0</v>
      </c>
      <c r="Q798" s="5" t="n">
        <v>0</v>
      </c>
      <c r="R798" s="5" t="inlineStr">
        <is>
          <t>208-2025-06-30</t>
        </is>
      </c>
    </row>
    <row r="799" hidden="1">
      <c r="A799" s="26" t="n">
        <v>208</v>
      </c>
      <c r="B799" s="5" t="inlineStr">
        <is>
          <t>Consumo de Agua m3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09" t="n">
        <v>45869</v>
      </c>
      <c r="G799" s="5" t="n">
        <v>2025</v>
      </c>
      <c r="H799" s="5" t="inlineStr">
        <is>
          <t>Julio</t>
        </is>
      </c>
      <c r="I799" s="6" t="inlineStr">
        <is>
          <t>2025-2</t>
        </is>
      </c>
      <c r="J799" s="5" t="n">
        <v>1700</v>
      </c>
      <c r="K799" s="9" t="n">
        <v>1043.5</v>
      </c>
      <c r="L799" s="14" t="n">
        <v>1</v>
      </c>
      <c r="M799" s="14" t="n">
        <v>1.629132726401533</v>
      </c>
      <c r="N799" s="5" t="inlineStr">
        <is>
          <t>m3</t>
        </is>
      </c>
      <c r="O799" s="5" t="inlineStr">
        <is>
          <t>m3</t>
        </is>
      </c>
      <c r="P799" s="15" t="n">
        <v>0</v>
      </c>
      <c r="Q799" s="15" t="n">
        <v>0</v>
      </c>
      <c r="R799" s="5" t="inlineStr">
        <is>
          <t>208-2025-07-31</t>
        </is>
      </c>
    </row>
    <row r="800" hidden="1">
      <c r="A800" s="21" t="n">
        <v>208</v>
      </c>
      <c r="B800" s="5" t="inlineStr">
        <is>
          <t>Consumo de Agua m3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09" t="n">
        <v>45900</v>
      </c>
      <c r="G800" s="5" t="n">
        <v>2025</v>
      </c>
      <c r="H800" s="5" t="inlineStr">
        <is>
          <t>Agosto</t>
        </is>
      </c>
      <c r="I800" s="6" t="inlineStr">
        <is>
          <t>2025-2</t>
        </is>
      </c>
      <c r="J800" s="5" t="n">
        <v>1700</v>
      </c>
      <c r="K800" s="10" t="n">
        <v>1261</v>
      </c>
      <c r="L800" s="14" t="n">
        <v>1</v>
      </c>
      <c r="M800" s="14" t="n">
        <v>1.348136399682792</v>
      </c>
      <c r="N800" s="5" t="inlineStr">
        <is>
          <t>m3</t>
        </is>
      </c>
      <c r="O800" s="5" t="inlineStr">
        <is>
          <t>m3</t>
        </is>
      </c>
      <c r="P800" s="15" t="n">
        <v>0</v>
      </c>
      <c r="Q800" s="15" t="n">
        <v>0</v>
      </c>
      <c r="R800" s="5" t="inlineStr">
        <is>
          <t>208-2025-08-31</t>
        </is>
      </c>
    </row>
    <row r="801" hidden="1">
      <c r="A801" s="21" t="n">
        <v>208</v>
      </c>
      <c r="B801" s="5" t="inlineStr">
        <is>
          <t>Consumo de Agua m3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08" t="n">
        <v>45930</v>
      </c>
      <c r="G801" s="5" t="n">
        <v>2025</v>
      </c>
      <c r="H801" s="5" t="inlineStr">
        <is>
          <t>Septiembre</t>
        </is>
      </c>
      <c r="I801" s="6" t="inlineStr">
        <is>
          <t>2025-2</t>
        </is>
      </c>
      <c r="J801" s="5" t="n">
        <v>1700</v>
      </c>
      <c r="K801" s="9" t="n">
        <v>1352</v>
      </c>
      <c r="L801" s="14" t="n">
        <v>1</v>
      </c>
      <c r="M801" s="14" t="n">
        <v>1.257396449704142</v>
      </c>
      <c r="N801" s="5" t="inlineStr">
        <is>
          <t>m3</t>
        </is>
      </c>
      <c r="O801" s="5" t="inlineStr">
        <is>
          <t>m3</t>
        </is>
      </c>
      <c r="P801" s="15" t="n">
        <v>0</v>
      </c>
      <c r="Q801" s="15" t="n">
        <v>0</v>
      </c>
      <c r="R801" s="5" t="inlineStr">
        <is>
          <t>208-2025-09-30</t>
        </is>
      </c>
    </row>
    <row r="802" hidden="1">
      <c r="A802" s="26" t="n">
        <v>208</v>
      </c>
      <c r="B802" s="5" t="inlineStr">
        <is>
          <t>Consumo de Agua m3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09" t="n">
        <v>45961</v>
      </c>
      <c r="G802" s="5" t="n">
        <v>2025</v>
      </c>
      <c r="H802" s="5" t="inlineStr">
        <is>
          <t>Octubre</t>
        </is>
      </c>
      <c r="I802" s="6" t="inlineStr">
        <is>
          <t>2025-2</t>
        </is>
      </c>
      <c r="J802" s="5" t="n">
        <v>1700</v>
      </c>
      <c r="K802" s="9" t="n">
        <v>1260.5</v>
      </c>
      <c r="L802" s="14" t="n">
        <v>1</v>
      </c>
      <c r="M802" s="14" t="n">
        <v>1.348671162237207</v>
      </c>
      <c r="N802" s="5" t="inlineStr">
        <is>
          <t>m3</t>
        </is>
      </c>
      <c r="O802" s="5" t="inlineStr">
        <is>
          <t>m3</t>
        </is>
      </c>
      <c r="P802" s="15" t="n">
        <v>0</v>
      </c>
      <c r="Q802" s="15" t="n">
        <v>0</v>
      </c>
      <c r="R802" s="5" t="inlineStr">
        <is>
          <t>208-2025-10-31</t>
        </is>
      </c>
    </row>
    <row r="803" hidden="1">
      <c r="A803" s="5" t="n">
        <v>208</v>
      </c>
      <c r="B803" s="5" t="inlineStr">
        <is>
          <t>Consumo de Agua m3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09" t="n">
        <v>45991</v>
      </c>
      <c r="G803" s="5" t="n">
        <v>2025</v>
      </c>
      <c r="H803" s="5" t="inlineStr">
        <is>
          <t>Noviembre</t>
        </is>
      </c>
      <c r="I803" s="6" t="inlineStr">
        <is>
          <t>2025-2</t>
        </is>
      </c>
      <c r="J803" s="5" t="n">
        <v>1700</v>
      </c>
      <c r="K803" s="5" t="n">
        <v>1126</v>
      </c>
      <c r="L803" s="14" t="n">
        <v>1</v>
      </c>
      <c r="M803" s="14" t="n">
        <v>1.509769094138544</v>
      </c>
      <c r="N803" s="5" t="inlineStr">
        <is>
          <t>m3</t>
        </is>
      </c>
      <c r="O803" s="5" t="inlineStr">
        <is>
          <t>m3</t>
        </is>
      </c>
      <c r="P803" s="5" t="n">
        <v>0</v>
      </c>
      <c r="Q803" s="5" t="n">
        <v>0</v>
      </c>
      <c r="R803" s="5" t="inlineStr">
        <is>
          <t>208-2025-11-30</t>
        </is>
      </c>
    </row>
    <row r="804" hidden="1">
      <c r="A804" s="21" t="n">
        <v>208</v>
      </c>
      <c r="B804" s="5" t="inlineStr">
        <is>
          <t>Consumo de Agua m3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09" t="n">
        <v>46022</v>
      </c>
      <c r="G804" s="5" t="n">
        <v>2025</v>
      </c>
      <c r="H804" s="5" t="inlineStr">
        <is>
          <t>Diciembre</t>
        </is>
      </c>
      <c r="I804" s="6" t="inlineStr">
        <is>
          <t>2025-2</t>
        </is>
      </c>
      <c r="J804" s="5" t="n">
        <v>1700</v>
      </c>
      <c r="K804" s="10" t="n">
        <v>1059</v>
      </c>
      <c r="L804" s="14" t="n">
        <v>1</v>
      </c>
      <c r="M804" s="14" t="n">
        <v>1.605288007554297</v>
      </c>
      <c r="N804" s="5" t="inlineStr">
        <is>
          <t>m3</t>
        </is>
      </c>
      <c r="O804" s="5" t="inlineStr">
        <is>
          <t>m3</t>
        </is>
      </c>
      <c r="P804" s="15" t="n">
        <v>0</v>
      </c>
      <c r="Q804" s="15" t="n">
        <v>0</v>
      </c>
      <c r="R804" s="5" t="inlineStr">
        <is>
          <t>208-2025-12-31</t>
        </is>
      </c>
    </row>
    <row r="805" hidden="1">
      <c r="A805" s="24" t="n">
        <v>208</v>
      </c>
      <c r="B805" s="16" t="inlineStr">
        <is>
          <t>Consumo de Agua m3 Mensual</t>
        </is>
      </c>
      <c r="C805" s="16" t="inlineStr">
        <is>
          <t>GESTIÓN AMBIENTAL</t>
        </is>
      </c>
      <c r="D805" s="16" t="inlineStr">
        <is>
          <t>Mensual</t>
        </is>
      </c>
      <c r="E805" s="16" t="inlineStr">
        <is>
          <t>Negativo</t>
        </is>
      </c>
      <c r="F805" s="111" t="n">
        <v>46053</v>
      </c>
      <c r="G805" s="5" t="n">
        <v>2026</v>
      </c>
      <c r="H805" s="5" t="inlineStr">
        <is>
          <t>Enero</t>
        </is>
      </c>
      <c r="I805" s="6" t="inlineStr">
        <is>
          <t>2026-1</t>
        </is>
      </c>
      <c r="J805" s="16" t="n">
        <v>1</v>
      </c>
      <c r="K805" s="9" t="n">
        <v>881</v>
      </c>
      <c r="L805" s="14" t="n">
        <v>0.001135073779795687</v>
      </c>
      <c r="M805" s="14" t="n">
        <v>0.001135073779795687</v>
      </c>
      <c r="N805" s="16" t="inlineStr">
        <is>
          <t>m3</t>
        </is>
      </c>
      <c r="O805" s="16" t="inlineStr">
        <is>
          <t>m3</t>
        </is>
      </c>
      <c r="P805" s="15" t="n">
        <v>0</v>
      </c>
      <c r="Q805" s="15" t="n">
        <v>0</v>
      </c>
      <c r="R805" s="5" t="inlineStr">
        <is>
          <t>208-2026-01-31</t>
        </is>
      </c>
    </row>
    <row r="806" hidden="1">
      <c r="A806" s="26" t="n">
        <v>213</v>
      </c>
      <c r="B806" s="5" t="inlineStr">
        <is>
          <t>Cumplimiento del Plan Anual del Sistema de Gestión Ambiental</t>
        </is>
      </c>
      <c r="C806" s="5" t="inlineStr">
        <is>
          <t>GESTIÓN AMBIENTAL</t>
        </is>
      </c>
      <c r="D806" s="5" t="inlineStr">
        <is>
          <t>Semestral</t>
        </is>
      </c>
      <c r="E806" s="5" t="inlineStr">
        <is>
          <t>Positivo</t>
        </is>
      </c>
      <c r="F806" s="109" t="n">
        <v>44651</v>
      </c>
      <c r="G806" s="5" t="n">
        <v>2022</v>
      </c>
      <c r="H806" s="5" t="inlineStr">
        <is>
          <t>Marzo</t>
        </is>
      </c>
      <c r="I806" s="6" t="inlineStr">
        <is>
          <t>2022-1</t>
        </is>
      </c>
      <c r="J806" s="5" t="n">
        <v>90</v>
      </c>
      <c r="K806" s="9" t="n">
        <v>0</v>
      </c>
      <c r="L806" s="14" t="n">
        <v>0</v>
      </c>
      <c r="M806" s="14" t="n">
        <v>0</v>
      </c>
      <c r="N806" s="5" t="inlineStr">
        <is>
          <t>%</t>
        </is>
      </c>
      <c r="O806" s="5" t="inlineStr">
        <is>
          <t>%</t>
        </is>
      </c>
      <c r="P806" s="15" t="n">
        <v>0</v>
      </c>
      <c r="Q806" s="15" t="n">
        <v>0</v>
      </c>
      <c r="R806" s="5" t="inlineStr">
        <is>
          <t>213-2022-03-31</t>
        </is>
      </c>
    </row>
    <row r="807" hidden="1">
      <c r="A807" s="24" t="n">
        <v>213</v>
      </c>
      <c r="B807" s="16" t="inlineStr">
        <is>
          <t>Cumplimiento del Plan Anual del Sistema de Gestión Ambiental</t>
        </is>
      </c>
      <c r="C807" s="16" t="inlineStr">
        <is>
          <t>GESTIÓN AMBIENTAL</t>
        </is>
      </c>
      <c r="D807" s="16" t="inlineStr">
        <is>
          <t>Semestral</t>
        </is>
      </c>
      <c r="E807" s="16" t="inlineStr">
        <is>
          <t>Positivo</t>
        </is>
      </c>
      <c r="F807" s="111" t="n">
        <v>44742</v>
      </c>
      <c r="G807" s="5" t="n">
        <v>2022</v>
      </c>
      <c r="H807" s="5" t="inlineStr">
        <is>
          <t>Junio</t>
        </is>
      </c>
      <c r="I807" s="6" t="inlineStr">
        <is>
          <t>2022-1</t>
        </is>
      </c>
      <c r="J807" s="16" t="n">
        <v>90</v>
      </c>
      <c r="K807" s="9" t="n">
        <v>0</v>
      </c>
      <c r="L807" s="14" t="n">
        <v>0</v>
      </c>
      <c r="M807" s="14" t="n">
        <v>0</v>
      </c>
      <c r="N807" s="16" t="inlineStr">
        <is>
          <t>%</t>
        </is>
      </c>
      <c r="O807" s="16" t="inlineStr">
        <is>
          <t>%</t>
        </is>
      </c>
      <c r="P807" s="15" t="n">
        <v>0</v>
      </c>
      <c r="Q807" s="15" t="n">
        <v>0</v>
      </c>
      <c r="R807" s="5" t="inlineStr">
        <is>
          <t>213-2022-06-30</t>
        </is>
      </c>
    </row>
    <row r="808" hidden="1">
      <c r="A808" s="21" t="n">
        <v>213</v>
      </c>
      <c r="B808" s="5" t="inlineStr">
        <is>
          <t>Cumplimiento del Plan Anual del Sistema de Gestión Ambiental</t>
        </is>
      </c>
      <c r="C808" s="5" t="inlineStr">
        <is>
          <t>GESTIÓN AMBIENTAL</t>
        </is>
      </c>
      <c r="D808" s="5" t="inlineStr">
        <is>
          <t>Semestral</t>
        </is>
      </c>
      <c r="E808" s="5" t="inlineStr">
        <is>
          <t>Positivo</t>
        </is>
      </c>
      <c r="F808" s="109" t="n">
        <v>44834</v>
      </c>
      <c r="G808" s="5" t="n">
        <v>2022</v>
      </c>
      <c r="H808" s="5" t="inlineStr">
        <is>
          <t>Septiembre</t>
        </is>
      </c>
      <c r="I808" s="6" t="inlineStr">
        <is>
          <t>2022-2</t>
        </is>
      </c>
      <c r="J808" s="5" t="n">
        <v>90</v>
      </c>
      <c r="K808" s="15" t="n">
        <v>0</v>
      </c>
      <c r="L808" s="14" t="n">
        <v>0</v>
      </c>
      <c r="M808" s="14" t="n">
        <v>0</v>
      </c>
      <c r="N808" s="16" t="inlineStr">
        <is>
          <t>%</t>
        </is>
      </c>
      <c r="O808" s="16" t="inlineStr">
        <is>
          <t>%</t>
        </is>
      </c>
      <c r="P808" s="15" t="n">
        <v>0</v>
      </c>
      <c r="Q808" s="15" t="n">
        <v>0</v>
      </c>
      <c r="R808" s="5" t="inlineStr">
        <is>
          <t>213-2022-09-30</t>
        </is>
      </c>
    </row>
    <row r="809" hidden="1">
      <c r="A809" s="5" t="n">
        <v>213</v>
      </c>
      <c r="B809" s="5" t="inlineStr">
        <is>
          <t>Cumplimiento del Plan Anual del Sistema de Gestión Ambiental</t>
        </is>
      </c>
      <c r="C809" s="5" t="inlineStr">
        <is>
          <t>GESTIÓN AMBIENTAL</t>
        </is>
      </c>
      <c r="D809" s="5" t="inlineStr">
        <is>
          <t>Semestral</t>
        </is>
      </c>
      <c r="E809" s="5" t="inlineStr">
        <is>
          <t>Positivo</t>
        </is>
      </c>
      <c r="F809" s="109" t="n">
        <v>44926</v>
      </c>
      <c r="G809" s="5" t="n">
        <v>2022</v>
      </c>
      <c r="H809" s="5" t="inlineStr">
        <is>
          <t>Diciembre</t>
        </is>
      </c>
      <c r="I809" s="6" t="inlineStr">
        <is>
          <t>2022-2</t>
        </is>
      </c>
      <c r="J809" s="5" t="n">
        <v>90</v>
      </c>
      <c r="K809" s="5" t="n">
        <v>0</v>
      </c>
      <c r="L809" s="14" t="n">
        <v>0</v>
      </c>
      <c r="M809" s="14" t="n">
        <v>0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213-2022-12-31</t>
        </is>
      </c>
    </row>
    <row r="810" hidden="1">
      <c r="A810" s="21" t="n">
        <v>213</v>
      </c>
      <c r="B810" s="5" t="inlineStr">
        <is>
          <t>Cumplimiento del Plan Anual del Sistema de Gestión Ambiental</t>
        </is>
      </c>
      <c r="C810" s="5" t="inlineStr">
        <is>
          <t>GESTIÓN AMBIENTAL</t>
        </is>
      </c>
      <c r="D810" s="5" t="inlineStr">
        <is>
          <t>Trimestral</t>
        </is>
      </c>
      <c r="E810" s="5" t="inlineStr">
        <is>
          <t>Positivo</t>
        </is>
      </c>
      <c r="F810" s="109" t="n">
        <v>45016</v>
      </c>
      <c r="G810" s="5" t="n">
        <v>2023</v>
      </c>
      <c r="H810" s="5" t="inlineStr">
        <is>
          <t>Marzo</t>
        </is>
      </c>
      <c r="I810" s="6" t="inlineStr">
        <is>
          <t>2023-1</t>
        </is>
      </c>
      <c r="J810" s="5" t="n">
        <v>90</v>
      </c>
      <c r="K810" s="10" t="n">
        <v>100</v>
      </c>
      <c r="L810" s="14" t="n">
        <v>1.111111111111111</v>
      </c>
      <c r="M810" s="14" t="n">
        <v>1.111111111111111</v>
      </c>
      <c r="N810" s="5" t="inlineStr">
        <is>
          <t>m3</t>
        </is>
      </c>
      <c r="O810" s="5" t="inlineStr">
        <is>
          <t>m3</t>
        </is>
      </c>
      <c r="P810" s="15" t="n">
        <v>0</v>
      </c>
      <c r="Q810" s="15" t="n">
        <v>0</v>
      </c>
      <c r="R810" s="5" t="inlineStr">
        <is>
          <t>213-2023-03-31</t>
        </is>
      </c>
    </row>
    <row r="811" hidden="1">
      <c r="A811" s="21" t="n">
        <v>213</v>
      </c>
      <c r="B811" s="5" t="inlineStr">
        <is>
          <t>Cumplimiento del Plan Anual del Sistema de Gestión Ambiental</t>
        </is>
      </c>
      <c r="C811" s="5" t="inlineStr">
        <is>
          <t>GESTIÓN AMBIENTAL</t>
        </is>
      </c>
      <c r="D811" s="5" t="inlineStr">
        <is>
          <t>Trimestral</t>
        </is>
      </c>
      <c r="E811" s="5" t="inlineStr">
        <is>
          <t>Positivo</t>
        </is>
      </c>
      <c r="F811" s="108" t="n">
        <v>45107</v>
      </c>
      <c r="G811" s="5" t="n">
        <v>2023</v>
      </c>
      <c r="H811" s="5" t="inlineStr">
        <is>
          <t>Junio</t>
        </is>
      </c>
      <c r="I811" s="6" t="inlineStr">
        <is>
          <t>2023-1</t>
        </is>
      </c>
      <c r="J811" s="5" t="n">
        <v>90</v>
      </c>
      <c r="K811" s="9" t="n">
        <v>93.33</v>
      </c>
      <c r="L811" s="14" t="n">
        <v>1.037</v>
      </c>
      <c r="M811" s="14" t="n">
        <v>1.037</v>
      </c>
      <c r="N811" s="5" t="inlineStr">
        <is>
          <t>m3</t>
        </is>
      </c>
      <c r="O811" s="5" t="inlineStr">
        <is>
          <t>m3</t>
        </is>
      </c>
      <c r="P811" s="15" t="n">
        <v>0</v>
      </c>
      <c r="Q811" s="15" t="n">
        <v>0</v>
      </c>
      <c r="R811" s="5" t="inlineStr">
        <is>
          <t>213-2023-06-30</t>
        </is>
      </c>
    </row>
    <row r="812" hidden="1">
      <c r="A812" s="26" t="n">
        <v>213</v>
      </c>
      <c r="B812" s="5" t="inlineStr">
        <is>
          <t>Cumplimiento del Plan Anual del Sistema de Gestión Ambiental</t>
        </is>
      </c>
      <c r="C812" s="5" t="inlineStr">
        <is>
          <t>GESTIÓN AMBIENTAL</t>
        </is>
      </c>
      <c r="D812" s="5" t="inlineStr">
        <is>
          <t>Trimestral</t>
        </is>
      </c>
      <c r="E812" s="5" t="inlineStr">
        <is>
          <t>Positivo</t>
        </is>
      </c>
      <c r="F812" s="109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90</v>
      </c>
      <c r="K812" s="9" t="n">
        <v>86.40000000000001</v>
      </c>
      <c r="L812" s="14" t="n">
        <v>0.9600000000000001</v>
      </c>
      <c r="M812" s="14" t="n">
        <v>0.9600000000000001</v>
      </c>
      <c r="N812" s="5" t="inlineStr">
        <is>
          <t>m3</t>
        </is>
      </c>
      <c r="O812" s="5" t="inlineStr">
        <is>
          <t>m3</t>
        </is>
      </c>
      <c r="P812" s="15" t="n">
        <v>1</v>
      </c>
      <c r="Q812" s="15" t="n">
        <v>1</v>
      </c>
      <c r="R812" s="5" t="inlineStr">
        <is>
          <t>213-2023-09-30</t>
        </is>
      </c>
    </row>
    <row r="813" hidden="1">
      <c r="A813" s="21" t="n">
        <v>213</v>
      </c>
      <c r="B813" s="5" t="inlineStr">
        <is>
          <t>Cumplimiento del Plan Anual del Sistema de Gestión Ambiental</t>
        </is>
      </c>
      <c r="C813" s="5" t="inlineStr">
        <is>
          <t>GESTIÓN AMBIENTAL</t>
        </is>
      </c>
      <c r="D813" s="5" t="inlineStr">
        <is>
          <t>Semestral</t>
        </is>
      </c>
      <c r="E813" s="5" t="inlineStr">
        <is>
          <t>Positivo</t>
        </is>
      </c>
      <c r="F813" s="108" t="n">
        <v>45291</v>
      </c>
      <c r="G813" s="5" t="n">
        <v>2023</v>
      </c>
      <c r="H813" s="5" t="inlineStr">
        <is>
          <t>Diciembre</t>
        </is>
      </c>
      <c r="I813" s="6" t="inlineStr">
        <is>
          <t>2023-2</t>
        </is>
      </c>
      <c r="J813" s="5" t="n">
        <v>90</v>
      </c>
      <c r="K813" s="9" t="n">
        <v>100</v>
      </c>
      <c r="L813" s="14" t="n">
        <v>1.111111111111111</v>
      </c>
      <c r="M813" s="14" t="n">
        <v>1.111111111111111</v>
      </c>
      <c r="N813" s="5" t="inlineStr">
        <is>
          <t>%</t>
        </is>
      </c>
      <c r="O813" s="5" t="inlineStr">
        <is>
          <t>%</t>
        </is>
      </c>
      <c r="P813" s="15" t="n">
        <v>0</v>
      </c>
      <c r="Q813" s="15" t="n">
        <v>0</v>
      </c>
      <c r="R813" s="5" t="inlineStr">
        <is>
          <t>213-2023-12-31</t>
        </is>
      </c>
    </row>
    <row r="814" hidden="1">
      <c r="A814" s="21" t="n">
        <v>213</v>
      </c>
      <c r="B814" s="5" t="inlineStr">
        <is>
          <t>Cumplimiento del Plan Anual del Sistema de Gestión Ambiental</t>
        </is>
      </c>
      <c r="C814" s="5" t="inlineStr">
        <is>
          <t>GESTIÓN AMBIENTAL</t>
        </is>
      </c>
      <c r="D814" s="5" t="inlineStr">
        <is>
          <t>Trimestral</t>
        </is>
      </c>
      <c r="E814" s="5" t="inlineStr">
        <is>
          <t>Positivo</t>
        </is>
      </c>
      <c r="F814" s="109" t="n">
        <v>45382</v>
      </c>
      <c r="G814" s="5" t="n">
        <v>2024</v>
      </c>
      <c r="H814" s="5" t="inlineStr">
        <is>
          <t>Marzo</t>
        </is>
      </c>
      <c r="I814" s="6" t="inlineStr">
        <is>
          <t>2024-1</t>
        </is>
      </c>
      <c r="J814" s="5" t="n">
        <v>90</v>
      </c>
      <c r="K814" s="10" t="n">
        <v>100</v>
      </c>
      <c r="L814" s="14" t="n">
        <v>1.111111111111111</v>
      </c>
      <c r="M814" s="14" t="n">
        <v>1.111111111111111</v>
      </c>
      <c r="N814" s="5" t="inlineStr">
        <is>
          <t>%</t>
        </is>
      </c>
      <c r="O814" s="5" t="inlineStr">
        <is>
          <t>%</t>
        </is>
      </c>
      <c r="P814" s="15" t="n">
        <v>0</v>
      </c>
      <c r="Q814" s="15" t="n">
        <v>0</v>
      </c>
      <c r="R814" s="5" t="inlineStr">
        <is>
          <t>213-2024-03-31</t>
        </is>
      </c>
    </row>
    <row r="815" hidden="1">
      <c r="A815" s="21" t="n">
        <v>213</v>
      </c>
      <c r="B815" s="5" t="inlineStr">
        <is>
          <t>Cumplimiento del Plan Anual del Sistema de Gestión Ambiental</t>
        </is>
      </c>
      <c r="C815" s="5" t="inlineStr">
        <is>
          <t>GESTIÓN AMBIENTAL</t>
        </is>
      </c>
      <c r="D815" s="5" t="inlineStr">
        <is>
          <t>Trimestral</t>
        </is>
      </c>
      <c r="E815" s="5" t="inlineStr">
        <is>
          <t>Positivo</t>
        </is>
      </c>
      <c r="F815" s="108" t="n">
        <v>45473</v>
      </c>
      <c r="G815" s="5" t="n">
        <v>2024</v>
      </c>
      <c r="H815" s="5" t="inlineStr">
        <is>
          <t>Junio</t>
        </is>
      </c>
      <c r="I815" s="6" t="inlineStr">
        <is>
          <t>2024-1</t>
        </is>
      </c>
      <c r="J815" s="5" t="n">
        <v>90</v>
      </c>
      <c r="K815" s="9" t="n">
        <v>100</v>
      </c>
      <c r="L815" s="14" t="n">
        <v>1.111111111111111</v>
      </c>
      <c r="M815" s="14" t="n">
        <v>1.111111111111111</v>
      </c>
      <c r="N815" s="5" t="inlineStr">
        <is>
          <t>%</t>
        </is>
      </c>
      <c r="O815" s="5" t="inlineStr">
        <is>
          <t>%</t>
        </is>
      </c>
      <c r="P815" s="15" t="n">
        <v>0</v>
      </c>
      <c r="Q815" s="15" t="n">
        <v>0</v>
      </c>
      <c r="R815" s="5" t="inlineStr">
        <is>
          <t>213-2024-06-30</t>
        </is>
      </c>
    </row>
    <row r="816" hidden="1">
      <c r="A816" s="26" t="n">
        <v>213</v>
      </c>
      <c r="B816" s="5" t="inlineStr">
        <is>
          <t>Cumplimiento del Plan Anual del Sistema de Gestión Ambiental</t>
        </is>
      </c>
      <c r="C816" s="5" t="inlineStr">
        <is>
          <t>GESTIÓN AMBIENTAL</t>
        </is>
      </c>
      <c r="D816" s="5" t="inlineStr">
        <is>
          <t>Trimestral</t>
        </is>
      </c>
      <c r="E816" s="5" t="inlineStr">
        <is>
          <t>Positivo</t>
        </is>
      </c>
      <c r="F816" s="109" t="n">
        <v>45565</v>
      </c>
      <c r="G816" s="5" t="n">
        <v>2024</v>
      </c>
      <c r="H816" s="5" t="inlineStr">
        <is>
          <t>Septiembre</t>
        </is>
      </c>
      <c r="I816" s="6" t="inlineStr">
        <is>
          <t>2024-2</t>
        </is>
      </c>
      <c r="J816" s="5" t="n">
        <v>90</v>
      </c>
      <c r="K816" s="9" t="n">
        <v>97.79000000000001</v>
      </c>
      <c r="L816" s="14" t="n">
        <v>1.086555555555556</v>
      </c>
      <c r="M816" s="14" t="n">
        <v>1.086555555555556</v>
      </c>
      <c r="N816" s="5" t="inlineStr">
        <is>
          <t>%</t>
        </is>
      </c>
      <c r="O816" s="5" t="inlineStr">
        <is>
          <t>%</t>
        </is>
      </c>
      <c r="P816" s="15" t="n">
        <v>0</v>
      </c>
      <c r="Q816" s="15" t="n">
        <v>0</v>
      </c>
      <c r="R816" s="5" t="inlineStr">
        <is>
          <t>213-2024-09-30</t>
        </is>
      </c>
    </row>
    <row r="817" hidden="1">
      <c r="A817" s="21" t="n">
        <v>213</v>
      </c>
      <c r="B817" s="5" t="inlineStr">
        <is>
          <t>Cumplimiento del Plan Anual del Sistema de Gestión Ambiental</t>
        </is>
      </c>
      <c r="C817" s="5" t="inlineStr">
        <is>
          <t>GESTIÓN AMBIENTAL</t>
        </is>
      </c>
      <c r="D817" s="5" t="inlineStr">
        <is>
          <t>Trimestral</t>
        </is>
      </c>
      <c r="E817" s="5" t="inlineStr">
        <is>
          <t>Positivo</t>
        </is>
      </c>
      <c r="F817" s="108" t="n">
        <v>45657</v>
      </c>
      <c r="G817" s="5" t="n">
        <v>2024</v>
      </c>
      <c r="H817" s="5" t="inlineStr">
        <is>
          <t>Diciembre</t>
        </is>
      </c>
      <c r="I817" s="6" t="inlineStr">
        <is>
          <t>2024-2</t>
        </is>
      </c>
      <c r="J817" s="5" t="n">
        <v>90</v>
      </c>
      <c r="K817" s="9" t="n">
        <v>100</v>
      </c>
      <c r="L817" s="14" t="n">
        <v>1.111111111111111</v>
      </c>
      <c r="M817" s="14" t="n">
        <v>1.111111111111111</v>
      </c>
      <c r="N817" s="5" t="inlineStr">
        <is>
          <t>%</t>
        </is>
      </c>
      <c r="O817" s="5" t="inlineStr">
        <is>
          <t>%</t>
        </is>
      </c>
      <c r="P817" s="15" t="n">
        <v>0</v>
      </c>
      <c r="Q817" s="15" t="n">
        <v>0</v>
      </c>
      <c r="R817" s="5" t="inlineStr">
        <is>
          <t>213-2024-12-31</t>
        </is>
      </c>
    </row>
    <row r="818" hidden="1">
      <c r="A818" s="21" t="n">
        <v>213</v>
      </c>
      <c r="B818" s="5" t="inlineStr">
        <is>
          <t>Cumplimiento del Plan Anual del Sistema de Gestión Ambiental</t>
        </is>
      </c>
      <c r="C818" s="5" t="inlineStr">
        <is>
          <t>GESTIÓN AMBIENTAL</t>
        </is>
      </c>
      <c r="D818" s="5" t="inlineStr">
        <is>
          <t>Semestral</t>
        </is>
      </c>
      <c r="E818" s="5" t="inlineStr">
        <is>
          <t>Positivo</t>
        </is>
      </c>
      <c r="F818" s="109" t="n">
        <v>45747</v>
      </c>
      <c r="G818" s="5" t="n">
        <v>2025</v>
      </c>
      <c r="H818" s="5" t="inlineStr">
        <is>
          <t>Marzo</t>
        </is>
      </c>
      <c r="I818" s="6" t="inlineStr">
        <is>
          <t>2025-1</t>
        </is>
      </c>
      <c r="J818" s="5" t="n">
        <v>90</v>
      </c>
      <c r="K818" s="10" t="n">
        <v>100</v>
      </c>
      <c r="L818" s="14" t="n">
        <v>1.111111111111111</v>
      </c>
      <c r="M818" s="14" t="n">
        <v>1.111111111111111</v>
      </c>
      <c r="N818" s="5" t="inlineStr">
        <is>
          <t>%</t>
        </is>
      </c>
      <c r="O818" s="5" t="inlineStr">
        <is>
          <t>%</t>
        </is>
      </c>
      <c r="P818" s="15" t="n">
        <v>0</v>
      </c>
      <c r="Q818" s="15" t="n">
        <v>0</v>
      </c>
      <c r="R818" s="5" t="inlineStr">
        <is>
          <t>213-2025-03-31</t>
        </is>
      </c>
    </row>
    <row r="819" hidden="1">
      <c r="A819" s="21" t="n">
        <v>213</v>
      </c>
      <c r="B819" s="5" t="inlineStr">
        <is>
          <t>Cumplimiento del Plan Anual del Sistema de Gestión Ambiental</t>
        </is>
      </c>
      <c r="C819" s="5" t="inlineStr">
        <is>
          <t>GESTIÓN AMBIENTAL</t>
        </is>
      </c>
      <c r="D819" s="5" t="inlineStr">
        <is>
          <t>Semestral</t>
        </is>
      </c>
      <c r="E819" s="5" t="inlineStr">
        <is>
          <t>Positivo</t>
        </is>
      </c>
      <c r="F819" s="108" t="n">
        <v>45838</v>
      </c>
      <c r="G819" s="5" t="n">
        <v>2025</v>
      </c>
      <c r="H819" s="5" t="inlineStr">
        <is>
          <t>Junio</t>
        </is>
      </c>
      <c r="I819" s="6" t="inlineStr">
        <is>
          <t>2025-1</t>
        </is>
      </c>
      <c r="J819" s="5" t="n">
        <v>90</v>
      </c>
      <c r="K819" s="9" t="n">
        <v>94.63</v>
      </c>
      <c r="L819" s="14" t="n">
        <v>1.051444444444444</v>
      </c>
      <c r="M819" s="14" t="n">
        <v>1.051444444444444</v>
      </c>
      <c r="N819" s="5" t="inlineStr">
        <is>
          <t>%</t>
        </is>
      </c>
      <c r="O819" s="5" t="inlineStr">
        <is>
          <t>%</t>
        </is>
      </c>
      <c r="P819" s="15" t="n">
        <v>0</v>
      </c>
      <c r="Q819" s="15" t="n">
        <v>0</v>
      </c>
      <c r="R819" s="5" t="inlineStr">
        <is>
          <t>213-2025-06-30</t>
        </is>
      </c>
    </row>
    <row r="820" hidden="1">
      <c r="A820" s="26" t="n">
        <v>213</v>
      </c>
      <c r="B820" s="5" t="inlineStr">
        <is>
          <t>Cumplimiento del Plan Anual del Sistema de Gestión Ambiental</t>
        </is>
      </c>
      <c r="C820" s="5" t="inlineStr">
        <is>
          <t>GESTIÓN AMBIENTAL</t>
        </is>
      </c>
      <c r="D820" s="5" t="inlineStr">
        <is>
          <t>Semestral</t>
        </is>
      </c>
      <c r="E820" s="5" t="inlineStr">
        <is>
          <t>Positivo</t>
        </is>
      </c>
      <c r="F820" s="109" t="n">
        <v>45930</v>
      </c>
      <c r="G820" s="5" t="n">
        <v>2025</v>
      </c>
      <c r="H820" s="5" t="inlineStr">
        <is>
          <t>Septiembre</t>
        </is>
      </c>
      <c r="I820" s="6" t="inlineStr">
        <is>
          <t>2025-2</t>
        </is>
      </c>
      <c r="J820" s="5" t="n">
        <v>90</v>
      </c>
      <c r="K820" s="9" t="n">
        <v>100</v>
      </c>
      <c r="L820" s="14" t="n">
        <v>1.111111111111111</v>
      </c>
      <c r="M820" s="14" t="n">
        <v>1.111111111111111</v>
      </c>
      <c r="N820" s="5" t="inlineStr">
        <is>
          <t>%</t>
        </is>
      </c>
      <c r="O820" s="5" t="inlineStr">
        <is>
          <t>%</t>
        </is>
      </c>
      <c r="P820" s="15" t="n">
        <v>0</v>
      </c>
      <c r="Q820" s="15" t="n">
        <v>0</v>
      </c>
      <c r="R820" s="5" t="inlineStr">
        <is>
          <t>213-2025-09-30</t>
        </is>
      </c>
    </row>
    <row r="821" hidden="1">
      <c r="A821" s="5" t="n">
        <v>213</v>
      </c>
      <c r="B821" s="5" t="inlineStr">
        <is>
          <t>Cumplimiento del Plan Anual del Sistema de Gestión Ambiental</t>
        </is>
      </c>
      <c r="C821" s="5" t="inlineStr">
        <is>
          <t>GESTIÓN AMBIENTAL</t>
        </is>
      </c>
      <c r="D821" s="5" t="inlineStr">
        <is>
          <t>Semestral</t>
        </is>
      </c>
      <c r="E821" s="5" t="inlineStr">
        <is>
          <t>Positivo</t>
        </is>
      </c>
      <c r="F821" s="109" t="n">
        <v>46022</v>
      </c>
      <c r="G821" s="5" t="n">
        <v>2025</v>
      </c>
      <c r="H821" s="5" t="inlineStr">
        <is>
          <t>Diciembre</t>
        </is>
      </c>
      <c r="I821" s="6" t="inlineStr">
        <is>
          <t>2025-2</t>
        </is>
      </c>
      <c r="J821" s="5" t="n">
        <v>90</v>
      </c>
      <c r="K821" s="5" t="n">
        <v>100</v>
      </c>
      <c r="L821" s="14" t="n">
        <v>1.111111111111111</v>
      </c>
      <c r="M821" s="14" t="n">
        <v>1.111111111111111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213-2025-12-31</t>
        </is>
      </c>
    </row>
    <row r="822" hidden="1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9" t="n">
        <v>44592</v>
      </c>
      <c r="G822" s="5" t="n">
        <v>2022</v>
      </c>
      <c r="H822" s="5" t="inlineStr">
        <is>
          <t>Enero</t>
        </is>
      </c>
      <c r="I822" s="6" t="inlineStr">
        <is>
          <t>2022-1</t>
        </is>
      </c>
      <c r="J822" s="5" t="n">
        <v>7500</v>
      </c>
      <c r="K822" s="10" t="n">
        <v>777</v>
      </c>
      <c r="L822" s="14" t="n">
        <v>1.3</v>
      </c>
      <c r="M822" s="14" t="n">
        <v>9.652509652509652</v>
      </c>
      <c r="N822" s="5" t="inlineStr">
        <is>
          <t>Kg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214-2022-01-31</t>
        </is>
      </c>
    </row>
    <row r="823" hidden="1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8" t="n">
        <v>44620</v>
      </c>
      <c r="G823" s="5" t="n">
        <v>2022</v>
      </c>
      <c r="H823" s="5" t="inlineStr">
        <is>
          <t>Febrero</t>
        </is>
      </c>
      <c r="I823" s="6" t="inlineStr">
        <is>
          <t>2022-1</t>
        </is>
      </c>
      <c r="J823" s="5" t="n">
        <v>7500</v>
      </c>
      <c r="K823" s="9" t="n">
        <v>992</v>
      </c>
      <c r="L823" s="14" t="n">
        <v>1.3</v>
      </c>
      <c r="M823" s="14" t="n">
        <v>7.560483870967742</v>
      </c>
      <c r="N823" s="5" t="inlineStr">
        <is>
          <t>Kg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214-2022-02-28</t>
        </is>
      </c>
    </row>
    <row r="824" hidden="1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8" t="n">
        <v>44651</v>
      </c>
      <c r="G824" s="5" t="n">
        <v>2022</v>
      </c>
      <c r="H824" s="5" t="inlineStr">
        <is>
          <t>Marzo</t>
        </is>
      </c>
      <c r="I824" s="6" t="inlineStr">
        <is>
          <t>2022-1</t>
        </is>
      </c>
      <c r="J824" s="5" t="n">
        <v>7500</v>
      </c>
      <c r="K824" s="9" t="n">
        <v>1233</v>
      </c>
      <c r="L824" s="14" t="n">
        <v>1.3</v>
      </c>
      <c r="M824" s="14" t="n">
        <v>6.082725060827251</v>
      </c>
      <c r="N824" s="5" t="inlineStr">
        <is>
          <t>Kg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214-2022-03-31</t>
        </is>
      </c>
    </row>
    <row r="825" hidden="1">
      <c r="A825" s="26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9" t="n">
        <v>44681</v>
      </c>
      <c r="G825" s="5" t="n">
        <v>2022</v>
      </c>
      <c r="H825" s="5" t="inlineStr">
        <is>
          <t>Abril</t>
        </is>
      </c>
      <c r="I825" s="6" t="inlineStr">
        <is>
          <t>2022-1</t>
        </is>
      </c>
      <c r="J825" s="5" t="n">
        <v>7500</v>
      </c>
      <c r="K825" s="9" t="n">
        <v>1176</v>
      </c>
      <c r="L825" s="14" t="n">
        <v>1.3</v>
      </c>
      <c r="M825" s="14" t="n">
        <v>6.377551020408164</v>
      </c>
      <c r="N825" s="5" t="inlineStr">
        <is>
          <t>Kg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214-2022-04-30</t>
        </is>
      </c>
    </row>
    <row r="826" hidden="1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9" t="n">
        <v>44712</v>
      </c>
      <c r="G826" s="5" t="n">
        <v>2022</v>
      </c>
      <c r="H826" s="5" t="inlineStr">
        <is>
          <t>Mayo</t>
        </is>
      </c>
      <c r="I826" s="6" t="inlineStr">
        <is>
          <t>2022-1</t>
        </is>
      </c>
      <c r="J826" s="5" t="n">
        <v>7500</v>
      </c>
      <c r="K826" s="9" t="n">
        <v>811</v>
      </c>
      <c r="L826" s="14" t="n">
        <v>1.3</v>
      </c>
      <c r="M826" s="14" t="n">
        <v>9.247842170160295</v>
      </c>
      <c r="N826" s="5" t="inlineStr">
        <is>
          <t>Kg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214-2022-05-31</t>
        </is>
      </c>
    </row>
    <row r="827" hidden="1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8" t="n">
        <v>44742</v>
      </c>
      <c r="G827" s="5" t="n">
        <v>2022</v>
      </c>
      <c r="H827" s="5" t="inlineStr">
        <is>
          <t>Junio</t>
        </is>
      </c>
      <c r="I827" s="6" t="inlineStr">
        <is>
          <t>2022-1</t>
        </is>
      </c>
      <c r="J827" s="11" t="n">
        <v>7500</v>
      </c>
      <c r="K827" s="9" t="n">
        <v>895</v>
      </c>
      <c r="L827" s="14" t="n">
        <v>1.3</v>
      </c>
      <c r="M827" s="14" t="n">
        <v>8.379888268156424</v>
      </c>
      <c r="N827" s="11" t="inlineStr">
        <is>
          <t>Kg</t>
        </is>
      </c>
      <c r="O827" s="11" t="inlineStr">
        <is>
          <t>Kg</t>
        </is>
      </c>
      <c r="P827" s="15" t="n">
        <v>0</v>
      </c>
      <c r="Q827" s="15" t="n">
        <v>0</v>
      </c>
      <c r="R827" s="5" t="inlineStr">
        <is>
          <t>214-2022-06-30</t>
        </is>
      </c>
    </row>
    <row r="828" hidden="1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9" t="n">
        <v>44773</v>
      </c>
      <c r="G828" s="5" t="n">
        <v>2022</v>
      </c>
      <c r="H828" s="5" t="inlineStr">
        <is>
          <t>Julio</t>
        </is>
      </c>
      <c r="I828" s="6" t="inlineStr">
        <is>
          <t>2022-2</t>
        </is>
      </c>
      <c r="J828" s="11" t="n">
        <v>7500</v>
      </c>
      <c r="K828" s="9" t="n">
        <v>725</v>
      </c>
      <c r="L828" s="14" t="n">
        <v>1.3</v>
      </c>
      <c r="M828" s="14" t="n">
        <v>10.3448275862069</v>
      </c>
      <c r="N828" s="11" t="inlineStr">
        <is>
          <t>Kg</t>
        </is>
      </c>
      <c r="O828" s="11" t="inlineStr">
        <is>
          <t>Kg</t>
        </is>
      </c>
      <c r="P828" s="15" t="n">
        <v>0</v>
      </c>
      <c r="Q828" s="15" t="n">
        <v>0</v>
      </c>
      <c r="R828" s="5" t="inlineStr">
        <is>
          <t>214-2022-07-31</t>
        </is>
      </c>
    </row>
    <row r="829" hidden="1">
      <c r="A829" s="5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9" t="n">
        <v>44804</v>
      </c>
      <c r="G829" s="5" t="n">
        <v>2022</v>
      </c>
      <c r="H829" s="5" t="inlineStr">
        <is>
          <t>Agosto</t>
        </is>
      </c>
      <c r="I829" s="6" t="inlineStr">
        <is>
          <t>2022-2</t>
        </is>
      </c>
      <c r="J829" s="5" t="n">
        <v>7500</v>
      </c>
      <c r="K829" s="5" t="n">
        <v>383</v>
      </c>
      <c r="L829" s="14" t="n">
        <v>1.3</v>
      </c>
      <c r="M829" s="14" t="n">
        <v>19.5822454308094</v>
      </c>
      <c r="N829" s="5" t="inlineStr">
        <is>
          <t>Kg</t>
        </is>
      </c>
      <c r="O829" s="5" t="inlineStr">
        <is>
          <t>Kg</t>
        </is>
      </c>
      <c r="P829" s="5" t="n">
        <v>0</v>
      </c>
      <c r="Q829" s="5" t="n">
        <v>0</v>
      </c>
      <c r="R829" s="5" t="inlineStr">
        <is>
          <t>214-2022-08-31</t>
        </is>
      </c>
    </row>
    <row r="830" hidden="1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9" t="n">
        <v>44834</v>
      </c>
      <c r="G830" s="5" t="n">
        <v>2022</v>
      </c>
      <c r="H830" s="5" t="inlineStr">
        <is>
          <t>Septiembre</t>
        </is>
      </c>
      <c r="I830" s="6" t="inlineStr">
        <is>
          <t>2022-2</t>
        </is>
      </c>
      <c r="J830" s="5" t="n">
        <v>7500</v>
      </c>
      <c r="K830" s="10" t="n">
        <v>1553</v>
      </c>
      <c r="L830" s="14" t="n">
        <v>1.3</v>
      </c>
      <c r="M830" s="14" t="n">
        <v>4.829362524146813</v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214-2022-09-30</t>
        </is>
      </c>
    </row>
    <row r="831" hidden="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8" t="n">
        <v>44865</v>
      </c>
      <c r="G831" s="5" t="n">
        <v>2022</v>
      </c>
      <c r="H831" s="5" t="inlineStr">
        <is>
          <t>Octubre</t>
        </is>
      </c>
      <c r="I831" s="6" t="inlineStr">
        <is>
          <t>2022-2</t>
        </is>
      </c>
      <c r="J831" s="5" t="n">
        <v>7500</v>
      </c>
      <c r="K831" s="9" t="n">
        <v>1756</v>
      </c>
      <c r="L831" s="14" t="n">
        <v>1.3</v>
      </c>
      <c r="M831" s="14" t="n">
        <v>4.271070615034168</v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214-2022-10-31</t>
        </is>
      </c>
    </row>
    <row r="832" hidden="1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9" t="n">
        <v>44895</v>
      </c>
      <c r="G832" s="5" t="n">
        <v>2022</v>
      </c>
      <c r="H832" s="5" t="inlineStr">
        <is>
          <t>Noviembre</t>
        </is>
      </c>
      <c r="I832" s="6" t="inlineStr">
        <is>
          <t>2022-2</t>
        </is>
      </c>
      <c r="J832" s="5" t="n">
        <v>7500</v>
      </c>
      <c r="K832" s="9" t="n">
        <v>1786.799987792969</v>
      </c>
      <c r="L832" s="14" t="n">
        <v>1.3</v>
      </c>
      <c r="M832" s="14" t="n">
        <v>4.197447980321456</v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214-2022-11-30</t>
        </is>
      </c>
    </row>
    <row r="833" hidden="1">
      <c r="A833" s="5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9" t="n">
        <v>44926</v>
      </c>
      <c r="G833" s="5" t="n">
        <v>2022</v>
      </c>
      <c r="H833" s="5" t="inlineStr">
        <is>
          <t>Diciembre</t>
        </is>
      </c>
      <c r="I833" s="6" t="inlineStr">
        <is>
          <t>2022-2</t>
        </is>
      </c>
      <c r="J833" s="5" t="n">
        <v>7500</v>
      </c>
      <c r="K833" s="5" t="n">
        <v>1138.149993896484</v>
      </c>
      <c r="L833" s="14" t="n">
        <v>1.3</v>
      </c>
      <c r="M833" s="14" t="n">
        <v>6.589641119553645</v>
      </c>
      <c r="N833" s="5" t="inlineStr">
        <is>
          <t>Kg</t>
        </is>
      </c>
      <c r="O833" s="5" t="inlineStr">
        <is>
          <t>Kg</t>
        </is>
      </c>
      <c r="P833" s="5" t="n">
        <v>0</v>
      </c>
      <c r="Q833" s="5" t="n">
        <v>0</v>
      </c>
      <c r="R833" s="5" t="inlineStr">
        <is>
          <t>214-2022-12-31</t>
        </is>
      </c>
    </row>
    <row r="834" hidden="1">
      <c r="A834" s="21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9" t="n">
        <v>44957</v>
      </c>
      <c r="G834" s="5" t="n">
        <v>2023</v>
      </c>
      <c r="H834" s="5" t="inlineStr">
        <is>
          <t>Enero</t>
        </is>
      </c>
      <c r="I834" s="6" t="inlineStr">
        <is>
          <t>2023-1</t>
        </is>
      </c>
      <c r="J834" s="5" t="n">
        <v>7500</v>
      </c>
      <c r="K834" s="10" t="n">
        <v>1399.55</v>
      </c>
      <c r="L834" s="14" t="n">
        <v>1.3</v>
      </c>
      <c r="M834" s="14" t="n">
        <v>5.35886534957665</v>
      </c>
      <c r="N834" s="5" t="inlineStr">
        <is>
          <t>Linea Base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214-2023-01-31</t>
        </is>
      </c>
    </row>
    <row r="835" hidden="1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8" t="n">
        <v>44985</v>
      </c>
      <c r="G835" s="5" t="n">
        <v>2023</v>
      </c>
      <c r="H835" s="5" t="inlineStr">
        <is>
          <t>Febrero</t>
        </is>
      </c>
      <c r="I835" s="6" t="inlineStr">
        <is>
          <t>2023-1</t>
        </is>
      </c>
      <c r="J835" s="5" t="n">
        <v>7500</v>
      </c>
      <c r="K835" s="9" t="n">
        <v>2255.66</v>
      </c>
      <c r="L835" s="14" t="n">
        <v>1.3</v>
      </c>
      <c r="M835" s="14" t="n">
        <v>3.324969188618852</v>
      </c>
      <c r="N835" s="5" t="inlineStr">
        <is>
          <t>Linea Base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214-2023-02-28</t>
        </is>
      </c>
    </row>
    <row r="836" hidden="1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9" t="n">
        <v>45016</v>
      </c>
      <c r="G836" s="5" t="n">
        <v>2023</v>
      </c>
      <c r="H836" s="5" t="inlineStr">
        <is>
          <t>Marzo</t>
        </is>
      </c>
      <c r="I836" s="6" t="inlineStr">
        <is>
          <t>2023-1</t>
        </is>
      </c>
      <c r="J836" s="5" t="n">
        <v>7500</v>
      </c>
      <c r="K836" s="9" t="n">
        <v>2757</v>
      </c>
      <c r="L836" s="14" t="n">
        <v>1.3</v>
      </c>
      <c r="M836" s="14" t="n">
        <v>2.720348204570185</v>
      </c>
      <c r="N836" s="5" t="inlineStr">
        <is>
          <t>Linea Base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214-2023-03-31</t>
        </is>
      </c>
    </row>
    <row r="837" hidden="1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8" t="n">
        <v>45046</v>
      </c>
      <c r="G837" s="5" t="n">
        <v>2023</v>
      </c>
      <c r="H837" s="5" t="inlineStr">
        <is>
          <t>Abril</t>
        </is>
      </c>
      <c r="I837" s="6" t="inlineStr">
        <is>
          <t>2023-1</t>
        </is>
      </c>
      <c r="J837" s="5" t="n">
        <v>7500</v>
      </c>
      <c r="K837" s="9" t="n">
        <v>2313.5</v>
      </c>
      <c r="L837" s="14" t="n">
        <v>1.3</v>
      </c>
      <c r="M837" s="14" t="n">
        <v>3.241841365895829</v>
      </c>
      <c r="N837" s="5" t="inlineStr">
        <is>
          <t>Linea Base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214-2023-04-30</t>
        </is>
      </c>
    </row>
    <row r="838" hidden="1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9" t="n">
        <v>45077</v>
      </c>
      <c r="G838" s="5" t="n">
        <v>2023</v>
      </c>
      <c r="H838" s="5" t="inlineStr">
        <is>
          <t>Mayo</t>
        </is>
      </c>
      <c r="I838" s="6" t="inlineStr">
        <is>
          <t>2023-1</t>
        </is>
      </c>
      <c r="J838" s="5" t="n">
        <v>7500</v>
      </c>
      <c r="K838" s="9" t="n">
        <v>2632.03</v>
      </c>
      <c r="L838" s="14" t="n">
        <v>1.3</v>
      </c>
      <c r="M838" s="14" t="n">
        <v>2.849511593712837</v>
      </c>
      <c r="N838" s="5" t="inlineStr">
        <is>
          <t>Linea Base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214-2023-05-31</t>
        </is>
      </c>
    </row>
    <row r="839" hidden="1">
      <c r="A839" s="5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09" t="n">
        <v>45107</v>
      </c>
      <c r="G839" s="5" t="n">
        <v>2023</v>
      </c>
      <c r="H839" s="5" t="inlineStr">
        <is>
          <t>Junio</t>
        </is>
      </c>
      <c r="I839" s="6" t="inlineStr">
        <is>
          <t>2023-1</t>
        </is>
      </c>
      <c r="J839" s="5" t="n">
        <v>7500</v>
      </c>
      <c r="K839" s="5" t="n">
        <v>2295.51</v>
      </c>
      <c r="L839" s="14" t="n">
        <v>1.3</v>
      </c>
      <c r="M839" s="14" t="n">
        <v>3.26724780114223</v>
      </c>
      <c r="N839" s="5" t="inlineStr">
        <is>
          <t>Linea Base</t>
        </is>
      </c>
      <c r="O839" s="5" t="inlineStr">
        <is>
          <t>Kg</t>
        </is>
      </c>
      <c r="P839" s="5" t="n">
        <v>0</v>
      </c>
      <c r="Q839" s="5" t="n">
        <v>0</v>
      </c>
      <c r="R839" s="5" t="inlineStr">
        <is>
          <t>214-2023-06-30</t>
        </is>
      </c>
    </row>
    <row r="840" hidden="1">
      <c r="A840" s="21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08" t="n">
        <v>45138</v>
      </c>
      <c r="G840" s="5" t="n">
        <v>2023</v>
      </c>
      <c r="H840" s="5" t="inlineStr">
        <is>
          <t>Julio</t>
        </is>
      </c>
      <c r="I840" s="6" t="inlineStr">
        <is>
          <t>2023-2</t>
        </is>
      </c>
      <c r="J840" s="5" t="n">
        <v>7500</v>
      </c>
      <c r="K840" s="9" t="n">
        <v>2157.5</v>
      </c>
      <c r="L840" s="14" t="n">
        <v>1.3</v>
      </c>
      <c r="M840" s="14" t="n">
        <v>3.476245654692931</v>
      </c>
      <c r="N840" s="5" t="inlineStr">
        <is>
          <t>Linea Base</t>
        </is>
      </c>
      <c r="O840" s="5" t="inlineStr">
        <is>
          <t>Kg</t>
        </is>
      </c>
      <c r="P840" s="15" t="n">
        <v>0</v>
      </c>
      <c r="Q840" s="15" t="n">
        <v>0</v>
      </c>
      <c r="R840" s="5" t="inlineStr">
        <is>
          <t>214-2023-07-31</t>
        </is>
      </c>
    </row>
    <row r="841" hidden="1">
      <c r="A841" s="26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09" t="n">
        <v>45169</v>
      </c>
      <c r="G841" s="5" t="n">
        <v>2023</v>
      </c>
      <c r="H841" s="5" t="inlineStr">
        <is>
          <t>Agosto</t>
        </is>
      </c>
      <c r="I841" s="6" t="inlineStr">
        <is>
          <t>2023-2</t>
        </is>
      </c>
      <c r="J841" s="5" t="n">
        <v>7500</v>
      </c>
      <c r="K841" s="9" t="n">
        <v>6540.08</v>
      </c>
      <c r="L841" s="14" t="n">
        <v>1.146774962997394</v>
      </c>
      <c r="M841" s="14" t="n">
        <v>1.146774962997394</v>
      </c>
      <c r="N841" s="5" t="inlineStr">
        <is>
          <t>Linea Base</t>
        </is>
      </c>
      <c r="O841" s="5" t="inlineStr">
        <is>
          <t>Kg</t>
        </is>
      </c>
      <c r="P841" s="15" t="n">
        <v>0</v>
      </c>
      <c r="Q841" s="15" t="n">
        <v>0</v>
      </c>
      <c r="R841" s="5" t="inlineStr">
        <is>
          <t>214-2023-08-31</t>
        </is>
      </c>
    </row>
    <row r="842" hidden="1">
      <c r="A842" s="5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09" t="n">
        <v>45199</v>
      </c>
      <c r="G842" s="5" t="n">
        <v>2023</v>
      </c>
      <c r="H842" s="5" t="inlineStr">
        <is>
          <t>Septiembre</t>
        </is>
      </c>
      <c r="I842" s="6" t="inlineStr">
        <is>
          <t>2023-2</t>
        </is>
      </c>
      <c r="J842" s="5" t="n">
        <v>7500</v>
      </c>
      <c r="K842" s="5" t="n">
        <v>7824.24</v>
      </c>
      <c r="L842" s="14" t="n">
        <v>0.9585595533879329</v>
      </c>
      <c r="M842" s="14" t="n">
        <v>0.9585595533879329</v>
      </c>
      <c r="N842" s="5" t="inlineStr">
        <is>
          <t>Linea Base</t>
        </is>
      </c>
      <c r="O842" s="5" t="inlineStr">
        <is>
          <t>Kg</t>
        </is>
      </c>
      <c r="P842" s="5" t="n">
        <v>0</v>
      </c>
      <c r="Q842" s="5" t="n">
        <v>0</v>
      </c>
      <c r="R842" s="5" t="inlineStr">
        <is>
          <t>214-2023-09-30</t>
        </is>
      </c>
    </row>
    <row r="843" hidden="1">
      <c r="A843" s="21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09" t="n">
        <v>45230</v>
      </c>
      <c r="G843" s="5" t="n">
        <v>2023</v>
      </c>
      <c r="H843" s="5" t="inlineStr">
        <is>
          <t>Octubre</t>
        </is>
      </c>
      <c r="I843" s="6" t="inlineStr">
        <is>
          <t>2023-2</t>
        </is>
      </c>
      <c r="J843" s="5" t="n">
        <v>7500</v>
      </c>
      <c r="K843" s="10" t="n">
        <v>6165.24</v>
      </c>
      <c r="L843" s="14" t="n">
        <v>1.216497654592522</v>
      </c>
      <c r="M843" s="14" t="n">
        <v>1.216497654592522</v>
      </c>
      <c r="N843" s="5" t="inlineStr">
        <is>
          <t>Linea Base</t>
        </is>
      </c>
      <c r="O843" s="5" t="inlineStr">
        <is>
          <t>Kg</t>
        </is>
      </c>
      <c r="P843" s="15" t="n">
        <v>0</v>
      </c>
      <c r="Q843" s="15" t="n">
        <v>0</v>
      </c>
      <c r="R843" s="5" t="inlineStr">
        <is>
          <t>214-2023-10-31</t>
        </is>
      </c>
    </row>
    <row r="844" hidden="1">
      <c r="A844" s="21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08" t="n">
        <v>45260</v>
      </c>
      <c r="G844" s="5" t="n">
        <v>2023</v>
      </c>
      <c r="H844" s="5" t="inlineStr">
        <is>
          <t>Noviembre</t>
        </is>
      </c>
      <c r="I844" s="6" t="inlineStr">
        <is>
          <t>2023-2</t>
        </is>
      </c>
      <c r="J844" s="5" t="n">
        <v>7500</v>
      </c>
      <c r="K844" s="9" t="n">
        <v>6186.4</v>
      </c>
      <c r="L844" s="14" t="n">
        <v>1.212336738652528</v>
      </c>
      <c r="M844" s="14" t="n">
        <v>1.212336738652528</v>
      </c>
      <c r="N844" s="5" t="inlineStr">
        <is>
          <t>Linea Base</t>
        </is>
      </c>
      <c r="O844" s="5" t="inlineStr">
        <is>
          <t>Kg</t>
        </is>
      </c>
      <c r="P844" s="15" t="n">
        <v>0</v>
      </c>
      <c r="Q844" s="15" t="n">
        <v>0</v>
      </c>
      <c r="R844" s="5" t="inlineStr">
        <is>
          <t>214-2023-11-30</t>
        </is>
      </c>
    </row>
    <row r="845" hidden="1">
      <c r="A845" s="26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09" t="n">
        <v>45291</v>
      </c>
      <c r="G845" s="5" t="n">
        <v>2023</v>
      </c>
      <c r="H845" s="5" t="inlineStr">
        <is>
          <t>Diciembre</t>
        </is>
      </c>
      <c r="I845" s="6" t="inlineStr">
        <is>
          <t>2023-2</t>
        </is>
      </c>
      <c r="J845" s="5" t="n">
        <v>7500</v>
      </c>
      <c r="K845" s="9" t="n">
        <v>2129.59</v>
      </c>
      <c r="L845" s="14" t="n">
        <v>1.3</v>
      </c>
      <c r="M845" s="14" t="n">
        <v>3.52180466662597</v>
      </c>
      <c r="N845" s="5" t="inlineStr">
        <is>
          <t>Linea Base</t>
        </is>
      </c>
      <c r="O845" s="5" t="inlineStr">
        <is>
          <t>Kg</t>
        </is>
      </c>
      <c r="P845" s="15" t="n">
        <v>0</v>
      </c>
      <c r="Q845" s="15" t="n">
        <v>0</v>
      </c>
      <c r="R845" s="5" t="inlineStr">
        <is>
          <t>214-2023-12-31</t>
        </is>
      </c>
    </row>
    <row r="846" hidden="1">
      <c r="A846" s="5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09" t="n">
        <v>45322</v>
      </c>
      <c r="G846" s="5" t="n">
        <v>2024</v>
      </c>
      <c r="H846" s="5" t="inlineStr">
        <is>
          <t>Enero</t>
        </is>
      </c>
      <c r="I846" s="6" t="inlineStr">
        <is>
          <t>2024-1</t>
        </is>
      </c>
      <c r="J846" s="5" t="n">
        <v>7500</v>
      </c>
      <c r="K846" s="5" t="n">
        <v>3375.7</v>
      </c>
      <c r="L846" s="14" t="n">
        <v>1.3</v>
      </c>
      <c r="M846" s="14" t="n">
        <v>2.221761412447789</v>
      </c>
      <c r="N846" s="5" t="inlineStr">
        <is>
          <t>Kg</t>
        </is>
      </c>
      <c r="O846" s="5" t="inlineStr">
        <is>
          <t>Kg</t>
        </is>
      </c>
      <c r="P846" s="5" t="n">
        <v>0</v>
      </c>
      <c r="Q846" s="5" t="n">
        <v>0</v>
      </c>
      <c r="R846" s="5" t="inlineStr">
        <is>
          <t>214-2024-01-31</t>
        </is>
      </c>
    </row>
    <row r="847" hidden="1">
      <c r="A847" s="21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09" t="n">
        <v>45351</v>
      </c>
      <c r="G847" s="5" t="n">
        <v>2024</v>
      </c>
      <c r="H847" s="5" t="inlineStr">
        <is>
          <t>Febrero</t>
        </is>
      </c>
      <c r="I847" s="6" t="inlineStr">
        <is>
          <t>2024-1</t>
        </is>
      </c>
      <c r="J847" s="5" t="n">
        <v>7500</v>
      </c>
      <c r="K847" s="9" t="n">
        <v>6138.9</v>
      </c>
      <c r="L847" s="14" t="n">
        <v>1.221717245760641</v>
      </c>
      <c r="M847" s="14" t="n">
        <v>1.221717245760641</v>
      </c>
      <c r="N847" s="5" t="inlineStr">
        <is>
          <t>Kg</t>
        </is>
      </c>
      <c r="O847" s="5" t="inlineStr">
        <is>
          <t>Kg</t>
        </is>
      </c>
      <c r="P847" s="15" t="n">
        <v>0</v>
      </c>
      <c r="Q847" s="15" t="n">
        <v>0</v>
      </c>
      <c r="R847" s="5" t="inlineStr">
        <is>
          <t>214-2024-02-29</t>
        </is>
      </c>
    </row>
    <row r="848" hidden="1">
      <c r="A848" s="28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09" t="n">
        <v>45382</v>
      </c>
      <c r="G848" s="5" t="n">
        <v>2024</v>
      </c>
      <c r="H848" s="5" t="inlineStr">
        <is>
          <t>Marzo</t>
        </is>
      </c>
      <c r="I848" s="6" t="inlineStr">
        <is>
          <t>2024-1</t>
        </is>
      </c>
      <c r="J848" s="5" t="n">
        <v>7500</v>
      </c>
      <c r="K848" s="9" t="n">
        <v>5548.44</v>
      </c>
      <c r="L848" s="14" t="n">
        <v>1.3</v>
      </c>
      <c r="M848" s="14" t="n">
        <v>1.351731297445769</v>
      </c>
      <c r="N848" s="5" t="inlineStr">
        <is>
          <t>Kg</t>
        </is>
      </c>
      <c r="O848" s="5" t="inlineStr">
        <is>
          <t>Kg</t>
        </is>
      </c>
      <c r="P848" s="15" t="n">
        <v>0</v>
      </c>
      <c r="Q848" s="15" t="n">
        <v>0</v>
      </c>
      <c r="R848" s="5" t="inlineStr">
        <is>
          <t>214-2024-03-31</t>
        </is>
      </c>
    </row>
    <row r="849" hidden="1">
      <c r="A849" s="5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09" t="n">
        <v>45412</v>
      </c>
      <c r="G849" s="5" t="n">
        <v>2024</v>
      </c>
      <c r="H849" s="5" t="inlineStr">
        <is>
          <t>Abril</t>
        </is>
      </c>
      <c r="I849" s="6" t="inlineStr">
        <is>
          <t>2024-1</t>
        </is>
      </c>
      <c r="J849" s="5" t="n">
        <v>7500</v>
      </c>
      <c r="K849" s="5" t="n">
        <v>7543.48</v>
      </c>
      <c r="L849" s="14" t="n">
        <v>0.9942360820204998</v>
      </c>
      <c r="M849" s="14" t="n">
        <v>0.9942360820204998</v>
      </c>
      <c r="N849" s="5" t="inlineStr">
        <is>
          <t>Kg</t>
        </is>
      </c>
      <c r="O849" s="5" t="inlineStr">
        <is>
          <t>Kg</t>
        </is>
      </c>
      <c r="P849" s="5" t="n">
        <v>0</v>
      </c>
      <c r="Q849" s="5" t="n">
        <v>0</v>
      </c>
      <c r="R849" s="5" t="inlineStr">
        <is>
          <t>214-2024-04-30</t>
        </is>
      </c>
    </row>
    <row r="850" hidden="1">
      <c r="A850" s="21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09" t="n">
        <v>45443</v>
      </c>
      <c r="G850" s="5" t="n">
        <v>2024</v>
      </c>
      <c r="H850" s="5" t="inlineStr">
        <is>
          <t>Mayo</t>
        </is>
      </c>
      <c r="I850" s="6" t="inlineStr">
        <is>
          <t>2024-1</t>
        </is>
      </c>
      <c r="J850" s="5" t="n">
        <v>7500</v>
      </c>
      <c r="K850" s="10" t="n">
        <v>7006.34</v>
      </c>
      <c r="L850" s="14" t="n">
        <v>1.070459041382519</v>
      </c>
      <c r="M850" s="14" t="n">
        <v>1.070459041382519</v>
      </c>
      <c r="N850" s="5" t="inlineStr">
        <is>
          <t>Kg</t>
        </is>
      </c>
      <c r="O850" s="5" t="inlineStr">
        <is>
          <t>Kg</t>
        </is>
      </c>
      <c r="P850" s="15" t="n">
        <v>0</v>
      </c>
      <c r="Q850" s="15" t="n">
        <v>0</v>
      </c>
      <c r="R850" s="5" t="inlineStr">
        <is>
          <t>214-2024-05-31</t>
        </is>
      </c>
    </row>
    <row r="851" hidden="1">
      <c r="A851" s="21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09" t="n">
        <v>45473</v>
      </c>
      <c r="G851" s="5" t="n">
        <v>2024</v>
      </c>
      <c r="H851" s="5" t="inlineStr">
        <is>
          <t>Junio</t>
        </is>
      </c>
      <c r="I851" s="6" t="inlineStr">
        <is>
          <t>2024-1</t>
        </is>
      </c>
      <c r="J851" s="5" t="n">
        <v>7500</v>
      </c>
      <c r="K851" s="10" t="n">
        <v>3200.05</v>
      </c>
      <c r="L851" s="14" t="n">
        <v>1.3</v>
      </c>
      <c r="M851" s="14" t="n">
        <v>2.343713379478446</v>
      </c>
      <c r="N851" s="5" t="inlineStr">
        <is>
          <t>Kg</t>
        </is>
      </c>
      <c r="O851" s="5" t="inlineStr">
        <is>
          <t>Kg</t>
        </is>
      </c>
      <c r="P851" s="15" t="n">
        <v>0</v>
      </c>
      <c r="Q851" s="15" t="n">
        <v>0</v>
      </c>
      <c r="R851" s="5" t="inlineStr">
        <is>
          <t>214-2024-06-30</t>
        </is>
      </c>
    </row>
    <row r="852" hidden="1">
      <c r="A852" s="21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09" t="n">
        <v>45504</v>
      </c>
      <c r="G852" s="5" t="n">
        <v>2024</v>
      </c>
      <c r="H852" s="5" t="inlineStr">
        <is>
          <t>Julio</t>
        </is>
      </c>
      <c r="I852" s="6" t="inlineStr">
        <is>
          <t>2024-2</t>
        </is>
      </c>
      <c r="J852" s="5" t="n">
        <v>7500</v>
      </c>
      <c r="K852" s="9" t="n">
        <v>2567.429992675781</v>
      </c>
      <c r="L852" s="14" t="n">
        <v>1.3</v>
      </c>
      <c r="M852" s="14" t="n">
        <v>2.921209155223541</v>
      </c>
      <c r="N852" s="5" t="inlineStr">
        <is>
          <t>Kg</t>
        </is>
      </c>
      <c r="O852" s="5" t="inlineStr">
        <is>
          <t>Kg</t>
        </is>
      </c>
      <c r="P852" s="15" t="n">
        <v>0</v>
      </c>
      <c r="Q852" s="15" t="n">
        <v>0</v>
      </c>
      <c r="R852" s="5" t="inlineStr">
        <is>
          <t>214-2024-07-31</t>
        </is>
      </c>
    </row>
    <row r="853" hidden="1">
      <c r="A853" s="21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09" t="n">
        <v>45535</v>
      </c>
      <c r="G853" s="5" t="n">
        <v>2024</v>
      </c>
      <c r="H853" s="5" t="inlineStr">
        <is>
          <t>Agosto</t>
        </is>
      </c>
      <c r="I853" s="6" t="inlineStr">
        <is>
          <t>2024-2</t>
        </is>
      </c>
      <c r="J853" s="5" t="n">
        <v>7500</v>
      </c>
      <c r="K853" s="9" t="n">
        <v>5591.600022315979</v>
      </c>
      <c r="L853" s="14" t="n">
        <v>1.3</v>
      </c>
      <c r="M853" s="14" t="n">
        <v>1.341297655423784</v>
      </c>
      <c r="N853" s="5" t="inlineStr">
        <is>
          <t>Kg</t>
        </is>
      </c>
      <c r="O853" s="5" t="inlineStr">
        <is>
          <t>Kg</t>
        </is>
      </c>
      <c r="P853" s="15" t="n">
        <v>0</v>
      </c>
      <c r="Q853" s="15" t="n">
        <v>0</v>
      </c>
      <c r="R853" s="5" t="inlineStr">
        <is>
          <t>214-2024-08-31</t>
        </is>
      </c>
    </row>
    <row r="854" hidden="1">
      <c r="A854" s="26" t="n">
        <v>214</v>
      </c>
      <c r="B854" s="5" t="inlineStr">
        <is>
          <t>Generación de Residuos Sólidos Mensual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Negativo</t>
        </is>
      </c>
      <c r="F854" s="109" t="n">
        <v>45565</v>
      </c>
      <c r="G854" s="5" t="n">
        <v>2024</v>
      </c>
      <c r="H854" s="5" t="inlineStr">
        <is>
          <t>Septiembre</t>
        </is>
      </c>
      <c r="I854" s="6" t="inlineStr">
        <is>
          <t>2024-2</t>
        </is>
      </c>
      <c r="J854" s="5" t="n">
        <v>7500</v>
      </c>
      <c r="K854" s="9" t="n">
        <v>5132.759970664978</v>
      </c>
      <c r="L854" s="14" t="n">
        <v>1.3</v>
      </c>
      <c r="M854" s="14" t="n">
        <v>1.461202168592414</v>
      </c>
      <c r="N854" s="5" t="inlineStr">
        <is>
          <t>Kg</t>
        </is>
      </c>
      <c r="O854" s="5" t="inlineStr">
        <is>
          <t>Kg</t>
        </is>
      </c>
      <c r="P854" s="15" t="n">
        <v>0</v>
      </c>
      <c r="Q854" s="15" t="n">
        <v>0</v>
      </c>
      <c r="R854" s="5" t="inlineStr">
        <is>
          <t>214-2024-09-30</t>
        </is>
      </c>
    </row>
    <row r="855" hidden="1">
      <c r="A855" s="21" t="n">
        <v>214</v>
      </c>
      <c r="B855" s="5" t="inlineStr">
        <is>
          <t>Generación de Residuos Sólidos Mensual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Negativo</t>
        </is>
      </c>
      <c r="F855" s="109" t="n">
        <v>45596</v>
      </c>
      <c r="G855" s="5" t="n">
        <v>2024</v>
      </c>
      <c r="H855" s="5" t="inlineStr">
        <is>
          <t>Octubre</t>
        </is>
      </c>
      <c r="I855" s="6" t="inlineStr">
        <is>
          <t>2024-2</t>
        </is>
      </c>
      <c r="J855" s="5" t="n">
        <v>7500</v>
      </c>
      <c r="K855" s="9" t="n">
        <v>5403.060033798218</v>
      </c>
      <c r="L855" s="14" t="n">
        <v>1.3</v>
      </c>
      <c r="M855" s="14" t="n">
        <v>1.388102288903809</v>
      </c>
      <c r="N855" s="5" t="inlineStr">
        <is>
          <t>Kg</t>
        </is>
      </c>
      <c r="O855" s="5" t="inlineStr">
        <is>
          <t>Kg</t>
        </is>
      </c>
      <c r="P855" s="15" t="n">
        <v>0</v>
      </c>
      <c r="Q855" s="15" t="n">
        <v>0</v>
      </c>
      <c r="R855" s="5" t="inlineStr">
        <is>
          <t>214-2024-10-31</t>
        </is>
      </c>
    </row>
    <row r="856" hidden="1">
      <c r="A856" s="21" t="n">
        <v>214</v>
      </c>
      <c r="B856" s="5" t="inlineStr">
        <is>
          <t>Generación de Residuos Sólidos Mensual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Negativo</t>
        </is>
      </c>
      <c r="F856" s="109" t="n">
        <v>45626</v>
      </c>
      <c r="G856" s="5" t="n">
        <v>2024</v>
      </c>
      <c r="H856" s="5" t="inlineStr">
        <is>
          <t>Noviembre</t>
        </is>
      </c>
      <c r="I856" s="6" t="inlineStr">
        <is>
          <t>2024-2</t>
        </is>
      </c>
      <c r="J856" s="5" t="n">
        <v>7500</v>
      </c>
      <c r="K856" s="10" t="n">
        <v>4790.710048675537</v>
      </c>
      <c r="L856" s="14" t="n">
        <v>1.3</v>
      </c>
      <c r="M856" s="14" t="n">
        <v>1.56552993685633</v>
      </c>
      <c r="N856" s="5" t="inlineStr">
        <is>
          <t>Kg</t>
        </is>
      </c>
      <c r="O856" s="5" t="inlineStr">
        <is>
          <t>Kg</t>
        </is>
      </c>
      <c r="P856" s="15" t="n">
        <v>0</v>
      </c>
      <c r="Q856" s="15" t="n">
        <v>0</v>
      </c>
      <c r="R856" s="5" t="inlineStr">
        <is>
          <t>214-2024-11-30</t>
        </is>
      </c>
    </row>
    <row r="857" hidden="1">
      <c r="A857" s="21" t="n">
        <v>214</v>
      </c>
      <c r="B857" s="5" t="inlineStr">
        <is>
          <t>Generación de Residuos Sólidos Mensual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Negativo</t>
        </is>
      </c>
      <c r="F857" s="109" t="n">
        <v>45657</v>
      </c>
      <c r="G857" s="5" t="n">
        <v>2024</v>
      </c>
      <c r="H857" s="5" t="inlineStr">
        <is>
          <t>Diciembre</t>
        </is>
      </c>
      <c r="I857" s="6" t="inlineStr">
        <is>
          <t>2024-2</t>
        </is>
      </c>
      <c r="J857" s="5" t="n">
        <v>7500</v>
      </c>
      <c r="K857" s="10" t="n">
        <v>1490.200012207031</v>
      </c>
      <c r="L857" s="14" t="n">
        <v>1.3</v>
      </c>
      <c r="M857" s="14" t="n">
        <v>5.032881451190081</v>
      </c>
      <c r="N857" s="5" t="inlineStr">
        <is>
          <t>Kg</t>
        </is>
      </c>
      <c r="O857" s="5" t="inlineStr">
        <is>
          <t>Kg</t>
        </is>
      </c>
      <c r="P857" s="15" t="n">
        <v>0</v>
      </c>
      <c r="Q857" s="15" t="n">
        <v>0</v>
      </c>
      <c r="R857" s="5" t="inlineStr">
        <is>
          <t>214-2024-12-31</t>
        </is>
      </c>
    </row>
    <row r="858" hidden="1">
      <c r="A858" s="5" t="n">
        <v>214</v>
      </c>
      <c r="B858" s="5" t="inlineStr">
        <is>
          <t>Generación de Residuos Sólidos Mensual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Negativo</t>
        </is>
      </c>
      <c r="F858" s="109" t="n">
        <v>45688</v>
      </c>
      <c r="G858" s="5" t="n">
        <v>2025</v>
      </c>
      <c r="H858" s="5" t="inlineStr">
        <is>
          <t>Enero</t>
        </is>
      </c>
      <c r="I858" s="6" t="inlineStr">
        <is>
          <t>2025-1</t>
        </is>
      </c>
      <c r="J858" s="5" t="n">
        <v>7500</v>
      </c>
      <c r="K858" s="5" t="n">
        <v>2054.76</v>
      </c>
      <c r="L858" s="14" t="n">
        <v>1.3</v>
      </c>
      <c r="M858" s="14" t="n">
        <v>3.650061321030193</v>
      </c>
      <c r="N858" s="5" t="inlineStr">
        <is>
          <t>Kg</t>
        </is>
      </c>
      <c r="O858" s="5" t="inlineStr">
        <is>
          <t>Kg</t>
        </is>
      </c>
      <c r="P858" s="5" t="n">
        <v>0</v>
      </c>
      <c r="Q858" s="5" t="n">
        <v>0</v>
      </c>
      <c r="R858" s="5" t="inlineStr">
        <is>
          <t>214-2025-01-31</t>
        </is>
      </c>
    </row>
    <row r="859" hidden="1">
      <c r="A859" s="21" t="n">
        <v>214</v>
      </c>
      <c r="B859" s="5" t="inlineStr">
        <is>
          <t>Generación de Residuos Sólidos Mensual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Negativo</t>
        </is>
      </c>
      <c r="F859" s="109" t="n">
        <v>45716</v>
      </c>
      <c r="G859" s="5" t="n">
        <v>2025</v>
      </c>
      <c r="H859" s="5" t="inlineStr">
        <is>
          <t>Febrero</t>
        </is>
      </c>
      <c r="I859" s="6" t="inlineStr">
        <is>
          <t>2025-1</t>
        </is>
      </c>
      <c r="J859" s="5" t="n">
        <v>7500</v>
      </c>
      <c r="K859" s="10" t="n">
        <v>5016.83</v>
      </c>
      <c r="L859" s="14" t="n">
        <v>1.3</v>
      </c>
      <c r="M859" s="14" t="n">
        <v>1.494967937920958</v>
      </c>
      <c r="N859" s="5" t="inlineStr">
        <is>
          <t>Kg</t>
        </is>
      </c>
      <c r="O859" s="5" t="inlineStr">
        <is>
          <t>Kg</t>
        </is>
      </c>
      <c r="P859" s="15" t="n">
        <v>0</v>
      </c>
      <c r="Q859" s="15" t="n">
        <v>0</v>
      </c>
      <c r="R859" s="5" t="inlineStr">
        <is>
          <t>214-2025-02-28</t>
        </is>
      </c>
    </row>
    <row r="860" hidden="1">
      <c r="A860" s="21" t="n">
        <v>214</v>
      </c>
      <c r="B860" s="5" t="inlineStr">
        <is>
          <t>Generación de Residuos Sólidos Mensual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Negativo</t>
        </is>
      </c>
      <c r="F860" s="109" t="n">
        <v>45747</v>
      </c>
      <c r="G860" s="5" t="n">
        <v>2025</v>
      </c>
      <c r="H860" s="5" t="inlineStr">
        <is>
          <t>Marzo</t>
        </is>
      </c>
      <c r="I860" s="6" t="inlineStr">
        <is>
          <t>2025-1</t>
        </is>
      </c>
      <c r="J860" s="5" t="n">
        <v>7500</v>
      </c>
      <c r="K860" s="10" t="n">
        <v>6477.26</v>
      </c>
      <c r="L860" s="14" t="n">
        <v>1.157897012008164</v>
      </c>
      <c r="M860" s="14" t="n">
        <v>1.157897012008164</v>
      </c>
      <c r="N860" s="5" t="inlineStr">
        <is>
          <t>Kg</t>
        </is>
      </c>
      <c r="O860" s="5" t="inlineStr">
        <is>
          <t>Kg</t>
        </is>
      </c>
      <c r="P860" s="15" t="n">
        <v>0</v>
      </c>
      <c r="Q860" s="15" t="n">
        <v>0</v>
      </c>
      <c r="R860" s="5" t="inlineStr">
        <is>
          <t>214-2025-03-31</t>
        </is>
      </c>
    </row>
    <row r="861" hidden="1">
      <c r="A861" s="21" t="n">
        <v>214</v>
      </c>
      <c r="B861" s="5" t="inlineStr">
        <is>
          <t>Generación de Residuos Sólidos Mensual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Negativo</t>
        </is>
      </c>
      <c r="F861" s="109" t="n">
        <v>45777</v>
      </c>
      <c r="G861" s="5" t="n">
        <v>2025</v>
      </c>
      <c r="H861" s="5" t="inlineStr">
        <is>
          <t>Abril</t>
        </is>
      </c>
      <c r="I861" s="6" t="inlineStr">
        <is>
          <t>2025-1</t>
        </is>
      </c>
      <c r="J861" s="5" t="n">
        <v>7500</v>
      </c>
      <c r="K861" s="10" t="n">
        <v>5312.64</v>
      </c>
      <c r="L861" s="14" t="n">
        <v>1.3</v>
      </c>
      <c r="M861" s="14" t="n">
        <v>1.411727502710517</v>
      </c>
      <c r="N861" s="5" t="inlineStr">
        <is>
          <t>Kg</t>
        </is>
      </c>
      <c r="O861" s="5" t="inlineStr">
        <is>
          <t>Kg</t>
        </is>
      </c>
      <c r="P861" s="15" t="n">
        <v>0</v>
      </c>
      <c r="Q861" s="15" t="n">
        <v>0</v>
      </c>
      <c r="R861" s="5" t="inlineStr">
        <is>
          <t>214-2025-04-30</t>
        </is>
      </c>
    </row>
    <row r="862" hidden="1">
      <c r="A862" s="21" t="n">
        <v>214</v>
      </c>
      <c r="B862" s="5" t="inlineStr">
        <is>
          <t>Generación de Residuos Sólidos Mensual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Negativo</t>
        </is>
      </c>
      <c r="F862" s="108" t="n">
        <v>45808</v>
      </c>
      <c r="G862" s="5" t="n">
        <v>2025</v>
      </c>
      <c r="H862" s="5" t="inlineStr">
        <is>
          <t>Mayo</t>
        </is>
      </c>
      <c r="I862" s="6" t="inlineStr">
        <is>
          <t>2025-1</t>
        </is>
      </c>
      <c r="J862" s="5" t="n">
        <v>7500</v>
      </c>
      <c r="K862" s="9" t="n">
        <v>5499.51</v>
      </c>
      <c r="L862" s="14" t="n">
        <v>1.3</v>
      </c>
      <c r="M862" s="14" t="n">
        <v>1.363757862064075</v>
      </c>
      <c r="N862" s="5" t="inlineStr">
        <is>
          <t>Kg</t>
        </is>
      </c>
      <c r="O862" s="5" t="inlineStr">
        <is>
          <t>Kg</t>
        </is>
      </c>
      <c r="P862" s="15" t="n">
        <v>0</v>
      </c>
      <c r="Q862" s="15" t="n">
        <v>0</v>
      </c>
      <c r="R862" s="5" t="inlineStr">
        <is>
          <t>214-2025-05-31</t>
        </is>
      </c>
    </row>
    <row r="863" hidden="1">
      <c r="A863" s="26" t="n">
        <v>214</v>
      </c>
      <c r="B863" s="5" t="inlineStr">
        <is>
          <t>Generación de Residuos Sólidos Mensual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Negativo</t>
        </is>
      </c>
      <c r="F863" s="109" t="n">
        <v>45838</v>
      </c>
      <c r="G863" s="5" t="n">
        <v>2025</v>
      </c>
      <c r="H863" s="5" t="inlineStr">
        <is>
          <t>Junio</t>
        </is>
      </c>
      <c r="I863" s="6" t="inlineStr">
        <is>
          <t>2025-1</t>
        </is>
      </c>
      <c r="J863" s="5" t="n">
        <v>7500</v>
      </c>
      <c r="K863" s="9" t="n">
        <v>2630.16</v>
      </c>
      <c r="L863" s="14" t="n">
        <v>1.3</v>
      </c>
      <c r="M863" s="14" t="n">
        <v>2.851537549046446</v>
      </c>
      <c r="N863" s="5" t="inlineStr">
        <is>
          <t>Kg</t>
        </is>
      </c>
      <c r="O863" s="5" t="inlineStr">
        <is>
          <t>Kg</t>
        </is>
      </c>
      <c r="P863" s="15" t="n">
        <v>0</v>
      </c>
      <c r="Q863" s="15" t="n">
        <v>0</v>
      </c>
      <c r="R863" s="5" t="inlineStr">
        <is>
          <t>214-2025-06-30</t>
        </is>
      </c>
    </row>
    <row r="864" hidden="1">
      <c r="A864" s="5" t="n">
        <v>214</v>
      </c>
      <c r="B864" s="5" t="inlineStr">
        <is>
          <t>Generación de Residuos Sólidos Mensual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Negativo</t>
        </is>
      </c>
      <c r="F864" s="109" t="n">
        <v>45869</v>
      </c>
      <c r="G864" s="5" t="n">
        <v>2025</v>
      </c>
      <c r="H864" s="5" t="inlineStr">
        <is>
          <t>Julio</t>
        </is>
      </c>
      <c r="I864" s="6" t="inlineStr">
        <is>
          <t>2025-2</t>
        </is>
      </c>
      <c r="J864" s="5" t="n">
        <v>7500</v>
      </c>
      <c r="K864" s="5" t="n">
        <v>2456.83</v>
      </c>
      <c r="L864" s="14" t="n">
        <v>1.3</v>
      </c>
      <c r="M864" s="14" t="n">
        <v>3.052714270014612</v>
      </c>
      <c r="N864" s="5" t="inlineStr">
        <is>
          <t>Kg</t>
        </is>
      </c>
      <c r="O864" s="5" t="inlineStr">
        <is>
          <t>Kg</t>
        </is>
      </c>
      <c r="P864" s="5" t="n">
        <v>0</v>
      </c>
      <c r="Q864" s="5" t="n">
        <v>0</v>
      </c>
      <c r="R864" s="5" t="inlineStr">
        <is>
          <t>214-2025-07-31</t>
        </is>
      </c>
    </row>
    <row r="865" hidden="1">
      <c r="A865" s="21" t="n">
        <v>214</v>
      </c>
      <c r="B865" s="5" t="inlineStr">
        <is>
          <t>Generación de Residuos Sólidos Mensual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Negativo</t>
        </is>
      </c>
      <c r="F865" s="109" t="n">
        <v>45900</v>
      </c>
      <c r="G865" s="5" t="n">
        <v>2025</v>
      </c>
      <c r="H865" s="5" t="inlineStr">
        <is>
          <t>Agosto</t>
        </is>
      </c>
      <c r="I865" s="6" t="inlineStr">
        <is>
          <t>2025-2</t>
        </is>
      </c>
      <c r="J865" s="5" t="n">
        <v>7500</v>
      </c>
      <c r="K865" s="10" t="n">
        <v>5120.88</v>
      </c>
      <c r="L865" s="14" t="n">
        <v>1.3</v>
      </c>
      <c r="M865" s="14" t="n">
        <v>1.464592023246005</v>
      </c>
      <c r="N865" s="5" t="inlineStr">
        <is>
          <t>Kg</t>
        </is>
      </c>
      <c r="O865" s="5" t="inlineStr">
        <is>
          <t>Kg</t>
        </is>
      </c>
      <c r="P865" s="15" t="n">
        <v>0</v>
      </c>
      <c r="Q865" s="15" t="n">
        <v>0</v>
      </c>
      <c r="R865" s="5" t="inlineStr">
        <is>
          <t>214-2025-08-31</t>
        </is>
      </c>
    </row>
    <row r="866" hidden="1">
      <c r="A866" s="21" t="n">
        <v>214</v>
      </c>
      <c r="B866" s="5" t="inlineStr">
        <is>
          <t>Generación de Residuos Sólidos Mensual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Negativo</t>
        </is>
      </c>
      <c r="F866" s="108" t="n">
        <v>45930</v>
      </c>
      <c r="G866" s="5" t="n">
        <v>2025</v>
      </c>
      <c r="H866" s="5" t="inlineStr">
        <is>
          <t>Septiembre</t>
        </is>
      </c>
      <c r="I866" s="6" t="inlineStr">
        <is>
          <t>2025-2</t>
        </is>
      </c>
      <c r="J866" s="5" t="n">
        <v>7500</v>
      </c>
      <c r="K866" s="9" t="n">
        <v>5321.59</v>
      </c>
      <c r="L866" s="14" t="n">
        <v>1.3</v>
      </c>
      <c r="M866" s="14" t="n">
        <v>1.409353219620452</v>
      </c>
      <c r="N866" s="5" t="inlineStr">
        <is>
          <t>Kg</t>
        </is>
      </c>
      <c r="O866" s="5" t="inlineStr">
        <is>
          <t>Kg</t>
        </is>
      </c>
      <c r="P866" s="15" t="n">
        <v>0</v>
      </c>
      <c r="Q866" s="15" t="n">
        <v>0</v>
      </c>
      <c r="R866" s="5" t="inlineStr">
        <is>
          <t>214-2025-09-30</t>
        </is>
      </c>
    </row>
    <row r="867" hidden="1">
      <c r="A867" s="26" t="n">
        <v>214</v>
      </c>
      <c r="B867" s="5" t="inlineStr">
        <is>
          <t>Generación de Residuos Sólidos Mensual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Negativo</t>
        </is>
      </c>
      <c r="F867" s="109" t="n">
        <v>45961</v>
      </c>
      <c r="G867" s="5" t="n">
        <v>2025</v>
      </c>
      <c r="H867" s="5" t="inlineStr">
        <is>
          <t>Octubre</t>
        </is>
      </c>
      <c r="I867" s="6" t="inlineStr">
        <is>
          <t>2025-2</t>
        </is>
      </c>
      <c r="J867" s="5" t="n">
        <v>7500</v>
      </c>
      <c r="K867" s="9" t="n">
        <v>3998.57</v>
      </c>
      <c r="L867" s="14" t="n">
        <v>1.3</v>
      </c>
      <c r="M867" s="14" t="n">
        <v>1.87567055222242</v>
      </c>
      <c r="N867" s="5" t="inlineStr">
        <is>
          <t>Kg</t>
        </is>
      </c>
      <c r="O867" s="5" t="inlineStr">
        <is>
          <t>Kg</t>
        </is>
      </c>
      <c r="P867" s="15" t="n">
        <v>0</v>
      </c>
      <c r="Q867" s="15" t="n">
        <v>0</v>
      </c>
      <c r="R867" s="5" t="inlineStr">
        <is>
          <t>214-2025-10-31</t>
        </is>
      </c>
    </row>
    <row r="868" hidden="1">
      <c r="A868" s="5" t="n">
        <v>214</v>
      </c>
      <c r="B868" s="5" t="inlineStr">
        <is>
          <t>Generación de Residuos Sólidos Mensual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Negativo</t>
        </is>
      </c>
      <c r="F868" s="109" t="n">
        <v>45991</v>
      </c>
      <c r="G868" s="5" t="n">
        <v>2025</v>
      </c>
      <c r="H868" s="5" t="inlineStr">
        <is>
          <t>Noviembre</t>
        </is>
      </c>
      <c r="I868" s="6" t="inlineStr">
        <is>
          <t>2025-2</t>
        </is>
      </c>
      <c r="J868" s="5" t="n">
        <v>7500</v>
      </c>
      <c r="K868" s="5" t="n">
        <v>5264</v>
      </c>
      <c r="L868" s="14" t="n">
        <v>1.3</v>
      </c>
      <c r="M868" s="14" t="n">
        <v>1.424772036474164</v>
      </c>
      <c r="N868" s="5" t="inlineStr">
        <is>
          <t>Kg</t>
        </is>
      </c>
      <c r="O868" s="5" t="inlineStr">
        <is>
          <t>Kg</t>
        </is>
      </c>
      <c r="P868" s="5" t="n">
        <v>0</v>
      </c>
      <c r="Q868" s="5" t="n">
        <v>0</v>
      </c>
      <c r="R868" s="5" t="inlineStr">
        <is>
          <t>214-2025-11-30</t>
        </is>
      </c>
    </row>
    <row r="869" hidden="1">
      <c r="A869" s="21" t="n">
        <v>214</v>
      </c>
      <c r="B869" s="5" t="inlineStr">
        <is>
          <t>Generación de Residuos Sólidos Mensual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Negativo</t>
        </is>
      </c>
      <c r="F869" s="109" t="n">
        <v>46022</v>
      </c>
      <c r="G869" s="5" t="n">
        <v>2025</v>
      </c>
      <c r="H869" s="5" t="inlineStr">
        <is>
          <t>Diciembre</t>
        </is>
      </c>
      <c r="I869" s="6" t="inlineStr">
        <is>
          <t>2025-2</t>
        </is>
      </c>
      <c r="J869" s="5" t="n">
        <v>7500</v>
      </c>
      <c r="K869" s="10" t="n">
        <v>2169.54</v>
      </c>
      <c r="L869" s="14" t="n">
        <v>1.3</v>
      </c>
      <c r="M869" s="14" t="n">
        <v>3.456954008683868</v>
      </c>
      <c r="N869" s="5" t="inlineStr">
        <is>
          <t>Kg</t>
        </is>
      </c>
      <c r="O869" s="5" t="inlineStr">
        <is>
          <t>Kg</t>
        </is>
      </c>
      <c r="P869" s="15" t="n">
        <v>0</v>
      </c>
      <c r="Q869" s="15" t="n">
        <v>0</v>
      </c>
      <c r="R869" s="5" t="inlineStr">
        <is>
          <t>214-2025-12-31</t>
        </is>
      </c>
    </row>
    <row r="870" hidden="1">
      <c r="A870" s="21" t="n">
        <v>214</v>
      </c>
      <c r="B870" s="5" t="inlineStr">
        <is>
          <t>Generación de Residuos Sólidos Mensual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Negativo</t>
        </is>
      </c>
      <c r="F870" s="108" t="n">
        <v>46053</v>
      </c>
      <c r="G870" s="5" t="n">
        <v>2026</v>
      </c>
      <c r="H870" s="5" t="inlineStr">
        <is>
          <t>Enero</t>
        </is>
      </c>
      <c r="I870" s="6" t="inlineStr">
        <is>
          <t>2026-1</t>
        </is>
      </c>
      <c r="J870" s="5" t="n">
        <v>7500</v>
      </c>
      <c r="K870" s="9" t="n">
        <v>1139.249969482422</v>
      </c>
      <c r="L870" s="14" t="n">
        <v>1.3</v>
      </c>
      <c r="M870" s="14" t="n">
        <v>6.5832786490285</v>
      </c>
      <c r="N870" s="5" t="inlineStr">
        <is>
          <t>Kg</t>
        </is>
      </c>
      <c r="O870" s="5" t="inlineStr">
        <is>
          <t>Kg</t>
        </is>
      </c>
      <c r="P870" s="15" t="n">
        <v>0</v>
      </c>
      <c r="Q870" s="15" t="n">
        <v>0</v>
      </c>
      <c r="R870" s="5" t="inlineStr">
        <is>
          <t>214-2026-01-31</t>
        </is>
      </c>
    </row>
    <row r="871" hidden="1">
      <c r="A871" s="26" t="n">
        <v>215</v>
      </c>
      <c r="B871" s="5" t="inlineStr">
        <is>
          <t>Disminución de la Generación de Residuos per Cápita</t>
        </is>
      </c>
      <c r="C871" s="5" t="inlineStr">
        <is>
          <t>GESTIÓN AMBIENTAL</t>
        </is>
      </c>
      <c r="D871" s="5" t="inlineStr">
        <is>
          <t>Trimestral</t>
        </is>
      </c>
      <c r="E871" s="5" t="inlineStr">
        <is>
          <t>Positivo</t>
        </is>
      </c>
      <c r="F871" s="109" t="n">
        <v>44651</v>
      </c>
      <c r="G871" s="5" t="n">
        <v>2022</v>
      </c>
      <c r="H871" s="5" t="inlineStr">
        <is>
          <t>Marzo</t>
        </is>
      </c>
      <c r="I871" s="6" t="inlineStr">
        <is>
          <t>2022-1</t>
        </is>
      </c>
      <c r="J871" s="5" t="n">
        <v>1</v>
      </c>
      <c r="K871" s="9" t="n"/>
      <c r="L871" s="14" t="n"/>
      <c r="M871" s="14" t="n"/>
      <c r="N871" s="5" t="inlineStr">
        <is>
          <t>%</t>
        </is>
      </c>
      <c r="O871" s="5" t="inlineStr">
        <is>
          <t>No Aplica</t>
        </is>
      </c>
      <c r="P871" s="15" t="n">
        <v>2</v>
      </c>
      <c r="Q871" s="15" t="n">
        <v>2</v>
      </c>
      <c r="R871" s="5" t="inlineStr">
        <is>
          <t>215-2022-03-31</t>
        </is>
      </c>
      <c r="S871" t="inlineStr">
        <is>
          <t>No Aplica</t>
        </is>
      </c>
    </row>
    <row r="872" hidden="1">
      <c r="A872" s="5" t="n">
        <v>215</v>
      </c>
      <c r="B872" s="5" t="inlineStr">
        <is>
          <t>Disminución de la Generación de Residuos per Cápita</t>
        </is>
      </c>
      <c r="C872" s="5" t="inlineStr">
        <is>
          <t>GESTIÓN AMBIENTAL</t>
        </is>
      </c>
      <c r="D872" s="5" t="inlineStr">
        <is>
          <t>Trimestral</t>
        </is>
      </c>
      <c r="E872" s="5" t="inlineStr">
        <is>
          <t>Positivo</t>
        </is>
      </c>
      <c r="F872" s="109" t="n">
        <v>44742</v>
      </c>
      <c r="G872" s="5" t="n">
        <v>2022</v>
      </c>
      <c r="H872" s="5" t="inlineStr">
        <is>
          <t>Junio</t>
        </is>
      </c>
      <c r="I872" s="6" t="inlineStr">
        <is>
          <t>2022-1</t>
        </is>
      </c>
      <c r="J872" s="5" t="n">
        <v>1</v>
      </c>
      <c r="K872" s="5" t="n"/>
      <c r="L872" s="14" t="n"/>
      <c r="M872" s="14" t="n"/>
      <c r="N872" s="5" t="inlineStr">
        <is>
          <t>%</t>
        </is>
      </c>
      <c r="O872" s="5" t="inlineStr">
        <is>
          <t>No Aplica</t>
        </is>
      </c>
      <c r="P872" s="5" t="n">
        <v>2</v>
      </c>
      <c r="Q872" s="5" t="n">
        <v>2</v>
      </c>
      <c r="R872" s="5" t="inlineStr">
        <is>
          <t>215-2022-06-30</t>
        </is>
      </c>
      <c r="S872" t="inlineStr">
        <is>
          <t>No Aplica</t>
        </is>
      </c>
    </row>
    <row r="873" hidden="1">
      <c r="A873" s="21" t="n">
        <v>215</v>
      </c>
      <c r="B873" s="5" t="inlineStr">
        <is>
          <t>Disminución de la Generación de Residuos per Cápita</t>
        </is>
      </c>
      <c r="C873" s="5" t="inlineStr">
        <is>
          <t>GESTIÓN AMBIENTAL</t>
        </is>
      </c>
      <c r="D873" s="5" t="inlineStr">
        <is>
          <t>Trimestral</t>
        </is>
      </c>
      <c r="E873" s="5" t="inlineStr">
        <is>
          <t>Positivo</t>
        </is>
      </c>
      <c r="F873" s="109" t="n">
        <v>44926</v>
      </c>
      <c r="G873" s="5" t="n">
        <v>2022</v>
      </c>
      <c r="H873" s="5" t="inlineStr">
        <is>
          <t>Diciembre</t>
        </is>
      </c>
      <c r="I873" s="6" t="inlineStr">
        <is>
          <t>2022-2</t>
        </is>
      </c>
      <c r="J873" s="5" t="n">
        <v>1</v>
      </c>
      <c r="K873" s="10" t="n">
        <v>-23.628691983122</v>
      </c>
      <c r="L873" s="14" t="n">
        <v>0</v>
      </c>
      <c r="M873" s="14" t="n">
        <v>0</v>
      </c>
      <c r="N873" s="5" t="inlineStr">
        <is>
          <t>%</t>
        </is>
      </c>
      <c r="O873" s="5" t="inlineStr">
        <is>
          <t>%</t>
        </is>
      </c>
      <c r="P873" s="15" t="n">
        <v>2</v>
      </c>
      <c r="Q873" s="15" t="n">
        <v>2</v>
      </c>
      <c r="R873" s="5" t="inlineStr">
        <is>
          <t>215-2022-12-31</t>
        </is>
      </c>
    </row>
    <row r="874" hidden="1">
      <c r="A874" s="21" t="n">
        <v>215</v>
      </c>
      <c r="B874" s="5" t="inlineStr">
        <is>
          <t>Disminución de la Generación de Residuos per Cápita</t>
        </is>
      </c>
      <c r="C874" s="5" t="inlineStr">
        <is>
          <t>GESTIÓN AMBIENTAL</t>
        </is>
      </c>
      <c r="D874" s="5" t="inlineStr">
        <is>
          <t>Semestral</t>
        </is>
      </c>
      <c r="E874" s="5" t="inlineStr">
        <is>
          <t>Positivo</t>
        </is>
      </c>
      <c r="F874" s="108" t="n">
        <v>45107</v>
      </c>
      <c r="G874" s="5" t="n">
        <v>2023</v>
      </c>
      <c r="H874" s="5" t="inlineStr">
        <is>
          <t>Junio</t>
        </is>
      </c>
      <c r="I874" s="6" t="inlineStr">
        <is>
          <t>2023-1</t>
        </is>
      </c>
      <c r="J874" s="5" t="n">
        <v>1</v>
      </c>
      <c r="K874" s="9" t="n">
        <v>-47.67</v>
      </c>
      <c r="L874" s="14" t="n">
        <v>0</v>
      </c>
      <c r="M874" s="14" t="n">
        <v>0</v>
      </c>
      <c r="N874" s="5" t="inlineStr">
        <is>
          <t>Kg</t>
        </is>
      </c>
      <c r="O874" s="5" t="inlineStr">
        <is>
          <t>Kg</t>
        </is>
      </c>
      <c r="P874" s="15" t="n">
        <v>2</v>
      </c>
      <c r="Q874" s="15" t="n">
        <v>2</v>
      </c>
      <c r="R874" s="5" t="inlineStr">
        <is>
          <t>215-2023-06-30</t>
        </is>
      </c>
    </row>
    <row r="875" hidden="1">
      <c r="A875" s="26" t="n">
        <v>215</v>
      </c>
      <c r="B875" s="5" t="inlineStr">
        <is>
          <t>Disminución de la Generación de Residuos per Cápita</t>
        </is>
      </c>
      <c r="C875" s="5" t="inlineStr">
        <is>
          <t>GESTIÓN AMBIENTAL</t>
        </is>
      </c>
      <c r="D875" s="5" t="inlineStr">
        <is>
          <t>Trimestral</t>
        </is>
      </c>
      <c r="E875" s="5" t="inlineStr">
        <is>
          <t>Positivo</t>
        </is>
      </c>
      <c r="F875" s="109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1</v>
      </c>
      <c r="K875" s="9" t="n">
        <v>-124.72</v>
      </c>
      <c r="L875" s="14" t="n">
        <v>0</v>
      </c>
      <c r="M875" s="14" t="n">
        <v>0</v>
      </c>
      <c r="N875" s="5" t="inlineStr">
        <is>
          <t>%</t>
        </is>
      </c>
      <c r="O875" s="5" t="inlineStr">
        <is>
          <t>%</t>
        </is>
      </c>
      <c r="P875" s="15" t="n">
        <v>2</v>
      </c>
      <c r="Q875" s="15" t="n">
        <v>2</v>
      </c>
      <c r="R875" s="5" t="inlineStr">
        <is>
          <t>215-2023-12-31</t>
        </is>
      </c>
    </row>
    <row r="876" hidden="1">
      <c r="A876" s="5" t="n">
        <v>215</v>
      </c>
      <c r="B876" s="5" t="inlineStr">
        <is>
          <t>Disminución de la Generación de Residuos per Cápita</t>
        </is>
      </c>
      <c r="C876" s="5" t="inlineStr">
        <is>
          <t>GESTIÓN AMBIENTAL</t>
        </is>
      </c>
      <c r="D876" s="5" t="inlineStr">
        <is>
          <t>Semestral</t>
        </is>
      </c>
      <c r="E876" s="5" t="inlineStr">
        <is>
          <t>Positivo</t>
        </is>
      </c>
      <c r="F876" s="109" t="n">
        <v>45473</v>
      </c>
      <c r="G876" s="5" t="n">
        <v>2024</v>
      </c>
      <c r="H876" s="5" t="inlineStr">
        <is>
          <t>Junio</t>
        </is>
      </c>
      <c r="I876" s="6" t="inlineStr">
        <is>
          <t>2024-1</t>
        </is>
      </c>
      <c r="J876" s="5" t="n">
        <v>1</v>
      </c>
      <c r="K876" s="5" t="n">
        <v>8</v>
      </c>
      <c r="L876" s="14" t="n">
        <v>1.3</v>
      </c>
      <c r="M876" s="14" t="n">
        <v>8</v>
      </c>
      <c r="N876" s="5" t="inlineStr">
        <is>
          <t>%</t>
        </is>
      </c>
      <c r="O876" s="5" t="inlineStr">
        <is>
          <t>%</t>
        </is>
      </c>
      <c r="P876" s="5" t="n">
        <v>2</v>
      </c>
      <c r="Q876" s="5" t="n">
        <v>2</v>
      </c>
      <c r="R876" s="5" t="inlineStr">
        <is>
          <t>215-2024-06-30</t>
        </is>
      </c>
    </row>
    <row r="877" hidden="1">
      <c r="A877" s="21" t="n">
        <v>215</v>
      </c>
      <c r="B877" s="5" t="inlineStr">
        <is>
          <t>Disminución de la Generación de Residuos per Cápita</t>
        </is>
      </c>
      <c r="C877" s="5" t="inlineStr">
        <is>
          <t>GESTIÓN AMBIENTAL</t>
        </is>
      </c>
      <c r="D877" s="5" t="inlineStr">
        <is>
          <t>Semestral</t>
        </is>
      </c>
      <c r="E877" s="5" t="inlineStr">
        <is>
          <t>Positivo</t>
        </is>
      </c>
      <c r="F877" s="109" t="n">
        <v>45657</v>
      </c>
      <c r="G877" s="5" t="n">
        <v>2024</v>
      </c>
      <c r="H877" s="5" t="inlineStr">
        <is>
          <t>Diciembre</t>
        </is>
      </c>
      <c r="I877" s="6" t="inlineStr">
        <is>
          <t>2024-2</t>
        </is>
      </c>
      <c r="J877" s="5" t="n">
        <v>1</v>
      </c>
      <c r="K877" s="10" t="n">
        <v>-45.65</v>
      </c>
      <c r="L877" s="14" t="n">
        <v>0</v>
      </c>
      <c r="M877" s="14" t="n">
        <v>0</v>
      </c>
      <c r="N877" s="5" t="inlineStr">
        <is>
          <t>%</t>
        </is>
      </c>
      <c r="O877" s="5" t="inlineStr">
        <is>
          <t>%</t>
        </is>
      </c>
      <c r="P877" s="15" t="n">
        <v>2</v>
      </c>
      <c r="Q877" s="15" t="n">
        <v>2</v>
      </c>
      <c r="R877" s="5" t="inlineStr">
        <is>
          <t>215-2024-12-31</t>
        </is>
      </c>
    </row>
    <row r="878" hidden="1">
      <c r="A878" s="21" t="n">
        <v>215</v>
      </c>
      <c r="B878" s="5" t="inlineStr">
        <is>
          <t>Disminución de la Generación de Residuos per Cápita</t>
        </is>
      </c>
      <c r="C878" s="5" t="inlineStr">
        <is>
          <t>GESTIÓN AMBIENTAL</t>
        </is>
      </c>
      <c r="D878" s="5" t="inlineStr">
        <is>
          <t>Trimestral</t>
        </is>
      </c>
      <c r="E878" s="5" t="inlineStr">
        <is>
          <t>Positivo</t>
        </is>
      </c>
      <c r="F878" s="108" t="n">
        <v>45838</v>
      </c>
      <c r="G878" s="5" t="n">
        <v>2025</v>
      </c>
      <c r="H878" s="5" t="inlineStr">
        <is>
          <t>Junio</t>
        </is>
      </c>
      <c r="I878" s="6" t="inlineStr">
        <is>
          <t>2025-1</t>
        </is>
      </c>
      <c r="J878" s="5" t="n">
        <v>1</v>
      </c>
      <c r="K878" s="9" t="n">
        <v>-114.55</v>
      </c>
      <c r="L878" s="14" t="n">
        <v>0</v>
      </c>
      <c r="M878" s="14" t="n">
        <v>0</v>
      </c>
      <c r="N878" s="5" t="inlineStr">
        <is>
          <t>%</t>
        </is>
      </c>
      <c r="O878" s="5" t="inlineStr">
        <is>
          <t>%</t>
        </is>
      </c>
      <c r="P878" s="15" t="n">
        <v>2</v>
      </c>
      <c r="Q878" s="15" t="n">
        <v>2</v>
      </c>
      <c r="R878" s="5" t="inlineStr">
        <is>
          <t>215-2025-06-30</t>
        </is>
      </c>
    </row>
    <row r="879" hidden="1">
      <c r="A879" s="26" t="n">
        <v>215</v>
      </c>
      <c r="B879" s="5" t="inlineStr">
        <is>
          <t>Disminución de la Generación de Residuos per Cápita</t>
        </is>
      </c>
      <c r="C879" s="5" t="inlineStr">
        <is>
          <t>GESTIÓN AMBIENTAL</t>
        </is>
      </c>
      <c r="D879" s="5" t="inlineStr">
        <is>
          <t>Trimestral</t>
        </is>
      </c>
      <c r="E879" s="5" t="inlineStr">
        <is>
          <t>Positivo</t>
        </is>
      </c>
      <c r="F879" s="109" t="n">
        <v>46022</v>
      </c>
      <c r="G879" s="5" t="n">
        <v>2025</v>
      </c>
      <c r="H879" s="5" t="inlineStr">
        <is>
          <t>Diciembre</t>
        </is>
      </c>
      <c r="I879" s="6" t="inlineStr">
        <is>
          <t>2025-2</t>
        </is>
      </c>
      <c r="J879" s="5" t="n">
        <v>1</v>
      </c>
      <c r="K879" s="9" t="n">
        <v>-6.43</v>
      </c>
      <c r="L879" s="14" t="n">
        <v>0</v>
      </c>
      <c r="M879" s="14" t="n">
        <v>0</v>
      </c>
      <c r="N879" s="5" t="inlineStr">
        <is>
          <t>%</t>
        </is>
      </c>
      <c r="O879" s="5" t="inlineStr">
        <is>
          <t>%</t>
        </is>
      </c>
      <c r="P879" s="15" t="n">
        <v>2</v>
      </c>
      <c r="Q879" s="15" t="n">
        <v>2</v>
      </c>
      <c r="R879" s="5" t="inlineStr">
        <is>
          <t>215-2025-12-31</t>
        </is>
      </c>
    </row>
    <row r="880" hidden="1">
      <c r="A880" s="5" t="n">
        <v>216</v>
      </c>
      <c r="B880" s="5" t="inlineStr">
        <is>
          <t>Disposición Ambientalmente Adecuada de Residuos Peligrosos</t>
        </is>
      </c>
      <c r="C880" s="5" t="inlineStr">
        <is>
          <t>GESTIÓN AMBIENTAL</t>
        </is>
      </c>
      <c r="D880" s="5" t="inlineStr">
        <is>
          <t>Anual</t>
        </is>
      </c>
      <c r="E880" s="5" t="inlineStr">
        <is>
          <t>Positivo</t>
        </is>
      </c>
      <c r="F880" s="109" t="n">
        <v>44926</v>
      </c>
      <c r="G880" s="5" t="n">
        <v>2022</v>
      </c>
      <c r="H880" s="5" t="inlineStr">
        <is>
          <t>Diciembre</t>
        </is>
      </c>
      <c r="I880" s="6" t="inlineStr">
        <is>
          <t>2022-2</t>
        </is>
      </c>
      <c r="J880" s="5" t="n">
        <v>100</v>
      </c>
      <c r="K880" s="5" t="n">
        <v>300</v>
      </c>
      <c r="L880" s="14" t="n">
        <v>1.3</v>
      </c>
      <c r="M880" s="14" t="n">
        <v>3</v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0</v>
      </c>
      <c r="R880" s="5" t="inlineStr">
        <is>
          <t>216-2022-12-31</t>
        </is>
      </c>
    </row>
    <row r="881" hidden="1">
      <c r="A881" s="21" t="n">
        <v>216</v>
      </c>
      <c r="B881" s="5" t="inlineStr">
        <is>
          <t>Disposición Ambientalmente Adecuada de Residuos Peligrosos</t>
        </is>
      </c>
      <c r="C881" s="5" t="inlineStr">
        <is>
          <t>GESTIÓN AMBIENTAL</t>
        </is>
      </c>
      <c r="D881" s="5" t="inlineStr">
        <is>
          <t>Anual</t>
        </is>
      </c>
      <c r="E881" s="5" t="inlineStr">
        <is>
          <t>Positivo</t>
        </is>
      </c>
      <c r="F881" s="109" t="n">
        <v>45291</v>
      </c>
      <c r="G881" s="5" t="n">
        <v>2023</v>
      </c>
      <c r="H881" s="5" t="inlineStr">
        <is>
          <t>Diciembre</t>
        </is>
      </c>
      <c r="I881" s="6" t="inlineStr">
        <is>
          <t>2023-2</t>
        </is>
      </c>
      <c r="J881" s="5" t="n">
        <v>100</v>
      </c>
      <c r="K881" s="9" t="n">
        <v>100</v>
      </c>
      <c r="L881" s="14" t="n">
        <v>1</v>
      </c>
      <c r="M881" s="14" t="n">
        <v>1</v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0</v>
      </c>
      <c r="R881" s="5" t="inlineStr">
        <is>
          <t>216-2023-12-31</t>
        </is>
      </c>
    </row>
    <row r="882" hidden="1">
      <c r="A882" s="21" t="n">
        <v>216</v>
      </c>
      <c r="B882" s="5" t="inlineStr">
        <is>
          <t>Disposición Ambientalmente Adecuada de Residuos Peligrosos</t>
        </is>
      </c>
      <c r="C882" s="5" t="inlineStr">
        <is>
          <t>GESTIÓN AMBIENTAL</t>
        </is>
      </c>
      <c r="D882" s="5" t="inlineStr">
        <is>
          <t>Anual</t>
        </is>
      </c>
      <c r="E882" s="5" t="inlineStr">
        <is>
          <t>Positivo</t>
        </is>
      </c>
      <c r="F882" s="109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9" t="n">
        <v>100</v>
      </c>
      <c r="L882" s="14" t="n">
        <v>1</v>
      </c>
      <c r="M882" s="14" t="n">
        <v>1</v>
      </c>
      <c r="N882" s="5" t="n"/>
      <c r="O882" s="5" t="n"/>
      <c r="P882" s="15" t="n">
        <v>0</v>
      </c>
      <c r="Q882" s="15" t="n">
        <v>0</v>
      </c>
      <c r="R882" s="5" t="inlineStr">
        <is>
          <t>216-2024-12-31</t>
        </is>
      </c>
    </row>
    <row r="883" hidden="1">
      <c r="A883" s="26" t="n">
        <v>216</v>
      </c>
      <c r="B883" s="5" t="inlineStr">
        <is>
          <t>Disposición Ambientalmente Adecuada de Residuos Peligrosos</t>
        </is>
      </c>
      <c r="C883" s="5" t="inlineStr">
        <is>
          <t>GESTIÓN AMBIENTAL</t>
        </is>
      </c>
      <c r="D883" s="5" t="inlineStr">
        <is>
          <t>Anual</t>
        </is>
      </c>
      <c r="E883" s="5" t="inlineStr">
        <is>
          <t>Positivo</t>
        </is>
      </c>
      <c r="F883" s="109" t="n">
        <v>46022</v>
      </c>
      <c r="G883" s="5" t="n">
        <v>2025</v>
      </c>
      <c r="H883" s="5" t="inlineStr">
        <is>
          <t>Diciembre</t>
        </is>
      </c>
      <c r="I883" s="6" t="inlineStr">
        <is>
          <t>2025-2</t>
        </is>
      </c>
      <c r="J883" s="5" t="n">
        <v>100</v>
      </c>
      <c r="K883" s="9" t="n">
        <v>100</v>
      </c>
      <c r="L883" s="14" t="n">
        <v>1</v>
      </c>
      <c r="M883" s="14" t="n">
        <v>1</v>
      </c>
      <c r="N883" s="5" t="inlineStr">
        <is>
          <t>%</t>
        </is>
      </c>
      <c r="O883" s="5" t="inlineStr">
        <is>
          <t>%</t>
        </is>
      </c>
      <c r="P883" s="15" t="n">
        <v>0</v>
      </c>
      <c r="Q883" s="15" t="n">
        <v>0</v>
      </c>
      <c r="R883" s="5" t="inlineStr">
        <is>
          <t>216-2025-12-31</t>
        </is>
      </c>
    </row>
    <row r="884" hidden="1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9" t="n">
        <v>44592</v>
      </c>
      <c r="G884" s="5" t="n">
        <v>2022</v>
      </c>
      <c r="H884" s="5" t="inlineStr">
        <is>
          <t>Enero</t>
        </is>
      </c>
      <c r="I884" s="6" t="inlineStr">
        <is>
          <t>2022-1</t>
        </is>
      </c>
      <c r="J884" s="5" t="n">
        <v>20</v>
      </c>
      <c r="K884" s="9" t="n"/>
      <c r="L884" s="14" t="n"/>
      <c r="M884" s="14" t="n"/>
      <c r="N884" s="5" t="inlineStr">
        <is>
          <t>%</t>
        </is>
      </c>
      <c r="O884" s="5" t="inlineStr">
        <is>
          <t>No Aplica</t>
        </is>
      </c>
      <c r="P884" s="15" t="n">
        <v>0</v>
      </c>
      <c r="Q884" s="15" t="n">
        <v>0</v>
      </c>
      <c r="R884" s="5" t="inlineStr">
        <is>
          <t>217-2022-01-31</t>
        </is>
      </c>
      <c r="S884" t="inlineStr">
        <is>
          <t>No Aplica</t>
        </is>
      </c>
    </row>
    <row r="885" hidden="1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9" t="n">
        <v>44620</v>
      </c>
      <c r="G885" s="5" t="n">
        <v>2022</v>
      </c>
      <c r="H885" s="5" t="inlineStr">
        <is>
          <t>Febrero</t>
        </is>
      </c>
      <c r="I885" s="6" t="inlineStr">
        <is>
          <t>2022-1</t>
        </is>
      </c>
      <c r="J885" s="5" t="n">
        <v>20</v>
      </c>
      <c r="K885" s="9" t="n"/>
      <c r="L885" s="14" t="n"/>
      <c r="M885" s="14" t="n"/>
      <c r="N885" s="5" t="inlineStr">
        <is>
          <t>%</t>
        </is>
      </c>
      <c r="O885" s="5" t="inlineStr">
        <is>
          <t>No Aplica</t>
        </is>
      </c>
      <c r="P885" s="15" t="n">
        <v>0</v>
      </c>
      <c r="Q885" s="15" t="n">
        <v>0</v>
      </c>
      <c r="R885" s="5" t="inlineStr">
        <is>
          <t>217-2022-02-28</t>
        </is>
      </c>
      <c r="S885" t="inlineStr">
        <is>
          <t>No Aplica</t>
        </is>
      </c>
    </row>
    <row r="886" hidden="1">
      <c r="A886" s="5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9" t="n">
        <v>44681</v>
      </c>
      <c r="G886" s="5" t="n">
        <v>2022</v>
      </c>
      <c r="H886" s="5" t="inlineStr">
        <is>
          <t>Abril</t>
        </is>
      </c>
      <c r="I886" s="6" t="inlineStr">
        <is>
          <t>2022-1</t>
        </is>
      </c>
      <c r="J886" s="5" t="n">
        <v>20</v>
      </c>
      <c r="K886" s="9" t="n"/>
      <c r="L886" s="14" t="n"/>
      <c r="M886" s="14" t="n"/>
      <c r="N886" s="5" t="inlineStr">
        <is>
          <t>%</t>
        </is>
      </c>
      <c r="O886" s="5" t="inlineStr">
        <is>
          <t>No Aplica</t>
        </is>
      </c>
      <c r="P886" s="15" t="n">
        <v>0</v>
      </c>
      <c r="Q886" s="15" t="n">
        <v>0</v>
      </c>
      <c r="R886" s="5" t="inlineStr">
        <is>
          <t>217-2022-04-30</t>
        </is>
      </c>
      <c r="S886" t="inlineStr">
        <is>
          <t>No Aplica</t>
        </is>
      </c>
    </row>
    <row r="887" hidden="1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9" t="n">
        <v>44712</v>
      </c>
      <c r="G887" s="5" t="n">
        <v>2022</v>
      </c>
      <c r="H887" s="5" t="inlineStr">
        <is>
          <t>Mayo</t>
        </is>
      </c>
      <c r="I887" s="6" t="inlineStr">
        <is>
          <t>2022-1</t>
        </is>
      </c>
      <c r="J887" s="5" t="n">
        <v>20</v>
      </c>
      <c r="K887" s="9" t="n"/>
      <c r="L887" s="14" t="n"/>
      <c r="M887" s="14" t="n"/>
      <c r="N887" s="5" t="inlineStr">
        <is>
          <t>%</t>
        </is>
      </c>
      <c r="O887" s="5" t="inlineStr">
        <is>
          <t>No Aplica</t>
        </is>
      </c>
      <c r="P887" s="15" t="n">
        <v>0</v>
      </c>
      <c r="Q887" s="15" t="n">
        <v>0</v>
      </c>
      <c r="R887" s="5" t="inlineStr">
        <is>
          <t>217-2022-05-31</t>
        </is>
      </c>
      <c r="S887" t="inlineStr">
        <is>
          <t>No Aplica</t>
        </is>
      </c>
    </row>
    <row r="888" hidden="1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9" t="n">
        <v>44742</v>
      </c>
      <c r="G888" s="5" t="n">
        <v>2022</v>
      </c>
      <c r="H888" s="5" t="inlineStr">
        <is>
          <t>Junio</t>
        </is>
      </c>
      <c r="I888" s="6" t="inlineStr">
        <is>
          <t>2022-1</t>
        </is>
      </c>
      <c r="J888" s="5" t="n">
        <v>20</v>
      </c>
      <c r="K888" s="9" t="n"/>
      <c r="L888" s="14" t="n"/>
      <c r="M888" s="14" t="n"/>
      <c r="N888" s="5" t="inlineStr">
        <is>
          <t>%</t>
        </is>
      </c>
      <c r="O888" s="5" t="inlineStr">
        <is>
          <t>No Aplica</t>
        </is>
      </c>
      <c r="P888" s="15" t="n">
        <v>0</v>
      </c>
      <c r="Q888" s="15" t="n">
        <v>0</v>
      </c>
      <c r="R888" s="5" t="inlineStr">
        <is>
          <t>217-2022-06-30</t>
        </is>
      </c>
      <c r="S888" t="inlineStr">
        <is>
          <t>No Aplica</t>
        </is>
      </c>
    </row>
    <row r="889" hidden="1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9" t="n">
        <v>44773</v>
      </c>
      <c r="G889" s="5" t="n">
        <v>2022</v>
      </c>
      <c r="H889" s="5" t="inlineStr">
        <is>
          <t>Julio</t>
        </is>
      </c>
      <c r="I889" s="6" t="inlineStr">
        <is>
          <t>2022-2</t>
        </is>
      </c>
      <c r="J889" s="5" t="n">
        <v>20</v>
      </c>
      <c r="K889" s="9" t="n"/>
      <c r="L889" s="14" t="n"/>
      <c r="M889" s="14" t="n"/>
      <c r="N889" s="5" t="inlineStr">
        <is>
          <t>%</t>
        </is>
      </c>
      <c r="O889" s="5" t="inlineStr">
        <is>
          <t>No Aplica</t>
        </is>
      </c>
      <c r="P889" s="15" t="n">
        <v>0</v>
      </c>
      <c r="Q889" s="15" t="n">
        <v>0</v>
      </c>
      <c r="R889" s="5" t="inlineStr">
        <is>
          <t>217-2022-07-31</t>
        </is>
      </c>
      <c r="S889" t="inlineStr">
        <is>
          <t>No Aplica</t>
        </is>
      </c>
    </row>
    <row r="890" hidden="1">
      <c r="A890" s="28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9" t="n">
        <v>44804</v>
      </c>
      <c r="G890" s="5" t="n">
        <v>2022</v>
      </c>
      <c r="H890" s="5" t="inlineStr">
        <is>
          <t>Agosto</t>
        </is>
      </c>
      <c r="I890" s="6" t="inlineStr">
        <is>
          <t>2022-2</t>
        </is>
      </c>
      <c r="J890" s="5" t="n">
        <v>20</v>
      </c>
      <c r="K890" s="9" t="n"/>
      <c r="L890" s="14" t="n"/>
      <c r="M890" s="14" t="n"/>
      <c r="N890" s="5" t="inlineStr">
        <is>
          <t>%</t>
        </is>
      </c>
      <c r="O890" s="5" t="inlineStr">
        <is>
          <t>No Aplica</t>
        </is>
      </c>
      <c r="P890" s="15" t="n">
        <v>0</v>
      </c>
      <c r="Q890" s="15" t="n">
        <v>0</v>
      </c>
      <c r="R890" s="5" t="inlineStr">
        <is>
          <t>217-2022-08-31</t>
        </is>
      </c>
      <c r="S890" t="inlineStr">
        <is>
          <t>No Aplica</t>
        </is>
      </c>
    </row>
    <row r="891" hidden="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9" t="n">
        <v>44834</v>
      </c>
      <c r="G891" s="5" t="n">
        <v>2022</v>
      </c>
      <c r="H891" s="5" t="inlineStr">
        <is>
          <t>Septiembre</t>
        </is>
      </c>
      <c r="I891" s="6" t="inlineStr">
        <is>
          <t>2022-2</t>
        </is>
      </c>
      <c r="J891" s="5" t="n">
        <v>20</v>
      </c>
      <c r="K891" s="9" t="n"/>
      <c r="L891" s="14" t="n"/>
      <c r="M891" s="14" t="n"/>
      <c r="N891" s="5" t="inlineStr">
        <is>
          <t>%</t>
        </is>
      </c>
      <c r="O891" s="5" t="inlineStr">
        <is>
          <t>No Aplica</t>
        </is>
      </c>
      <c r="P891" s="15" t="n">
        <v>0</v>
      </c>
      <c r="Q891" s="15" t="n">
        <v>0</v>
      </c>
      <c r="R891" s="5" t="inlineStr">
        <is>
          <t>217-2022-09-30</t>
        </is>
      </c>
      <c r="S891" t="inlineStr">
        <is>
          <t>No Aplica</t>
        </is>
      </c>
    </row>
    <row r="892" hidden="1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9" t="n">
        <v>44865</v>
      </c>
      <c r="G892" s="5" t="n">
        <v>2022</v>
      </c>
      <c r="H892" s="5" t="inlineStr">
        <is>
          <t>Octubre</t>
        </is>
      </c>
      <c r="I892" s="6" t="inlineStr">
        <is>
          <t>2022-2</t>
        </is>
      </c>
      <c r="J892" s="5" t="n">
        <v>20</v>
      </c>
      <c r="K892" s="10" t="n"/>
      <c r="L892" s="14" t="n"/>
      <c r="M892" s="14" t="n"/>
      <c r="N892" s="5" t="inlineStr">
        <is>
          <t>%</t>
        </is>
      </c>
      <c r="O892" s="5" t="inlineStr">
        <is>
          <t>No Aplica</t>
        </is>
      </c>
      <c r="P892" s="15" t="n">
        <v>0</v>
      </c>
      <c r="Q892" s="15" t="n">
        <v>0</v>
      </c>
      <c r="R892" s="5" t="inlineStr">
        <is>
          <t>217-2022-10-31</t>
        </is>
      </c>
      <c r="S892" t="inlineStr">
        <is>
          <t>No Aplica</t>
        </is>
      </c>
    </row>
    <row r="893" hidden="1">
      <c r="A893" s="5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9" t="n">
        <v>44895</v>
      </c>
      <c r="G893" s="5" t="n">
        <v>2022</v>
      </c>
      <c r="H893" s="5" t="inlineStr">
        <is>
          <t>Noviembre</t>
        </is>
      </c>
      <c r="I893" s="6" t="inlineStr">
        <is>
          <t>2022-2</t>
        </is>
      </c>
      <c r="J893" s="5" t="n">
        <v>20</v>
      </c>
      <c r="K893" s="5" t="n"/>
      <c r="L893" s="14" t="n"/>
      <c r="M893" s="14" t="n"/>
      <c r="N893" s="5" t="inlineStr">
        <is>
          <t>%</t>
        </is>
      </c>
      <c r="O893" s="5" t="inlineStr">
        <is>
          <t>No Aplica</t>
        </is>
      </c>
      <c r="P893" s="5" t="n">
        <v>0</v>
      </c>
      <c r="Q893" s="5" t="n">
        <v>0</v>
      </c>
      <c r="R893" s="5" t="inlineStr">
        <is>
          <t>217-2022-11-30</t>
        </is>
      </c>
      <c r="S893" t="inlineStr">
        <is>
          <t>No Aplica</t>
        </is>
      </c>
    </row>
    <row r="894" hidden="1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9" t="n">
        <v>44926</v>
      </c>
      <c r="G894" s="5" t="n">
        <v>2022</v>
      </c>
      <c r="H894" s="5" t="inlineStr">
        <is>
          <t>Diciembre</t>
        </is>
      </c>
      <c r="I894" s="6" t="inlineStr">
        <is>
          <t>2022-2</t>
        </is>
      </c>
      <c r="J894" s="5" t="n">
        <v>20</v>
      </c>
      <c r="K894" s="10" t="n"/>
      <c r="L894" s="14" t="n"/>
      <c r="M894" s="14" t="n"/>
      <c r="N894" s="5" t="inlineStr">
        <is>
          <t>%</t>
        </is>
      </c>
      <c r="O894" s="5" t="inlineStr">
        <is>
          <t>No Aplica</t>
        </is>
      </c>
      <c r="P894" s="15" t="n">
        <v>0</v>
      </c>
      <c r="Q894" s="15" t="n">
        <v>0</v>
      </c>
      <c r="R894" s="5" t="inlineStr">
        <is>
          <t>217-2022-12-31</t>
        </is>
      </c>
      <c r="S894" t="inlineStr">
        <is>
          <t>No Aplica</t>
        </is>
      </c>
    </row>
    <row r="895" hidden="1">
      <c r="A895" s="21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9" t="n">
        <v>44957</v>
      </c>
      <c r="G895" s="5" t="n">
        <v>2023</v>
      </c>
      <c r="H895" s="5" t="inlineStr">
        <is>
          <t>Enero</t>
        </is>
      </c>
      <c r="I895" s="6" t="inlineStr">
        <is>
          <t>2023-1</t>
        </is>
      </c>
      <c r="J895" s="5" t="n">
        <v>20</v>
      </c>
      <c r="K895" s="10" t="n">
        <v>80.26584867075699</v>
      </c>
      <c r="L895" s="14" t="n">
        <v>1.3</v>
      </c>
      <c r="M895" s="14" t="n">
        <v>4.01329243353785</v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0</v>
      </c>
      <c r="R895" s="5" t="inlineStr">
        <is>
          <t>217-2023-01-31</t>
        </is>
      </c>
    </row>
    <row r="896" hidden="1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9" t="n">
        <v>44985</v>
      </c>
      <c r="G896" s="5" t="n">
        <v>2023</v>
      </c>
      <c r="H896" s="5" t="inlineStr">
        <is>
          <t>Febrero</t>
        </is>
      </c>
      <c r="I896" s="6" t="inlineStr">
        <is>
          <t>2023-1</t>
        </is>
      </c>
      <c r="J896" s="5" t="n">
        <v>20</v>
      </c>
      <c r="K896" s="9" t="n">
        <v>57.669322709163</v>
      </c>
      <c r="L896" s="14" t="n">
        <v>1.3</v>
      </c>
      <c r="M896" s="14" t="n">
        <v>2.88346613545815</v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0</v>
      </c>
      <c r="R896" s="5" t="inlineStr">
        <is>
          <t>217-2023-02-28</t>
        </is>
      </c>
    </row>
    <row r="897" hidden="1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9" t="n">
        <v>45016</v>
      </c>
      <c r="G897" s="5" t="n">
        <v>2023</v>
      </c>
      <c r="H897" s="5" t="inlineStr">
        <is>
          <t>Marzo</t>
        </is>
      </c>
      <c r="I897" s="6" t="inlineStr">
        <is>
          <t>2023-1</t>
        </is>
      </c>
      <c r="J897" s="5" t="n">
        <v>20</v>
      </c>
      <c r="K897" s="9" t="n">
        <v>53.684210526316</v>
      </c>
      <c r="L897" s="14" t="n">
        <v>1.3</v>
      </c>
      <c r="M897" s="14" t="n">
        <v>2.6842105263158</v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0</v>
      </c>
      <c r="R897" s="5" t="inlineStr">
        <is>
          <t>217-2023-03-31</t>
        </is>
      </c>
    </row>
    <row r="898" hidden="1">
      <c r="A898" s="28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9" t="n">
        <v>45046</v>
      </c>
      <c r="G898" s="5" t="n">
        <v>2023</v>
      </c>
      <c r="H898" s="5" t="inlineStr">
        <is>
          <t>Abril</t>
        </is>
      </c>
      <c r="I898" s="6" t="inlineStr">
        <is>
          <t>2023-1</t>
        </is>
      </c>
      <c r="J898" s="5" t="n">
        <v>20</v>
      </c>
      <c r="K898" s="9" t="n">
        <v>65.302491103203</v>
      </c>
      <c r="L898" s="14" t="n">
        <v>1.3</v>
      </c>
      <c r="M898" s="14" t="n">
        <v>3.26512455516015</v>
      </c>
      <c r="N898" s="5" t="inlineStr">
        <is>
          <t>%</t>
        </is>
      </c>
      <c r="O898" s="5" t="inlineStr">
        <is>
          <t>%</t>
        </is>
      </c>
      <c r="P898" s="15" t="n">
        <v>1</v>
      </c>
      <c r="Q898" s="15" t="n">
        <v>1</v>
      </c>
      <c r="R898" s="5" t="inlineStr">
        <is>
          <t>217-2023-04-30</t>
        </is>
      </c>
    </row>
    <row r="899" hidden="1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09" t="n">
        <v>45077</v>
      </c>
      <c r="G899" s="5" t="n">
        <v>2023</v>
      </c>
      <c r="H899" s="5" t="inlineStr">
        <is>
          <t>Mayo</t>
        </is>
      </c>
      <c r="I899" s="6" t="inlineStr">
        <is>
          <t>2023-1</t>
        </is>
      </c>
      <c r="J899" s="5" t="n">
        <v>20</v>
      </c>
      <c r="K899" s="9" t="n">
        <v>33.942687747036</v>
      </c>
      <c r="L899" s="14" t="n">
        <v>1.3</v>
      </c>
      <c r="M899" s="14" t="n">
        <v>1.6971343873518</v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0</v>
      </c>
      <c r="R899" s="5" t="inlineStr">
        <is>
          <t>217-2023-05-31</t>
        </is>
      </c>
    </row>
    <row r="900" hidden="1">
      <c r="A900" s="21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09" t="n">
        <v>45107</v>
      </c>
      <c r="G900" s="5" t="n">
        <v>2023</v>
      </c>
      <c r="H900" s="5" t="inlineStr">
        <is>
          <t>Junio</t>
        </is>
      </c>
      <c r="I900" s="6" t="inlineStr">
        <is>
          <t>2023-1</t>
        </is>
      </c>
      <c r="J900" s="5" t="n">
        <v>20</v>
      </c>
      <c r="K900" s="10" t="n">
        <v>31.380626400921</v>
      </c>
      <c r="L900" s="14" t="n">
        <v>1.3</v>
      </c>
      <c r="M900" s="14" t="n">
        <v>1.56903132004605</v>
      </c>
      <c r="N900" s="5" t="inlineStr">
        <is>
          <t>%</t>
        </is>
      </c>
      <c r="O900" s="5" t="inlineStr">
        <is>
          <t>%</t>
        </is>
      </c>
      <c r="P900" s="15" t="n">
        <v>0</v>
      </c>
      <c r="Q900" s="15" t="n">
        <v>0</v>
      </c>
      <c r="R900" s="5" t="inlineStr">
        <is>
          <t>217-2023-06-30</t>
        </is>
      </c>
    </row>
    <row r="901" hidden="1">
      <c r="A901" s="5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09" t="n">
        <v>45138</v>
      </c>
      <c r="G901" s="5" t="n">
        <v>2023</v>
      </c>
      <c r="H901" s="5" t="inlineStr">
        <is>
          <t>Julio</t>
        </is>
      </c>
      <c r="I901" s="6" t="inlineStr">
        <is>
          <t>2023-2</t>
        </is>
      </c>
      <c r="J901" s="5" t="n">
        <v>20</v>
      </c>
      <c r="K901" s="5" t="n">
        <v>24.49130938586327</v>
      </c>
      <c r="L901" s="14" t="n">
        <v>1.224565469293164</v>
      </c>
      <c r="M901" s="14" t="n">
        <v>1.224565469293164</v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 t="inlineStr">
        <is>
          <t>217-2023-07-31</t>
        </is>
      </c>
    </row>
    <row r="902" hidden="1">
      <c r="A902" s="21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09" t="n">
        <v>45169</v>
      </c>
      <c r="G902" s="5" t="n">
        <v>2023</v>
      </c>
      <c r="H902" s="5" t="inlineStr">
        <is>
          <t>Agosto</t>
        </is>
      </c>
      <c r="I902" s="6" t="inlineStr">
        <is>
          <t>2023-2</t>
        </is>
      </c>
      <c r="J902" s="5" t="n">
        <v>20</v>
      </c>
      <c r="K902" s="10" t="n">
        <v>26.432398380448</v>
      </c>
      <c r="L902" s="14" t="n">
        <v>1.3</v>
      </c>
      <c r="M902" s="14" t="n">
        <v>1.3216199190224</v>
      </c>
      <c r="N902" s="5" t="inlineStr">
        <is>
          <t>%</t>
        </is>
      </c>
      <c r="O902" s="5" t="inlineStr">
        <is>
          <t>%</t>
        </is>
      </c>
      <c r="P902" s="15" t="n">
        <v>0</v>
      </c>
      <c r="Q902" s="15" t="n">
        <v>0</v>
      </c>
      <c r="R902" s="5" t="inlineStr">
        <is>
          <t>217-2023-08-31</t>
        </is>
      </c>
    </row>
    <row r="903" hidden="1">
      <c r="A903" s="21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09" t="n">
        <v>45199</v>
      </c>
      <c r="G903" s="5" t="n">
        <v>2023</v>
      </c>
      <c r="H903" s="5" t="inlineStr">
        <is>
          <t>Septiembre</t>
        </is>
      </c>
      <c r="I903" s="6" t="inlineStr">
        <is>
          <t>2023-2</t>
        </is>
      </c>
      <c r="J903" s="5" t="n">
        <v>20</v>
      </c>
      <c r="K903" s="10" t="n">
        <v>24.292455241659</v>
      </c>
      <c r="L903" s="14" t="n">
        <v>1.21462276208295</v>
      </c>
      <c r="M903" s="14" t="n">
        <v>1.21462276208295</v>
      </c>
      <c r="N903" s="5" t="inlineStr">
        <is>
          <t>%</t>
        </is>
      </c>
      <c r="O903" s="5" t="inlineStr">
        <is>
          <t>%</t>
        </is>
      </c>
      <c r="P903" s="15" t="n">
        <v>0</v>
      </c>
      <c r="Q903" s="15" t="n">
        <v>0</v>
      </c>
      <c r="R903" s="5" t="inlineStr">
        <is>
          <t>217-2023-09-30</t>
        </is>
      </c>
    </row>
    <row r="904" hidden="1">
      <c r="A904" s="21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08" t="n">
        <v>45230</v>
      </c>
      <c r="G904" s="5" t="n">
        <v>2023</v>
      </c>
      <c r="H904" s="5" t="inlineStr">
        <is>
          <t>Octubre</t>
        </is>
      </c>
      <c r="I904" s="6" t="inlineStr">
        <is>
          <t>2023-2</t>
        </is>
      </c>
      <c r="J904" s="5" t="n">
        <v>20</v>
      </c>
      <c r="K904" s="9" t="n">
        <v>16.28971459343</v>
      </c>
      <c r="L904" s="14" t="n">
        <v>0.8144857296714999</v>
      </c>
      <c r="M904" s="14" t="n">
        <v>0.8144857296714999</v>
      </c>
      <c r="N904" s="5" t="inlineStr">
        <is>
          <t>%</t>
        </is>
      </c>
      <c r="O904" s="5" t="inlineStr">
        <is>
          <t>%</t>
        </is>
      </c>
      <c r="P904" s="15" t="n">
        <v>0</v>
      </c>
      <c r="Q904" s="15" t="n">
        <v>0</v>
      </c>
      <c r="R904" s="5" t="inlineStr">
        <is>
          <t>217-2023-10-31</t>
        </is>
      </c>
    </row>
    <row r="905" hidden="1">
      <c r="A905" s="26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09" t="n">
        <v>45260</v>
      </c>
      <c r="G905" s="5" t="n">
        <v>2023</v>
      </c>
      <c r="H905" s="5" t="inlineStr">
        <is>
          <t>Noviembre</t>
        </is>
      </c>
      <c r="I905" s="6" t="inlineStr">
        <is>
          <t>2023-2</t>
        </is>
      </c>
      <c r="J905" s="5" t="n">
        <v>20</v>
      </c>
      <c r="K905" s="9" t="n">
        <v>12.737618000776</v>
      </c>
      <c r="L905" s="14" t="n">
        <v>0.6368809000387999</v>
      </c>
      <c r="M905" s="14" t="n">
        <v>0.6368809000387999</v>
      </c>
      <c r="N905" s="5" t="inlineStr">
        <is>
          <t>%</t>
        </is>
      </c>
      <c r="O905" s="5" t="inlineStr">
        <is>
          <t>%</t>
        </is>
      </c>
      <c r="P905" s="15" t="n">
        <v>0</v>
      </c>
      <c r="Q905" s="15" t="n">
        <v>0</v>
      </c>
      <c r="R905" s="5" t="inlineStr">
        <is>
          <t>217-2023-11-30</t>
        </is>
      </c>
    </row>
    <row r="906" hidden="1">
      <c r="A906" s="5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09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20</v>
      </c>
      <c r="K906" s="5" t="n">
        <v>26.540319967693</v>
      </c>
      <c r="L906" s="14" t="n">
        <v>1.3</v>
      </c>
      <c r="M906" s="14" t="n">
        <v>1.32701599838465</v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 t="inlineStr">
        <is>
          <t>217-2023-12-31</t>
        </is>
      </c>
    </row>
    <row r="907" hidden="1">
      <c r="A907" s="21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09" t="n">
        <v>45322</v>
      </c>
      <c r="G907" s="5" t="n">
        <v>2024</v>
      </c>
      <c r="H907" s="5" t="inlineStr">
        <is>
          <t>Enero</t>
        </is>
      </c>
      <c r="I907" s="6" t="inlineStr">
        <is>
          <t>2024-1</t>
        </is>
      </c>
      <c r="J907" s="5" t="n">
        <v>20</v>
      </c>
      <c r="K907" s="10" t="n">
        <v>53.86</v>
      </c>
      <c r="L907" s="14" t="n">
        <v>1.3</v>
      </c>
      <c r="M907" s="14" t="n">
        <v>2.693</v>
      </c>
      <c r="N907" s="5" t="inlineStr">
        <is>
          <t>%</t>
        </is>
      </c>
      <c r="O907" s="5" t="inlineStr">
        <is>
          <t>%</t>
        </is>
      </c>
      <c r="P907" s="15" t="n">
        <v>0</v>
      </c>
      <c r="Q907" s="15" t="n">
        <v>0</v>
      </c>
      <c r="R907" s="5" t="inlineStr">
        <is>
          <t>217-2024-01-31</t>
        </is>
      </c>
    </row>
    <row r="908" hidden="1">
      <c r="A908" s="21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08" t="n">
        <v>45351</v>
      </c>
      <c r="G908" s="5" t="n">
        <v>2024</v>
      </c>
      <c r="H908" s="5" t="inlineStr">
        <is>
          <t>Febrero</t>
        </is>
      </c>
      <c r="I908" s="6" t="inlineStr">
        <is>
          <t>2024-1</t>
        </is>
      </c>
      <c r="J908" s="5" t="n">
        <v>20</v>
      </c>
      <c r="K908" s="9" t="n">
        <v>18.72</v>
      </c>
      <c r="L908" s="14" t="n">
        <v>0.9359999999999999</v>
      </c>
      <c r="M908" s="14" t="n">
        <v>0.9359999999999999</v>
      </c>
      <c r="N908" s="5" t="inlineStr">
        <is>
          <t>%</t>
        </is>
      </c>
      <c r="O908" s="5" t="inlineStr">
        <is>
          <t>%</t>
        </is>
      </c>
      <c r="P908" s="15" t="n">
        <v>0</v>
      </c>
      <c r="Q908" s="15" t="n">
        <v>1</v>
      </c>
      <c r="R908" s="5" t="inlineStr">
        <is>
          <t>217-2024-02-29</t>
        </is>
      </c>
    </row>
    <row r="909" hidden="1">
      <c r="A909" s="26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09" t="n">
        <v>45382</v>
      </c>
      <c r="G909" s="5" t="n">
        <v>2024</v>
      </c>
      <c r="H909" s="5" t="inlineStr">
        <is>
          <t>Marzo</t>
        </is>
      </c>
      <c r="I909" s="6" t="inlineStr">
        <is>
          <t>2024-1</t>
        </is>
      </c>
      <c r="J909" s="5" t="n">
        <v>20</v>
      </c>
      <c r="K909" s="9" t="n">
        <v>18.39</v>
      </c>
      <c r="L909" s="14" t="n">
        <v>0.9195</v>
      </c>
      <c r="M909" s="14" t="n">
        <v>0.9195</v>
      </c>
      <c r="N909" s="5" t="inlineStr">
        <is>
          <t>%</t>
        </is>
      </c>
      <c r="O909" s="5" t="inlineStr">
        <is>
          <t>%</t>
        </is>
      </c>
      <c r="P909" s="15" t="n">
        <v>0</v>
      </c>
      <c r="Q909" s="15" t="n">
        <v>1</v>
      </c>
      <c r="R909" s="5" t="inlineStr">
        <is>
          <t>217-2024-03-31</t>
        </is>
      </c>
    </row>
    <row r="910" hidden="1">
      <c r="A910" s="5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09" t="n">
        <v>45412</v>
      </c>
      <c r="G910" s="5" t="n">
        <v>2024</v>
      </c>
      <c r="H910" s="5" t="inlineStr">
        <is>
          <t>Abril</t>
        </is>
      </c>
      <c r="I910" s="6" t="inlineStr">
        <is>
          <t>2024-1</t>
        </is>
      </c>
      <c r="J910" s="5" t="n">
        <v>20</v>
      </c>
      <c r="K910" s="5" t="n">
        <v>18.6</v>
      </c>
      <c r="L910" s="14" t="n">
        <v>0.93</v>
      </c>
      <c r="M910" s="14" t="n">
        <v>0.93</v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1</v>
      </c>
      <c r="R910" s="5" t="inlineStr">
        <is>
          <t>217-2024-04-30</t>
        </is>
      </c>
    </row>
    <row r="911" hidden="1">
      <c r="A911" s="21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09" t="n">
        <v>45443</v>
      </c>
      <c r="G911" s="5" t="n">
        <v>2024</v>
      </c>
      <c r="H911" s="5" t="inlineStr">
        <is>
          <t>Mayo</t>
        </is>
      </c>
      <c r="I911" s="6" t="inlineStr">
        <is>
          <t>2024-1</t>
        </is>
      </c>
      <c r="J911" s="5" t="n">
        <v>20</v>
      </c>
      <c r="K911" s="10" t="n">
        <v>28.11</v>
      </c>
      <c r="L911" s="14" t="n">
        <v>1.3</v>
      </c>
      <c r="M911" s="14" t="n">
        <v>1.4055</v>
      </c>
      <c r="N911" s="5" t="inlineStr">
        <is>
          <t>%</t>
        </is>
      </c>
      <c r="O911" s="5" t="inlineStr">
        <is>
          <t>%</t>
        </is>
      </c>
      <c r="P911" s="15" t="n">
        <v>0</v>
      </c>
      <c r="Q911" s="15" t="n">
        <v>1</v>
      </c>
      <c r="R911" s="5" t="inlineStr">
        <is>
          <t>217-2024-05-31</t>
        </is>
      </c>
    </row>
    <row r="912" hidden="1">
      <c r="A912" s="21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08" t="n">
        <v>45473</v>
      </c>
      <c r="G912" s="5" t="n">
        <v>2024</v>
      </c>
      <c r="H912" s="5" t="inlineStr">
        <is>
          <t>Junio</t>
        </is>
      </c>
      <c r="I912" s="6" t="inlineStr">
        <is>
          <t>2024-1</t>
        </is>
      </c>
      <c r="J912" s="5" t="n">
        <v>20</v>
      </c>
      <c r="K912" s="9" t="n">
        <v>17.23</v>
      </c>
      <c r="L912" s="14" t="n">
        <v>0.8615</v>
      </c>
      <c r="M912" s="14" t="n">
        <v>0.8615</v>
      </c>
      <c r="N912" s="5" t="inlineStr">
        <is>
          <t>%</t>
        </is>
      </c>
      <c r="O912" s="5" t="inlineStr">
        <is>
          <t>%</t>
        </is>
      </c>
      <c r="P912" s="15" t="n">
        <v>0</v>
      </c>
      <c r="Q912" s="15" t="n">
        <v>1</v>
      </c>
      <c r="R912" s="5" t="inlineStr">
        <is>
          <t>217-2024-06-30</t>
        </is>
      </c>
    </row>
    <row r="913" hidden="1">
      <c r="A913" s="26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09" t="n">
        <v>45504</v>
      </c>
      <c r="G913" s="5" t="n">
        <v>2024</v>
      </c>
      <c r="H913" s="5" t="inlineStr">
        <is>
          <t>Julio</t>
        </is>
      </c>
      <c r="I913" s="6" t="inlineStr">
        <is>
          <t>2024-2</t>
        </is>
      </c>
      <c r="J913" s="5" t="n">
        <v>20</v>
      </c>
      <c r="K913" s="9" t="n">
        <v>27.77</v>
      </c>
      <c r="L913" s="14" t="n">
        <v>1.3</v>
      </c>
      <c r="M913" s="14" t="n">
        <v>1.3885</v>
      </c>
      <c r="N913" s="5" t="inlineStr">
        <is>
          <t>%</t>
        </is>
      </c>
      <c r="O913" s="5" t="inlineStr">
        <is>
          <t>%</t>
        </is>
      </c>
      <c r="P913" s="15" t="n">
        <v>0</v>
      </c>
      <c r="Q913" s="15" t="n">
        <v>1</v>
      </c>
      <c r="R913" s="5" t="inlineStr">
        <is>
          <t>217-2024-07-31</t>
        </is>
      </c>
    </row>
    <row r="914" hidden="1">
      <c r="A914" s="5" t="n">
        <v>217</v>
      </c>
      <c r="B914" s="5" t="inlineStr">
        <is>
          <t>Aprovechamiento de Residuos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Positivo</t>
        </is>
      </c>
      <c r="F914" s="109" t="n">
        <v>45535</v>
      </c>
      <c r="G914" s="5" t="n">
        <v>2024</v>
      </c>
      <c r="H914" s="5" t="inlineStr">
        <is>
          <t>Agosto</t>
        </is>
      </c>
      <c r="I914" s="6" t="inlineStr">
        <is>
          <t>2024-2</t>
        </is>
      </c>
      <c r="J914" s="5" t="n">
        <v>20</v>
      </c>
      <c r="K914" s="5" t="n">
        <v>23.96</v>
      </c>
      <c r="L914" s="14" t="n">
        <v>1.198</v>
      </c>
      <c r="M914" s="14" t="n">
        <v>1.198</v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1</v>
      </c>
      <c r="R914" s="5" t="inlineStr">
        <is>
          <t>217-2024-08-31</t>
        </is>
      </c>
    </row>
    <row r="915" hidden="1">
      <c r="A915" s="21" t="n">
        <v>217</v>
      </c>
      <c r="B915" s="5" t="inlineStr">
        <is>
          <t>Aprovechamiento de Residuos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Positivo</t>
        </is>
      </c>
      <c r="F915" s="109" t="n">
        <v>45565</v>
      </c>
      <c r="G915" s="5" t="n">
        <v>2024</v>
      </c>
      <c r="H915" s="5" t="inlineStr">
        <is>
          <t>Septiembre</t>
        </is>
      </c>
      <c r="I915" s="6" t="inlineStr">
        <is>
          <t>2024-2</t>
        </is>
      </c>
      <c r="J915" s="5" t="n">
        <v>20</v>
      </c>
      <c r="K915" s="10" t="n">
        <v>16.13</v>
      </c>
      <c r="L915" s="14" t="n">
        <v>0.8065</v>
      </c>
      <c r="M915" s="14" t="n">
        <v>0.8065</v>
      </c>
      <c r="N915" s="5" t="inlineStr">
        <is>
          <t>%</t>
        </is>
      </c>
      <c r="O915" s="5" t="inlineStr">
        <is>
          <t>%</t>
        </is>
      </c>
      <c r="P915" s="15" t="n">
        <v>0</v>
      </c>
      <c r="Q915" s="15" t="n">
        <v>1</v>
      </c>
      <c r="R915" s="5" t="inlineStr">
        <is>
          <t>217-2024-09-30</t>
        </is>
      </c>
    </row>
    <row r="916" hidden="1">
      <c r="A916" s="21" t="n">
        <v>217</v>
      </c>
      <c r="B916" s="5" t="inlineStr">
        <is>
          <t>Aprovechamiento de Residuos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Positivo</t>
        </is>
      </c>
      <c r="F916" s="109" t="n">
        <v>45596</v>
      </c>
      <c r="G916" s="5" t="n">
        <v>2024</v>
      </c>
      <c r="H916" s="5" t="inlineStr">
        <is>
          <t>Octubre</t>
        </is>
      </c>
      <c r="I916" s="6" t="inlineStr">
        <is>
          <t>2024-2</t>
        </is>
      </c>
      <c r="J916" s="5" t="n">
        <v>20</v>
      </c>
      <c r="K916" s="9" t="n">
        <v>34.47</v>
      </c>
      <c r="L916" s="14" t="n">
        <v>1.3</v>
      </c>
      <c r="M916" s="14" t="n">
        <v>1.7235</v>
      </c>
      <c r="N916" s="5" t="inlineStr">
        <is>
          <t>%</t>
        </is>
      </c>
      <c r="O916" s="5" t="inlineStr">
        <is>
          <t>%</t>
        </is>
      </c>
      <c r="P916" s="15" t="n">
        <v>0</v>
      </c>
      <c r="Q916" s="15" t="n">
        <v>1</v>
      </c>
      <c r="R916" s="5" t="inlineStr">
        <is>
          <t>217-2024-10-31</t>
        </is>
      </c>
    </row>
    <row r="917" hidden="1">
      <c r="A917" s="21" t="n">
        <v>217</v>
      </c>
      <c r="B917" s="5" t="inlineStr">
        <is>
          <t>Aprovechamiento de Residuos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Positivo</t>
        </is>
      </c>
      <c r="F917" s="109" t="n">
        <v>45626</v>
      </c>
      <c r="G917" s="5" t="n">
        <v>2024</v>
      </c>
      <c r="H917" s="5" t="inlineStr">
        <is>
          <t>Noviembre</t>
        </is>
      </c>
      <c r="I917" s="6" t="inlineStr">
        <is>
          <t>2024-2</t>
        </is>
      </c>
      <c r="J917" s="5" t="n">
        <v>20</v>
      </c>
      <c r="K917" s="10" t="n">
        <v>19.61275051088461</v>
      </c>
      <c r="L917" s="14" t="n">
        <v>0.9806375255442304</v>
      </c>
      <c r="M917" s="14" t="n">
        <v>0.9806375255442304</v>
      </c>
      <c r="N917" s="5" t="inlineStr">
        <is>
          <t>%</t>
        </is>
      </c>
      <c r="O917" s="5" t="inlineStr">
        <is>
          <t>%</t>
        </is>
      </c>
      <c r="P917" s="15" t="n">
        <v>0</v>
      </c>
      <c r="Q917" s="15" t="n">
        <v>1</v>
      </c>
      <c r="R917" s="5" t="inlineStr">
        <is>
          <t>217-2024-11-30</t>
        </is>
      </c>
    </row>
    <row r="918" hidden="1">
      <c r="A918" s="21" t="n">
        <v>217</v>
      </c>
      <c r="B918" s="5" t="inlineStr">
        <is>
          <t>Aprovechamiento de Residuos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Positivo</t>
        </is>
      </c>
      <c r="F918" s="109" t="n">
        <v>45657</v>
      </c>
      <c r="G918" s="5" t="n">
        <v>2024</v>
      </c>
      <c r="H918" s="5" t="inlineStr">
        <is>
          <t>Diciembre</t>
        </is>
      </c>
      <c r="I918" s="6" t="inlineStr">
        <is>
          <t>2024-2</t>
        </is>
      </c>
      <c r="J918" s="5" t="n">
        <v>20</v>
      </c>
      <c r="K918" s="9" t="n">
        <v>27.05</v>
      </c>
      <c r="L918" s="14" t="n">
        <v>1.3</v>
      </c>
      <c r="M918" s="14" t="n">
        <v>1.3525</v>
      </c>
      <c r="N918" s="5" t="inlineStr">
        <is>
          <t>%</t>
        </is>
      </c>
      <c r="O918" s="5" t="inlineStr">
        <is>
          <t>%</t>
        </is>
      </c>
      <c r="P918" s="15" t="n">
        <v>0</v>
      </c>
      <c r="Q918" s="15" t="n">
        <v>1</v>
      </c>
      <c r="R918" s="5" t="inlineStr">
        <is>
          <t>217-2024-12-31</t>
        </is>
      </c>
    </row>
    <row r="919" hidden="1">
      <c r="A919" s="28" t="n">
        <v>217</v>
      </c>
      <c r="B919" s="5" t="inlineStr">
        <is>
          <t>Aprovechamiento de Residuos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Positivo</t>
        </is>
      </c>
      <c r="F919" s="109" t="n">
        <v>45688</v>
      </c>
      <c r="G919" s="5" t="n">
        <v>2025</v>
      </c>
      <c r="H919" s="5" t="inlineStr">
        <is>
          <t>Enero</t>
        </is>
      </c>
      <c r="I919" s="6" t="inlineStr">
        <is>
          <t>2025-1</t>
        </is>
      </c>
      <c r="J919" s="5" t="n">
        <v>20</v>
      </c>
      <c r="K919" s="9" t="n">
        <v>139.19</v>
      </c>
      <c r="L919" s="14" t="n">
        <v>1.3</v>
      </c>
      <c r="M919" s="14" t="n">
        <v>6.9595</v>
      </c>
      <c r="N919" s="5" t="inlineStr">
        <is>
          <t>%</t>
        </is>
      </c>
      <c r="O919" s="5" t="inlineStr">
        <is>
          <t>%</t>
        </is>
      </c>
      <c r="P919" s="15" t="n">
        <v>0</v>
      </c>
      <c r="Q919" s="15" t="n">
        <v>0</v>
      </c>
      <c r="R919" s="5" t="inlineStr">
        <is>
          <t>217-2025-01-31</t>
        </is>
      </c>
    </row>
    <row r="920" hidden="1">
      <c r="A920" s="26" t="n">
        <v>217</v>
      </c>
      <c r="B920" s="5" t="inlineStr">
        <is>
          <t>Aprovechamiento de Residuos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Positivo</t>
        </is>
      </c>
      <c r="F920" s="109" t="n">
        <v>45716</v>
      </c>
      <c r="G920" s="5" t="n">
        <v>2025</v>
      </c>
      <c r="H920" s="5" t="inlineStr">
        <is>
          <t>Febrero</t>
        </is>
      </c>
      <c r="I920" s="6" t="inlineStr">
        <is>
          <t>2025-1</t>
        </is>
      </c>
      <c r="J920" s="5" t="n">
        <v>20</v>
      </c>
      <c r="K920" s="9" t="n">
        <v>42.89</v>
      </c>
      <c r="L920" s="14" t="n">
        <v>1.3</v>
      </c>
      <c r="M920" s="14" t="n">
        <v>2.1445</v>
      </c>
      <c r="N920" s="5" t="inlineStr">
        <is>
          <t>%</t>
        </is>
      </c>
      <c r="O920" s="5" t="inlineStr">
        <is>
          <t>%</t>
        </is>
      </c>
      <c r="P920" s="15" t="n">
        <v>0</v>
      </c>
      <c r="Q920" s="15" t="n">
        <v>1</v>
      </c>
      <c r="R920" s="5" t="inlineStr">
        <is>
          <t>217-2025-02-28</t>
        </is>
      </c>
    </row>
    <row r="921" hidden="1">
      <c r="A921" s="21" t="n">
        <v>217</v>
      </c>
      <c r="B921" s="5" t="inlineStr">
        <is>
          <t>Aprovechamiento de Residuos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Positivo</t>
        </is>
      </c>
      <c r="F921" s="109" t="n">
        <v>45747</v>
      </c>
      <c r="G921" s="5" t="n">
        <v>2025</v>
      </c>
      <c r="H921" s="5" t="inlineStr">
        <is>
          <t>Marzo</t>
        </is>
      </c>
      <c r="I921" s="6" t="inlineStr">
        <is>
          <t>2025-1</t>
        </is>
      </c>
      <c r="J921" s="5" t="n">
        <v>20</v>
      </c>
      <c r="K921" s="10" t="n">
        <v>27.57</v>
      </c>
      <c r="L921" s="14" t="n">
        <v>1.3</v>
      </c>
      <c r="M921" s="14" t="n">
        <v>1.3785</v>
      </c>
      <c r="N921" s="5" t="inlineStr">
        <is>
          <t>%</t>
        </is>
      </c>
      <c r="O921" s="5" t="inlineStr">
        <is>
          <t>%</t>
        </is>
      </c>
      <c r="P921" s="15" t="n">
        <v>0</v>
      </c>
      <c r="Q921" s="15" t="n">
        <v>1</v>
      </c>
      <c r="R921" s="5" t="inlineStr">
        <is>
          <t>217-2025-03-31</t>
        </is>
      </c>
    </row>
    <row r="922" hidden="1">
      <c r="A922" s="5" t="n">
        <v>217</v>
      </c>
      <c r="B922" s="5" t="inlineStr">
        <is>
          <t>Aprovechamiento de Residuos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Positivo</t>
        </is>
      </c>
      <c r="F922" s="109" t="n">
        <v>45777</v>
      </c>
      <c r="G922" s="5" t="n">
        <v>2025</v>
      </c>
      <c r="H922" s="5" t="inlineStr">
        <is>
          <t>Abril</t>
        </is>
      </c>
      <c r="I922" s="6" t="inlineStr">
        <is>
          <t>2025-1</t>
        </is>
      </c>
      <c r="J922" s="5" t="n">
        <v>20</v>
      </c>
      <c r="K922" s="5" t="n">
        <v>45.35</v>
      </c>
      <c r="L922" s="14" t="n">
        <v>1.3</v>
      </c>
      <c r="M922" s="14" t="n">
        <v>2.2675</v>
      </c>
      <c r="N922" s="5" t="inlineStr">
        <is>
          <t>%</t>
        </is>
      </c>
      <c r="O922" s="5" t="inlineStr">
        <is>
          <t>%</t>
        </is>
      </c>
      <c r="P922" s="5" t="n">
        <v>0</v>
      </c>
      <c r="Q922" s="5" t="n">
        <v>1</v>
      </c>
      <c r="R922" s="5" t="inlineStr">
        <is>
          <t>217-2025-04-30</t>
        </is>
      </c>
    </row>
    <row r="923" hidden="1">
      <c r="A923" s="21" t="n">
        <v>217</v>
      </c>
      <c r="B923" s="5" t="inlineStr">
        <is>
          <t>Aprovechamiento de Residuos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Positivo</t>
        </is>
      </c>
      <c r="F923" s="109" t="n">
        <v>45808</v>
      </c>
      <c r="G923" s="5" t="n">
        <v>2025</v>
      </c>
      <c r="H923" s="5" t="inlineStr">
        <is>
          <t>Mayo</t>
        </is>
      </c>
      <c r="I923" s="6" t="inlineStr">
        <is>
          <t>2025-1</t>
        </is>
      </c>
      <c r="J923" s="5" t="n">
        <v>20</v>
      </c>
      <c r="K923" s="10" t="n">
        <v>29.8</v>
      </c>
      <c r="L923" s="14" t="n">
        <v>1.3</v>
      </c>
      <c r="M923" s="14" t="n">
        <v>1.49</v>
      </c>
      <c r="N923" s="5" t="inlineStr">
        <is>
          <t>%</t>
        </is>
      </c>
      <c r="O923" s="5" t="inlineStr">
        <is>
          <t>%</t>
        </is>
      </c>
      <c r="P923" s="15" t="n">
        <v>0</v>
      </c>
      <c r="Q923" s="15" t="n">
        <v>1</v>
      </c>
      <c r="R923" s="5" t="inlineStr">
        <is>
          <t>217-2025-05-31</t>
        </is>
      </c>
    </row>
    <row r="924" hidden="1">
      <c r="A924" s="21" t="n">
        <v>217</v>
      </c>
      <c r="B924" s="5" t="inlineStr">
        <is>
          <t>Aprovechamiento de Residuos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Positivo</t>
        </is>
      </c>
      <c r="F924" s="109" t="n">
        <v>45838</v>
      </c>
      <c r="G924" s="5" t="n">
        <v>2025</v>
      </c>
      <c r="H924" s="5" t="inlineStr">
        <is>
          <t>Junio</t>
        </is>
      </c>
      <c r="I924" s="6" t="inlineStr">
        <is>
          <t>2025-1</t>
        </is>
      </c>
      <c r="J924" s="5" t="n">
        <v>20</v>
      </c>
      <c r="K924" s="10" t="n">
        <v>48.94</v>
      </c>
      <c r="L924" s="14" t="n">
        <v>1.3</v>
      </c>
      <c r="M924" s="14" t="n">
        <v>2.447</v>
      </c>
      <c r="N924" s="5" t="inlineStr">
        <is>
          <t>%</t>
        </is>
      </c>
      <c r="O924" s="5" t="inlineStr">
        <is>
          <t>%</t>
        </is>
      </c>
      <c r="P924" s="15" t="n">
        <v>0</v>
      </c>
      <c r="Q924" s="15" t="n">
        <v>1</v>
      </c>
      <c r="R924" s="5" t="inlineStr">
        <is>
          <t>217-2025-06-30</t>
        </is>
      </c>
    </row>
    <row r="925" hidden="1">
      <c r="A925" s="21" t="n">
        <v>217</v>
      </c>
      <c r="B925" s="5" t="inlineStr">
        <is>
          <t>Aprovechamiento de Residuos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Positivo</t>
        </is>
      </c>
      <c r="F925" s="108" t="n">
        <v>45869</v>
      </c>
      <c r="G925" s="5" t="n">
        <v>2025</v>
      </c>
      <c r="H925" s="5" t="inlineStr">
        <is>
          <t>Julio</t>
        </is>
      </c>
      <c r="I925" s="6" t="inlineStr">
        <is>
          <t>2025-2</t>
        </is>
      </c>
      <c r="J925" s="5" t="n">
        <v>20</v>
      </c>
      <c r="K925" s="9" t="n">
        <v>50.5</v>
      </c>
      <c r="L925" s="14" t="n">
        <v>1.3</v>
      </c>
      <c r="M925" s="14" t="n">
        <v>2.525</v>
      </c>
      <c r="N925" s="5" t="inlineStr">
        <is>
          <t>%</t>
        </is>
      </c>
      <c r="O925" s="5" t="inlineStr">
        <is>
          <t>%</t>
        </is>
      </c>
      <c r="P925" s="15" t="n">
        <v>0</v>
      </c>
      <c r="Q925" s="15" t="n">
        <v>0</v>
      </c>
      <c r="R925" s="5" t="inlineStr">
        <is>
          <t>217-2025-07-31</t>
        </is>
      </c>
    </row>
    <row r="926" hidden="1">
      <c r="A926" s="26" t="n">
        <v>217</v>
      </c>
      <c r="B926" s="5" t="inlineStr">
        <is>
          <t>Aprovechamiento de Residuos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Positivo</t>
        </is>
      </c>
      <c r="F926" s="109" t="n">
        <v>45900</v>
      </c>
      <c r="G926" s="5" t="n">
        <v>2025</v>
      </c>
      <c r="H926" s="5" t="inlineStr">
        <is>
          <t>Agosto</t>
        </is>
      </c>
      <c r="I926" s="6" t="inlineStr">
        <is>
          <t>2025-2</t>
        </is>
      </c>
      <c r="J926" s="5" t="n">
        <v>20</v>
      </c>
      <c r="K926" s="9" t="n">
        <v>27.45</v>
      </c>
      <c r="L926" s="14" t="n">
        <v>1.3</v>
      </c>
      <c r="M926" s="14" t="n">
        <v>1.3725</v>
      </c>
      <c r="N926" s="5" t="inlineStr">
        <is>
          <t>%</t>
        </is>
      </c>
      <c r="O926" s="5" t="inlineStr">
        <is>
          <t>%</t>
        </is>
      </c>
      <c r="P926" s="15" t="n">
        <v>0</v>
      </c>
      <c r="Q926" s="15" t="n">
        <v>0</v>
      </c>
      <c r="R926" s="5" t="inlineStr">
        <is>
          <t>217-2025-08-31</t>
        </is>
      </c>
    </row>
    <row r="927" hidden="1">
      <c r="A927" s="5" t="n">
        <v>217</v>
      </c>
      <c r="B927" s="5" t="inlineStr">
        <is>
          <t>Aprovechamiento de Residuos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Positivo</t>
        </is>
      </c>
      <c r="F927" s="109" t="n">
        <v>45930</v>
      </c>
      <c r="G927" s="5" t="n">
        <v>2025</v>
      </c>
      <c r="H927" s="5" t="inlineStr">
        <is>
          <t>Septiembre</t>
        </is>
      </c>
      <c r="I927" s="6" t="inlineStr">
        <is>
          <t>2025-2</t>
        </is>
      </c>
      <c r="J927" s="5" t="n">
        <v>20</v>
      </c>
      <c r="K927" s="5" t="n">
        <v>39.5</v>
      </c>
      <c r="L927" s="14" t="n">
        <v>1.3</v>
      </c>
      <c r="M927" s="14" t="n">
        <v>1.975</v>
      </c>
      <c r="N927" s="5" t="inlineStr">
        <is>
          <t>%</t>
        </is>
      </c>
      <c r="O927" s="5" t="inlineStr">
        <is>
          <t>%</t>
        </is>
      </c>
      <c r="P927" s="5" t="n">
        <v>0</v>
      </c>
      <c r="Q927" s="5" t="n">
        <v>0</v>
      </c>
      <c r="R927" s="5" t="inlineStr">
        <is>
          <t>217-2025-09-30</t>
        </is>
      </c>
    </row>
    <row r="928" hidden="1">
      <c r="A928" s="21" t="n">
        <v>217</v>
      </c>
      <c r="B928" s="5" t="inlineStr">
        <is>
          <t>Aprovechamiento de Residuos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Positivo</t>
        </is>
      </c>
      <c r="F928" s="109" t="n">
        <v>45961</v>
      </c>
      <c r="G928" s="5" t="n">
        <v>2025</v>
      </c>
      <c r="H928" s="5" t="inlineStr">
        <is>
          <t>Octubre</t>
        </is>
      </c>
      <c r="I928" s="6" t="inlineStr">
        <is>
          <t>2025-2</t>
        </is>
      </c>
      <c r="J928" s="5" t="n">
        <v>20</v>
      </c>
      <c r="K928" s="10" t="n">
        <v>148.5</v>
      </c>
      <c r="L928" s="14" t="n">
        <v>1.3</v>
      </c>
      <c r="M928" s="14" t="n">
        <v>7.425</v>
      </c>
      <c r="N928" s="5" t="inlineStr">
        <is>
          <t>%</t>
        </is>
      </c>
      <c r="O928" s="5" t="inlineStr">
        <is>
          <t>%</t>
        </is>
      </c>
      <c r="P928" s="15" t="n">
        <v>0</v>
      </c>
      <c r="Q928" s="15" t="n">
        <v>0</v>
      </c>
      <c r="R928" s="5" t="inlineStr">
        <is>
          <t>217-2025-10-31</t>
        </is>
      </c>
    </row>
    <row r="929" hidden="1">
      <c r="A929" s="21" t="n">
        <v>217</v>
      </c>
      <c r="B929" s="5" t="inlineStr">
        <is>
          <t>Aprovechamiento de Residuos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Positivo</t>
        </is>
      </c>
      <c r="F929" s="108" t="n">
        <v>45991</v>
      </c>
      <c r="G929" s="5" t="n">
        <v>2025</v>
      </c>
      <c r="H929" s="5" t="inlineStr">
        <is>
          <t>Noviembre</t>
        </is>
      </c>
      <c r="I929" s="6" t="inlineStr">
        <is>
          <t>2025-2</t>
        </is>
      </c>
      <c r="J929" s="5" t="n">
        <v>20</v>
      </c>
      <c r="K929" s="9" t="n">
        <v>229.04</v>
      </c>
      <c r="L929" s="14" t="n">
        <v>1.3</v>
      </c>
      <c r="M929" s="14" t="n">
        <v>11.452</v>
      </c>
      <c r="N929" s="5" t="inlineStr">
        <is>
          <t>%</t>
        </is>
      </c>
      <c r="O929" s="5" t="inlineStr">
        <is>
          <t>%</t>
        </is>
      </c>
      <c r="P929" s="15" t="n">
        <v>0</v>
      </c>
      <c r="Q929" s="15" t="n">
        <v>0</v>
      </c>
      <c r="R929" s="5" t="inlineStr">
        <is>
          <t>217-2025-11-30</t>
        </is>
      </c>
    </row>
    <row r="930" hidden="1">
      <c r="A930" s="26" t="n">
        <v>217</v>
      </c>
      <c r="B930" s="5" t="inlineStr">
        <is>
          <t>Aprovechamiento de Residuos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Positivo</t>
        </is>
      </c>
      <c r="F930" s="109" t="n">
        <v>46022</v>
      </c>
      <c r="G930" s="5" t="n">
        <v>2025</v>
      </c>
      <c r="H930" s="5" t="inlineStr">
        <is>
          <t>Diciembre</t>
        </is>
      </c>
      <c r="I930" s="6" t="inlineStr">
        <is>
          <t>2025-2</t>
        </is>
      </c>
      <c r="J930" s="5" t="n">
        <v>20</v>
      </c>
      <c r="K930" s="9" t="n">
        <v>48.34</v>
      </c>
      <c r="L930" s="14" t="n">
        <v>1.3</v>
      </c>
      <c r="M930" s="14" t="n">
        <v>2.417</v>
      </c>
      <c r="N930" s="5" t="inlineStr">
        <is>
          <t>%</t>
        </is>
      </c>
      <c r="O930" s="5" t="inlineStr">
        <is>
          <t>%</t>
        </is>
      </c>
      <c r="P930" s="15" t="n">
        <v>0</v>
      </c>
      <c r="Q930" s="15" t="n">
        <v>0</v>
      </c>
      <c r="R930" s="5" t="inlineStr">
        <is>
          <t>217-2025-12-31</t>
        </is>
      </c>
    </row>
    <row r="931" hidden="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9" t="n">
        <v>44592</v>
      </c>
      <c r="G931" s="5" t="n">
        <v>2022</v>
      </c>
      <c r="H931" s="5" t="inlineStr">
        <is>
          <t>Enero</t>
        </is>
      </c>
      <c r="I931" s="6" t="inlineStr">
        <is>
          <t>2022-1</t>
        </is>
      </c>
      <c r="J931" s="5" t="n">
        <v>172000</v>
      </c>
      <c r="K931" s="5" t="n">
        <v>77569</v>
      </c>
      <c r="L931" s="14" t="n">
        <v>1</v>
      </c>
      <c r="M931" s="14" t="n">
        <v>2.217380654642963</v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0</v>
      </c>
      <c r="R931" s="5" t="inlineStr">
        <is>
          <t>218-2022-01-31</t>
        </is>
      </c>
    </row>
    <row r="932" hidden="1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9" t="n">
        <v>44620</v>
      </c>
      <c r="G932" s="5" t="n">
        <v>2022</v>
      </c>
      <c r="H932" s="5" t="inlineStr">
        <is>
          <t>Febrero</t>
        </is>
      </c>
      <c r="I932" s="6" t="inlineStr">
        <is>
          <t>2022-1</t>
        </is>
      </c>
      <c r="J932" s="5" t="n">
        <v>172000</v>
      </c>
      <c r="K932" s="10" t="n">
        <v>88546</v>
      </c>
      <c r="L932" s="14" t="n">
        <v>1</v>
      </c>
      <c r="M932" s="14" t="n">
        <v>1.942493167393219</v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0</v>
      </c>
      <c r="R932" s="5" t="inlineStr">
        <is>
          <t>218-2022-02-28</t>
        </is>
      </c>
    </row>
    <row r="933" hidden="1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9" t="n">
        <v>44651</v>
      </c>
      <c r="G933" s="5" t="n">
        <v>2022</v>
      </c>
      <c r="H933" s="5" t="inlineStr">
        <is>
          <t>Marzo</t>
        </is>
      </c>
      <c r="I933" s="6" t="inlineStr">
        <is>
          <t>2022-1</t>
        </is>
      </c>
      <c r="J933" s="5" t="n">
        <v>172000</v>
      </c>
      <c r="K933" s="9" t="n">
        <v>110711</v>
      </c>
      <c r="L933" s="14" t="n">
        <v>1</v>
      </c>
      <c r="M933" s="14" t="n">
        <v>1.553594493772073</v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0</v>
      </c>
      <c r="R933" s="5" t="inlineStr">
        <is>
          <t>218-2022-03-31</t>
        </is>
      </c>
    </row>
    <row r="934" hidden="1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9" t="n">
        <v>44681</v>
      </c>
      <c r="G934" s="5" t="n">
        <v>2022</v>
      </c>
      <c r="H934" s="5" t="inlineStr">
        <is>
          <t>Abril</t>
        </is>
      </c>
      <c r="I934" s="6" t="inlineStr">
        <is>
          <t>2022-1</t>
        </is>
      </c>
      <c r="J934" s="5" t="n">
        <v>172000</v>
      </c>
      <c r="K934" s="5" t="n">
        <v>105150</v>
      </c>
      <c r="L934" s="14" t="n">
        <v>1</v>
      </c>
      <c r="M934" s="14" t="n">
        <v>1.635758440323348</v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0</v>
      </c>
      <c r="R934" s="5" t="inlineStr">
        <is>
          <t>218-2022-04-30</t>
        </is>
      </c>
    </row>
    <row r="935" hidden="1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9" t="n">
        <v>44712</v>
      </c>
      <c r="G935" s="5" t="n">
        <v>2022</v>
      </c>
      <c r="H935" s="5" t="inlineStr">
        <is>
          <t>Mayo</t>
        </is>
      </c>
      <c r="I935" s="6" t="inlineStr">
        <is>
          <t>2022-1</t>
        </is>
      </c>
      <c r="J935" s="5" t="n">
        <v>172000</v>
      </c>
      <c r="K935" s="10" t="n">
        <v>110816</v>
      </c>
      <c r="L935" s="14" t="n">
        <v>1</v>
      </c>
      <c r="M935" s="14" t="n">
        <v>1.552122437193185</v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0</v>
      </c>
      <c r="R935" s="5" t="inlineStr">
        <is>
          <t>218-2022-05-31</t>
        </is>
      </c>
    </row>
    <row r="936" hidden="1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8" t="n">
        <v>44742</v>
      </c>
      <c r="G936" s="5" t="n">
        <v>2022</v>
      </c>
      <c r="H936" s="5" t="inlineStr">
        <is>
          <t>Junio</t>
        </is>
      </c>
      <c r="I936" s="6" t="inlineStr">
        <is>
          <t>2022-1</t>
        </is>
      </c>
      <c r="J936" s="5" t="n">
        <v>172000</v>
      </c>
      <c r="K936" s="9" t="n">
        <v>98441</v>
      </c>
      <c r="L936" s="14" t="n">
        <v>1</v>
      </c>
      <c r="M936" s="14" t="n">
        <v>1.747239463231784</v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0</v>
      </c>
      <c r="R936" s="5" t="inlineStr">
        <is>
          <t>218-2022-06-30</t>
        </is>
      </c>
    </row>
    <row r="937" hidden="1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9" t="n">
        <v>44773</v>
      </c>
      <c r="G937" s="5" t="n">
        <v>2022</v>
      </c>
      <c r="H937" s="5" t="inlineStr">
        <is>
          <t>Julio</t>
        </is>
      </c>
      <c r="I937" s="6" t="inlineStr">
        <is>
          <t>2022-2</t>
        </is>
      </c>
      <c r="J937" s="5" t="n">
        <v>172000</v>
      </c>
      <c r="K937" s="9" t="n">
        <v>79975</v>
      </c>
      <c r="L937" s="14" t="n">
        <v>1</v>
      </c>
      <c r="M937" s="14" t="n">
        <v>2.150672085026571</v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0</v>
      </c>
      <c r="R937" s="5" t="inlineStr">
        <is>
          <t>218-2022-07-31</t>
        </is>
      </c>
    </row>
    <row r="938" hidden="1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9" t="n">
        <v>44804</v>
      </c>
      <c r="G938" s="5" t="n">
        <v>2022</v>
      </c>
      <c r="H938" s="5" t="inlineStr">
        <is>
          <t>Agosto</t>
        </is>
      </c>
      <c r="I938" s="6" t="inlineStr">
        <is>
          <t>2022-2</t>
        </is>
      </c>
      <c r="J938" s="5" t="n">
        <v>172000</v>
      </c>
      <c r="K938" s="5" t="n">
        <v>173574</v>
      </c>
      <c r="L938" s="14" t="n">
        <v>0.9909318215861823</v>
      </c>
      <c r="M938" s="14" t="n">
        <v>0.9909318215861823</v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0</v>
      </c>
      <c r="R938" s="5" t="inlineStr">
        <is>
          <t>218-2022-08-31</t>
        </is>
      </c>
    </row>
    <row r="939" hidden="1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9" t="n">
        <v>44834</v>
      </c>
      <c r="G939" s="5" t="n">
        <v>2022</v>
      </c>
      <c r="H939" s="5" t="inlineStr">
        <is>
          <t>Septiembre</t>
        </is>
      </c>
      <c r="I939" s="6" t="inlineStr">
        <is>
          <t>2022-2</t>
        </is>
      </c>
      <c r="J939" s="5" t="n">
        <v>172000</v>
      </c>
      <c r="K939" s="10" t="n">
        <v>157375</v>
      </c>
      <c r="L939" s="14" t="n">
        <v>1</v>
      </c>
      <c r="M939" s="14" t="n">
        <v>1.092930897537728</v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0</v>
      </c>
      <c r="R939" s="5" t="inlineStr">
        <is>
          <t>218-2022-09-30</t>
        </is>
      </c>
    </row>
    <row r="940" hidden="1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8" t="n">
        <v>44865</v>
      </c>
      <c r="G940" s="5" t="n">
        <v>2022</v>
      </c>
      <c r="H940" s="5" t="inlineStr">
        <is>
          <t>Octubre</t>
        </is>
      </c>
      <c r="I940" s="6" t="inlineStr">
        <is>
          <t>2022-2</t>
        </is>
      </c>
      <c r="J940" s="5" t="n">
        <v>172000</v>
      </c>
      <c r="K940" s="9" t="n">
        <v>149257</v>
      </c>
      <c r="L940" s="14" t="n">
        <v>1</v>
      </c>
      <c r="M940" s="14" t="n">
        <v>1.15237476299269</v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0</v>
      </c>
      <c r="R940" s="5" t="inlineStr">
        <is>
          <t>218-2022-10-31</t>
        </is>
      </c>
    </row>
    <row r="941" hidden="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9" t="n">
        <v>44895</v>
      </c>
      <c r="G941" s="5" t="n">
        <v>2022</v>
      </c>
      <c r="H941" s="5" t="inlineStr">
        <is>
          <t>Noviembre</t>
        </is>
      </c>
      <c r="I941" s="6" t="inlineStr">
        <is>
          <t>2022-2</t>
        </is>
      </c>
      <c r="J941" s="5" t="n">
        <v>172000</v>
      </c>
      <c r="K941" s="9" t="n">
        <v>144214</v>
      </c>
      <c r="L941" s="14" t="n">
        <v>1</v>
      </c>
      <c r="M941" s="14" t="n">
        <v>1.192672001331355</v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0</v>
      </c>
      <c r="R941" s="5" t="inlineStr">
        <is>
          <t>218-2022-11-30</t>
        </is>
      </c>
    </row>
    <row r="942" hidden="1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9" t="n">
        <v>44926</v>
      </c>
      <c r="G942" s="5" t="n">
        <v>2022</v>
      </c>
      <c r="H942" s="5" t="inlineStr">
        <is>
          <t>Diciembre</t>
        </is>
      </c>
      <c r="I942" s="6" t="inlineStr">
        <is>
          <t>2022-2</t>
        </is>
      </c>
      <c r="J942" s="5" t="n">
        <v>172000</v>
      </c>
      <c r="K942" s="5" t="n">
        <v>125564</v>
      </c>
      <c r="L942" s="14" t="n">
        <v>1</v>
      </c>
      <c r="M942" s="14" t="n">
        <v>1.36981937498009</v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218-2022-12-31</t>
        </is>
      </c>
    </row>
    <row r="943" hidden="1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9" t="n">
        <v>44957</v>
      </c>
      <c r="G943" s="5" t="n">
        <v>2023</v>
      </c>
      <c r="H943" s="5" t="inlineStr">
        <is>
          <t>Enero</t>
        </is>
      </c>
      <c r="I943" s="6" t="inlineStr">
        <is>
          <t>2023-1</t>
        </is>
      </c>
      <c r="J943" s="5" t="n">
        <v>172000</v>
      </c>
      <c r="K943" s="10" t="n">
        <v>120858</v>
      </c>
      <c r="L943" s="14" t="n">
        <v>1</v>
      </c>
      <c r="M943" s="14" t="n">
        <v>1.42315775538235</v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1</v>
      </c>
      <c r="R943" s="5" t="inlineStr">
        <is>
          <t>218-2023-01-31</t>
        </is>
      </c>
    </row>
    <row r="944" hidden="1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8" t="n">
        <v>44985</v>
      </c>
      <c r="G944" s="5" t="n">
        <v>2023</v>
      </c>
      <c r="H944" s="5" t="inlineStr">
        <is>
          <t>Febrero</t>
        </is>
      </c>
      <c r="I944" s="6" t="inlineStr">
        <is>
          <t>2023-1</t>
        </is>
      </c>
      <c r="J944" s="5" t="n">
        <v>172000</v>
      </c>
      <c r="K944" s="9" t="n">
        <v>111868</v>
      </c>
      <c r="L944" s="14" t="n">
        <v>1</v>
      </c>
      <c r="M944" s="14" t="n">
        <v>1.537526370365073</v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1</v>
      </c>
      <c r="R944" s="5" t="inlineStr">
        <is>
          <t>218-2023-02-28</t>
        </is>
      </c>
    </row>
    <row r="945" hidden="1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9" t="n">
        <v>45016</v>
      </c>
      <c r="G945" s="5" t="n">
        <v>2023</v>
      </c>
      <c r="H945" s="5" t="inlineStr">
        <is>
          <t>Marzo</t>
        </is>
      </c>
      <c r="I945" s="6" t="inlineStr">
        <is>
          <t>2023-1</t>
        </is>
      </c>
      <c r="J945" s="5" t="n">
        <v>172000</v>
      </c>
      <c r="K945" s="9" t="n">
        <v>151441.41</v>
      </c>
      <c r="L945" s="14" t="n">
        <v>1</v>
      </c>
      <c r="M945" s="14" t="n">
        <v>1.135752764055749</v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1</v>
      </c>
      <c r="R945" s="5" t="inlineStr">
        <is>
          <t>218-2023-03-31</t>
        </is>
      </c>
    </row>
    <row r="946" hidden="1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9" t="n">
        <v>45046</v>
      </c>
      <c r="G946" s="5" t="n">
        <v>2023</v>
      </c>
      <c r="H946" s="5" t="inlineStr">
        <is>
          <t>Abril</t>
        </is>
      </c>
      <c r="I946" s="6" t="inlineStr">
        <is>
          <t>2023-1</t>
        </is>
      </c>
      <c r="J946" s="5" t="n">
        <v>172000</v>
      </c>
      <c r="K946" s="5" t="n">
        <v>137079</v>
      </c>
      <c r="L946" s="14" t="n">
        <v>1</v>
      </c>
      <c r="M946" s="14" t="n">
        <v>1.254750910059163</v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1</v>
      </c>
      <c r="R946" s="5" t="inlineStr">
        <is>
          <t>218-2023-04-30</t>
        </is>
      </c>
    </row>
    <row r="947" hidden="1">
      <c r="A947" s="21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09" t="n">
        <v>45077</v>
      </c>
      <c r="G947" s="5" t="n">
        <v>2023</v>
      </c>
      <c r="H947" s="5" t="inlineStr">
        <is>
          <t>Mayo</t>
        </is>
      </c>
      <c r="I947" s="6" t="inlineStr">
        <is>
          <t>2023-1</t>
        </is>
      </c>
      <c r="J947" s="5" t="n">
        <v>172000</v>
      </c>
      <c r="K947" s="10" t="n">
        <v>147309</v>
      </c>
      <c r="L947" s="14" t="n">
        <v>1</v>
      </c>
      <c r="M947" s="14" t="n">
        <v>1.16761365564901</v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1</v>
      </c>
      <c r="R947" s="5" t="inlineStr">
        <is>
          <t>218-2023-05-31</t>
        </is>
      </c>
    </row>
    <row r="948" hidden="1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09" t="n">
        <v>45107</v>
      </c>
      <c r="G948" s="5" t="n">
        <v>2023</v>
      </c>
      <c r="H948" s="5" t="inlineStr">
        <is>
          <t>Junio</t>
        </is>
      </c>
      <c r="I948" s="6" t="inlineStr">
        <is>
          <t>2023-1</t>
        </is>
      </c>
      <c r="J948" s="5" t="n">
        <v>172000</v>
      </c>
      <c r="K948" s="9" t="n">
        <v>140491</v>
      </c>
      <c r="L948" s="14" t="n">
        <v>1</v>
      </c>
      <c r="M948" s="14" t="n">
        <v>1.224277711739542</v>
      </c>
      <c r="N948" s="5" t="inlineStr">
        <is>
          <t>kWh</t>
        </is>
      </c>
      <c r="O948" s="5" t="inlineStr">
        <is>
          <t>kWh</t>
        </is>
      </c>
      <c r="P948" s="15" t="n">
        <v>0</v>
      </c>
      <c r="Q948" s="15" t="n">
        <v>1</v>
      </c>
      <c r="R948" s="5" t="inlineStr">
        <is>
          <t>218-2023-06-30</t>
        </is>
      </c>
    </row>
    <row r="949" hidden="1">
      <c r="A949" s="5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09" t="n">
        <v>45138</v>
      </c>
      <c r="G949" s="5" t="n">
        <v>2023</v>
      </c>
      <c r="H949" s="5" t="inlineStr">
        <is>
          <t>Julio</t>
        </is>
      </c>
      <c r="I949" s="6" t="inlineStr">
        <is>
          <t>2023-2</t>
        </is>
      </c>
      <c r="J949" s="5" t="n">
        <v>172000</v>
      </c>
      <c r="K949" s="5" t="n">
        <v>125486</v>
      </c>
      <c r="L949" s="14" t="n">
        <v>1</v>
      </c>
      <c r="M949" s="14" t="n">
        <v>1.370670831805938</v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1</v>
      </c>
      <c r="R949" s="5" t="inlineStr">
        <is>
          <t>218-2023-07-31</t>
        </is>
      </c>
    </row>
    <row r="950" hidden="1">
      <c r="A950" s="21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09" t="n">
        <v>45169</v>
      </c>
      <c r="G950" s="5" t="n">
        <v>2023</v>
      </c>
      <c r="H950" s="5" t="inlineStr">
        <is>
          <t>Agosto</t>
        </is>
      </c>
      <c r="I950" s="6" t="inlineStr">
        <is>
          <t>2023-2</t>
        </is>
      </c>
      <c r="J950" s="5" t="n">
        <v>172000</v>
      </c>
      <c r="K950" s="10" t="n">
        <v>143021.71</v>
      </c>
      <c r="L950" s="14" t="n">
        <v>1</v>
      </c>
      <c r="M950" s="14" t="n">
        <v>1.202614624031555</v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1</v>
      </c>
      <c r="R950" s="5" t="inlineStr">
        <is>
          <t>218-2023-08-31</t>
        </is>
      </c>
    </row>
    <row r="951" hidden="1">
      <c r="A951" s="21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08" t="n">
        <v>45199</v>
      </c>
      <c r="G951" s="5" t="n">
        <v>2023</v>
      </c>
      <c r="H951" s="5" t="inlineStr">
        <is>
          <t>Septiembre</t>
        </is>
      </c>
      <c r="I951" s="6" t="inlineStr">
        <is>
          <t>2023-2</t>
        </is>
      </c>
      <c r="J951" s="5" t="n">
        <v>172000</v>
      </c>
      <c r="K951" s="9" t="n">
        <v>146746.83</v>
      </c>
      <c r="L951" s="14" t="n">
        <v>1</v>
      </c>
      <c r="M951" s="14" t="n">
        <v>1.172086647459438</v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1</v>
      </c>
      <c r="R951" s="5" t="inlineStr">
        <is>
          <t>218-2023-09-30</t>
        </is>
      </c>
    </row>
    <row r="952" hidden="1">
      <c r="A952" s="26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09" t="n">
        <v>45230</v>
      </c>
      <c r="G952" s="5" t="n">
        <v>2023</v>
      </c>
      <c r="H952" s="5" t="inlineStr">
        <is>
          <t>Octubre</t>
        </is>
      </c>
      <c r="I952" s="6" t="inlineStr">
        <is>
          <t>2023-2</t>
        </is>
      </c>
      <c r="J952" s="5" t="n">
        <v>172000</v>
      </c>
      <c r="K952" s="9" t="n">
        <v>141458.28</v>
      </c>
      <c r="L952" s="14" t="n">
        <v>1</v>
      </c>
      <c r="M952" s="14" t="n">
        <v>1.215906202167876</v>
      </c>
      <c r="N952" s="5" t="inlineStr">
        <is>
          <t>kWh</t>
        </is>
      </c>
      <c r="O952" s="5" t="inlineStr">
        <is>
          <t>kWh</t>
        </is>
      </c>
      <c r="P952" s="15" t="n">
        <v>0</v>
      </c>
      <c r="Q952" s="15" t="n">
        <v>1</v>
      </c>
      <c r="R952" s="5" t="inlineStr">
        <is>
          <t>218-2023-10-31</t>
        </is>
      </c>
    </row>
    <row r="953" hidden="1">
      <c r="A953" s="5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09" t="n">
        <v>45260</v>
      </c>
      <c r="G953" s="5" t="n">
        <v>2023</v>
      </c>
      <c r="H953" s="5" t="inlineStr">
        <is>
          <t>Noviembre</t>
        </is>
      </c>
      <c r="I953" s="6" t="inlineStr">
        <is>
          <t>2023-2</t>
        </is>
      </c>
      <c r="J953" s="5" t="n">
        <v>172000</v>
      </c>
      <c r="K953" s="5" t="n">
        <v>129770</v>
      </c>
      <c r="L953" s="14" t="n">
        <v>1</v>
      </c>
      <c r="M953" s="14" t="n">
        <v>1.32542190028512</v>
      </c>
      <c r="N953" s="5" t="inlineStr">
        <is>
          <t>kWh</t>
        </is>
      </c>
      <c r="O953" s="5" t="inlineStr">
        <is>
          <t>kWh</t>
        </is>
      </c>
      <c r="P953" s="5" t="n">
        <v>0</v>
      </c>
      <c r="Q953" s="5" t="n">
        <v>1</v>
      </c>
      <c r="R953" s="5" t="inlineStr">
        <is>
          <t>218-2023-11-30</t>
        </is>
      </c>
    </row>
    <row r="954" hidden="1">
      <c r="A954" s="21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09" t="n">
        <v>45291</v>
      </c>
      <c r="G954" s="5" t="n">
        <v>2023</v>
      </c>
      <c r="H954" s="5" t="inlineStr">
        <is>
          <t>Diciembre</t>
        </is>
      </c>
      <c r="I954" s="6" t="inlineStr">
        <is>
          <t>2023-2</t>
        </is>
      </c>
      <c r="J954" s="5" t="n">
        <v>172000</v>
      </c>
      <c r="K954" s="10" t="n">
        <v>109170</v>
      </c>
      <c r="L954" s="14" t="n">
        <v>1</v>
      </c>
      <c r="M954" s="14" t="n">
        <v>1.575524411468352</v>
      </c>
      <c r="N954" s="5" t="inlineStr">
        <is>
          <t>kWh</t>
        </is>
      </c>
      <c r="O954" s="5" t="inlineStr">
        <is>
          <t>kWh</t>
        </is>
      </c>
      <c r="P954" s="15" t="n">
        <v>0</v>
      </c>
      <c r="Q954" s="15" t="n">
        <v>1</v>
      </c>
      <c r="R954" s="5" t="inlineStr">
        <is>
          <t>218-2023-12-31</t>
        </is>
      </c>
    </row>
    <row r="955" hidden="1">
      <c r="A955" s="21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08" t="n">
        <v>45322</v>
      </c>
      <c r="G955" s="5" t="n">
        <v>2024</v>
      </c>
      <c r="H955" s="5" t="inlineStr">
        <is>
          <t>Enero</t>
        </is>
      </c>
      <c r="I955" s="6" t="inlineStr">
        <is>
          <t>2024-1</t>
        </is>
      </c>
      <c r="J955" s="5" t="n">
        <v>172000</v>
      </c>
      <c r="K955" s="9" t="n">
        <v>122939.06</v>
      </c>
      <c r="L955" s="14" t="n">
        <v>1</v>
      </c>
      <c r="M955" s="14" t="n">
        <v>1.399067147577019</v>
      </c>
      <c r="N955" s="5" t="inlineStr">
        <is>
          <t>kWh</t>
        </is>
      </c>
      <c r="O955" s="5" t="inlineStr">
        <is>
          <t>kWh</t>
        </is>
      </c>
      <c r="P955" s="15" t="n">
        <v>0</v>
      </c>
      <c r="Q955" s="15" t="n">
        <v>1</v>
      </c>
      <c r="R955" s="5" t="inlineStr">
        <is>
          <t>218-2024-01-31</t>
        </is>
      </c>
    </row>
    <row r="956" hidden="1">
      <c r="A956" s="21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08" t="n">
        <v>45351</v>
      </c>
      <c r="G956" s="5" t="n">
        <v>2024</v>
      </c>
      <c r="H956" s="5" t="inlineStr">
        <is>
          <t>Febrero</t>
        </is>
      </c>
      <c r="I956" s="6" t="inlineStr">
        <is>
          <t>2024-1</t>
        </is>
      </c>
      <c r="J956" s="5" t="n">
        <v>172000</v>
      </c>
      <c r="K956" s="9" t="n">
        <v>135675.99</v>
      </c>
      <c r="L956" s="14" t="n">
        <v>1</v>
      </c>
      <c r="M956" s="14" t="n">
        <v>1.267726146682254</v>
      </c>
      <c r="N956" s="5" t="inlineStr">
        <is>
          <t>kWh</t>
        </is>
      </c>
      <c r="O956" s="5" t="inlineStr">
        <is>
          <t>kWh</t>
        </is>
      </c>
      <c r="P956" s="15" t="n">
        <v>0</v>
      </c>
      <c r="Q956" s="15" t="n">
        <v>1</v>
      </c>
      <c r="R956" s="5" t="inlineStr">
        <is>
          <t>218-2024-02-29</t>
        </is>
      </c>
    </row>
    <row r="957" hidden="1">
      <c r="A957" s="26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09" t="n">
        <v>45382</v>
      </c>
      <c r="G957" s="5" t="n">
        <v>2024</v>
      </c>
      <c r="H957" s="5" t="inlineStr">
        <is>
          <t>Marzo</t>
        </is>
      </c>
      <c r="I957" s="6" t="inlineStr">
        <is>
          <t>2024-1</t>
        </is>
      </c>
      <c r="J957" s="5" t="n">
        <v>172000</v>
      </c>
      <c r="K957" s="9" t="n">
        <v>153748.73</v>
      </c>
      <c r="L957" s="14" t="n">
        <v>1</v>
      </c>
      <c r="M957" s="14" t="n">
        <v>1.118708427705386</v>
      </c>
      <c r="N957" s="5" t="inlineStr">
        <is>
          <t>kWh</t>
        </is>
      </c>
      <c r="O957" s="5" t="inlineStr">
        <is>
          <t>kWh</t>
        </is>
      </c>
      <c r="P957" s="15" t="n">
        <v>0</v>
      </c>
      <c r="Q957" s="15" t="n">
        <v>1</v>
      </c>
      <c r="R957" s="5" t="inlineStr">
        <is>
          <t>218-2024-03-31</t>
        </is>
      </c>
    </row>
    <row r="958" hidden="1">
      <c r="A958" s="26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09" t="n">
        <v>45412</v>
      </c>
      <c r="G958" s="5" t="n">
        <v>2024</v>
      </c>
      <c r="H958" s="5" t="inlineStr">
        <is>
          <t>Abril</t>
        </is>
      </c>
      <c r="I958" s="6" t="inlineStr">
        <is>
          <t>2024-1</t>
        </is>
      </c>
      <c r="J958" s="5" t="n">
        <v>172000</v>
      </c>
      <c r="K958" s="9" t="n">
        <v>164779.39</v>
      </c>
      <c r="L958" s="14" t="n">
        <v>1</v>
      </c>
      <c r="M958" s="14" t="n">
        <v>1.043819861209584</v>
      </c>
      <c r="N958" s="5" t="inlineStr">
        <is>
          <t>kWh</t>
        </is>
      </c>
      <c r="O958" s="5" t="inlineStr">
        <is>
          <t>kWh</t>
        </is>
      </c>
      <c r="P958" s="15" t="n">
        <v>0</v>
      </c>
      <c r="Q958" s="15" t="n">
        <v>1</v>
      </c>
      <c r="R958" s="5" t="inlineStr">
        <is>
          <t>218-2024-04-30</t>
        </is>
      </c>
    </row>
    <row r="959" hidden="1">
      <c r="A959" s="21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09" t="n">
        <v>45443</v>
      </c>
      <c r="G959" s="5" t="n">
        <v>2024</v>
      </c>
      <c r="H959" s="5" t="inlineStr">
        <is>
          <t>Mayo</t>
        </is>
      </c>
      <c r="I959" s="6" t="inlineStr">
        <is>
          <t>2024-1</t>
        </is>
      </c>
      <c r="J959" s="5" t="n">
        <v>172000</v>
      </c>
      <c r="K959" s="10" t="n">
        <v>157279.15</v>
      </c>
      <c r="L959" s="14" t="n">
        <v>1</v>
      </c>
      <c r="M959" s="14" t="n">
        <v>1.093596958020183</v>
      </c>
      <c r="N959" s="5" t="inlineStr">
        <is>
          <t>kWh</t>
        </is>
      </c>
      <c r="O959" s="5" t="inlineStr">
        <is>
          <t>kWh</t>
        </is>
      </c>
      <c r="P959" s="15" t="n">
        <v>0</v>
      </c>
      <c r="Q959" s="15" t="n">
        <v>1</v>
      </c>
      <c r="R959" s="5" t="inlineStr">
        <is>
          <t>218-2024-05-31</t>
        </is>
      </c>
    </row>
    <row r="960" hidden="1">
      <c r="A960" s="21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08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172000</v>
      </c>
      <c r="K960" s="9" t="n">
        <v>140488.65</v>
      </c>
      <c r="L960" s="14" t="n">
        <v>1</v>
      </c>
      <c r="M960" s="14" t="n">
        <v>1.224298190636752</v>
      </c>
      <c r="N960" s="5" t="inlineStr">
        <is>
          <t>kWh</t>
        </is>
      </c>
      <c r="O960" s="5" t="inlineStr">
        <is>
          <t>kWh</t>
        </is>
      </c>
      <c r="P960" s="15" t="n">
        <v>0</v>
      </c>
      <c r="Q960" s="15" t="n">
        <v>1</v>
      </c>
      <c r="R960" s="5" t="inlineStr">
        <is>
          <t>218-2024-06-30</t>
        </is>
      </c>
    </row>
    <row r="961" hidden="1">
      <c r="A961" s="26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09" t="n">
        <v>45504</v>
      </c>
      <c r="G961" s="5" t="n">
        <v>2024</v>
      </c>
      <c r="H961" s="5" t="inlineStr">
        <is>
          <t>Julio</t>
        </is>
      </c>
      <c r="I961" s="6" t="inlineStr">
        <is>
          <t>2024-2</t>
        </is>
      </c>
      <c r="J961" s="5" t="n">
        <v>172000</v>
      </c>
      <c r="K961" s="9" t="n">
        <v>131127</v>
      </c>
      <c r="L961" s="14" t="n">
        <v>1</v>
      </c>
      <c r="M961" s="14" t="n">
        <v>1.311705445865459</v>
      </c>
      <c r="N961" s="5" t="inlineStr">
        <is>
          <t>kWh</t>
        </is>
      </c>
      <c r="O961" s="5" t="inlineStr">
        <is>
          <t>kWh</t>
        </is>
      </c>
      <c r="P961" s="15" t="n">
        <v>0</v>
      </c>
      <c r="Q961" s="15" t="n">
        <v>1</v>
      </c>
      <c r="R961" s="5" t="inlineStr">
        <is>
          <t>218-2024-07-31</t>
        </is>
      </c>
    </row>
    <row r="962" hidden="1">
      <c r="A962" s="21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09" t="n">
        <v>45535</v>
      </c>
      <c r="G962" s="5" t="n">
        <v>2024</v>
      </c>
      <c r="H962" s="5" t="inlineStr">
        <is>
          <t>Agosto</t>
        </is>
      </c>
      <c r="I962" s="6" t="inlineStr">
        <is>
          <t>2024-2</t>
        </is>
      </c>
      <c r="J962" s="5" t="n">
        <v>172000</v>
      </c>
      <c r="K962" s="10" t="n">
        <v>141809.93</v>
      </c>
      <c r="L962" s="14" t="n">
        <v>1</v>
      </c>
      <c r="M962" s="14" t="n">
        <v>1.212891085976842</v>
      </c>
      <c r="N962" s="5" t="inlineStr">
        <is>
          <t>kWh</t>
        </is>
      </c>
      <c r="O962" s="5" t="inlineStr">
        <is>
          <t>kWh</t>
        </is>
      </c>
      <c r="P962" s="15" t="n">
        <v>0</v>
      </c>
      <c r="Q962" s="15" t="n">
        <v>1</v>
      </c>
      <c r="R962" s="5" t="inlineStr">
        <is>
          <t>218-2024-08-31</t>
        </is>
      </c>
    </row>
    <row r="963" hidden="1">
      <c r="A963" s="21" t="n">
        <v>218</v>
      </c>
      <c r="B963" s="5" t="inlineStr">
        <is>
          <t>Consumo de Energía Eléctrica kWh Mensual</t>
        </is>
      </c>
      <c r="C963" s="5" t="inlineStr">
        <is>
          <t>GESTIÓN AMBIENTAL</t>
        </is>
      </c>
      <c r="D963" s="5" t="inlineStr">
        <is>
          <t>Mensual</t>
        </is>
      </c>
      <c r="E963" s="5" t="inlineStr">
        <is>
          <t>Negativo</t>
        </is>
      </c>
      <c r="F963" s="108" t="n">
        <v>45565</v>
      </c>
      <c r="G963" s="5" t="n">
        <v>2024</v>
      </c>
      <c r="H963" s="5" t="inlineStr">
        <is>
          <t>Septiembre</t>
        </is>
      </c>
      <c r="I963" s="6" t="inlineStr">
        <is>
          <t>2024-2</t>
        </is>
      </c>
      <c r="J963" s="5" t="n">
        <v>172000</v>
      </c>
      <c r="K963" s="9" t="n">
        <v>145856.52</v>
      </c>
      <c r="L963" s="14" t="n">
        <v>1</v>
      </c>
      <c r="M963" s="14" t="n">
        <v>1.179241078835557</v>
      </c>
      <c r="N963" s="5" t="inlineStr">
        <is>
          <t>kWh</t>
        </is>
      </c>
      <c r="O963" s="5" t="inlineStr">
        <is>
          <t>kWh</t>
        </is>
      </c>
      <c r="P963" s="15" t="n">
        <v>0</v>
      </c>
      <c r="Q963" s="15" t="n">
        <v>1</v>
      </c>
      <c r="R963" s="5" t="inlineStr">
        <is>
          <t>218-2024-09-30</t>
        </is>
      </c>
    </row>
    <row r="964" hidden="1">
      <c r="A964" s="26" t="n">
        <v>218</v>
      </c>
      <c r="B964" s="5" t="inlineStr">
        <is>
          <t>Consumo de Energía Eléctrica kWh Mensual</t>
        </is>
      </c>
      <c r="C964" s="5" t="inlineStr">
        <is>
          <t>GESTIÓN AMBIENTAL</t>
        </is>
      </c>
      <c r="D964" s="5" t="inlineStr">
        <is>
          <t>Mensual</t>
        </is>
      </c>
      <c r="E964" s="5" t="inlineStr">
        <is>
          <t>Negativo</t>
        </is>
      </c>
      <c r="F964" s="109" t="n">
        <v>45596</v>
      </c>
      <c r="G964" s="5" t="n">
        <v>2024</v>
      </c>
      <c r="H964" s="5" t="inlineStr">
        <is>
          <t>Octubre</t>
        </is>
      </c>
      <c r="I964" s="6" t="inlineStr">
        <is>
          <t>2024-2</t>
        </is>
      </c>
      <c r="J964" s="5" t="n">
        <v>172000</v>
      </c>
      <c r="K964" s="9" t="n">
        <v>156418.49</v>
      </c>
      <c r="L964" s="14" t="n">
        <v>1</v>
      </c>
      <c r="M964" s="14" t="n">
        <v>1.099614246372024</v>
      </c>
      <c r="N964" s="5" t="inlineStr">
        <is>
          <t>kWh</t>
        </is>
      </c>
      <c r="O964" s="5" t="inlineStr">
        <is>
          <t>kWh</t>
        </is>
      </c>
      <c r="P964" s="15" t="n">
        <v>0</v>
      </c>
      <c r="Q964" s="15" t="n">
        <v>1</v>
      </c>
      <c r="R964" s="5" t="inlineStr">
        <is>
          <t>218-2024-10-31</t>
        </is>
      </c>
    </row>
    <row r="965" hidden="1">
      <c r="A965" s="5" t="n">
        <v>218</v>
      </c>
      <c r="B965" s="5" t="inlineStr">
        <is>
          <t>Consumo de Energía Eléctrica kWh Mensual</t>
        </is>
      </c>
      <c r="C965" s="5" t="inlineStr">
        <is>
          <t>GESTIÓN AMBIENTAL</t>
        </is>
      </c>
      <c r="D965" s="5" t="inlineStr">
        <is>
          <t>Mensual</t>
        </is>
      </c>
      <c r="E965" s="5" t="inlineStr">
        <is>
          <t>Negativo</t>
        </is>
      </c>
      <c r="F965" s="109" t="n">
        <v>45626</v>
      </c>
      <c r="G965" s="5" t="n">
        <v>2024</v>
      </c>
      <c r="H965" s="5" t="inlineStr">
        <is>
          <t>Noviembre</t>
        </is>
      </c>
      <c r="I965" s="6" t="inlineStr">
        <is>
          <t>2024-2</t>
        </is>
      </c>
      <c r="J965" s="5" t="n">
        <v>172000</v>
      </c>
      <c r="K965" s="5" t="n">
        <v>147205.36</v>
      </c>
      <c r="L965" s="14" t="n">
        <v>1</v>
      </c>
      <c r="M965" s="14" t="n">
        <v>1.168435714569089</v>
      </c>
      <c r="N965" s="5" t="inlineStr">
        <is>
          <t>kWh</t>
        </is>
      </c>
      <c r="O965" s="5" t="inlineStr">
        <is>
          <t>kWh</t>
        </is>
      </c>
      <c r="P965" s="5" t="n">
        <v>0</v>
      </c>
      <c r="Q965" s="5" t="n">
        <v>1</v>
      </c>
      <c r="R965" s="5" t="inlineStr">
        <is>
          <t>218-2024-11-30</t>
        </is>
      </c>
    </row>
    <row r="966" hidden="1">
      <c r="A966" s="21" t="n">
        <v>218</v>
      </c>
      <c r="B966" s="5" t="inlineStr">
        <is>
          <t>Consumo de Energía Eléctrica kWh Mensual</t>
        </is>
      </c>
      <c r="C966" s="5" t="inlineStr">
        <is>
          <t>GESTIÓN AMBIENTAL</t>
        </is>
      </c>
      <c r="D966" s="5" t="inlineStr">
        <is>
          <t>Mensual</t>
        </is>
      </c>
      <c r="E966" s="5" t="inlineStr">
        <is>
          <t>Negativo</t>
        </is>
      </c>
      <c r="F966" s="109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172000</v>
      </c>
      <c r="K966" s="10" t="n">
        <v>126974.55</v>
      </c>
      <c r="L966" s="14" t="n">
        <v>1</v>
      </c>
      <c r="M966" s="14" t="n">
        <v>1.354602162401836</v>
      </c>
      <c r="N966" s="5" t="inlineStr">
        <is>
          <t>kWh</t>
        </is>
      </c>
      <c r="O966" s="5" t="inlineStr">
        <is>
          <t>kWh</t>
        </is>
      </c>
      <c r="P966" s="15" t="n">
        <v>0</v>
      </c>
      <c r="Q966" s="15" t="n">
        <v>1</v>
      </c>
      <c r="R966" s="5" t="inlineStr">
        <is>
          <t>218-2024-12-31</t>
        </is>
      </c>
    </row>
    <row r="967" hidden="1">
      <c r="A967" s="21" t="n">
        <v>218</v>
      </c>
      <c r="B967" s="5" t="inlineStr">
        <is>
          <t>Consumo de Energía Eléctrica kWh Mensual</t>
        </is>
      </c>
      <c r="C967" s="5" t="inlineStr">
        <is>
          <t>GESTIÓN AMBIENTAL</t>
        </is>
      </c>
      <c r="D967" s="5" t="inlineStr">
        <is>
          <t>Mensual</t>
        </is>
      </c>
      <c r="E967" s="5" t="inlineStr">
        <is>
          <t>Negativo</t>
        </is>
      </c>
      <c r="F967" s="108" t="n">
        <v>45688</v>
      </c>
      <c r="G967" s="5" t="n">
        <v>2025</v>
      </c>
      <c r="H967" s="5" t="inlineStr">
        <is>
          <t>Enero</t>
        </is>
      </c>
      <c r="I967" s="6" t="inlineStr">
        <is>
          <t>2025-1</t>
        </is>
      </c>
      <c r="J967" s="5" t="n">
        <v>172000</v>
      </c>
      <c r="K967" s="9" t="n">
        <v>113367.97</v>
      </c>
      <c r="L967" s="14" t="n">
        <v>1</v>
      </c>
      <c r="M967" s="14" t="n">
        <v>1.51718338080853</v>
      </c>
      <c r="N967" s="5" t="inlineStr">
        <is>
          <t>kWh</t>
        </is>
      </c>
      <c r="O967" s="5" t="inlineStr">
        <is>
          <t>kWh</t>
        </is>
      </c>
      <c r="P967" s="15" t="n">
        <v>0</v>
      </c>
      <c r="Q967" s="15" t="n">
        <v>1</v>
      </c>
      <c r="R967" s="5" t="inlineStr">
        <is>
          <t>218-2025-01-31</t>
        </is>
      </c>
    </row>
    <row r="968" hidden="1">
      <c r="A968" s="26" t="n">
        <v>218</v>
      </c>
      <c r="B968" s="5" t="inlineStr">
        <is>
          <t>Consumo de Energía Eléctrica kWh Mensual</t>
        </is>
      </c>
      <c r="C968" s="5" t="inlineStr">
        <is>
          <t>GESTIÓN AMBIENTAL</t>
        </is>
      </c>
      <c r="D968" s="5" t="inlineStr">
        <is>
          <t>Mensual</t>
        </is>
      </c>
      <c r="E968" s="5" t="inlineStr">
        <is>
          <t>Negativo</t>
        </is>
      </c>
      <c r="F968" s="109" t="n">
        <v>45716</v>
      </c>
      <c r="G968" s="5" t="n">
        <v>2025</v>
      </c>
      <c r="H968" s="5" t="inlineStr">
        <is>
          <t>Febrero</t>
        </is>
      </c>
      <c r="I968" s="6" t="inlineStr">
        <is>
          <t>2025-1</t>
        </is>
      </c>
      <c r="J968" s="5" t="n">
        <v>172000</v>
      </c>
      <c r="K968" s="9" t="n">
        <v>134763.39</v>
      </c>
      <c r="L968" s="14" t="n">
        <v>1</v>
      </c>
      <c r="M968" s="14" t="n">
        <v>1.276311021858384</v>
      </c>
      <c r="N968" s="5" t="inlineStr">
        <is>
          <t>kWh</t>
        </is>
      </c>
      <c r="O968" s="5" t="inlineStr">
        <is>
          <t>kWh</t>
        </is>
      </c>
      <c r="P968" s="15" t="n">
        <v>0</v>
      </c>
      <c r="Q968" s="15" t="n">
        <v>1</v>
      </c>
      <c r="R968" s="5" t="inlineStr">
        <is>
          <t>218-2025-02-28</t>
        </is>
      </c>
    </row>
    <row r="969" hidden="1">
      <c r="A969" s="5" t="n">
        <v>218</v>
      </c>
      <c r="B969" s="5" t="inlineStr">
        <is>
          <t>Consumo de Energía Eléctrica kWh Mensual</t>
        </is>
      </c>
      <c r="C969" s="5" t="inlineStr">
        <is>
          <t>GESTIÓN AMBIENTAL</t>
        </is>
      </c>
      <c r="D969" s="5" t="inlineStr">
        <is>
          <t>Mensual</t>
        </is>
      </c>
      <c r="E969" s="5" t="inlineStr">
        <is>
          <t>Negativo</t>
        </is>
      </c>
      <c r="F969" s="109" t="n">
        <v>45747</v>
      </c>
      <c r="G969" s="5" t="n">
        <v>2025</v>
      </c>
      <c r="H969" s="5" t="inlineStr">
        <is>
          <t>Marzo</t>
        </is>
      </c>
      <c r="I969" s="6" t="inlineStr">
        <is>
          <t>2025-1</t>
        </is>
      </c>
      <c r="J969" s="5" t="n">
        <v>172000</v>
      </c>
      <c r="K969" s="5" t="n">
        <v>156103.54</v>
      </c>
      <c r="L969" s="14" t="n">
        <v>1</v>
      </c>
      <c r="M969" s="14" t="n">
        <v>1.101832796360672</v>
      </c>
      <c r="N969" s="5" t="inlineStr">
        <is>
          <t>kWh</t>
        </is>
      </c>
      <c r="O969" s="5" t="inlineStr">
        <is>
          <t>kWh</t>
        </is>
      </c>
      <c r="P969" s="5" t="n">
        <v>0</v>
      </c>
      <c r="Q969" s="5" t="n">
        <v>1</v>
      </c>
      <c r="R969" s="5" t="inlineStr">
        <is>
          <t>218-2025-03-31</t>
        </is>
      </c>
    </row>
    <row r="970" hidden="1">
      <c r="A970" s="21" t="n">
        <v>218</v>
      </c>
      <c r="B970" s="5" t="inlineStr">
        <is>
          <t>Consumo de Energía Eléctrica kWh Mensual</t>
        </is>
      </c>
      <c r="C970" s="5" t="inlineStr">
        <is>
          <t>GESTIÓN AMBIENTAL</t>
        </is>
      </c>
      <c r="D970" s="5" t="inlineStr">
        <is>
          <t>Mensual</t>
        </is>
      </c>
      <c r="E970" s="5" t="inlineStr">
        <is>
          <t>Negativo</t>
        </is>
      </c>
      <c r="F970" s="109" t="n">
        <v>45777</v>
      </c>
      <c r="G970" s="5" t="n">
        <v>2025</v>
      </c>
      <c r="H970" s="5" t="inlineStr">
        <is>
          <t>Abril</t>
        </is>
      </c>
      <c r="I970" s="6" t="inlineStr">
        <is>
          <t>2025-1</t>
        </is>
      </c>
      <c r="J970" s="5" t="n">
        <v>172000</v>
      </c>
      <c r="K970" s="10" t="n">
        <v>139469.85</v>
      </c>
      <c r="L970" s="14" t="n">
        <v>1</v>
      </c>
      <c r="M970" s="14" t="n">
        <v>1.233241449675324</v>
      </c>
      <c r="N970" s="5" t="inlineStr">
        <is>
          <t>kWh</t>
        </is>
      </c>
      <c r="O970" s="5" t="inlineStr">
        <is>
          <t>kWh</t>
        </is>
      </c>
      <c r="P970" s="15" t="n">
        <v>0</v>
      </c>
      <c r="Q970" s="15" t="n">
        <v>1</v>
      </c>
      <c r="R970" s="5" t="inlineStr">
        <is>
          <t>218-2025-04-30</t>
        </is>
      </c>
    </row>
    <row r="971" hidden="1">
      <c r="A971" s="21" t="n">
        <v>218</v>
      </c>
      <c r="B971" s="5" t="inlineStr">
        <is>
          <t>Consumo de Energía Eléctrica kWh Mensual</t>
        </is>
      </c>
      <c r="C971" s="5" t="inlineStr">
        <is>
          <t>GESTIÓN AMBIENTAL</t>
        </is>
      </c>
      <c r="D971" s="5" t="inlineStr">
        <is>
          <t>Mensual</t>
        </is>
      </c>
      <c r="E971" s="5" t="inlineStr">
        <is>
          <t>Negativo</t>
        </is>
      </c>
      <c r="F971" s="108" t="n">
        <v>45808</v>
      </c>
      <c r="G971" s="5" t="n">
        <v>2025</v>
      </c>
      <c r="H971" s="5" t="inlineStr">
        <is>
          <t>Mayo</t>
        </is>
      </c>
      <c r="I971" s="6" t="inlineStr">
        <is>
          <t>2025-1</t>
        </is>
      </c>
      <c r="J971" s="5" t="n">
        <v>172000</v>
      </c>
      <c r="K971" s="9" t="n">
        <v>146327.63</v>
      </c>
      <c r="L971" s="14" t="n">
        <v>1</v>
      </c>
      <c r="M971" s="14" t="n">
        <v>1.175444446137753</v>
      </c>
      <c r="N971" s="5" t="inlineStr">
        <is>
          <t>kWh</t>
        </is>
      </c>
      <c r="O971" s="5" t="inlineStr">
        <is>
          <t>kWh</t>
        </is>
      </c>
      <c r="P971" s="15" t="n">
        <v>0</v>
      </c>
      <c r="Q971" s="15" t="n">
        <v>0</v>
      </c>
      <c r="R971" s="5" t="inlineStr">
        <is>
          <t>218-2025-05-31</t>
        </is>
      </c>
    </row>
    <row r="972" hidden="1">
      <c r="A972" s="26" t="n">
        <v>218</v>
      </c>
      <c r="B972" s="5" t="inlineStr">
        <is>
          <t>Consumo de Energía Eléctrica kWh Mensual</t>
        </is>
      </c>
      <c r="C972" s="5" t="inlineStr">
        <is>
          <t>GESTIÓN AMBIENTAL</t>
        </is>
      </c>
      <c r="D972" s="5" t="inlineStr">
        <is>
          <t>Mensual</t>
        </is>
      </c>
      <c r="E972" s="5" t="inlineStr">
        <is>
          <t>Negativo</t>
        </is>
      </c>
      <c r="F972" s="109" t="n">
        <v>45838</v>
      </c>
      <c r="G972" s="5" t="n">
        <v>2025</v>
      </c>
      <c r="H972" s="5" t="inlineStr">
        <is>
          <t>Junio</t>
        </is>
      </c>
      <c r="I972" s="6" t="inlineStr">
        <is>
          <t>2025-1</t>
        </is>
      </c>
      <c r="J972" s="5" t="n">
        <v>172000</v>
      </c>
      <c r="K972" s="9" t="n">
        <v>130528.88</v>
      </c>
      <c r="L972" s="14" t="n">
        <v>1</v>
      </c>
      <c r="M972" s="14" t="n">
        <v>1.317716048739558</v>
      </c>
      <c r="N972" s="5" t="inlineStr">
        <is>
          <t>kWh</t>
        </is>
      </c>
      <c r="O972" s="5" t="inlineStr">
        <is>
          <t>kWh</t>
        </is>
      </c>
      <c r="P972" s="15" t="n">
        <v>0</v>
      </c>
      <c r="Q972" s="15" t="n">
        <v>0</v>
      </c>
      <c r="R972" s="5" t="inlineStr">
        <is>
          <t>218-2025-06-30</t>
        </is>
      </c>
    </row>
    <row r="973" hidden="1">
      <c r="A973" s="5" t="n">
        <v>218</v>
      </c>
      <c r="B973" s="5" t="inlineStr">
        <is>
          <t>Consumo de Energía Eléctrica kWh Mensual</t>
        </is>
      </c>
      <c r="C973" s="5" t="inlineStr">
        <is>
          <t>GESTIÓN AMBIENTAL</t>
        </is>
      </c>
      <c r="D973" s="5" t="inlineStr">
        <is>
          <t>Mensual</t>
        </is>
      </c>
      <c r="E973" s="5" t="inlineStr">
        <is>
          <t>Negativo</t>
        </is>
      </c>
      <c r="F973" s="109" t="n">
        <v>45869</v>
      </c>
      <c r="G973" s="5" t="n">
        <v>2025</v>
      </c>
      <c r="H973" s="5" t="inlineStr">
        <is>
          <t>Julio</t>
        </is>
      </c>
      <c r="I973" s="6" t="inlineStr">
        <is>
          <t>2025-2</t>
        </is>
      </c>
      <c r="J973" s="5" t="n">
        <v>172000</v>
      </c>
      <c r="K973" s="5" t="n">
        <v>126471.65</v>
      </c>
      <c r="L973" s="14" t="n">
        <v>1</v>
      </c>
      <c r="M973" s="14" t="n">
        <v>1.359988582421436</v>
      </c>
      <c r="N973" s="5" t="inlineStr">
        <is>
          <t>kWh</t>
        </is>
      </c>
      <c r="O973" s="5" t="inlineStr">
        <is>
          <t>kWh</t>
        </is>
      </c>
      <c r="P973" s="5" t="n">
        <v>0</v>
      </c>
      <c r="Q973" s="5" t="n">
        <v>0</v>
      </c>
      <c r="R973" s="5" t="inlineStr">
        <is>
          <t>218-2025-07-31</t>
        </is>
      </c>
    </row>
    <row r="974" hidden="1">
      <c r="A974" s="21" t="n">
        <v>218</v>
      </c>
      <c r="B974" s="5" t="inlineStr">
        <is>
          <t>Consumo de Energía Eléctrica kWh Mensual</t>
        </is>
      </c>
      <c r="C974" s="5" t="inlineStr">
        <is>
          <t>GESTIÓN AMBIENTAL</t>
        </is>
      </c>
      <c r="D974" s="5" t="inlineStr">
        <is>
          <t>Mensual</t>
        </is>
      </c>
      <c r="E974" s="5" t="inlineStr">
        <is>
          <t>Negativo</t>
        </is>
      </c>
      <c r="F974" s="109" t="n">
        <v>45900</v>
      </c>
      <c r="G974" s="5" t="n">
        <v>2025</v>
      </c>
      <c r="H974" s="5" t="inlineStr">
        <is>
          <t>Agosto</t>
        </is>
      </c>
      <c r="I974" s="6" t="inlineStr">
        <is>
          <t>2025-2</t>
        </is>
      </c>
      <c r="J974" s="5" t="n">
        <v>172000</v>
      </c>
      <c r="K974" s="10" t="n">
        <v>142618.62</v>
      </c>
      <c r="L974" s="14" t="n">
        <v>1</v>
      </c>
      <c r="M974" s="14" t="n">
        <v>1.206013632722011</v>
      </c>
      <c r="N974" s="5" t="inlineStr">
        <is>
          <t>kWh</t>
        </is>
      </c>
      <c r="O974" s="5" t="inlineStr">
        <is>
          <t>kWh</t>
        </is>
      </c>
      <c r="P974" s="15" t="n">
        <v>0</v>
      </c>
      <c r="Q974" s="15" t="n">
        <v>0</v>
      </c>
      <c r="R974" s="5" t="inlineStr">
        <is>
          <t>218-2025-08-31</t>
        </is>
      </c>
    </row>
    <row r="975" hidden="1">
      <c r="A975" s="28" t="n">
        <v>218</v>
      </c>
      <c r="B975" s="5" t="inlineStr">
        <is>
          <t>Consumo de Energía Eléctrica kWh Mensual</t>
        </is>
      </c>
      <c r="C975" s="5" t="inlineStr">
        <is>
          <t>GESTIÓN AMBIENTAL</t>
        </is>
      </c>
      <c r="D975" s="5" t="inlineStr">
        <is>
          <t>Mensual</t>
        </is>
      </c>
      <c r="E975" s="5" t="inlineStr">
        <is>
          <t>Negativo</t>
        </is>
      </c>
      <c r="F975" s="109" t="n">
        <v>45930</v>
      </c>
      <c r="G975" s="5" t="n">
        <v>2025</v>
      </c>
      <c r="H975" s="5" t="inlineStr">
        <is>
          <t>Septiembre</t>
        </is>
      </c>
      <c r="I975" s="6" t="inlineStr">
        <is>
          <t>2025-2</t>
        </is>
      </c>
      <c r="J975" s="5" t="n">
        <v>172000</v>
      </c>
      <c r="K975" s="9" t="n">
        <v>154601.59</v>
      </c>
      <c r="L975" s="14" t="n">
        <v>1</v>
      </c>
      <c r="M975" s="14" t="n">
        <v>1.112537070284982</v>
      </c>
      <c r="N975" s="5" t="inlineStr">
        <is>
          <t>kWh</t>
        </is>
      </c>
      <c r="O975" s="5" t="inlineStr">
        <is>
          <t>kWh</t>
        </is>
      </c>
      <c r="P975" s="15" t="n">
        <v>0</v>
      </c>
      <c r="Q975" s="15" t="n">
        <v>0</v>
      </c>
      <c r="R975" s="5" t="inlineStr">
        <is>
          <t>218-2025-09-30</t>
        </is>
      </c>
    </row>
    <row r="976" hidden="1">
      <c r="A976" s="26" t="n">
        <v>218</v>
      </c>
      <c r="B976" s="5" t="inlineStr">
        <is>
          <t>Consumo de Energía Eléctrica kWh Mensual</t>
        </is>
      </c>
      <c r="C976" s="5" t="inlineStr">
        <is>
          <t>GESTIÓN AMBIENTAL</t>
        </is>
      </c>
      <c r="D976" s="5" t="inlineStr">
        <is>
          <t>Mensual</t>
        </is>
      </c>
      <c r="E976" s="5" t="inlineStr">
        <is>
          <t>Negativo</t>
        </is>
      </c>
      <c r="F976" s="109" t="n">
        <v>45961</v>
      </c>
      <c r="G976" s="5" t="n">
        <v>2025</v>
      </c>
      <c r="H976" s="5" t="inlineStr">
        <is>
          <t>Octubre</t>
        </is>
      </c>
      <c r="I976" s="6" t="inlineStr">
        <is>
          <t>2025-2</t>
        </is>
      </c>
      <c r="J976" s="5" t="n">
        <v>172000</v>
      </c>
      <c r="K976" s="9" t="n">
        <v>150485.75</v>
      </c>
      <c r="L976" s="14" t="n">
        <v>1</v>
      </c>
      <c r="M976" s="14" t="n">
        <v>1.14296536383013</v>
      </c>
      <c r="N976" s="5" t="inlineStr">
        <is>
          <t>kWh</t>
        </is>
      </c>
      <c r="O976" s="5" t="inlineStr">
        <is>
          <t>kWh</t>
        </is>
      </c>
      <c r="P976" s="15" t="n">
        <v>0</v>
      </c>
      <c r="Q976" s="15" t="n">
        <v>0</v>
      </c>
      <c r="R976" s="5" t="inlineStr">
        <is>
          <t>218-2025-10-31</t>
        </is>
      </c>
    </row>
    <row r="977" hidden="1">
      <c r="A977" s="26" t="n">
        <v>218</v>
      </c>
      <c r="B977" s="5" t="inlineStr">
        <is>
          <t>Consumo de Energía Eléctrica kWh Mensual</t>
        </is>
      </c>
      <c r="C977" s="5" t="inlineStr">
        <is>
          <t>GESTIÓN AMBIENTAL</t>
        </is>
      </c>
      <c r="D977" s="5" t="inlineStr">
        <is>
          <t>Mensual</t>
        </is>
      </c>
      <c r="E977" s="5" t="inlineStr">
        <is>
          <t>Negativo</t>
        </is>
      </c>
      <c r="F977" s="109" t="n">
        <v>45991</v>
      </c>
      <c r="G977" s="5" t="n">
        <v>2025</v>
      </c>
      <c r="H977" s="5" t="inlineStr">
        <is>
          <t>Noviembre</t>
        </is>
      </c>
      <c r="I977" s="6" t="inlineStr">
        <is>
          <t>2025-2</t>
        </is>
      </c>
      <c r="J977" s="5" t="n">
        <v>172000</v>
      </c>
      <c r="K977" s="9" t="n">
        <v>143419.75</v>
      </c>
      <c r="L977" s="14" t="n">
        <v>1</v>
      </c>
      <c r="M977" s="14" t="n">
        <v>1.199276947561267</v>
      </c>
      <c r="N977" s="5" t="inlineStr">
        <is>
          <t>kWh</t>
        </is>
      </c>
      <c r="O977" s="5" t="inlineStr">
        <is>
          <t>kWh</t>
        </is>
      </c>
      <c r="P977" s="15" t="n">
        <v>0</v>
      </c>
      <c r="Q977" s="15" t="n">
        <v>0</v>
      </c>
      <c r="R977" s="5" t="inlineStr">
        <is>
          <t>218-2025-11-30</t>
        </is>
      </c>
    </row>
    <row r="978" hidden="1">
      <c r="A978" s="26" t="n">
        <v>218</v>
      </c>
      <c r="B978" s="5" t="inlineStr">
        <is>
          <t>Consumo de Energía Eléctrica kWh Mensual</t>
        </is>
      </c>
      <c r="C978" s="5" t="inlineStr">
        <is>
          <t>GESTIÓN AMBIENTAL</t>
        </is>
      </c>
      <c r="D978" s="5" t="inlineStr">
        <is>
          <t>Mensual</t>
        </is>
      </c>
      <c r="E978" s="5" t="inlineStr">
        <is>
          <t>Negativo</t>
        </is>
      </c>
      <c r="F978" s="109" t="n">
        <v>46022</v>
      </c>
      <c r="G978" s="5" t="n">
        <v>2025</v>
      </c>
      <c r="H978" s="5" t="inlineStr">
        <is>
          <t>Diciembre</t>
        </is>
      </c>
      <c r="I978" s="6" t="inlineStr">
        <is>
          <t>2025-2</t>
        </is>
      </c>
      <c r="J978" s="5" t="n">
        <v>172000</v>
      </c>
      <c r="K978" s="5" t="n">
        <v>123820.04</v>
      </c>
      <c r="L978" s="14" t="n">
        <v>1</v>
      </c>
      <c r="M978" s="14" t="n">
        <v>1.389112780128322</v>
      </c>
      <c r="N978" s="5" t="inlineStr">
        <is>
          <t>kWh</t>
        </is>
      </c>
      <c r="O978" s="5" t="inlineStr">
        <is>
          <t>kWh</t>
        </is>
      </c>
      <c r="P978" s="15" t="n">
        <v>0</v>
      </c>
      <c r="Q978" s="15" t="n">
        <v>0</v>
      </c>
      <c r="R978" s="5" t="inlineStr">
        <is>
          <t>218-2025-12-31</t>
        </is>
      </c>
    </row>
    <row r="979" hidden="1">
      <c r="A979" s="21" t="n">
        <v>218</v>
      </c>
      <c r="B979" s="5" t="inlineStr">
        <is>
          <t>Consumo de Energía Eléctrica kWh Mensual</t>
        </is>
      </c>
      <c r="C979" s="5" t="inlineStr">
        <is>
          <t>GESTIÓN AMBIENTAL</t>
        </is>
      </c>
      <c r="D979" s="5" t="inlineStr">
        <is>
          <t>Mensual</t>
        </is>
      </c>
      <c r="E979" s="5" t="inlineStr">
        <is>
          <t>Negativo</t>
        </is>
      </c>
      <c r="F979" s="108" t="n">
        <v>46053</v>
      </c>
      <c r="G979" s="5" t="n">
        <v>2026</v>
      </c>
      <c r="H979" s="5" t="inlineStr">
        <is>
          <t>Enero</t>
        </is>
      </c>
      <c r="I979" s="6" t="inlineStr">
        <is>
          <t>2026-1</t>
        </is>
      </c>
      <c r="J979" s="5" t="n">
        <v>172000</v>
      </c>
      <c r="K979" s="9" t="n">
        <v>88930.98890626431</v>
      </c>
      <c r="L979" s="14" t="n">
        <v>1</v>
      </c>
      <c r="M979" s="14" t="n">
        <v>1.934083969102072</v>
      </c>
      <c r="N979" s="5" t="inlineStr">
        <is>
          <t>kWh</t>
        </is>
      </c>
      <c r="O979" s="5" t="inlineStr">
        <is>
          <t>kWh</t>
        </is>
      </c>
      <c r="P979" s="15" t="n">
        <v>0</v>
      </c>
      <c r="Q979" s="15" t="n">
        <v>0</v>
      </c>
      <c r="R979" s="5" t="inlineStr">
        <is>
          <t>218-2026-01-31</t>
        </is>
      </c>
    </row>
    <row r="980" hidden="1">
      <c r="A980" s="26" t="n">
        <v>219</v>
      </c>
      <c r="B980" s="5" t="inlineStr">
        <is>
          <t>Disminución del Consumo de Energía Eléctrica per Cápita</t>
        </is>
      </c>
      <c r="C980" s="5" t="inlineStr">
        <is>
          <t>GESTIÓN AMBIENTAL</t>
        </is>
      </c>
      <c r="D980" s="5" t="inlineStr">
        <is>
          <t>Trimestral</t>
        </is>
      </c>
      <c r="E980" s="5" t="inlineStr">
        <is>
          <t>Positivo</t>
        </is>
      </c>
      <c r="F980" s="109" t="n">
        <v>44742</v>
      </c>
      <c r="G980" s="5" t="n">
        <v>2022</v>
      </c>
      <c r="H980" s="5" t="inlineStr">
        <is>
          <t>Junio</t>
        </is>
      </c>
      <c r="I980" s="6" t="inlineStr">
        <is>
          <t>2022-1</t>
        </is>
      </c>
      <c r="J980" s="5" t="n">
        <v>1</v>
      </c>
      <c r="K980" s="9" t="n">
        <v>16.685183396325</v>
      </c>
      <c r="L980" s="14" t="n">
        <v>1.3</v>
      </c>
      <c r="M980" s="14" t="n">
        <v>16.685183396325</v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219-2022-06-30</t>
        </is>
      </c>
    </row>
    <row r="981" hidden="1">
      <c r="A981" s="5" t="n">
        <v>219</v>
      </c>
      <c r="B981" s="5" t="inlineStr">
        <is>
          <t>Disminución del Consumo de Energía Eléctrica per Cápita</t>
        </is>
      </c>
      <c r="C981" s="5" t="inlineStr">
        <is>
          <t>GESTIÓN AMBIENTAL</t>
        </is>
      </c>
      <c r="D981" s="5" t="inlineStr">
        <is>
          <t>Trimestral</t>
        </is>
      </c>
      <c r="E981" s="5" t="inlineStr">
        <is>
          <t>Positivo</t>
        </is>
      </c>
      <c r="F981" s="109" t="n">
        <v>44926</v>
      </c>
      <c r="G981" s="5" t="n">
        <v>2022</v>
      </c>
      <c r="H981" s="5" t="inlineStr">
        <is>
          <t>Diciembre</t>
        </is>
      </c>
      <c r="I981" s="6" t="inlineStr">
        <is>
          <t>2022-2</t>
        </is>
      </c>
      <c r="J981" s="5" t="n">
        <v>1</v>
      </c>
      <c r="K981" s="5" t="n">
        <v>-68.789622683372</v>
      </c>
      <c r="L981" s="14" t="n">
        <v>0</v>
      </c>
      <c r="M981" s="14" t="n">
        <v>0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219-2022-12-31</t>
        </is>
      </c>
    </row>
    <row r="982" hidden="1">
      <c r="A982" s="21" t="n">
        <v>219</v>
      </c>
      <c r="B982" s="5" t="inlineStr">
        <is>
          <t>Disminución del Consumo de Energía Eléctrica per Cápita</t>
        </is>
      </c>
      <c r="C982" s="5" t="inlineStr">
        <is>
          <t>GESTIÓN AMBIENTAL</t>
        </is>
      </c>
      <c r="D982" s="5" t="inlineStr">
        <is>
          <t>Semestral</t>
        </is>
      </c>
      <c r="E982" s="5" t="inlineStr">
        <is>
          <t>Positivo</t>
        </is>
      </c>
      <c r="F982" s="109" t="n">
        <v>45107</v>
      </c>
      <c r="G982" s="5" t="n">
        <v>2023</v>
      </c>
      <c r="H982" s="5" t="inlineStr">
        <is>
          <t>Junio</t>
        </is>
      </c>
      <c r="I982" s="6" t="inlineStr">
        <is>
          <t>2023-1</t>
        </is>
      </c>
      <c r="J982" s="5" t="n">
        <v>1</v>
      </c>
      <c r="K982" s="10" t="n">
        <v>21.14703682627429</v>
      </c>
      <c r="L982" s="14" t="n">
        <v>1.3</v>
      </c>
      <c r="M982" s="14" t="n">
        <v>21.14703682627429</v>
      </c>
      <c r="N982" s="5" t="inlineStr">
        <is>
          <t>kWh</t>
        </is>
      </c>
      <c r="O982" s="5" t="inlineStr">
        <is>
          <t>kWh</t>
        </is>
      </c>
      <c r="P982" s="15" t="n">
        <v>0</v>
      </c>
      <c r="Q982" s="15" t="n">
        <v>0</v>
      </c>
      <c r="R982" s="5" t="inlineStr">
        <is>
          <t>219-2023-06-30</t>
        </is>
      </c>
    </row>
    <row r="983" hidden="1">
      <c r="A983" s="28" t="n">
        <v>219</v>
      </c>
      <c r="B983" s="5" t="inlineStr">
        <is>
          <t>Disminución del Consumo de Energía Eléctrica per Cápita</t>
        </is>
      </c>
      <c r="C983" s="5" t="inlineStr">
        <is>
          <t>GESTIÓN AMBIENTAL</t>
        </is>
      </c>
      <c r="D983" s="5" t="inlineStr">
        <is>
          <t>Semestral</t>
        </is>
      </c>
      <c r="E983" s="5" t="inlineStr">
        <is>
          <t>Positivo</t>
        </is>
      </c>
      <c r="F983" s="109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>
        <v>1</v>
      </c>
      <c r="K983" s="9" t="n">
        <v>-5.89</v>
      </c>
      <c r="L983" s="14" t="n">
        <v>0</v>
      </c>
      <c r="M983" s="14" t="n">
        <v>0</v>
      </c>
      <c r="N983" s="5" t="inlineStr">
        <is>
          <t>kWh</t>
        </is>
      </c>
      <c r="O983" s="5" t="inlineStr">
        <is>
          <t>kWh</t>
        </is>
      </c>
      <c r="P983" s="15" t="n">
        <v>0</v>
      </c>
      <c r="Q983" s="15" t="n">
        <v>0</v>
      </c>
      <c r="R983" s="5" t="inlineStr">
        <is>
          <t>219-2023-12-31</t>
        </is>
      </c>
    </row>
    <row r="984" hidden="1">
      <c r="A984" s="26" t="n">
        <v>219</v>
      </c>
      <c r="B984" s="5" t="inlineStr">
        <is>
          <t>Disminución del Consumo de Energía Eléctrica per Cápita</t>
        </is>
      </c>
      <c r="C984" s="5" t="inlineStr">
        <is>
          <t>GESTIÓN AMBIENTAL</t>
        </is>
      </c>
      <c r="D984" s="5" t="inlineStr">
        <is>
          <t>Semestral</t>
        </is>
      </c>
      <c r="E984" s="5" t="inlineStr">
        <is>
          <t>Positivo</t>
        </is>
      </c>
      <c r="F984" s="109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1</v>
      </c>
      <c r="K984" s="9" t="n">
        <v>11.94</v>
      </c>
      <c r="L984" s="14" t="n">
        <v>1.3</v>
      </c>
      <c r="M984" s="14" t="n">
        <v>11.94</v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219-2024-06-30</t>
        </is>
      </c>
    </row>
    <row r="985" hidden="1">
      <c r="A985" s="28" t="n">
        <v>219</v>
      </c>
      <c r="B985" s="5" t="inlineStr">
        <is>
          <t>Disminución del Consumo de Energía Eléctrica per Cápita</t>
        </is>
      </c>
      <c r="C985" s="5" t="inlineStr">
        <is>
          <t>GESTIÓN AMBIENTAL</t>
        </is>
      </c>
      <c r="D985" s="5" t="inlineStr">
        <is>
          <t>Semestral</t>
        </is>
      </c>
      <c r="E985" s="5" t="inlineStr">
        <is>
          <t>Positivo</t>
        </is>
      </c>
      <c r="F985" s="109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1</v>
      </c>
      <c r="K985" s="9" t="n">
        <v>-12.53</v>
      </c>
      <c r="L985" s="14" t="n">
        <v>0</v>
      </c>
      <c r="M985" s="14" t="n">
        <v>0</v>
      </c>
      <c r="N985" s="5" t="inlineStr">
        <is>
          <t>%</t>
        </is>
      </c>
      <c r="O985" s="5" t="inlineStr">
        <is>
          <t>%</t>
        </is>
      </c>
      <c r="P985" s="15" t="n">
        <v>0</v>
      </c>
      <c r="Q985" s="15" t="n">
        <v>0</v>
      </c>
      <c r="R985" s="5" t="inlineStr">
        <is>
          <t>219-2024-12-31</t>
        </is>
      </c>
    </row>
    <row r="986" hidden="1">
      <c r="A986" s="28" t="n">
        <v>219</v>
      </c>
      <c r="B986" s="5" t="inlineStr">
        <is>
          <t>Disminución del Consumo de Energía Eléctrica per Cápita</t>
        </is>
      </c>
      <c r="C986" s="5" t="inlineStr">
        <is>
          <t>GESTIÓN AMBIENTAL</t>
        </is>
      </c>
      <c r="D986" s="5" t="inlineStr">
        <is>
          <t>Trimestral</t>
        </is>
      </c>
      <c r="E986" s="5" t="inlineStr">
        <is>
          <t>Positivo</t>
        </is>
      </c>
      <c r="F986" s="109" t="n">
        <v>45838</v>
      </c>
      <c r="G986" s="5" t="n">
        <v>2025</v>
      </c>
      <c r="H986" s="5" t="inlineStr">
        <is>
          <t>Junio</t>
        </is>
      </c>
      <c r="I986" s="6" t="inlineStr">
        <is>
          <t>2025-1</t>
        </is>
      </c>
      <c r="J986" s="5" t="n">
        <v>1</v>
      </c>
      <c r="K986" s="9" t="n">
        <v>18.43</v>
      </c>
      <c r="L986" s="14" t="n">
        <v>1.3</v>
      </c>
      <c r="M986" s="14" t="n">
        <v>18.43</v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219-2025-06-30</t>
        </is>
      </c>
    </row>
    <row r="987" hidden="1">
      <c r="A987" s="26" t="n">
        <v>219</v>
      </c>
      <c r="B987" s="5" t="inlineStr">
        <is>
          <t>Disminución del Consumo de Energía Eléctrica per Cápita</t>
        </is>
      </c>
      <c r="C987" s="5" t="inlineStr">
        <is>
          <t>GESTIÓN AMBIENTAL</t>
        </is>
      </c>
      <c r="D987" s="5" t="inlineStr">
        <is>
          <t>Trimestral</t>
        </is>
      </c>
      <c r="E987" s="5" t="inlineStr">
        <is>
          <t>Positivo</t>
        </is>
      </c>
      <c r="F987" s="109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1</v>
      </c>
      <c r="K987" s="9" t="n">
        <v>-18.28</v>
      </c>
      <c r="L987" s="14" t="n">
        <v>0</v>
      </c>
      <c r="M987" s="14" t="n">
        <v>0</v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219-2025-12-31</t>
        </is>
      </c>
    </row>
    <row r="988" hidden="1">
      <c r="A988" s="21" t="n">
        <v>220</v>
      </c>
      <c r="B988" s="5" t="inlineStr">
        <is>
          <t>Disminución del Consumo de Agua per Cápita</t>
        </is>
      </c>
      <c r="C988" s="5" t="inlineStr">
        <is>
          <t>GESTIÓN AMBIENTAL</t>
        </is>
      </c>
      <c r="D988" s="5" t="inlineStr">
        <is>
          <t>Trimestral</t>
        </is>
      </c>
      <c r="E988" s="5" t="inlineStr">
        <is>
          <t>Positivo</t>
        </is>
      </c>
      <c r="F988" s="108" t="n">
        <v>44742</v>
      </c>
      <c r="G988" s="5" t="n">
        <v>2022</v>
      </c>
      <c r="H988" s="5" t="inlineStr">
        <is>
          <t>Junio</t>
        </is>
      </c>
      <c r="I988" s="6" t="inlineStr">
        <is>
          <t>2022-1</t>
        </is>
      </c>
      <c r="J988" s="5" t="n">
        <v>1</v>
      </c>
      <c r="K988" s="9" t="n">
        <v>-88.60356590106301</v>
      </c>
      <c r="L988" s="14" t="n">
        <v>0</v>
      </c>
      <c r="M988" s="14" t="n">
        <v>0</v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220-2022-06-30</t>
        </is>
      </c>
    </row>
    <row r="989" hidden="1">
      <c r="A989" s="26" t="n">
        <v>220</v>
      </c>
      <c r="B989" s="5" t="inlineStr">
        <is>
          <t>Disminución del Consumo de Agua per Cápita</t>
        </is>
      </c>
      <c r="C989" s="5" t="inlineStr">
        <is>
          <t>GESTIÓN AMBIENTAL</t>
        </is>
      </c>
      <c r="D989" s="5" t="inlineStr">
        <is>
          <t>Trimestral</t>
        </is>
      </c>
      <c r="E989" s="5" t="inlineStr">
        <is>
          <t>Positivo</t>
        </is>
      </c>
      <c r="F989" s="109" t="n">
        <v>44926</v>
      </c>
      <c r="G989" s="5" t="n">
        <v>2022</v>
      </c>
      <c r="H989" s="5" t="inlineStr">
        <is>
          <t>Diciembre</t>
        </is>
      </c>
      <c r="I989" s="6" t="inlineStr">
        <is>
          <t>2022-2</t>
        </is>
      </c>
      <c r="J989" s="5" t="n">
        <v>1</v>
      </c>
      <c r="K989" s="9" t="n">
        <v>-85.889409840455</v>
      </c>
      <c r="L989" s="14" t="n">
        <v>0</v>
      </c>
      <c r="M989" s="14" t="n">
        <v>0</v>
      </c>
      <c r="N989" s="5" t="inlineStr">
        <is>
          <t>%</t>
        </is>
      </c>
      <c r="O989" s="5" t="inlineStr">
        <is>
          <t>%</t>
        </is>
      </c>
      <c r="P989" s="15" t="n">
        <v>0</v>
      </c>
      <c r="Q989" s="15" t="n">
        <v>0</v>
      </c>
      <c r="R989" s="5" t="inlineStr">
        <is>
          <t>220-2022-12-31</t>
        </is>
      </c>
    </row>
    <row r="990" hidden="1">
      <c r="A990" s="21" t="n">
        <v>220</v>
      </c>
      <c r="B990" s="5" t="inlineStr">
        <is>
          <t>Disminución del Consumo de Agua per Cápita</t>
        </is>
      </c>
      <c r="C990" s="5" t="inlineStr">
        <is>
          <t>GESTIÓN AMBIENTAL</t>
        </is>
      </c>
      <c r="D990" s="5" t="inlineStr">
        <is>
          <t>Semestral</t>
        </is>
      </c>
      <c r="E990" s="5" t="inlineStr">
        <is>
          <t>Positivo</t>
        </is>
      </c>
      <c r="F990" s="108" t="n">
        <v>45107</v>
      </c>
      <c r="G990" s="5" t="n">
        <v>2023</v>
      </c>
      <c r="H990" s="5" t="inlineStr">
        <is>
          <t>Junio</t>
        </is>
      </c>
      <c r="I990" s="6" t="inlineStr">
        <is>
          <t>2023-1</t>
        </is>
      </c>
      <c r="J990" s="5" t="n">
        <v>1</v>
      </c>
      <c r="K990" s="9" t="n">
        <v>40.67840779343521</v>
      </c>
      <c r="L990" s="14" t="n">
        <v>1.3</v>
      </c>
      <c r="M990" s="14" t="n">
        <v>40.67840779343521</v>
      </c>
      <c r="N990" s="5" t="inlineStr">
        <is>
          <t>%</t>
        </is>
      </c>
      <c r="O990" s="5" t="inlineStr">
        <is>
          <t>%</t>
        </is>
      </c>
      <c r="P990" s="15" t="n">
        <v>0</v>
      </c>
      <c r="Q990" s="15" t="n">
        <v>0</v>
      </c>
      <c r="R990" s="5" t="inlineStr">
        <is>
          <t>220-2023-06-30</t>
        </is>
      </c>
    </row>
    <row r="991" hidden="1">
      <c r="A991" s="21" t="n">
        <v>220</v>
      </c>
      <c r="B991" s="5" t="inlineStr">
        <is>
          <t>Disminución del Consumo de Agua per Cápita</t>
        </is>
      </c>
      <c r="C991" s="5" t="inlineStr">
        <is>
          <t>GESTIÓN AMBIENTAL</t>
        </is>
      </c>
      <c r="D991" s="5" t="inlineStr">
        <is>
          <t>Trimestral</t>
        </is>
      </c>
      <c r="E991" s="5" t="inlineStr">
        <is>
          <t>Positivo</t>
        </is>
      </c>
      <c r="F991" s="109" t="n">
        <v>45291</v>
      </c>
      <c r="G991" s="5" t="n">
        <v>2023</v>
      </c>
      <c r="H991" s="5" t="inlineStr">
        <is>
          <t>Diciembre</t>
        </is>
      </c>
      <c r="I991" s="6" t="inlineStr">
        <is>
          <t>2023-2</t>
        </is>
      </c>
      <c r="J991" s="5" t="n">
        <v>1</v>
      </c>
      <c r="K991" s="10" t="n">
        <v>-38.58</v>
      </c>
      <c r="L991" s="14" t="n">
        <v>0</v>
      </c>
      <c r="M991" s="14" t="n">
        <v>0</v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220-2023-12-31</t>
        </is>
      </c>
    </row>
    <row r="992" hidden="1">
      <c r="A992" s="26" t="n">
        <v>220</v>
      </c>
      <c r="B992" s="5" t="inlineStr">
        <is>
          <t>Disminución del Consumo de Agua per Cápita</t>
        </is>
      </c>
      <c r="C992" s="5" t="inlineStr">
        <is>
          <t>GESTIÓN AMBIENTAL</t>
        </is>
      </c>
      <c r="D992" s="5" t="inlineStr">
        <is>
          <t>Semestral</t>
        </is>
      </c>
      <c r="E992" s="5" t="inlineStr">
        <is>
          <t>Positivo</t>
        </is>
      </c>
      <c r="F992" s="109" t="n">
        <v>45473</v>
      </c>
      <c r="G992" s="5" t="n">
        <v>2024</v>
      </c>
      <c r="H992" s="5" t="inlineStr">
        <is>
          <t>Junio</t>
        </is>
      </c>
      <c r="I992" s="6" t="inlineStr">
        <is>
          <t>2024-1</t>
        </is>
      </c>
      <c r="J992" s="5" t="n">
        <v>1</v>
      </c>
      <c r="K992" s="9" t="n">
        <v>3.58</v>
      </c>
      <c r="L992" s="14" t="n">
        <v>1.3</v>
      </c>
      <c r="M992" s="14" t="n">
        <v>3.58</v>
      </c>
      <c r="N992" s="5" t="inlineStr">
        <is>
          <t>%</t>
        </is>
      </c>
      <c r="O992" s="5" t="inlineStr">
        <is>
          <t>%</t>
        </is>
      </c>
      <c r="P992" s="15" t="n">
        <v>0</v>
      </c>
      <c r="Q992" s="15" t="n">
        <v>0</v>
      </c>
      <c r="R992" s="5" t="inlineStr">
        <is>
          <t>220-2024-06-30</t>
        </is>
      </c>
    </row>
    <row r="993" hidden="1">
      <c r="A993" s="21" t="n">
        <v>220</v>
      </c>
      <c r="B993" s="5" t="inlineStr">
        <is>
          <t>Disminución del Consumo de Agua per Cápita</t>
        </is>
      </c>
      <c r="C993" s="5" t="inlineStr">
        <is>
          <t>GESTIÓN AMBIENTAL</t>
        </is>
      </c>
      <c r="D993" s="5" t="inlineStr">
        <is>
          <t>Semestral</t>
        </is>
      </c>
      <c r="E993" s="5" t="inlineStr">
        <is>
          <t>Positivo</t>
        </is>
      </c>
      <c r="F993" s="109" t="n">
        <v>45657</v>
      </c>
      <c r="G993" s="5" t="n">
        <v>2024</v>
      </c>
      <c r="H993" s="5" t="inlineStr">
        <is>
          <t>Diciembre</t>
        </is>
      </c>
      <c r="I993" s="6" t="inlineStr">
        <is>
          <t>2024-2</t>
        </is>
      </c>
      <c r="J993" s="5" t="n">
        <v>1</v>
      </c>
      <c r="K993" s="10" t="n">
        <v>13.05</v>
      </c>
      <c r="L993" s="14" t="n">
        <v>1.3</v>
      </c>
      <c r="M993" s="14" t="n">
        <v>13.05</v>
      </c>
      <c r="N993" s="5" t="inlineStr">
        <is>
          <t>%</t>
        </is>
      </c>
      <c r="O993" s="5" t="inlineStr">
        <is>
          <t>%</t>
        </is>
      </c>
      <c r="P993" s="15" t="n">
        <v>0</v>
      </c>
      <c r="Q993" s="15" t="n">
        <v>0</v>
      </c>
      <c r="R993" s="5" t="inlineStr">
        <is>
          <t>220-2024-12-31</t>
        </is>
      </c>
    </row>
    <row r="994" hidden="1">
      <c r="A994" s="26" t="n">
        <v>220</v>
      </c>
      <c r="B994" s="5" t="inlineStr">
        <is>
          <t>Disminución del Consumo de Agua per Cápita</t>
        </is>
      </c>
      <c r="C994" s="5" t="inlineStr">
        <is>
          <t>GESTIÓN AMBIENTAL</t>
        </is>
      </c>
      <c r="D994" s="5" t="inlineStr">
        <is>
          <t>Trimestral</t>
        </is>
      </c>
      <c r="E994" s="5" t="inlineStr">
        <is>
          <t>Positivo</t>
        </is>
      </c>
      <c r="F994" s="109" t="n">
        <v>45838</v>
      </c>
      <c r="G994" s="5" t="n">
        <v>2025</v>
      </c>
      <c r="H994" s="5" t="inlineStr">
        <is>
          <t>Junio</t>
        </is>
      </c>
      <c r="I994" s="6" t="inlineStr">
        <is>
          <t>2025-1</t>
        </is>
      </c>
      <c r="J994" s="5" t="n">
        <v>1</v>
      </c>
      <c r="K994" s="9" t="n">
        <v>33.98</v>
      </c>
      <c r="L994" s="14" t="n">
        <v>1.3</v>
      </c>
      <c r="M994" s="14" t="n">
        <v>33.98</v>
      </c>
      <c r="N994" s="5" t="inlineStr">
        <is>
          <t>%</t>
        </is>
      </c>
      <c r="O994" s="5" t="inlineStr">
        <is>
          <t>%</t>
        </is>
      </c>
      <c r="P994" s="15" t="n">
        <v>0</v>
      </c>
      <c r="Q994" s="15" t="n">
        <v>0</v>
      </c>
      <c r="R994" s="5" t="inlineStr">
        <is>
          <t>220-2025-06-30</t>
        </is>
      </c>
    </row>
    <row r="995" hidden="1">
      <c r="A995" s="21" t="n">
        <v>220</v>
      </c>
      <c r="B995" s="5" t="inlineStr">
        <is>
          <t>Disminución del Consumo de Agua per Cápita</t>
        </is>
      </c>
      <c r="C995" s="5" t="inlineStr">
        <is>
          <t>GESTIÓN AMBIENTAL</t>
        </is>
      </c>
      <c r="D995" s="5" t="inlineStr">
        <is>
          <t>Trimestral</t>
        </is>
      </c>
      <c r="E995" s="5" t="inlineStr">
        <is>
          <t>Positivo</t>
        </is>
      </c>
      <c r="F995" s="109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5" t="n">
        <v>1</v>
      </c>
      <c r="K995" s="10" t="n">
        <v>-10.18</v>
      </c>
      <c r="L995" s="14" t="n">
        <v>0</v>
      </c>
      <c r="M995" s="14" t="n">
        <v>0</v>
      </c>
      <c r="N995" s="5" t="inlineStr">
        <is>
          <t>%</t>
        </is>
      </c>
      <c r="O995" s="5" t="inlineStr">
        <is>
          <t>%</t>
        </is>
      </c>
      <c r="P995" s="15" t="n">
        <v>0</v>
      </c>
      <c r="Q995" s="15" t="n">
        <v>0</v>
      </c>
      <c r="R995" s="5" t="inlineStr">
        <is>
          <t>220-2025-12-31</t>
        </is>
      </c>
    </row>
    <row r="996" hidden="1">
      <c r="A996" s="26" t="n">
        <v>221</v>
      </c>
      <c r="B996" s="5" t="inlineStr">
        <is>
          <t>Riesgo de la Calidad del Agua Potable</t>
        </is>
      </c>
      <c r="C996" s="5" t="inlineStr">
        <is>
          <t>GESTIÓN AMBIENTAL</t>
        </is>
      </c>
      <c r="D996" s="5" t="inlineStr">
        <is>
          <t>Anual</t>
        </is>
      </c>
      <c r="E996" s="5" t="inlineStr">
        <is>
          <t>Positivo</t>
        </is>
      </c>
      <c r="F996" s="109" t="n">
        <v>44926</v>
      </c>
      <c r="G996" s="5" t="n">
        <v>2022</v>
      </c>
      <c r="H996" s="5" t="inlineStr">
        <is>
          <t>Diciembre</t>
        </is>
      </c>
      <c r="I996" s="6" t="inlineStr">
        <is>
          <t>2022-2</t>
        </is>
      </c>
      <c r="J996" s="5" t="n">
        <v>100</v>
      </c>
      <c r="K996" s="9" t="n">
        <v>200</v>
      </c>
      <c r="L996" s="74" t="n">
        <v>1.3</v>
      </c>
      <c r="M996" s="14" t="n">
        <v>2</v>
      </c>
      <c r="N996" s="5" t="inlineStr">
        <is>
          <t>%</t>
        </is>
      </c>
      <c r="O996" s="5" t="inlineStr">
        <is>
          <t>%</t>
        </is>
      </c>
      <c r="P996" s="15" t="n">
        <v>0</v>
      </c>
      <c r="Q996" s="15" t="n">
        <v>0</v>
      </c>
      <c r="R996" s="5" t="inlineStr">
        <is>
          <t>221-2022-12-31</t>
        </is>
      </c>
    </row>
    <row r="997" hidden="1">
      <c r="A997" s="21" t="n">
        <v>221</v>
      </c>
      <c r="B997" s="5" t="inlineStr">
        <is>
          <t>Riesgo de la Calidad del Agua Potable</t>
        </is>
      </c>
      <c r="C997" s="5" t="inlineStr">
        <is>
          <t>GESTIÓN AMBIENTAL</t>
        </is>
      </c>
      <c r="D997" s="5" t="inlineStr">
        <is>
          <t>Anual</t>
        </is>
      </c>
      <c r="E997" s="5" t="inlineStr">
        <is>
          <t>Positivo</t>
        </is>
      </c>
      <c r="F997" s="109" t="n">
        <v>45291</v>
      </c>
      <c r="G997" s="5" t="n">
        <v>2023</v>
      </c>
      <c r="H997" s="5" t="inlineStr">
        <is>
          <t>Diciembre</t>
        </is>
      </c>
      <c r="I997" s="6" t="inlineStr">
        <is>
          <t>2023-2</t>
        </is>
      </c>
      <c r="J997" s="5" t="n">
        <v>100</v>
      </c>
      <c r="K997" s="10" t="n">
        <v>100</v>
      </c>
      <c r="L997" s="14" t="n">
        <v>1</v>
      </c>
      <c r="M997" s="14" t="n">
        <v>1</v>
      </c>
      <c r="N997" s="5" t="inlineStr">
        <is>
          <t>%</t>
        </is>
      </c>
      <c r="O997" s="5" t="inlineStr">
        <is>
          <t>%</t>
        </is>
      </c>
      <c r="P997" s="15" t="n">
        <v>0</v>
      </c>
      <c r="Q997" s="15" t="n">
        <v>0</v>
      </c>
      <c r="R997" s="5" t="inlineStr">
        <is>
          <t>221-2023-12-31</t>
        </is>
      </c>
    </row>
    <row r="998" hidden="1">
      <c r="A998" s="21" t="n">
        <v>221</v>
      </c>
      <c r="B998" s="5" t="inlineStr">
        <is>
          <t>Riesgo de la Calidad del Agua Potable</t>
        </is>
      </c>
      <c r="C998" s="5" t="inlineStr">
        <is>
          <t>GESTIÓN AMBIENTAL</t>
        </is>
      </c>
      <c r="D998" s="5" t="inlineStr">
        <is>
          <t>Anual</t>
        </is>
      </c>
      <c r="E998" s="5" t="inlineStr">
        <is>
          <t>Positivo</t>
        </is>
      </c>
      <c r="F998" s="108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100</v>
      </c>
      <c r="K998" s="96" t="n">
        <v>33.33</v>
      </c>
      <c r="L998" s="14" t="n">
        <v>0.3333</v>
      </c>
      <c r="M998" s="14" t="n">
        <v>0.3333</v>
      </c>
      <c r="N998" s="5" t="n"/>
      <c r="O998" s="5" t="n"/>
      <c r="P998" s="15" t="n">
        <v>0</v>
      </c>
      <c r="Q998" s="15" t="n">
        <v>0</v>
      </c>
      <c r="R998" s="5" t="inlineStr">
        <is>
          <t>221-2024-12-31</t>
        </is>
      </c>
    </row>
    <row r="999" hidden="1">
      <c r="A999" s="26" t="n">
        <v>221</v>
      </c>
      <c r="B999" s="5" t="inlineStr">
        <is>
          <t>Riesgo de la Calidad del Agua Potable</t>
        </is>
      </c>
      <c r="C999" s="5" t="inlineStr">
        <is>
          <t>GESTIÓN AMBIENTAL</t>
        </is>
      </c>
      <c r="D999" s="5" t="inlineStr">
        <is>
          <t>Anual</t>
        </is>
      </c>
      <c r="E999" s="5" t="inlineStr">
        <is>
          <t>Positivo</t>
        </is>
      </c>
      <c r="F999" s="109" t="n">
        <v>46022</v>
      </c>
      <c r="G999" s="5" t="n">
        <v>2025</v>
      </c>
      <c r="H999" s="5" t="inlineStr">
        <is>
          <t>Diciembre</t>
        </is>
      </c>
      <c r="I999" s="6" t="inlineStr">
        <is>
          <t>2025-2</t>
        </is>
      </c>
      <c r="J999" s="5" t="n">
        <v>100</v>
      </c>
      <c r="K999" s="96" t="n">
        <v>27.5</v>
      </c>
      <c r="L999" s="14" t="n">
        <v>0.275</v>
      </c>
      <c r="M999" s="14" t="n">
        <v>0.275</v>
      </c>
      <c r="N999" s="5" t="inlineStr">
        <is>
          <t>%</t>
        </is>
      </c>
      <c r="O999" s="5" t="inlineStr">
        <is>
          <t>%</t>
        </is>
      </c>
      <c r="P999" s="15" t="n">
        <v>0</v>
      </c>
      <c r="Q999" s="15" t="n">
        <v>0</v>
      </c>
      <c r="R999" s="5" t="inlineStr">
        <is>
          <t>221-2025-12-31</t>
        </is>
      </c>
    </row>
    <row r="1000" hidden="1">
      <c r="A1000" s="21" t="n">
        <v>222</v>
      </c>
      <c r="B1000" s="5" t="inlineStr">
        <is>
          <t>Calidad de las Aguas Residuales Domesticas</t>
        </is>
      </c>
      <c r="C1000" s="5" t="inlineStr">
        <is>
          <t>GESTIÓN AMBIENTAL</t>
        </is>
      </c>
      <c r="D1000" s="5" t="inlineStr">
        <is>
          <t>Anual</t>
        </is>
      </c>
      <c r="E1000" s="5" t="inlineStr">
        <is>
          <t>Positivo</t>
        </is>
      </c>
      <c r="F1000" s="108" t="n">
        <v>44926</v>
      </c>
      <c r="G1000" s="5" t="n">
        <v>2022</v>
      </c>
      <c r="H1000" s="5" t="inlineStr">
        <is>
          <t>Diciembre</t>
        </is>
      </c>
      <c r="I1000" s="6" t="inlineStr">
        <is>
          <t>2022-2</t>
        </is>
      </c>
      <c r="J1000" s="5" t="n">
        <v>90</v>
      </c>
      <c r="K1000" s="96" t="n">
        <v>93.75</v>
      </c>
      <c r="L1000" s="14" t="n">
        <v>1.041666666666667</v>
      </c>
      <c r="M1000" s="14" t="n">
        <v>1.041666666666667</v>
      </c>
      <c r="N1000" s="5" t="inlineStr">
        <is>
          <t>%</t>
        </is>
      </c>
      <c r="O1000" s="5" t="inlineStr">
        <is>
          <t>%</t>
        </is>
      </c>
      <c r="P1000" s="15" t="n">
        <v>0</v>
      </c>
      <c r="Q1000" s="15" t="n">
        <v>0</v>
      </c>
      <c r="R1000" s="5" t="inlineStr">
        <is>
          <t>222-2022-12-31</t>
        </is>
      </c>
    </row>
    <row r="1001" hidden="1">
      <c r="A1001" s="21" t="n">
        <v>222</v>
      </c>
      <c r="B1001" s="5" t="inlineStr">
        <is>
          <t>Calidad de las Aguas Residuales Domesticas</t>
        </is>
      </c>
      <c r="C1001" s="5" t="inlineStr">
        <is>
          <t>GESTIÓN AMBIENTAL</t>
        </is>
      </c>
      <c r="D1001" s="5" t="inlineStr">
        <is>
          <t>Anual</t>
        </is>
      </c>
      <c r="E1001" s="5" t="inlineStr">
        <is>
          <t>Positivo</t>
        </is>
      </c>
      <c r="F1001" s="109" t="n">
        <v>45291</v>
      </c>
      <c r="G1001" s="5" t="n">
        <v>2023</v>
      </c>
      <c r="H1001" s="5" t="inlineStr">
        <is>
          <t>Diciembre</t>
        </is>
      </c>
      <c r="I1001" s="6" t="inlineStr">
        <is>
          <t>2023-2</t>
        </is>
      </c>
      <c r="J1001" s="5" t="n">
        <v>90</v>
      </c>
      <c r="K1001" s="10" t="n">
        <v>68.75</v>
      </c>
      <c r="L1001" s="14" t="n">
        <v>0.7638888888888888</v>
      </c>
      <c r="M1001" s="14" t="n">
        <v>0.7638888888888888</v>
      </c>
      <c r="N1001" s="5" t="inlineStr">
        <is>
          <t>%</t>
        </is>
      </c>
      <c r="O1001" s="5" t="inlineStr">
        <is>
          <t>%</t>
        </is>
      </c>
      <c r="P1001" s="15" t="n">
        <v>0</v>
      </c>
      <c r="Q1001" s="15" t="n">
        <v>0</v>
      </c>
      <c r="R1001" s="5" t="inlineStr">
        <is>
          <t>222-2023-12-31</t>
        </is>
      </c>
    </row>
    <row r="1002" hidden="1">
      <c r="A1002" s="26" t="n">
        <v>222</v>
      </c>
      <c r="B1002" s="5" t="inlineStr">
        <is>
          <t>Calidad de las Aguas Residuales Domesticas</t>
        </is>
      </c>
      <c r="C1002" s="5" t="inlineStr">
        <is>
          <t>GESTIÓN AMBIENTAL</t>
        </is>
      </c>
      <c r="D1002" s="5" t="inlineStr">
        <is>
          <t>Anual</t>
        </is>
      </c>
      <c r="E1002" s="5" t="inlineStr">
        <is>
          <t>Positivo</t>
        </is>
      </c>
      <c r="F1002" s="109" t="n">
        <v>45657</v>
      </c>
      <c r="G1002" s="5" t="n">
        <v>2024</v>
      </c>
      <c r="H1002" s="5" t="inlineStr">
        <is>
          <t>Diciembre</t>
        </is>
      </c>
      <c r="I1002" s="6" t="inlineStr">
        <is>
          <t>2024-2</t>
        </is>
      </c>
      <c r="J1002" s="5" t="n">
        <v>90</v>
      </c>
      <c r="K1002" s="9" t="n">
        <v>68.75</v>
      </c>
      <c r="L1002" s="14" t="n">
        <v>0.7638888888888888</v>
      </c>
      <c r="M1002" s="14" t="n">
        <v>0.7638888888888888</v>
      </c>
      <c r="N1002" s="5" t="inlineStr">
        <is>
          <t>%</t>
        </is>
      </c>
      <c r="O1002" s="5" t="inlineStr">
        <is>
          <t>%</t>
        </is>
      </c>
      <c r="P1002" s="15" t="n">
        <v>0</v>
      </c>
      <c r="Q1002" s="15" t="n">
        <v>0</v>
      </c>
      <c r="R1002" s="5" t="inlineStr">
        <is>
          <t>222-2024-12-31</t>
        </is>
      </c>
    </row>
    <row r="1003" hidden="1">
      <c r="A1003" s="21" t="n">
        <v>222</v>
      </c>
      <c r="B1003" s="5" t="inlineStr">
        <is>
          <t>Calidad de las Aguas Residuales Domesticas</t>
        </is>
      </c>
      <c r="C1003" s="5" t="inlineStr">
        <is>
          <t>GESTIÓN AMBIENTAL</t>
        </is>
      </c>
      <c r="D1003" s="5" t="inlineStr">
        <is>
          <t>Anual</t>
        </is>
      </c>
      <c r="E1003" s="5" t="inlineStr">
        <is>
          <t>Positivo</t>
        </is>
      </c>
      <c r="F1003" s="109" t="n">
        <v>46022</v>
      </c>
      <c r="G1003" s="5" t="n">
        <v>2025</v>
      </c>
      <c r="H1003" s="5" t="inlineStr">
        <is>
          <t>Diciembre</t>
        </is>
      </c>
      <c r="I1003" s="6" t="inlineStr">
        <is>
          <t>2025-2</t>
        </is>
      </c>
      <c r="J1003" s="5" t="n">
        <v>90</v>
      </c>
      <c r="K1003" s="10" t="n">
        <v>68.75</v>
      </c>
      <c r="L1003" s="14" t="n">
        <v>0.7638888888888888</v>
      </c>
      <c r="M1003" s="14" t="n">
        <v>0.7638888888888888</v>
      </c>
      <c r="N1003" s="5" t="inlineStr">
        <is>
          <t>%</t>
        </is>
      </c>
      <c r="O1003" s="5" t="inlineStr">
        <is>
          <t>%</t>
        </is>
      </c>
      <c r="P1003" s="15" t="n">
        <v>0</v>
      </c>
      <c r="Q1003" s="15" t="n">
        <v>0</v>
      </c>
      <c r="R1003" s="5" t="inlineStr">
        <is>
          <t>222-2025-12-31</t>
        </is>
      </c>
    </row>
    <row r="1004" hidden="1">
      <c r="A1004" s="26" t="n">
        <v>223</v>
      </c>
      <c r="B1004" s="5" t="inlineStr">
        <is>
          <t>Registro de Publicidad Exterior Visual</t>
        </is>
      </c>
      <c r="C1004" s="5" t="inlineStr">
        <is>
          <t>GESTIÓN AMBIENTAL</t>
        </is>
      </c>
      <c r="D1004" s="5" t="inlineStr">
        <is>
          <t>Anual</t>
        </is>
      </c>
      <c r="E1004" s="5" t="inlineStr">
        <is>
          <t>Positivo</t>
        </is>
      </c>
      <c r="F1004" s="109" t="n">
        <v>44926</v>
      </c>
      <c r="G1004" s="5" t="n">
        <v>2022</v>
      </c>
      <c r="H1004" s="5" t="inlineStr">
        <is>
          <t>Diciembre</t>
        </is>
      </c>
      <c r="I1004" s="6" t="inlineStr">
        <is>
          <t>2022-2</t>
        </is>
      </c>
      <c r="J1004" s="5" t="n">
        <v>100</v>
      </c>
      <c r="K1004" s="9" t="n">
        <v>0</v>
      </c>
      <c r="L1004" s="14" t="n">
        <v>0</v>
      </c>
      <c r="M1004" s="14" t="n">
        <v>0</v>
      </c>
      <c r="N1004" s="5" t="inlineStr">
        <is>
          <t>%</t>
        </is>
      </c>
      <c r="O1004" s="5" t="inlineStr">
        <is>
          <t>%</t>
        </is>
      </c>
      <c r="P1004" s="15" t="n">
        <v>0</v>
      </c>
      <c r="Q1004" s="15" t="n">
        <v>0</v>
      </c>
      <c r="R1004" s="5" t="inlineStr">
        <is>
          <t>223-2022-12-31</t>
        </is>
      </c>
    </row>
    <row r="1005" hidden="1">
      <c r="A1005" s="21" t="n">
        <v>223</v>
      </c>
      <c r="B1005" s="5" t="inlineStr">
        <is>
          <t>Registro de Publicidad Exterior Visual</t>
        </is>
      </c>
      <c r="C1005" s="5" t="inlineStr">
        <is>
          <t>GESTIÓN AMBIENTAL</t>
        </is>
      </c>
      <c r="D1005" s="5" t="inlineStr">
        <is>
          <t>Anual</t>
        </is>
      </c>
      <c r="E1005" s="5" t="inlineStr">
        <is>
          <t>Positivo</t>
        </is>
      </c>
      <c r="F1005" s="109" t="n">
        <v>45291</v>
      </c>
      <c r="G1005" s="5" t="n">
        <v>2023</v>
      </c>
      <c r="H1005" s="5" t="inlineStr">
        <is>
          <t>Diciembre</t>
        </is>
      </c>
      <c r="I1005" s="6" t="inlineStr">
        <is>
          <t>2023-2</t>
        </is>
      </c>
      <c r="J1005" s="5" t="n">
        <v>100</v>
      </c>
      <c r="K1005" s="10" t="n">
        <v>100</v>
      </c>
      <c r="L1005" s="14" t="n">
        <v>1</v>
      </c>
      <c r="M1005" s="14" t="n">
        <v>1</v>
      </c>
      <c r="N1005" s="5" t="inlineStr">
        <is>
          <t>%</t>
        </is>
      </c>
      <c r="O1005" s="5" t="inlineStr">
        <is>
          <t>%</t>
        </is>
      </c>
      <c r="P1005" s="15" t="n">
        <v>0</v>
      </c>
      <c r="Q1005" s="15" t="n">
        <v>0</v>
      </c>
      <c r="R1005" s="5" t="inlineStr">
        <is>
          <t>223-2023-12-31</t>
        </is>
      </c>
    </row>
    <row r="1006" hidden="1">
      <c r="A1006" s="21" t="n">
        <v>223</v>
      </c>
      <c r="B1006" s="5" t="inlineStr">
        <is>
          <t>Registro de Publicidad Exterior Visual</t>
        </is>
      </c>
      <c r="C1006" s="5" t="inlineStr">
        <is>
          <t>GESTIÓN AMBIENTAL</t>
        </is>
      </c>
      <c r="D1006" s="5" t="inlineStr">
        <is>
          <t>Anual</t>
        </is>
      </c>
      <c r="E1006" s="5" t="inlineStr">
        <is>
          <t>Positivo</t>
        </is>
      </c>
      <c r="F1006" s="109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100</v>
      </c>
      <c r="K1006" s="10" t="n">
        <v>94.12</v>
      </c>
      <c r="L1006" s="14" t="n">
        <v>0.9412</v>
      </c>
      <c r="M1006" s="14" t="n">
        <v>0.9412</v>
      </c>
      <c r="N1006" s="5" t="n"/>
      <c r="O1006" s="5" t="n"/>
      <c r="P1006" s="15" t="n">
        <v>0</v>
      </c>
      <c r="Q1006" s="15" t="n">
        <v>0</v>
      </c>
      <c r="R1006" s="5" t="inlineStr">
        <is>
          <t>223-2024-12-31</t>
        </is>
      </c>
    </row>
    <row r="1007" hidden="1">
      <c r="A1007" s="26" t="n">
        <v>223</v>
      </c>
      <c r="B1007" s="5" t="inlineStr">
        <is>
          <t>Registro de Publicidad Exterior Visual</t>
        </is>
      </c>
      <c r="C1007" s="5" t="inlineStr">
        <is>
          <t>GESTIÓN AMBIENTAL</t>
        </is>
      </c>
      <c r="D1007" s="5" t="inlineStr">
        <is>
          <t>Anual</t>
        </is>
      </c>
      <c r="E1007" s="5" t="inlineStr">
        <is>
          <t>Positivo</t>
        </is>
      </c>
      <c r="F1007" s="109" t="n">
        <v>46022</v>
      </c>
      <c r="G1007" s="5" t="n">
        <v>2025</v>
      </c>
      <c r="H1007" s="5" t="inlineStr">
        <is>
          <t>Diciembre</t>
        </is>
      </c>
      <c r="I1007" s="6" t="inlineStr">
        <is>
          <t>2025-2</t>
        </is>
      </c>
      <c r="J1007" s="5" t="n">
        <v>100</v>
      </c>
      <c r="K1007" s="9" t="n">
        <v>91.67</v>
      </c>
      <c r="L1007" s="14" t="n">
        <v>0.9167000000000001</v>
      </c>
      <c r="M1007" s="14" t="n">
        <v>0.9167000000000001</v>
      </c>
      <c r="N1007" s="5" t="inlineStr">
        <is>
          <t>%</t>
        </is>
      </c>
      <c r="O1007" s="5" t="inlineStr">
        <is>
          <t>%</t>
        </is>
      </c>
      <c r="P1007" s="15" t="n">
        <v>0</v>
      </c>
      <c r="Q1007" s="15" t="n">
        <v>0</v>
      </c>
      <c r="R1007" s="5" t="inlineStr">
        <is>
          <t>223-2025-12-31</t>
        </is>
      </c>
    </row>
    <row r="1008" hidden="1">
      <c r="A1008" s="5" t="n">
        <v>224</v>
      </c>
      <c r="B1008" s="5" t="inlineStr">
        <is>
          <t>Cumplimiento Nivel de Emisión de Ruido</t>
        </is>
      </c>
      <c r="C1008" s="5" t="inlineStr">
        <is>
          <t>GESTIÓN AMBIENTAL</t>
        </is>
      </c>
      <c r="D1008" s="5" t="inlineStr">
        <is>
          <t>Anual</t>
        </is>
      </c>
      <c r="E1008" s="5" t="inlineStr">
        <is>
          <t>Positivo</t>
        </is>
      </c>
      <c r="F1008" s="109" t="n">
        <v>44926</v>
      </c>
      <c r="G1008" s="5" t="n">
        <v>2022</v>
      </c>
      <c r="H1008" s="5" t="inlineStr">
        <is>
          <t>Diciembre</t>
        </is>
      </c>
      <c r="I1008" s="6" t="inlineStr">
        <is>
          <t>2022-2</t>
        </is>
      </c>
      <c r="J1008" s="5" t="n">
        <v>100</v>
      </c>
      <c r="K1008" s="5" t="n">
        <v>71.42857142857143</v>
      </c>
      <c r="L1008" s="14" t="n">
        <v>0.7142857142857143</v>
      </c>
      <c r="M1008" s="14" t="n">
        <v>0.7142857142857143</v>
      </c>
      <c r="N1008" s="5" t="inlineStr">
        <is>
          <t>%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224-2022-12-31</t>
        </is>
      </c>
    </row>
    <row r="1009" hidden="1">
      <c r="A1009" s="21" t="n">
        <v>224</v>
      </c>
      <c r="B1009" s="5" t="inlineStr">
        <is>
          <t>Cumplimiento Nivel de Emisión de Ruido</t>
        </is>
      </c>
      <c r="C1009" s="5" t="inlineStr">
        <is>
          <t>GESTIÓN AMBIENTAL</t>
        </is>
      </c>
      <c r="D1009" s="5" t="inlineStr">
        <is>
          <t>Anual</t>
        </is>
      </c>
      <c r="E1009" s="5" t="inlineStr">
        <is>
          <t>Positivo</t>
        </is>
      </c>
      <c r="F1009" s="108" t="n">
        <v>45291</v>
      </c>
      <c r="G1009" s="5" t="n">
        <v>2023</v>
      </c>
      <c r="H1009" s="5" t="inlineStr">
        <is>
          <t>Diciembre</t>
        </is>
      </c>
      <c r="I1009" s="6" t="inlineStr">
        <is>
          <t>2023-2</t>
        </is>
      </c>
      <c r="J1009" s="5" t="n">
        <v>100</v>
      </c>
      <c r="K1009" s="9" t="n">
        <v>40</v>
      </c>
      <c r="L1009" s="14" t="n">
        <v>0.4</v>
      </c>
      <c r="M1009" s="14" t="n">
        <v>0.4</v>
      </c>
      <c r="N1009" s="5" t="inlineStr">
        <is>
          <t>%</t>
        </is>
      </c>
      <c r="O1009" s="5" t="inlineStr">
        <is>
          <t>%</t>
        </is>
      </c>
      <c r="P1009" s="15" t="n">
        <v>0</v>
      </c>
      <c r="Q1009" s="15" t="n">
        <v>0</v>
      </c>
      <c r="R1009" s="5" t="inlineStr">
        <is>
          <t>224-2023-12-31</t>
        </is>
      </c>
    </row>
    <row r="1010" hidden="1">
      <c r="A1010" s="5" t="n">
        <v>224</v>
      </c>
      <c r="B1010" s="5" t="inlineStr">
        <is>
          <t>Cumplimiento Nivel de Emisión de Ruido</t>
        </is>
      </c>
      <c r="C1010" s="5" t="inlineStr">
        <is>
          <t>GESTIÓN AMBIENTAL</t>
        </is>
      </c>
      <c r="D1010" s="5" t="inlineStr">
        <is>
          <t>Anual</t>
        </is>
      </c>
      <c r="E1010" s="5" t="inlineStr">
        <is>
          <t>Positivo</t>
        </is>
      </c>
      <c r="F1010" s="109" t="n">
        <v>45657</v>
      </c>
      <c r="G1010" s="5" t="n">
        <v>2024</v>
      </c>
      <c r="H1010" s="5" t="inlineStr">
        <is>
          <t>Diciembre</t>
        </is>
      </c>
      <c r="I1010" s="6" t="inlineStr">
        <is>
          <t>2024-2</t>
        </is>
      </c>
      <c r="J1010" s="5" t="n">
        <v>100</v>
      </c>
      <c r="K1010" s="5" t="n">
        <v>100</v>
      </c>
      <c r="L1010" s="14" t="n">
        <v>1</v>
      </c>
      <c r="M1010" s="14" t="n">
        <v>1</v>
      </c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224-2024-12-31</t>
        </is>
      </c>
    </row>
    <row r="1011" hidden="1">
      <c r="A1011" s="26" t="n">
        <v>224</v>
      </c>
      <c r="B1011" s="5" t="inlineStr">
        <is>
          <t>Cumplimiento Nivel de Emisión de Ruido</t>
        </is>
      </c>
      <c r="C1011" s="5" t="inlineStr">
        <is>
          <t>GESTIÓN AMBIENTAL</t>
        </is>
      </c>
      <c r="D1011" s="5" t="inlineStr">
        <is>
          <t>Anual</t>
        </is>
      </c>
      <c r="E1011" s="5" t="inlineStr">
        <is>
          <t>Positivo</t>
        </is>
      </c>
      <c r="F1011" s="109" t="n">
        <v>46022</v>
      </c>
      <c r="G1011" s="5" t="n">
        <v>2025</v>
      </c>
      <c r="H1011" s="5" t="inlineStr">
        <is>
          <t>Diciembre</t>
        </is>
      </c>
      <c r="I1011" s="6" t="inlineStr">
        <is>
          <t>2025-2</t>
        </is>
      </c>
      <c r="J1011" s="5" t="n">
        <v>100</v>
      </c>
      <c r="K1011" s="9" t="n">
        <v>100</v>
      </c>
      <c r="L1011" s="14" t="n">
        <v>1</v>
      </c>
      <c r="M1011" s="14" t="n">
        <v>1</v>
      </c>
      <c r="N1011" s="5" t="inlineStr">
        <is>
          <t>%</t>
        </is>
      </c>
      <c r="O1011" s="5" t="inlineStr">
        <is>
          <t>%</t>
        </is>
      </c>
      <c r="P1011" s="15" t="n">
        <v>0</v>
      </c>
      <c r="Q1011" s="15" t="n">
        <v>0</v>
      </c>
      <c r="R1011" s="5" t="inlineStr">
        <is>
          <t>224-2025-12-31</t>
        </is>
      </c>
    </row>
    <row r="1012" hidden="1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9" t="n">
        <v>44592</v>
      </c>
      <c r="G1012" s="5" t="n">
        <v>2022</v>
      </c>
      <c r="H1012" s="5" t="inlineStr">
        <is>
          <t>Enero</t>
        </is>
      </c>
      <c r="I1012" s="6" t="inlineStr">
        <is>
          <t>2022-1</t>
        </is>
      </c>
      <c r="J1012" s="5" t="n">
        <v>1</v>
      </c>
      <c r="K1012" s="9" t="n">
        <v>0</v>
      </c>
      <c r="L1012" s="14" t="n">
        <v>0</v>
      </c>
      <c r="M1012" s="14" t="n">
        <v>0</v>
      </c>
      <c r="N1012" s="5" t="inlineStr">
        <is>
          <t>%</t>
        </is>
      </c>
      <c r="O1012" s="5" t="inlineStr">
        <is>
          <t>%</t>
        </is>
      </c>
      <c r="P1012" s="15" t="n">
        <v>0</v>
      </c>
      <c r="Q1012" s="15" t="n">
        <v>0</v>
      </c>
      <c r="R1012" s="5" t="inlineStr">
        <is>
          <t>225-2022-01-31</t>
        </is>
      </c>
    </row>
    <row r="1013" hidden="1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9" t="n">
        <v>44620</v>
      </c>
      <c r="G1013" s="5" t="n">
        <v>2022</v>
      </c>
      <c r="H1013" s="5" t="inlineStr">
        <is>
          <t>Febrero</t>
        </is>
      </c>
      <c r="I1013" s="6" t="inlineStr">
        <is>
          <t>2022-1</t>
        </is>
      </c>
      <c r="J1013" s="5" t="n">
        <v>1</v>
      </c>
      <c r="K1013" s="9" t="n">
        <v>0</v>
      </c>
      <c r="L1013" s="14" t="n">
        <v>0</v>
      </c>
      <c r="M1013" s="14" t="n">
        <v>0</v>
      </c>
      <c r="N1013" s="5" t="inlineStr">
        <is>
          <t>%</t>
        </is>
      </c>
      <c r="O1013" s="5" t="inlineStr">
        <is>
          <t>%</t>
        </is>
      </c>
      <c r="P1013" s="15" t="n">
        <v>0</v>
      </c>
      <c r="Q1013" s="15" t="n">
        <v>0</v>
      </c>
      <c r="R1013" s="5" t="inlineStr">
        <is>
          <t>225-2022-02-28</t>
        </is>
      </c>
    </row>
    <row r="1014" hidden="1">
      <c r="A1014" s="28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9" t="n">
        <v>44651</v>
      </c>
      <c r="G1014" s="5" t="n">
        <v>2022</v>
      </c>
      <c r="H1014" s="5" t="inlineStr">
        <is>
          <t>Marzo</t>
        </is>
      </c>
      <c r="I1014" s="6" t="inlineStr">
        <is>
          <t>2022-1</t>
        </is>
      </c>
      <c r="J1014" s="5" t="n">
        <v>1</v>
      </c>
      <c r="K1014" s="9" t="n">
        <v>0</v>
      </c>
      <c r="L1014" s="14" t="n">
        <v>0</v>
      </c>
      <c r="M1014" s="14" t="n">
        <v>0</v>
      </c>
      <c r="N1014" s="5" t="inlineStr">
        <is>
          <t>%</t>
        </is>
      </c>
      <c r="O1014" s="5" t="inlineStr">
        <is>
          <t>%</t>
        </is>
      </c>
      <c r="P1014" s="15" t="n">
        <v>0</v>
      </c>
      <c r="Q1014" s="15" t="n">
        <v>0</v>
      </c>
      <c r="R1014" s="5" t="inlineStr">
        <is>
          <t>225-2022-03-31</t>
        </is>
      </c>
    </row>
    <row r="1015" hidden="1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9" t="n">
        <v>44681</v>
      </c>
      <c r="G1015" s="5" t="n">
        <v>2022</v>
      </c>
      <c r="H1015" s="5" t="inlineStr">
        <is>
          <t>Abril</t>
        </is>
      </c>
      <c r="I1015" s="6" t="inlineStr">
        <is>
          <t>2022-1</t>
        </is>
      </c>
      <c r="J1015" s="5" t="n">
        <v>1</v>
      </c>
      <c r="K1015" s="9" t="n">
        <v>0</v>
      </c>
      <c r="L1015" s="14" t="n">
        <v>0</v>
      </c>
      <c r="M1015" s="14" t="n">
        <v>0</v>
      </c>
      <c r="N1015" s="5" t="inlineStr">
        <is>
          <t>%</t>
        </is>
      </c>
      <c r="O1015" s="5" t="inlineStr">
        <is>
          <t>%</t>
        </is>
      </c>
      <c r="P1015" s="15" t="n">
        <v>0</v>
      </c>
      <c r="Q1015" s="15" t="n">
        <v>0</v>
      </c>
      <c r="R1015" s="5" t="inlineStr">
        <is>
          <t>225-2022-04-30</t>
        </is>
      </c>
    </row>
    <row r="1016" hidden="1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9" t="n">
        <v>44712</v>
      </c>
      <c r="G1016" s="5" t="n">
        <v>2022</v>
      </c>
      <c r="H1016" s="5" t="inlineStr">
        <is>
          <t>Mayo</t>
        </is>
      </c>
      <c r="I1016" s="6" t="inlineStr">
        <is>
          <t>2022-1</t>
        </is>
      </c>
      <c r="J1016" s="5" t="n">
        <v>1</v>
      </c>
      <c r="K1016" s="10" t="n">
        <v>0</v>
      </c>
      <c r="L1016" s="14" t="n">
        <v>0</v>
      </c>
      <c r="M1016" s="14" t="n">
        <v>0</v>
      </c>
      <c r="N1016" s="5" t="inlineStr">
        <is>
          <t>%</t>
        </is>
      </c>
      <c r="O1016" s="5" t="inlineStr">
        <is>
          <t>%</t>
        </is>
      </c>
      <c r="P1016" s="15" t="n">
        <v>0</v>
      </c>
      <c r="Q1016" s="15" t="n">
        <v>0</v>
      </c>
      <c r="R1016" s="5" t="inlineStr">
        <is>
          <t>225-2022-05-31</t>
        </is>
      </c>
    </row>
    <row r="1017" hidden="1">
      <c r="A1017" s="5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9" t="n">
        <v>44742</v>
      </c>
      <c r="G1017" s="5" t="n">
        <v>2022</v>
      </c>
      <c r="H1017" s="5" t="inlineStr">
        <is>
          <t>Junio</t>
        </is>
      </c>
      <c r="I1017" s="6" t="inlineStr">
        <is>
          <t>2022-1</t>
        </is>
      </c>
      <c r="J1017" s="5" t="n">
        <v>1</v>
      </c>
      <c r="K1017" s="5" t="n">
        <v>0</v>
      </c>
      <c r="L1017" s="14" t="n">
        <v>0</v>
      </c>
      <c r="M1017" s="14" t="n">
        <v>0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 t="inlineStr">
        <is>
          <t>225-2022-06-30</t>
        </is>
      </c>
    </row>
    <row r="1018" hidden="1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9" t="n">
        <v>44773</v>
      </c>
      <c r="G1018" s="5" t="n">
        <v>2022</v>
      </c>
      <c r="H1018" s="5" t="inlineStr">
        <is>
          <t>Julio</t>
        </is>
      </c>
      <c r="I1018" s="6" t="inlineStr">
        <is>
          <t>2022-2</t>
        </is>
      </c>
      <c r="J1018" s="5" t="n">
        <v>1</v>
      </c>
      <c r="K1018" s="10" t="n">
        <v>0</v>
      </c>
      <c r="L1018" s="14" t="n">
        <v>0</v>
      </c>
      <c r="M1018" s="14" t="n">
        <v>0</v>
      </c>
      <c r="N1018" s="5" t="inlineStr">
        <is>
          <t>%</t>
        </is>
      </c>
      <c r="O1018" s="5" t="inlineStr">
        <is>
          <t>%</t>
        </is>
      </c>
      <c r="P1018" s="15" t="n">
        <v>0</v>
      </c>
      <c r="Q1018" s="15" t="n">
        <v>0</v>
      </c>
      <c r="R1018" s="5" t="inlineStr">
        <is>
          <t>225-2022-07-31</t>
        </is>
      </c>
    </row>
    <row r="1019" hidden="1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9" t="n">
        <v>44804</v>
      </c>
      <c r="G1019" s="5" t="n">
        <v>2022</v>
      </c>
      <c r="H1019" s="5" t="inlineStr">
        <is>
          <t>Agosto</t>
        </is>
      </c>
      <c r="I1019" s="6" t="inlineStr">
        <is>
          <t>2022-2</t>
        </is>
      </c>
      <c r="J1019" s="5" t="n">
        <v>1</v>
      </c>
      <c r="K1019" s="10" t="n">
        <v>0</v>
      </c>
      <c r="L1019" s="14" t="n">
        <v>0</v>
      </c>
      <c r="M1019" s="14" t="n">
        <v>0</v>
      </c>
      <c r="N1019" s="5" t="inlineStr">
        <is>
          <t>%</t>
        </is>
      </c>
      <c r="O1019" s="5" t="inlineStr">
        <is>
          <t>%</t>
        </is>
      </c>
      <c r="P1019" s="15" t="n">
        <v>0</v>
      </c>
      <c r="Q1019" s="15" t="n">
        <v>0</v>
      </c>
      <c r="R1019" s="5" t="inlineStr">
        <is>
          <t>225-2022-08-31</t>
        </is>
      </c>
    </row>
    <row r="1020" hidden="1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8" t="n">
        <v>44834</v>
      </c>
      <c r="G1020" s="5" t="n">
        <v>2022</v>
      </c>
      <c r="H1020" s="5" t="inlineStr">
        <is>
          <t>Septiembre</t>
        </is>
      </c>
      <c r="I1020" s="6" t="inlineStr">
        <is>
          <t>2022-2</t>
        </is>
      </c>
      <c r="J1020" s="73" t="n">
        <v>1</v>
      </c>
      <c r="K1020" s="9" t="n">
        <v>0</v>
      </c>
      <c r="L1020" s="14" t="n">
        <v>0</v>
      </c>
      <c r="M1020" s="14" t="n">
        <v>0</v>
      </c>
      <c r="N1020" s="5" t="inlineStr">
        <is>
          <t>%</t>
        </is>
      </c>
      <c r="O1020" s="5" t="inlineStr">
        <is>
          <t>%</t>
        </is>
      </c>
      <c r="P1020" s="15" t="n">
        <v>0</v>
      </c>
      <c r="Q1020" s="15" t="n">
        <v>0</v>
      </c>
      <c r="R1020" s="5" t="inlineStr">
        <is>
          <t>225-2022-09-30</t>
        </is>
      </c>
    </row>
    <row r="1021" hidden="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9" t="n">
        <v>44865</v>
      </c>
      <c r="G1021" s="5" t="n">
        <v>2022</v>
      </c>
      <c r="H1021" s="5" t="inlineStr">
        <is>
          <t>Octubre</t>
        </is>
      </c>
      <c r="I1021" s="6" t="inlineStr">
        <is>
          <t>2022-2</t>
        </is>
      </c>
      <c r="J1021" s="73" t="n">
        <v>1</v>
      </c>
      <c r="K1021" s="9" t="n">
        <v>0</v>
      </c>
      <c r="L1021" s="14" t="n">
        <v>0</v>
      </c>
      <c r="M1021" s="14" t="n">
        <v>0</v>
      </c>
      <c r="N1021" s="5" t="inlineStr">
        <is>
          <t>%</t>
        </is>
      </c>
      <c r="O1021" s="5" t="inlineStr">
        <is>
          <t>%</t>
        </is>
      </c>
      <c r="P1021" s="15" t="n">
        <v>0</v>
      </c>
      <c r="Q1021" s="15" t="n">
        <v>0</v>
      </c>
      <c r="R1021" s="5" t="inlineStr">
        <is>
          <t>225-2022-10-31</t>
        </is>
      </c>
    </row>
    <row r="1022" hidden="1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9" t="n">
        <v>44895</v>
      </c>
      <c r="G1022" s="5" t="n">
        <v>2022</v>
      </c>
      <c r="H1022" s="5" t="inlineStr">
        <is>
          <t>Noviembre</t>
        </is>
      </c>
      <c r="I1022" s="6" t="inlineStr">
        <is>
          <t>2022-2</t>
        </is>
      </c>
      <c r="J1022" s="73" t="n">
        <v>1</v>
      </c>
      <c r="K1022" s="9" t="n">
        <v>0</v>
      </c>
      <c r="L1022" s="14" t="n">
        <v>0</v>
      </c>
      <c r="M1022" s="14" t="n">
        <v>0</v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225-2022-11-30</t>
        </is>
      </c>
    </row>
    <row r="1023" hidden="1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9" t="n">
        <v>44926</v>
      </c>
      <c r="G1023" s="5" t="n">
        <v>2022</v>
      </c>
      <c r="H1023" s="5" t="inlineStr">
        <is>
          <t>Diciembre</t>
        </is>
      </c>
      <c r="I1023" s="6" t="inlineStr">
        <is>
          <t>2022-2</t>
        </is>
      </c>
      <c r="J1023" s="73" t="n">
        <v>1</v>
      </c>
      <c r="K1023" s="9" t="n">
        <v>0</v>
      </c>
      <c r="L1023" s="14" t="n">
        <v>0</v>
      </c>
      <c r="M1023" s="14" t="n">
        <v>0</v>
      </c>
      <c r="N1023" s="5" t="inlineStr">
        <is>
          <t>%</t>
        </is>
      </c>
      <c r="O1023" s="5" t="inlineStr">
        <is>
          <t>%</t>
        </is>
      </c>
      <c r="P1023" s="15" t="n">
        <v>0</v>
      </c>
      <c r="Q1023" s="15" t="n">
        <v>0</v>
      </c>
      <c r="R1023" s="5" t="inlineStr">
        <is>
          <t>225-2022-12-31</t>
        </is>
      </c>
    </row>
    <row r="1024" hidden="1">
      <c r="A1024" s="21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8" t="n">
        <v>44957</v>
      </c>
      <c r="G1024" s="5" t="n">
        <v>2023</v>
      </c>
      <c r="H1024" s="5" t="inlineStr">
        <is>
          <t>Enero</t>
        </is>
      </c>
      <c r="I1024" s="6" t="inlineStr">
        <is>
          <t>2023-1</t>
        </is>
      </c>
      <c r="J1024" s="5" t="n">
        <v>1</v>
      </c>
      <c r="K1024" s="9" t="n">
        <v>25</v>
      </c>
      <c r="L1024" s="14" t="n">
        <v>1.3</v>
      </c>
      <c r="M1024" s="14" t="n">
        <v>25</v>
      </c>
      <c r="N1024" s="5" t="inlineStr">
        <is>
          <t>ENT</t>
        </is>
      </c>
      <c r="O1024" s="5" t="inlineStr">
        <is>
          <t>ENT</t>
        </is>
      </c>
      <c r="P1024" s="15" t="n">
        <v>0</v>
      </c>
      <c r="Q1024" s="15" t="n">
        <v>0</v>
      </c>
      <c r="R1024" s="5" t="inlineStr">
        <is>
          <t>225-2023-01-31</t>
        </is>
      </c>
    </row>
    <row r="1025" hidden="1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9" t="n">
        <v>44985</v>
      </c>
      <c r="G1025" s="5" t="n">
        <v>2023</v>
      </c>
      <c r="H1025" s="5" t="inlineStr">
        <is>
          <t>Febrero</t>
        </is>
      </c>
      <c r="I1025" s="6" t="inlineStr">
        <is>
          <t>2023-1</t>
        </is>
      </c>
      <c r="J1025" s="5" t="n">
        <v>1</v>
      </c>
      <c r="K1025" s="9" t="n">
        <v>20</v>
      </c>
      <c r="L1025" s="14" t="n">
        <v>1.3</v>
      </c>
      <c r="M1025" s="14" t="n">
        <v>20</v>
      </c>
      <c r="N1025" s="5" t="inlineStr">
        <is>
          <t>ENT</t>
        </is>
      </c>
      <c r="O1025" s="5" t="inlineStr">
        <is>
          <t>ENT</t>
        </is>
      </c>
      <c r="P1025" s="15" t="n">
        <v>0</v>
      </c>
      <c r="Q1025" s="15" t="n">
        <v>0</v>
      </c>
      <c r="R1025" s="5" t="inlineStr">
        <is>
          <t>225-2023-02-28</t>
        </is>
      </c>
    </row>
    <row r="1026" hidden="1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9" t="n">
        <v>45016</v>
      </c>
      <c r="G1026" s="5" t="n">
        <v>2023</v>
      </c>
      <c r="H1026" s="5" t="inlineStr">
        <is>
          <t>Marzo</t>
        </is>
      </c>
      <c r="I1026" s="6" t="inlineStr">
        <is>
          <t>2023-1</t>
        </is>
      </c>
      <c r="J1026" s="5" t="n">
        <v>1</v>
      </c>
      <c r="K1026" s="5" t="n">
        <v>19</v>
      </c>
      <c r="L1026" s="14" t="n">
        <v>1.3</v>
      </c>
      <c r="M1026" s="14" t="n">
        <v>19</v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 t="inlineStr">
        <is>
          <t>225-2023-03-31</t>
        </is>
      </c>
    </row>
    <row r="1027" hidden="1">
      <c r="A1027" s="21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09" t="n">
        <v>45046</v>
      </c>
      <c r="G1027" s="5" t="n">
        <v>2023</v>
      </c>
      <c r="H1027" s="5" t="inlineStr">
        <is>
          <t>Abril</t>
        </is>
      </c>
      <c r="I1027" s="6" t="inlineStr">
        <is>
          <t>2023-1</t>
        </is>
      </c>
      <c r="J1027" s="5" t="n">
        <v>1</v>
      </c>
      <c r="K1027" s="10" t="n">
        <v>20</v>
      </c>
      <c r="L1027" s="14" t="n">
        <v>1.3</v>
      </c>
      <c r="M1027" s="14" t="n">
        <v>20</v>
      </c>
      <c r="N1027" s="5" t="inlineStr">
        <is>
          <t>ENT</t>
        </is>
      </c>
      <c r="O1027" s="5" t="inlineStr">
        <is>
          <t>ENT</t>
        </is>
      </c>
      <c r="P1027" s="15" t="n">
        <v>0</v>
      </c>
      <c r="Q1027" s="15" t="n">
        <v>0</v>
      </c>
      <c r="R1027" s="5" t="inlineStr">
        <is>
          <t>225-2023-04-30</t>
        </is>
      </c>
    </row>
    <row r="1028" hidden="1">
      <c r="A1028" s="26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09" t="n">
        <v>45077</v>
      </c>
      <c r="G1028" s="5" t="n">
        <v>2023</v>
      </c>
      <c r="H1028" s="5" t="inlineStr">
        <is>
          <t>Mayo</t>
        </is>
      </c>
      <c r="I1028" s="6" t="inlineStr">
        <is>
          <t>2023-1</t>
        </is>
      </c>
      <c r="J1028" s="5" t="n">
        <v>1</v>
      </c>
      <c r="K1028" s="9" t="n">
        <v>23</v>
      </c>
      <c r="L1028" s="14" t="n">
        <v>1.3</v>
      </c>
      <c r="M1028" s="14" t="n">
        <v>23</v>
      </c>
      <c r="N1028" s="5" t="inlineStr">
        <is>
          <t>ENT</t>
        </is>
      </c>
      <c r="O1028" s="17" t="inlineStr">
        <is>
          <t>ENT</t>
        </is>
      </c>
      <c r="P1028" s="15" t="n">
        <v>0</v>
      </c>
      <c r="Q1028" s="15" t="n">
        <v>0</v>
      </c>
      <c r="R1028" s="5" t="inlineStr">
        <is>
          <t>225-2023-05-31</t>
        </is>
      </c>
    </row>
    <row r="1029" hidden="1">
      <c r="A1029" s="21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09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>
        <v>1</v>
      </c>
      <c r="K1029" s="10" t="n">
        <v>19</v>
      </c>
      <c r="L1029" s="14" t="n">
        <v>1.3</v>
      </c>
      <c r="M1029" s="14" t="n">
        <v>19</v>
      </c>
      <c r="N1029" s="5" t="inlineStr">
        <is>
          <t>ENT</t>
        </is>
      </c>
      <c r="O1029" s="5" t="inlineStr">
        <is>
          <t>ENT</t>
        </is>
      </c>
      <c r="P1029" s="15" t="n">
        <v>0</v>
      </c>
      <c r="Q1029" s="15" t="n">
        <v>0</v>
      </c>
      <c r="R1029" s="5" t="inlineStr">
        <is>
          <t>225-2023-06-30</t>
        </is>
      </c>
    </row>
    <row r="1030" hidden="1">
      <c r="A1030" s="21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09" t="n">
        <v>45138</v>
      </c>
      <c r="G1030" s="5" t="n">
        <v>2023</v>
      </c>
      <c r="H1030" s="5" t="inlineStr">
        <is>
          <t>Julio</t>
        </is>
      </c>
      <c r="I1030" s="6" t="inlineStr">
        <is>
          <t>2023-2</t>
        </is>
      </c>
      <c r="J1030" s="5" t="n">
        <v>1</v>
      </c>
      <c r="K1030" s="9" t="n">
        <v>20</v>
      </c>
      <c r="L1030" s="14" t="n">
        <v>1.3</v>
      </c>
      <c r="M1030" s="14" t="n">
        <v>20</v>
      </c>
      <c r="N1030" s="5" t="inlineStr">
        <is>
          <t>ENT</t>
        </is>
      </c>
      <c r="O1030" s="5" t="inlineStr">
        <is>
          <t>ENT</t>
        </is>
      </c>
      <c r="P1030" s="15" t="n">
        <v>0</v>
      </c>
      <c r="Q1030" s="15" t="n">
        <v>0</v>
      </c>
      <c r="R1030" s="5" t="inlineStr">
        <is>
          <t>225-2023-07-31</t>
        </is>
      </c>
    </row>
    <row r="1031" hidden="1">
      <c r="A1031" s="21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09" t="n">
        <v>45169</v>
      </c>
      <c r="G1031" s="5" t="n">
        <v>2023</v>
      </c>
      <c r="H1031" s="5" t="inlineStr">
        <is>
          <t>Agosto</t>
        </is>
      </c>
      <c r="I1031" s="6" t="inlineStr">
        <is>
          <t>2023-2</t>
        </is>
      </c>
      <c r="J1031" s="5" t="n">
        <v>1</v>
      </c>
      <c r="K1031" s="9" t="n">
        <v>23</v>
      </c>
      <c r="L1031" s="14" t="n">
        <v>1.3</v>
      </c>
      <c r="M1031" s="14" t="n">
        <v>23</v>
      </c>
      <c r="N1031" s="5" t="inlineStr">
        <is>
          <t>ENT</t>
        </is>
      </c>
      <c r="O1031" s="5" t="inlineStr">
        <is>
          <t>ENT</t>
        </is>
      </c>
      <c r="P1031" s="15" t="n">
        <v>0</v>
      </c>
      <c r="Q1031" s="15" t="n">
        <v>0</v>
      </c>
      <c r="R1031" s="5" t="inlineStr">
        <is>
          <t>225-2023-08-31</t>
        </is>
      </c>
    </row>
    <row r="1032" hidden="1">
      <c r="A1032" s="28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09" t="n">
        <v>45199</v>
      </c>
      <c r="G1032" s="5" t="n">
        <v>2023</v>
      </c>
      <c r="H1032" s="5" t="inlineStr">
        <is>
          <t>Septiembre</t>
        </is>
      </c>
      <c r="I1032" s="6" t="inlineStr">
        <is>
          <t>2023-2</t>
        </is>
      </c>
      <c r="J1032" s="5" t="n">
        <v>1</v>
      </c>
      <c r="K1032" s="9" t="n">
        <v>21</v>
      </c>
      <c r="L1032" s="14" t="n">
        <v>1.3</v>
      </c>
      <c r="M1032" s="14" t="n">
        <v>21</v>
      </c>
      <c r="N1032" s="5" t="inlineStr">
        <is>
          <t>ENT</t>
        </is>
      </c>
      <c r="O1032" s="5" t="inlineStr">
        <is>
          <t>ENT</t>
        </is>
      </c>
      <c r="P1032" s="15" t="n">
        <v>0</v>
      </c>
      <c r="Q1032" s="15" t="n">
        <v>0</v>
      </c>
      <c r="R1032" s="5" t="inlineStr">
        <is>
          <t>225-2023-09-30</t>
        </is>
      </c>
    </row>
    <row r="1033" hidden="1">
      <c r="A1033" s="26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09" t="n">
        <v>45230</v>
      </c>
      <c r="G1033" s="5" t="n">
        <v>2023</v>
      </c>
      <c r="H1033" s="5" t="inlineStr">
        <is>
          <t>Octubre</t>
        </is>
      </c>
      <c r="I1033" s="6" t="inlineStr">
        <is>
          <t>2023-2</t>
        </is>
      </c>
      <c r="J1033" s="5" t="n">
        <v>1</v>
      </c>
      <c r="K1033" s="9" t="n">
        <v>19</v>
      </c>
      <c r="L1033" s="14" t="n">
        <v>1.3</v>
      </c>
      <c r="M1033" s="14" t="n">
        <v>19</v>
      </c>
      <c r="N1033" s="5" t="inlineStr">
        <is>
          <t>ENT</t>
        </is>
      </c>
      <c r="O1033" s="5" t="inlineStr">
        <is>
          <t>ENT</t>
        </is>
      </c>
      <c r="P1033" s="15" t="n">
        <v>0</v>
      </c>
      <c r="Q1033" s="15" t="n">
        <v>0</v>
      </c>
      <c r="R1033" s="5" t="inlineStr">
        <is>
          <t>225-2023-10-31</t>
        </is>
      </c>
    </row>
    <row r="1034" hidden="1">
      <c r="A1034" s="21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09" t="n">
        <v>45260</v>
      </c>
      <c r="G1034" s="5" t="n">
        <v>2023</v>
      </c>
      <c r="H1034" s="5" t="inlineStr">
        <is>
          <t>Noviembre</t>
        </is>
      </c>
      <c r="I1034" s="6" t="inlineStr">
        <is>
          <t>2023-2</t>
        </is>
      </c>
      <c r="J1034" s="5" t="n">
        <v>1</v>
      </c>
      <c r="K1034" s="10" t="n">
        <v>18</v>
      </c>
      <c r="L1034" s="14" t="n">
        <v>1.3</v>
      </c>
      <c r="M1034" s="14" t="n">
        <v>18</v>
      </c>
      <c r="N1034" s="5" t="inlineStr">
        <is>
          <t>ENT</t>
        </is>
      </c>
      <c r="O1034" s="5" t="inlineStr">
        <is>
          <t>ENT</t>
        </is>
      </c>
      <c r="P1034" s="15" t="n">
        <v>0</v>
      </c>
      <c r="Q1034" s="15" t="n">
        <v>0</v>
      </c>
      <c r="R1034" s="5" t="inlineStr">
        <is>
          <t>225-2023-11-30</t>
        </is>
      </c>
    </row>
    <row r="1035" hidden="1">
      <c r="A1035" s="5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09" t="n">
        <v>45291</v>
      </c>
      <c r="G1035" s="5" t="n">
        <v>2023</v>
      </c>
      <c r="H1035" s="5" t="inlineStr">
        <is>
          <t>Diciembre</t>
        </is>
      </c>
      <c r="I1035" s="6" t="inlineStr">
        <is>
          <t>2023-2</t>
        </is>
      </c>
      <c r="J1035" s="5" t="n">
        <v>1</v>
      </c>
      <c r="K1035" s="5" t="n">
        <v>18</v>
      </c>
      <c r="L1035" s="14" t="n">
        <v>1.3</v>
      </c>
      <c r="M1035" s="14" t="n">
        <v>18</v>
      </c>
      <c r="N1035" s="5" t="inlineStr">
        <is>
          <t>ENT</t>
        </is>
      </c>
      <c r="O1035" s="5" t="inlineStr">
        <is>
          <t>ENT</t>
        </is>
      </c>
      <c r="P1035" s="5" t="n">
        <v>0</v>
      </c>
      <c r="Q1035" s="5" t="n">
        <v>0</v>
      </c>
      <c r="R1035" s="5" t="inlineStr">
        <is>
          <t>225-2023-12-31</t>
        </is>
      </c>
    </row>
    <row r="1036" hidden="1">
      <c r="A1036" s="21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09" t="n">
        <v>45322</v>
      </c>
      <c r="G1036" s="5" t="n">
        <v>2024</v>
      </c>
      <c r="H1036" s="5" t="inlineStr">
        <is>
          <t>Enero</t>
        </is>
      </c>
      <c r="I1036" s="6" t="inlineStr">
        <is>
          <t>2024-1</t>
        </is>
      </c>
      <c r="J1036" s="5" t="n">
        <v>1</v>
      </c>
      <c r="K1036" s="10" t="n">
        <v>20</v>
      </c>
      <c r="L1036" s="14" t="n">
        <v>1.3</v>
      </c>
      <c r="M1036" s="14" t="n">
        <v>20</v>
      </c>
      <c r="N1036" s="5" t="inlineStr">
        <is>
          <t>ENT</t>
        </is>
      </c>
      <c r="O1036" s="5" t="inlineStr">
        <is>
          <t>ENT</t>
        </is>
      </c>
      <c r="P1036" s="15" t="n">
        <v>0</v>
      </c>
      <c r="Q1036" s="15" t="n">
        <v>0</v>
      </c>
      <c r="R1036" s="5" t="inlineStr">
        <is>
          <t>225-2024-01-31</t>
        </is>
      </c>
    </row>
    <row r="1037" hidden="1">
      <c r="A1037" s="21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09" t="n">
        <v>45351</v>
      </c>
      <c r="G1037" s="5" t="n">
        <v>2024</v>
      </c>
      <c r="H1037" s="5" t="inlineStr">
        <is>
          <t>Febrero</t>
        </is>
      </c>
      <c r="I1037" s="6" t="inlineStr">
        <is>
          <t>2024-1</t>
        </is>
      </c>
      <c r="J1037" s="5" t="n">
        <v>1</v>
      </c>
      <c r="K1037" s="10" t="n">
        <v>19</v>
      </c>
      <c r="L1037" s="14" t="n">
        <v>1.3</v>
      </c>
      <c r="M1037" s="14" t="n">
        <v>19</v>
      </c>
      <c r="N1037" s="5" t="inlineStr">
        <is>
          <t>ENT</t>
        </is>
      </c>
      <c r="O1037" s="5" t="inlineStr">
        <is>
          <t>ENT</t>
        </is>
      </c>
      <c r="P1037" s="15" t="n">
        <v>0</v>
      </c>
      <c r="Q1037" s="15" t="n">
        <v>0</v>
      </c>
      <c r="R1037" s="5" t="inlineStr">
        <is>
          <t>225-2024-02-29</t>
        </is>
      </c>
    </row>
    <row r="1038" hidden="1">
      <c r="A1038" s="21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09" t="n">
        <v>45382</v>
      </c>
      <c r="G1038" s="5" t="n">
        <v>2024</v>
      </c>
      <c r="H1038" s="5" t="inlineStr">
        <is>
          <t>Marzo</t>
        </is>
      </c>
      <c r="I1038" s="6" t="inlineStr">
        <is>
          <t>2024-1</t>
        </is>
      </c>
      <c r="J1038" s="5" t="n">
        <v>1</v>
      </c>
      <c r="K1038" s="9" t="n">
        <v>23</v>
      </c>
      <c r="L1038" s="14" t="n">
        <v>1.3</v>
      </c>
      <c r="M1038" s="14" t="n">
        <v>23</v>
      </c>
      <c r="N1038" s="5" t="inlineStr">
        <is>
          <t>ENT</t>
        </is>
      </c>
      <c r="O1038" s="5" t="inlineStr">
        <is>
          <t>ENT</t>
        </is>
      </c>
      <c r="P1038" s="15" t="n">
        <v>0</v>
      </c>
      <c r="Q1038" s="15" t="n">
        <v>0</v>
      </c>
      <c r="R1038" s="5" t="inlineStr">
        <is>
          <t>225-2024-03-31</t>
        </is>
      </c>
    </row>
    <row r="1039" hidden="1">
      <c r="A1039" s="21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09" t="n">
        <v>45412</v>
      </c>
      <c r="G1039" s="5" t="n">
        <v>2024</v>
      </c>
      <c r="H1039" s="5" t="inlineStr">
        <is>
          <t>Abril</t>
        </is>
      </c>
      <c r="I1039" s="6" t="inlineStr">
        <is>
          <t>2024-1</t>
        </is>
      </c>
      <c r="J1039" s="5" t="n">
        <v>1</v>
      </c>
      <c r="K1039" s="9" t="n">
        <v>20</v>
      </c>
      <c r="L1039" s="14" t="n">
        <v>1.3</v>
      </c>
      <c r="M1039" s="14" t="n">
        <v>20</v>
      </c>
      <c r="N1039" s="5" t="inlineStr">
        <is>
          <t>ENT</t>
        </is>
      </c>
      <c r="O1039" s="5" t="inlineStr">
        <is>
          <t>ENT</t>
        </is>
      </c>
      <c r="P1039" s="15" t="n">
        <v>0</v>
      </c>
      <c r="Q1039" s="15" t="n">
        <v>0</v>
      </c>
      <c r="R1039" s="5" t="inlineStr">
        <is>
          <t>225-2024-04-30</t>
        </is>
      </c>
    </row>
    <row r="1040" hidden="1">
      <c r="A1040" s="28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09" t="n">
        <v>45443</v>
      </c>
      <c r="G1040" s="5" t="n">
        <v>2024</v>
      </c>
      <c r="H1040" s="5" t="inlineStr">
        <is>
          <t>Mayo</t>
        </is>
      </c>
      <c r="I1040" s="6" t="inlineStr">
        <is>
          <t>2024-1</t>
        </is>
      </c>
      <c r="J1040" s="5" t="n">
        <v>1</v>
      </c>
      <c r="K1040" s="9" t="n">
        <v>20</v>
      </c>
      <c r="L1040" s="14" t="n">
        <v>1.3</v>
      </c>
      <c r="M1040" s="14" t="n">
        <v>20</v>
      </c>
      <c r="N1040" s="5" t="inlineStr">
        <is>
          <t>ENT</t>
        </is>
      </c>
      <c r="O1040" s="5" t="inlineStr">
        <is>
          <t>ENT</t>
        </is>
      </c>
      <c r="P1040" s="15" t="n">
        <v>0</v>
      </c>
      <c r="Q1040" s="15" t="n">
        <v>0</v>
      </c>
      <c r="R1040" s="5" t="inlineStr">
        <is>
          <t>225-2024-05-31</t>
        </is>
      </c>
    </row>
    <row r="1041" hidden="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09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1</v>
      </c>
      <c r="K1041" s="9" t="n">
        <v>21</v>
      </c>
      <c r="L1041" s="14" t="n">
        <v>1.3</v>
      </c>
      <c r="M1041" s="14" t="n">
        <v>21</v>
      </c>
      <c r="N1041" s="5" t="inlineStr">
        <is>
          <t>ENT</t>
        </is>
      </c>
      <c r="O1041" s="5" t="inlineStr">
        <is>
          <t>ENT</t>
        </is>
      </c>
      <c r="P1041" s="15" t="n">
        <v>0</v>
      </c>
      <c r="Q1041" s="15" t="n">
        <v>0</v>
      </c>
      <c r="R1041" s="5" t="inlineStr">
        <is>
          <t>225-2024-06-30</t>
        </is>
      </c>
    </row>
    <row r="1042" hidden="1">
      <c r="A1042" s="21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09" t="n">
        <v>45504</v>
      </c>
      <c r="G1042" s="5" t="n">
        <v>2024</v>
      </c>
      <c r="H1042" s="5" t="inlineStr">
        <is>
          <t>Julio</t>
        </is>
      </c>
      <c r="I1042" s="6" t="inlineStr">
        <is>
          <t>2024-2</t>
        </is>
      </c>
      <c r="J1042" s="5" t="n">
        <v>1</v>
      </c>
      <c r="K1042" s="10" t="n">
        <v>20</v>
      </c>
      <c r="L1042" s="14" t="n">
        <v>1.3</v>
      </c>
      <c r="M1042" s="14" t="n">
        <v>20</v>
      </c>
      <c r="N1042" s="5" t="inlineStr">
        <is>
          <t>ENT</t>
        </is>
      </c>
      <c r="O1042" s="5" t="inlineStr">
        <is>
          <t>ENT</t>
        </is>
      </c>
      <c r="P1042" s="15" t="n">
        <v>0</v>
      </c>
      <c r="Q1042" s="15" t="n">
        <v>0</v>
      </c>
      <c r="R1042" s="5" t="inlineStr">
        <is>
          <t>225-2024-07-31</t>
        </is>
      </c>
    </row>
    <row r="1043" hidden="1">
      <c r="A1043" s="5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09" t="n">
        <v>45535</v>
      </c>
      <c r="G1043" s="5" t="n">
        <v>2024</v>
      </c>
      <c r="H1043" s="5" t="inlineStr">
        <is>
          <t>Agosto</t>
        </is>
      </c>
      <c r="I1043" s="6" t="inlineStr">
        <is>
          <t>2024-2</t>
        </is>
      </c>
      <c r="J1043" s="5" t="n">
        <v>1</v>
      </c>
      <c r="K1043" s="5" t="n">
        <v>21</v>
      </c>
      <c r="L1043" s="14" t="n">
        <v>1.3</v>
      </c>
      <c r="M1043" s="14" t="n">
        <v>21</v>
      </c>
      <c r="N1043" s="5" t="inlineStr">
        <is>
          <t>ENT</t>
        </is>
      </c>
      <c r="O1043" s="5" t="inlineStr">
        <is>
          <t>ENT</t>
        </is>
      </c>
      <c r="P1043" s="5" t="n">
        <v>0</v>
      </c>
      <c r="Q1043" s="5" t="n">
        <v>0</v>
      </c>
      <c r="R1043" s="5" t="inlineStr">
        <is>
          <t>225-2024-08-31</t>
        </is>
      </c>
    </row>
    <row r="1044" hidden="1">
      <c r="A1044" s="21" t="n">
        <v>225</v>
      </c>
      <c r="B1044" s="5" t="inlineStr">
        <is>
          <t>Acciones para el Cuidado y Mantenimiento de las Especies de Flora y el Suelo de las Áreas Naturales</t>
        </is>
      </c>
      <c r="C1044" s="5" t="inlineStr">
        <is>
          <t>GESTIÓN AMBIENTAL</t>
        </is>
      </c>
      <c r="D1044" s="5" t="inlineStr">
        <is>
          <t>Mensual</t>
        </is>
      </c>
      <c r="E1044" s="5" t="inlineStr">
        <is>
          <t>Positivo</t>
        </is>
      </c>
      <c r="F1044" s="109" t="n">
        <v>45565</v>
      </c>
      <c r="G1044" s="5" t="n">
        <v>2024</v>
      </c>
      <c r="H1044" s="5" t="inlineStr">
        <is>
          <t>Septiembre</t>
        </is>
      </c>
      <c r="I1044" s="6" t="inlineStr">
        <is>
          <t>2024-2</t>
        </is>
      </c>
      <c r="J1044" s="5" t="n">
        <v>1</v>
      </c>
      <c r="K1044" s="10" t="n">
        <v>22</v>
      </c>
      <c r="L1044" s="14" t="n">
        <v>1.3</v>
      </c>
      <c r="M1044" s="14" t="n">
        <v>22</v>
      </c>
      <c r="N1044" s="5" t="inlineStr">
        <is>
          <t>ENT</t>
        </is>
      </c>
      <c r="O1044" s="5" t="inlineStr">
        <is>
          <t>ENT</t>
        </is>
      </c>
      <c r="P1044" s="15" t="n">
        <v>0</v>
      </c>
      <c r="Q1044" s="15" t="n">
        <v>0</v>
      </c>
      <c r="R1044" s="5" t="inlineStr">
        <is>
          <t>225-2024-09-30</t>
        </is>
      </c>
    </row>
    <row r="1045" hidden="1">
      <c r="A1045" s="21" t="n">
        <v>225</v>
      </c>
      <c r="B1045" s="5" t="inlineStr">
        <is>
          <t>Acciones para el Cuidado y Mantenimiento de las Especies de Flora y el Suelo de las Áreas Naturales</t>
        </is>
      </c>
      <c r="C1045" s="5" t="inlineStr">
        <is>
          <t>GESTIÓN AMBIENTAL</t>
        </is>
      </c>
      <c r="D1045" s="5" t="inlineStr">
        <is>
          <t>Mensual</t>
        </is>
      </c>
      <c r="E1045" s="5" t="inlineStr">
        <is>
          <t>Positivo</t>
        </is>
      </c>
      <c r="F1045" s="109" t="n">
        <v>45596</v>
      </c>
      <c r="G1045" s="5" t="n">
        <v>2024</v>
      </c>
      <c r="H1045" s="5" t="inlineStr">
        <is>
          <t>Octubre</t>
        </is>
      </c>
      <c r="I1045" s="6" t="inlineStr">
        <is>
          <t>2024-2</t>
        </is>
      </c>
      <c r="J1045" s="5" t="n">
        <v>1</v>
      </c>
      <c r="K1045" s="10" t="n">
        <v>20</v>
      </c>
      <c r="L1045" s="14" t="n">
        <v>1.3</v>
      </c>
      <c r="M1045" s="14" t="n">
        <v>20</v>
      </c>
      <c r="N1045" s="5" t="inlineStr">
        <is>
          <t>ENT</t>
        </is>
      </c>
      <c r="O1045" s="5" t="inlineStr">
        <is>
          <t>ENT</t>
        </is>
      </c>
      <c r="P1045" s="15" t="n">
        <v>0</v>
      </c>
      <c r="Q1045" s="15" t="n">
        <v>0</v>
      </c>
      <c r="R1045" s="5" t="inlineStr">
        <is>
          <t>225-2024-10-31</t>
        </is>
      </c>
    </row>
    <row r="1046" hidden="1">
      <c r="A1046" s="21" t="n">
        <v>225</v>
      </c>
      <c r="B1046" s="5" t="inlineStr">
        <is>
          <t>Acciones para el Cuidado y Mantenimiento de las Especies de Flora y el Suelo de las Áreas Naturales</t>
        </is>
      </c>
      <c r="C1046" s="5" t="inlineStr">
        <is>
          <t>GESTIÓN AMBIENTAL</t>
        </is>
      </c>
      <c r="D1046" s="5" t="inlineStr">
        <is>
          <t>Mensual</t>
        </is>
      </c>
      <c r="E1046" s="5" t="inlineStr">
        <is>
          <t>Positivo</t>
        </is>
      </c>
      <c r="F1046" s="109" t="n">
        <v>45626</v>
      </c>
      <c r="G1046" s="5" t="n">
        <v>2024</v>
      </c>
      <c r="H1046" s="5" t="inlineStr">
        <is>
          <t>Noviembre</t>
        </is>
      </c>
      <c r="I1046" s="6" t="inlineStr">
        <is>
          <t>2024-2</t>
        </is>
      </c>
      <c r="J1046" s="5" t="n">
        <v>1</v>
      </c>
      <c r="K1046" s="97" t="n">
        <v>22</v>
      </c>
      <c r="L1046" s="14" t="n">
        <v>1.3</v>
      </c>
      <c r="M1046" s="14" t="n">
        <v>22</v>
      </c>
      <c r="N1046" s="5" t="inlineStr">
        <is>
          <t>ENT</t>
        </is>
      </c>
      <c r="O1046" s="5" t="inlineStr">
        <is>
          <t>ENT</t>
        </is>
      </c>
      <c r="P1046" s="15" t="n">
        <v>0</v>
      </c>
      <c r="Q1046" s="15" t="n">
        <v>0</v>
      </c>
      <c r="R1046" s="5" t="inlineStr">
        <is>
          <t>225-2024-11-30</t>
        </is>
      </c>
    </row>
    <row r="1047" hidden="1">
      <c r="A1047" s="21" t="n">
        <v>225</v>
      </c>
      <c r="B1047" s="5" t="inlineStr">
        <is>
          <t>Acciones para el Cuidado y Mantenimiento de las Especies de Flora y el Suelo de las Áreas Naturales</t>
        </is>
      </c>
      <c r="C1047" s="5" t="inlineStr">
        <is>
          <t>GESTIÓN AMBIENTAL</t>
        </is>
      </c>
      <c r="D1047" s="5" t="inlineStr">
        <is>
          <t>Mensual</t>
        </is>
      </c>
      <c r="E1047" s="5" t="inlineStr">
        <is>
          <t>Positivo</t>
        </is>
      </c>
      <c r="F1047" s="109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1</v>
      </c>
      <c r="K1047" s="97" t="n">
        <v>18</v>
      </c>
      <c r="L1047" s="14" t="n">
        <v>1.3</v>
      </c>
      <c r="M1047" s="14" t="n">
        <v>18</v>
      </c>
      <c r="N1047" s="5" t="inlineStr">
        <is>
          <t>ENT</t>
        </is>
      </c>
      <c r="O1047" s="5" t="inlineStr">
        <is>
          <t>ENT</t>
        </is>
      </c>
      <c r="P1047" s="15" t="n">
        <v>0</v>
      </c>
      <c r="Q1047" s="15" t="n">
        <v>0</v>
      </c>
      <c r="R1047" s="5" t="inlineStr">
        <is>
          <t>225-2024-12-31</t>
        </is>
      </c>
    </row>
    <row r="1048" hidden="1">
      <c r="A1048" s="28" t="n">
        <v>225</v>
      </c>
      <c r="B1048" s="5" t="inlineStr">
        <is>
          <t>Acciones para el Cuidado y Mantenimiento de las Especies de Flora y el Suelo de las Áreas Naturales</t>
        </is>
      </c>
      <c r="C1048" s="5" t="inlineStr">
        <is>
          <t>GESTIÓN AMBIENTAL</t>
        </is>
      </c>
      <c r="D1048" s="5" t="inlineStr">
        <is>
          <t>Mensual</t>
        </is>
      </c>
      <c r="E1048" s="5" t="inlineStr">
        <is>
          <t>Positivo</t>
        </is>
      </c>
      <c r="F1048" s="109" t="n">
        <v>45688</v>
      </c>
      <c r="G1048" s="5" t="n">
        <v>2025</v>
      </c>
      <c r="H1048" s="5" t="inlineStr">
        <is>
          <t>Enero</t>
        </is>
      </c>
      <c r="I1048" s="6" t="inlineStr">
        <is>
          <t>2025-1</t>
        </is>
      </c>
      <c r="J1048" s="5" t="n">
        <v>1</v>
      </c>
      <c r="K1048" s="97" t="n">
        <v>22</v>
      </c>
      <c r="L1048" s="14" t="n">
        <v>1.3</v>
      </c>
      <c r="M1048" s="14" t="n">
        <v>22</v>
      </c>
      <c r="N1048" s="5" t="inlineStr">
        <is>
          <t>%</t>
        </is>
      </c>
      <c r="O1048" s="5" t="inlineStr">
        <is>
          <t>%</t>
        </is>
      </c>
      <c r="P1048" s="15" t="n">
        <v>0</v>
      </c>
      <c r="Q1048" s="15" t="n">
        <v>0</v>
      </c>
      <c r="R1048" s="5" t="inlineStr">
        <is>
          <t>225-2025-01-31</t>
        </is>
      </c>
    </row>
    <row r="1049" hidden="1">
      <c r="A1049" s="26" t="n">
        <v>225</v>
      </c>
      <c r="B1049" s="5" t="inlineStr">
        <is>
          <t>Acciones para el Cuidado y Mantenimiento de las Especies de Flora y el Suelo de las Áreas Naturales</t>
        </is>
      </c>
      <c r="C1049" s="5" t="inlineStr">
        <is>
          <t>GESTIÓN AMBIENTAL</t>
        </is>
      </c>
      <c r="D1049" s="5" t="inlineStr">
        <is>
          <t>Mensual</t>
        </is>
      </c>
      <c r="E1049" s="5" t="inlineStr">
        <is>
          <t>Positivo</t>
        </is>
      </c>
      <c r="F1049" s="109" t="n">
        <v>45716</v>
      </c>
      <c r="G1049" s="5" t="n">
        <v>2025</v>
      </c>
      <c r="H1049" s="5" t="inlineStr">
        <is>
          <t>Febrero</t>
        </is>
      </c>
      <c r="I1049" s="6" t="inlineStr">
        <is>
          <t>2025-1</t>
        </is>
      </c>
      <c r="J1049" s="5" t="n">
        <v>1</v>
      </c>
      <c r="K1049" s="97" t="n">
        <v>20</v>
      </c>
      <c r="L1049" s="14" t="n">
        <v>1.3</v>
      </c>
      <c r="M1049" s="14" t="n">
        <v>20</v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225-2025-02-28</t>
        </is>
      </c>
    </row>
    <row r="1050" hidden="1">
      <c r="A1050" s="21" t="n">
        <v>225</v>
      </c>
      <c r="B1050" s="5" t="inlineStr">
        <is>
          <t>Acciones para el Cuidado y Mantenimiento de las Especies de Flora y el Suelo de las Áreas Naturales</t>
        </is>
      </c>
      <c r="C1050" s="5" t="inlineStr">
        <is>
          <t>GESTIÓN AMBIENTAL</t>
        </is>
      </c>
      <c r="D1050" s="5" t="inlineStr">
        <is>
          <t>Mensual</t>
        </is>
      </c>
      <c r="E1050" s="5" t="inlineStr">
        <is>
          <t>Positivo</t>
        </is>
      </c>
      <c r="F1050" s="109" t="n">
        <v>45747</v>
      </c>
      <c r="G1050" s="5" t="n">
        <v>2025</v>
      </c>
      <c r="H1050" s="5" t="inlineStr">
        <is>
          <t>Marzo</t>
        </is>
      </c>
      <c r="I1050" s="6" t="inlineStr">
        <is>
          <t>2025-1</t>
        </is>
      </c>
      <c r="J1050" s="5" t="n">
        <v>1</v>
      </c>
      <c r="K1050" s="10" t="n">
        <v>21</v>
      </c>
      <c r="L1050" s="14" t="n">
        <v>1.3</v>
      </c>
      <c r="M1050" s="14" t="n">
        <v>21</v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225-2025-03-31</t>
        </is>
      </c>
    </row>
    <row r="1051" hidden="1">
      <c r="A1051" s="5" t="n">
        <v>225</v>
      </c>
      <c r="B1051" s="5" t="inlineStr">
        <is>
          <t>Acciones para el Cuidado y Mantenimiento de las Especies de Flora y el Suelo de las Áreas Naturales</t>
        </is>
      </c>
      <c r="C1051" s="5" t="inlineStr">
        <is>
          <t>GESTIÓN AMBIENTAL</t>
        </is>
      </c>
      <c r="D1051" s="5" t="inlineStr">
        <is>
          <t>Mensual</t>
        </is>
      </c>
      <c r="E1051" s="5" t="inlineStr">
        <is>
          <t>Positivo</t>
        </is>
      </c>
      <c r="F1051" s="109" t="n">
        <v>45777</v>
      </c>
      <c r="G1051" s="5" t="n">
        <v>2025</v>
      </c>
      <c r="H1051" s="5" t="inlineStr">
        <is>
          <t>Abril</t>
        </is>
      </c>
      <c r="I1051" s="6" t="inlineStr">
        <is>
          <t>2025-1</t>
        </is>
      </c>
      <c r="J1051" s="5" t="n">
        <v>1</v>
      </c>
      <c r="K1051" s="5" t="n">
        <v>26</v>
      </c>
      <c r="L1051" s="14" t="n">
        <v>1.3</v>
      </c>
      <c r="M1051" s="14" t="n">
        <v>26</v>
      </c>
      <c r="N1051" s="5" t="inlineStr">
        <is>
          <t>%</t>
        </is>
      </c>
      <c r="O1051" s="5" t="inlineStr">
        <is>
          <t>%</t>
        </is>
      </c>
      <c r="P1051" s="15" t="n">
        <v>0</v>
      </c>
      <c r="Q1051" s="5" t="n">
        <v>0</v>
      </c>
      <c r="R1051" s="5" t="inlineStr">
        <is>
          <t>225-2025-04-30</t>
        </is>
      </c>
    </row>
    <row r="1052" hidden="1">
      <c r="A1052" s="21" t="n">
        <v>225</v>
      </c>
      <c r="B1052" s="5" t="inlineStr">
        <is>
          <t>Acciones para el Cuidado y Mantenimiento de las Especies de Flora y el Suelo de las Áreas Naturales</t>
        </is>
      </c>
      <c r="C1052" s="5" t="inlineStr">
        <is>
          <t>GESTIÓN AMBIENTAL</t>
        </is>
      </c>
      <c r="D1052" s="5" t="inlineStr">
        <is>
          <t>Mensual</t>
        </is>
      </c>
      <c r="E1052" s="5" t="inlineStr">
        <is>
          <t>Positivo</t>
        </is>
      </c>
      <c r="F1052" s="109" t="n">
        <v>45808</v>
      </c>
      <c r="G1052" s="5" t="n">
        <v>2025</v>
      </c>
      <c r="H1052" s="5" t="inlineStr">
        <is>
          <t>Mayo</t>
        </is>
      </c>
      <c r="I1052" s="6" t="inlineStr">
        <is>
          <t>2025-1</t>
        </is>
      </c>
      <c r="J1052" s="5" t="n">
        <v>1</v>
      </c>
      <c r="K1052" s="10" t="n">
        <v>28</v>
      </c>
      <c r="L1052" s="14" t="n">
        <v>1.3</v>
      </c>
      <c r="M1052" s="14" t="n">
        <v>28</v>
      </c>
      <c r="N1052" s="5" t="inlineStr">
        <is>
          <t>%</t>
        </is>
      </c>
      <c r="O1052" s="5" t="inlineStr">
        <is>
          <t>%</t>
        </is>
      </c>
      <c r="P1052" s="15" t="n">
        <v>0</v>
      </c>
      <c r="Q1052" s="15" t="n">
        <v>0</v>
      </c>
      <c r="R1052" s="5" t="inlineStr">
        <is>
          <t>225-2025-05-31</t>
        </is>
      </c>
    </row>
    <row r="1053" hidden="1">
      <c r="A1053" s="21" t="n">
        <v>225</v>
      </c>
      <c r="B1053" s="5" t="inlineStr">
        <is>
          <t>Acciones para el Cuidado y Mantenimiento de las Especies de Flora y el Suelo de las Áreas Naturales</t>
        </is>
      </c>
      <c r="C1053" s="5" t="inlineStr">
        <is>
          <t>GESTIÓN AMBIENTAL</t>
        </is>
      </c>
      <c r="D1053" s="5" t="inlineStr">
        <is>
          <t>Mensual</t>
        </is>
      </c>
      <c r="E1053" s="5" t="inlineStr">
        <is>
          <t>Positivo</t>
        </is>
      </c>
      <c r="F1053" s="109" t="n">
        <v>45838</v>
      </c>
      <c r="G1053" s="5" t="n">
        <v>2025</v>
      </c>
      <c r="H1053" s="5" t="inlineStr">
        <is>
          <t>Junio</t>
        </is>
      </c>
      <c r="I1053" s="6" t="inlineStr">
        <is>
          <t>2025-1</t>
        </is>
      </c>
      <c r="J1053" s="5" t="n">
        <v>1</v>
      </c>
      <c r="K1053" s="10" t="n">
        <v>26</v>
      </c>
      <c r="L1053" s="14" t="n">
        <v>1.3</v>
      </c>
      <c r="M1053" s="14" t="n">
        <v>26</v>
      </c>
      <c r="N1053" s="5" t="inlineStr">
        <is>
          <t>%</t>
        </is>
      </c>
      <c r="O1053" s="5" t="inlineStr">
        <is>
          <t>%</t>
        </is>
      </c>
      <c r="P1053" s="15" t="n">
        <v>0</v>
      </c>
      <c r="Q1053" s="15" t="n">
        <v>0</v>
      </c>
      <c r="R1053" s="5" t="inlineStr">
        <is>
          <t>225-2025-06-30</t>
        </is>
      </c>
    </row>
    <row r="1054" hidden="1">
      <c r="A1054" s="21" t="n">
        <v>225</v>
      </c>
      <c r="B1054" s="5" t="inlineStr">
        <is>
          <t>Acciones para el Cuidado y Mantenimiento de las Especies de Flora y el Suelo de las Áreas Naturales</t>
        </is>
      </c>
      <c r="C1054" s="5" t="inlineStr">
        <is>
          <t>GESTIÓN AMBIENTAL</t>
        </is>
      </c>
      <c r="D1054" s="5" t="inlineStr">
        <is>
          <t>Mensual</t>
        </is>
      </c>
      <c r="E1054" s="5" t="inlineStr">
        <is>
          <t>Positivo</t>
        </is>
      </c>
      <c r="F1054" s="109" t="n">
        <v>45869</v>
      </c>
      <c r="G1054" s="5" t="n">
        <v>2025</v>
      </c>
      <c r="H1054" s="5" t="inlineStr">
        <is>
          <t>Julio</t>
        </is>
      </c>
      <c r="I1054" s="6" t="inlineStr">
        <is>
          <t>2025-2</t>
        </is>
      </c>
      <c r="J1054" s="5" t="n">
        <v>1</v>
      </c>
      <c r="K1054" s="96" t="n">
        <v>18</v>
      </c>
      <c r="L1054" s="14" t="n">
        <v>1.3</v>
      </c>
      <c r="M1054" s="14" t="n">
        <v>18</v>
      </c>
      <c r="N1054" s="5" t="inlineStr">
        <is>
          <t>%</t>
        </is>
      </c>
      <c r="O1054" s="5" t="inlineStr">
        <is>
          <t>%</t>
        </is>
      </c>
      <c r="P1054" s="15" t="n">
        <v>0</v>
      </c>
      <c r="Q1054" s="15" t="n">
        <v>0</v>
      </c>
      <c r="R1054" s="5" t="inlineStr">
        <is>
          <t>225-2025-07-31</t>
        </is>
      </c>
    </row>
    <row r="1055" hidden="1">
      <c r="A1055" s="21" t="n">
        <v>225</v>
      </c>
      <c r="B1055" s="5" t="inlineStr">
        <is>
          <t>Acciones para el Cuidado y Mantenimiento de las Especies de Flora y el Suelo de las Áreas Naturales</t>
        </is>
      </c>
      <c r="C1055" s="5" t="inlineStr">
        <is>
          <t>GESTIÓN AMBIENTAL</t>
        </is>
      </c>
      <c r="D1055" s="5" t="inlineStr">
        <is>
          <t>Mensual</t>
        </is>
      </c>
      <c r="E1055" s="5" t="inlineStr">
        <is>
          <t>Positivo</t>
        </is>
      </c>
      <c r="F1055" s="109" t="n">
        <v>45900</v>
      </c>
      <c r="G1055" s="5" t="n">
        <v>2025</v>
      </c>
      <c r="H1055" s="5" t="inlineStr">
        <is>
          <t>Agosto</t>
        </is>
      </c>
      <c r="I1055" s="6" t="inlineStr">
        <is>
          <t>2025-2</t>
        </is>
      </c>
      <c r="J1055" s="5" t="n">
        <v>1</v>
      </c>
      <c r="K1055" s="96" t="n">
        <v>17</v>
      </c>
      <c r="L1055" s="14" t="n">
        <v>1.3</v>
      </c>
      <c r="M1055" s="14" t="n">
        <v>17</v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15" t="n">
        <v>0</v>
      </c>
      <c r="R1055" s="5" t="inlineStr">
        <is>
          <t>225-2025-08-31</t>
        </is>
      </c>
    </row>
    <row r="1056" hidden="1">
      <c r="A1056" s="28" t="n">
        <v>225</v>
      </c>
      <c r="B1056" s="5" t="inlineStr">
        <is>
          <t>Acciones para el Cuidado y Mantenimiento de las Especies de Flora y el Suelo de las Áreas Naturales</t>
        </is>
      </c>
      <c r="C1056" s="5" t="inlineStr">
        <is>
          <t>GESTIÓN AMBIENTAL</t>
        </is>
      </c>
      <c r="D1056" s="5" t="inlineStr">
        <is>
          <t>Mensual</t>
        </is>
      </c>
      <c r="E1056" s="5" t="inlineStr">
        <is>
          <t>Positivo</t>
        </is>
      </c>
      <c r="F1056" s="109" t="n">
        <v>45930</v>
      </c>
      <c r="G1056" s="5" t="n">
        <v>2025</v>
      </c>
      <c r="H1056" s="5" t="inlineStr">
        <is>
          <t>Septiembre</t>
        </is>
      </c>
      <c r="I1056" s="6" t="inlineStr">
        <is>
          <t>2025-2</t>
        </is>
      </c>
      <c r="J1056" s="5" t="n">
        <v>1</v>
      </c>
      <c r="K1056" s="96" t="n">
        <v>19</v>
      </c>
      <c r="L1056" s="14" t="n">
        <v>1.3</v>
      </c>
      <c r="M1056" s="14" t="n">
        <v>19</v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225-2025-09-30</t>
        </is>
      </c>
    </row>
    <row r="1057" hidden="1">
      <c r="A1057" s="26" t="n">
        <v>225</v>
      </c>
      <c r="B1057" s="5" t="inlineStr">
        <is>
          <t>Acciones para el Cuidado y Mantenimiento de las Especies de Flora y el Suelo de las Áreas Naturales</t>
        </is>
      </c>
      <c r="C1057" s="5" t="inlineStr">
        <is>
          <t>GESTIÓN AMBIENTAL</t>
        </is>
      </c>
      <c r="D1057" s="5" t="inlineStr">
        <is>
          <t>Mensual</t>
        </is>
      </c>
      <c r="E1057" s="5" t="inlineStr">
        <is>
          <t>Positivo</t>
        </is>
      </c>
      <c r="F1057" s="109" t="n">
        <v>45961</v>
      </c>
      <c r="G1057" s="5" t="n">
        <v>2025</v>
      </c>
      <c r="H1057" s="5" t="inlineStr">
        <is>
          <t>Octubre</t>
        </is>
      </c>
      <c r="I1057" s="6" t="inlineStr">
        <is>
          <t>2025-2</t>
        </is>
      </c>
      <c r="J1057" s="5" t="n">
        <v>1</v>
      </c>
      <c r="K1057" s="96" t="n">
        <v>11</v>
      </c>
      <c r="L1057" s="14" t="n">
        <v>1.3</v>
      </c>
      <c r="M1057" s="14" t="n">
        <v>11</v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225-2025-10-31</t>
        </is>
      </c>
    </row>
    <row r="1058" hidden="1">
      <c r="A1058" s="21" t="n">
        <v>225</v>
      </c>
      <c r="B1058" s="5" t="inlineStr">
        <is>
          <t>Acciones para el Cuidado y Mantenimiento de las Especies de Flora y el Suelo de las Áreas Naturales</t>
        </is>
      </c>
      <c r="C1058" s="5" t="inlineStr">
        <is>
          <t>GESTIÓN AMBIENTAL</t>
        </is>
      </c>
      <c r="D1058" s="5" t="inlineStr">
        <is>
          <t>Mensual</t>
        </is>
      </c>
      <c r="E1058" s="5" t="inlineStr">
        <is>
          <t>Positivo</t>
        </is>
      </c>
      <c r="F1058" s="109" t="n">
        <v>45991</v>
      </c>
      <c r="G1058" s="5" t="n">
        <v>2025</v>
      </c>
      <c r="H1058" s="5" t="inlineStr">
        <is>
          <t>Noviembre</t>
        </is>
      </c>
      <c r="I1058" s="6" t="inlineStr">
        <is>
          <t>2025-2</t>
        </is>
      </c>
      <c r="J1058" s="5" t="n">
        <v>1</v>
      </c>
      <c r="K1058" s="10" t="n">
        <v>25</v>
      </c>
      <c r="L1058" s="14" t="n">
        <v>1.3</v>
      </c>
      <c r="M1058" s="14" t="n">
        <v>25</v>
      </c>
      <c r="N1058" s="5" t="inlineStr">
        <is>
          <t>%</t>
        </is>
      </c>
      <c r="O1058" s="5" t="inlineStr">
        <is>
          <t>%</t>
        </is>
      </c>
      <c r="P1058" s="15" t="n">
        <v>0</v>
      </c>
      <c r="Q1058" s="15" t="n">
        <v>0</v>
      </c>
      <c r="R1058" s="5" t="inlineStr">
        <is>
          <t>225-2025-11-30</t>
        </is>
      </c>
    </row>
    <row r="1059" hidden="1">
      <c r="A1059" s="5" t="n">
        <v>225</v>
      </c>
      <c r="B1059" s="5" t="inlineStr">
        <is>
          <t>Acciones para el Cuidado y Mantenimiento de las Especies de Flora y el Suelo de las Áreas Naturales</t>
        </is>
      </c>
      <c r="C1059" s="5" t="inlineStr">
        <is>
          <t>GESTIÓN AMBIENTAL</t>
        </is>
      </c>
      <c r="D1059" s="5" t="inlineStr">
        <is>
          <t>Mensual</t>
        </is>
      </c>
      <c r="E1059" s="5" t="inlineStr">
        <is>
          <t>Positivo</t>
        </is>
      </c>
      <c r="F1059" s="109" t="n">
        <v>46022</v>
      </c>
      <c r="G1059" s="5" t="n">
        <v>2025</v>
      </c>
      <c r="H1059" s="5" t="inlineStr">
        <is>
          <t>Diciembre</t>
        </is>
      </c>
      <c r="I1059" s="6" t="inlineStr">
        <is>
          <t>2025-2</t>
        </is>
      </c>
      <c r="J1059" s="5" t="n">
        <v>1</v>
      </c>
      <c r="K1059" s="5" t="n">
        <v>0</v>
      </c>
      <c r="L1059" s="14" t="n">
        <v>0</v>
      </c>
      <c r="M1059" s="14" t="n">
        <v>0</v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5" t="n">
        <v>0</v>
      </c>
      <c r="R1059" s="5" t="inlineStr">
        <is>
          <t>225-2025-12-31</t>
        </is>
      </c>
    </row>
    <row r="1060" hidden="1">
      <c r="A1060" s="21" t="n">
        <v>225</v>
      </c>
      <c r="B1060" s="5" t="inlineStr">
        <is>
          <t>Acciones para el Cuidado y Mantenimiento de las Especies de Flora y el Suelo de las Áreas Naturales</t>
        </is>
      </c>
      <c r="C1060" s="5" t="inlineStr">
        <is>
          <t>GESTIÓN AMBIENTAL</t>
        </is>
      </c>
      <c r="D1060" s="5" t="inlineStr">
        <is>
          <t>Mensual</t>
        </is>
      </c>
      <c r="E1060" s="5" t="inlineStr">
        <is>
          <t>Positivo</t>
        </is>
      </c>
      <c r="F1060" s="109" t="n">
        <v>46053</v>
      </c>
      <c r="G1060" s="5" t="n">
        <v>2026</v>
      </c>
      <c r="H1060" s="5" t="inlineStr">
        <is>
          <t>Enero</t>
        </is>
      </c>
      <c r="I1060" s="6" t="inlineStr">
        <is>
          <t>2026-1</t>
        </is>
      </c>
      <c r="J1060" s="5" t="n">
        <v>1</v>
      </c>
      <c r="K1060" s="10" t="n">
        <v>25</v>
      </c>
      <c r="L1060" s="14" t="n">
        <v>1.3</v>
      </c>
      <c r="M1060" s="14" t="n">
        <v>25</v>
      </c>
      <c r="N1060" s="5" t="inlineStr">
        <is>
          <t>%</t>
        </is>
      </c>
      <c r="O1060" s="5" t="inlineStr">
        <is>
          <t>%</t>
        </is>
      </c>
      <c r="P1060" s="15" t="n">
        <v>0</v>
      </c>
      <c r="Q1060" s="15" t="n">
        <v>0</v>
      </c>
      <c r="R1060" s="5" t="inlineStr">
        <is>
          <t>225-2026-01-31</t>
        </is>
      </c>
    </row>
    <row r="1061" hidden="1">
      <c r="A1061" s="21" t="n">
        <v>226</v>
      </c>
      <c r="B1061" s="5" t="inlineStr">
        <is>
          <t>Generación de Gases de Efecto Invernadero</t>
        </is>
      </c>
      <c r="C1061" s="5" t="inlineStr">
        <is>
          <t>GESTIÓN AMBIENTAL</t>
        </is>
      </c>
      <c r="D1061" s="5" t="inlineStr">
        <is>
          <t>Anual</t>
        </is>
      </c>
      <c r="E1061" s="5" t="inlineStr">
        <is>
          <t>Positivo</t>
        </is>
      </c>
      <c r="F1061" s="109" t="n">
        <v>44926</v>
      </c>
      <c r="G1061" s="5" t="n">
        <v>2022</v>
      </c>
      <c r="H1061" s="5" t="inlineStr">
        <is>
          <t>Diciembre</t>
        </is>
      </c>
      <c r="I1061" s="6" t="inlineStr">
        <is>
          <t>2022-2</t>
        </is>
      </c>
      <c r="J1061" s="5" t="n">
        <v>2</v>
      </c>
      <c r="K1061" s="10" t="n">
        <v>476.4899959564209</v>
      </c>
      <c r="L1061" s="14" t="n">
        <v>1.3</v>
      </c>
      <c r="M1061" s="14" t="n">
        <v>238.2449979782104</v>
      </c>
      <c r="N1061" s="5" t="inlineStr">
        <is>
          <t>ENT</t>
        </is>
      </c>
      <c r="O1061" s="5" t="inlineStr">
        <is>
          <t>ENT</t>
        </is>
      </c>
      <c r="P1061" s="15" t="n">
        <v>0</v>
      </c>
      <c r="Q1061" s="15" t="n">
        <v>0</v>
      </c>
      <c r="R1061" s="5" t="inlineStr">
        <is>
          <t>226-2022-12-31</t>
        </is>
      </c>
    </row>
    <row r="1062" hidden="1">
      <c r="A1062" s="28" t="n">
        <v>226</v>
      </c>
      <c r="B1062" s="5" t="inlineStr">
        <is>
          <t>Generación de Gases de Efecto Invernadero</t>
        </is>
      </c>
      <c r="C1062" s="5" t="inlineStr">
        <is>
          <t>GESTIÓN AMBIENTAL</t>
        </is>
      </c>
      <c r="D1062" s="5" t="inlineStr">
        <is>
          <t>Anual</t>
        </is>
      </c>
      <c r="E1062" s="5" t="inlineStr">
        <is>
          <t>Positivo</t>
        </is>
      </c>
      <c r="F1062" s="109" t="n">
        <v>45291</v>
      </c>
      <c r="G1062" s="5" t="n">
        <v>2023</v>
      </c>
      <c r="H1062" s="5" t="inlineStr">
        <is>
          <t>Diciembre</t>
        </is>
      </c>
      <c r="I1062" s="6" t="inlineStr">
        <is>
          <t>2023-2</t>
        </is>
      </c>
      <c r="J1062" s="5" t="n">
        <v>2</v>
      </c>
      <c r="K1062" s="9" t="n">
        <v>622.6900000000001</v>
      </c>
      <c r="L1062" s="14" t="n">
        <v>1.3</v>
      </c>
      <c r="M1062" s="14" t="n">
        <v>311.345</v>
      </c>
      <c r="N1062" s="5" t="inlineStr">
        <is>
          <t>%</t>
        </is>
      </c>
      <c r="O1062" s="5" t="inlineStr">
        <is>
          <t>%</t>
        </is>
      </c>
      <c r="P1062" s="15" t="n">
        <v>0</v>
      </c>
      <c r="Q1062" s="15" t="n">
        <v>0</v>
      </c>
      <c r="R1062" s="5" t="inlineStr">
        <is>
          <t>226-2023-12-31</t>
        </is>
      </c>
    </row>
    <row r="1063" hidden="1">
      <c r="A1063" s="26" t="n">
        <v>226</v>
      </c>
      <c r="B1063" s="5" t="inlineStr">
        <is>
          <t>Generación de Gases de Efecto Invernadero</t>
        </is>
      </c>
      <c r="C1063" s="5" t="inlineStr">
        <is>
          <t>GESTIÓN AMBIENTAL</t>
        </is>
      </c>
      <c r="D1063" s="5" t="inlineStr">
        <is>
          <t>Anual</t>
        </is>
      </c>
      <c r="E1063" s="5" t="inlineStr">
        <is>
          <t>Positivo</t>
        </is>
      </c>
      <c r="F1063" s="109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</v>
      </c>
      <c r="K1063" s="9" t="n">
        <v>3531.11</v>
      </c>
      <c r="L1063" s="14" t="n">
        <v>1.3</v>
      </c>
      <c r="M1063" s="14" t="n">
        <v>1765.555</v>
      </c>
      <c r="N1063" s="5" t="inlineStr">
        <is>
          <t>%</t>
        </is>
      </c>
      <c r="O1063" s="5" t="inlineStr">
        <is>
          <t>%</t>
        </is>
      </c>
      <c r="P1063" s="15" t="n">
        <v>0</v>
      </c>
      <c r="Q1063" s="15" t="n">
        <v>0</v>
      </c>
      <c r="R1063" s="5" t="inlineStr">
        <is>
          <t>226-2024-12-31</t>
        </is>
      </c>
    </row>
    <row r="1064" hidden="1">
      <c r="A1064" s="21" t="n">
        <v>226</v>
      </c>
      <c r="B1064" s="5" t="inlineStr">
        <is>
          <t>Generación de Gases de Efecto Invernadero</t>
        </is>
      </c>
      <c r="C1064" s="5" t="inlineStr">
        <is>
          <t>GESTIÓN AMBIENTAL</t>
        </is>
      </c>
      <c r="D1064" s="5" t="inlineStr">
        <is>
          <t>Anual</t>
        </is>
      </c>
      <c r="E1064" s="5" t="inlineStr">
        <is>
          <t>Positivo</t>
        </is>
      </c>
      <c r="F1064" s="108" t="n">
        <v>46022</v>
      </c>
      <c r="G1064" s="5" t="n">
        <v>2025</v>
      </c>
      <c r="H1064" s="5" t="inlineStr">
        <is>
          <t>Diciembre</t>
        </is>
      </c>
      <c r="I1064" s="6" t="inlineStr">
        <is>
          <t>2025-2</t>
        </is>
      </c>
      <c r="J1064" s="5" t="n">
        <v>2</v>
      </c>
      <c r="K1064" s="9" t="n"/>
      <c r="L1064" s="14" t="n"/>
      <c r="M1064" s="14" t="n"/>
      <c r="N1064" s="5" t="inlineStr">
        <is>
          <t>%</t>
        </is>
      </c>
      <c r="O1064" s="5" t="inlineStr">
        <is>
          <t>No Aplica</t>
        </is>
      </c>
      <c r="P1064" s="15" t="n">
        <v>0</v>
      </c>
      <c r="Q1064" s="15" t="n">
        <v>0</v>
      </c>
      <c r="R1064" s="5" t="inlineStr">
        <is>
          <t>226-2025-12-31</t>
        </is>
      </c>
      <c r="S1064" t="inlineStr">
        <is>
          <t>No Aplica</t>
        </is>
      </c>
    </row>
    <row r="1065" hidden="1">
      <c r="A1065" s="26" t="n">
        <v>227</v>
      </c>
      <c r="B1065" s="5" t="inlineStr">
        <is>
          <t>Generación de  Gases de Efecto Invernadero per Cápita</t>
        </is>
      </c>
      <c r="C1065" s="5" t="inlineStr">
        <is>
          <t>GESTIÓN AMBIENTAL</t>
        </is>
      </c>
      <c r="D1065" s="5" t="inlineStr">
        <is>
          <t>Anual</t>
        </is>
      </c>
      <c r="E1065" s="5" t="inlineStr">
        <is>
          <t>Negativo</t>
        </is>
      </c>
      <c r="F1065" s="109" t="n">
        <v>44926</v>
      </c>
      <c r="G1065" s="5" t="n">
        <v>2022</v>
      </c>
      <c r="H1065" s="5" t="inlineStr">
        <is>
          <t>Diciembre</t>
        </is>
      </c>
      <c r="I1065" s="6" t="inlineStr">
        <is>
          <t>2022-2</t>
        </is>
      </c>
      <c r="J1065" s="5" t="n">
        <v>0.3</v>
      </c>
      <c r="K1065" s="9" t="n">
        <v>0.01</v>
      </c>
      <c r="L1065" s="14" t="n">
        <v>1.3</v>
      </c>
      <c r="M1065" s="14" t="n">
        <v>30</v>
      </c>
      <c r="N1065" s="5" t="inlineStr">
        <is>
          <t>ENT</t>
        </is>
      </c>
      <c r="O1065" s="5" t="inlineStr">
        <is>
          <t>ENT</t>
        </is>
      </c>
      <c r="P1065" s="15" t="n">
        <v>0</v>
      </c>
      <c r="Q1065" s="15" t="n">
        <v>0</v>
      </c>
      <c r="R1065" s="5" t="inlineStr">
        <is>
          <t>227-2022-12-31</t>
        </is>
      </c>
    </row>
    <row r="1066" hidden="1">
      <c r="A1066" s="26" t="n">
        <v>227</v>
      </c>
      <c r="B1066" s="5" t="inlineStr">
        <is>
          <t>Generación de  Gases de Efecto Invernadero per Cápita</t>
        </is>
      </c>
      <c r="C1066" s="5" t="inlineStr">
        <is>
          <t>GESTIÓN AMBIENTAL</t>
        </is>
      </c>
      <c r="D1066" s="5" t="inlineStr">
        <is>
          <t>Anual</t>
        </is>
      </c>
      <c r="E1066" s="5" t="inlineStr">
        <is>
          <t>Negativo</t>
        </is>
      </c>
      <c r="F1066" s="109" t="n">
        <v>45291</v>
      </c>
      <c r="G1066" s="5" t="n">
        <v>2023</v>
      </c>
      <c r="H1066" s="5" t="inlineStr">
        <is>
          <t>Diciembre</t>
        </is>
      </c>
      <c r="I1066" s="6" t="inlineStr">
        <is>
          <t>2023-2</t>
        </is>
      </c>
      <c r="J1066" s="11" t="n">
        <v>0.3</v>
      </c>
      <c r="K1066" s="9" t="n">
        <v>0.01</v>
      </c>
      <c r="L1066" s="14" t="n">
        <v>1.3</v>
      </c>
      <c r="M1066" s="14" t="n">
        <v>30</v>
      </c>
      <c r="N1066" s="5" t="inlineStr">
        <is>
          <t>%</t>
        </is>
      </c>
      <c r="O1066" s="5" t="inlineStr">
        <is>
          <t>%</t>
        </is>
      </c>
      <c r="P1066" s="15" t="n">
        <v>0</v>
      </c>
      <c r="Q1066" s="15" t="n">
        <v>0</v>
      </c>
      <c r="R1066" s="5" t="inlineStr">
        <is>
          <t>227-2023-12-31</t>
        </is>
      </c>
    </row>
    <row r="1067" hidden="1">
      <c r="A1067" s="21" t="n">
        <v>227</v>
      </c>
      <c r="B1067" s="5" t="inlineStr">
        <is>
          <t>Generación de  Gases de Efecto Invernadero per Cápita</t>
        </is>
      </c>
      <c r="C1067" s="5" t="inlineStr">
        <is>
          <t>GESTIÓN AMBIENTAL</t>
        </is>
      </c>
      <c r="D1067" s="5" t="inlineStr">
        <is>
          <t>Anual</t>
        </is>
      </c>
      <c r="E1067" s="5" t="inlineStr">
        <is>
          <t>Negativo</t>
        </is>
      </c>
      <c r="F1067" s="109" t="n">
        <v>45657</v>
      </c>
      <c r="G1067" s="5" t="n">
        <v>2024</v>
      </c>
      <c r="H1067" s="5" t="inlineStr">
        <is>
          <t>Diciembre</t>
        </is>
      </c>
      <c r="I1067" s="6" t="inlineStr">
        <is>
          <t>2024-2</t>
        </is>
      </c>
      <c r="J1067" s="5" t="n">
        <v>0.3</v>
      </c>
      <c r="K1067" s="10" t="n">
        <v>3531.11</v>
      </c>
      <c r="L1067" s="14" t="n">
        <v>8.495912050318455e-05</v>
      </c>
      <c r="M1067" s="14" t="n">
        <v>8.495912050318455e-05</v>
      </c>
      <c r="N1067" s="5" t="n"/>
      <c r="O1067" s="5" t="n"/>
      <c r="P1067" s="15" t="n">
        <v>0</v>
      </c>
      <c r="Q1067" s="15" t="n">
        <v>0</v>
      </c>
      <c r="R1067" s="5" t="inlineStr">
        <is>
          <t>227-2024-12-31</t>
        </is>
      </c>
    </row>
    <row r="1068" hidden="1">
      <c r="A1068" s="21" t="n">
        <v>227</v>
      </c>
      <c r="B1068" s="5" t="inlineStr">
        <is>
          <t>Generación de  Gases de Efecto Invernadero per Cápita</t>
        </is>
      </c>
      <c r="C1068" s="5" t="inlineStr">
        <is>
          <t>GESTIÓN AMBIENTAL</t>
        </is>
      </c>
      <c r="D1068" s="5" t="inlineStr">
        <is>
          <t>Anual</t>
        </is>
      </c>
      <c r="E1068" s="5" t="inlineStr">
        <is>
          <t>Negativo</t>
        </is>
      </c>
      <c r="F1068" s="108" t="n">
        <v>46022</v>
      </c>
      <c r="G1068" s="5" t="n">
        <v>2025</v>
      </c>
      <c r="H1068" s="5" t="inlineStr">
        <is>
          <t>Diciembre</t>
        </is>
      </c>
      <c r="I1068" s="6" t="inlineStr">
        <is>
          <t>2025-2</t>
        </is>
      </c>
      <c r="J1068" s="11" t="n">
        <v>0.3</v>
      </c>
      <c r="K1068" s="9" t="n"/>
      <c r="L1068" s="14" t="n"/>
      <c r="M1068" s="14" t="n"/>
      <c r="N1068" s="11" t="inlineStr">
        <is>
          <t>%</t>
        </is>
      </c>
      <c r="O1068" s="11" t="inlineStr">
        <is>
          <t>No Aplica</t>
        </is>
      </c>
      <c r="P1068" s="15" t="n">
        <v>0</v>
      </c>
      <c r="Q1068" s="15" t="n">
        <v>0</v>
      </c>
      <c r="R1068" s="5" t="inlineStr">
        <is>
          <t>227-2025-12-31</t>
        </is>
      </c>
      <c r="S1068" t="inlineStr">
        <is>
          <t>No Aplica</t>
        </is>
      </c>
    </row>
    <row r="1069" hidden="1">
      <c r="A1069" s="26" t="n">
        <v>228</v>
      </c>
      <c r="B1069" s="5" t="inlineStr">
        <is>
          <t>Compensación de Gases de Efecto Invernadero</t>
        </is>
      </c>
      <c r="C1069" s="5" t="inlineStr">
        <is>
          <t>GESTIÓN AMBIENTAL</t>
        </is>
      </c>
      <c r="D1069" s="5" t="inlineStr">
        <is>
          <t>Anual</t>
        </is>
      </c>
      <c r="E1069" s="5" t="inlineStr">
        <is>
          <t>Positivo</t>
        </is>
      </c>
      <c r="F1069" s="109" t="n">
        <v>44926</v>
      </c>
      <c r="G1069" s="5" t="n">
        <v>2022</v>
      </c>
      <c r="H1069" s="5" t="inlineStr">
        <is>
          <t>Diciembre</t>
        </is>
      </c>
      <c r="I1069" s="6" t="inlineStr">
        <is>
          <t>2022-2</t>
        </is>
      </c>
      <c r="J1069" s="5" t="n">
        <v>100</v>
      </c>
      <c r="K1069" s="9" t="n">
        <v>100.1070326764465</v>
      </c>
      <c r="L1069" s="14" t="n">
        <v>1.001070326764465</v>
      </c>
      <c r="M1069" s="14" t="n">
        <v>1.001070326764465</v>
      </c>
      <c r="N1069" s="11" t="inlineStr">
        <is>
          <t>tCO2e</t>
        </is>
      </c>
      <c r="O1069" s="11" t="inlineStr">
        <is>
          <t>tCO2e</t>
        </is>
      </c>
      <c r="P1069" s="15" t="n">
        <v>0</v>
      </c>
      <c r="Q1069" s="15" t="n">
        <v>0</v>
      </c>
      <c r="R1069" s="5" t="inlineStr">
        <is>
          <t>228-2022-12-31</t>
        </is>
      </c>
    </row>
    <row r="1070" hidden="1">
      <c r="A1070" s="5" t="n">
        <v>228</v>
      </c>
      <c r="B1070" s="5" t="inlineStr">
        <is>
          <t>Compensación de Gases de Efecto Invernadero</t>
        </is>
      </c>
      <c r="C1070" s="5" t="inlineStr">
        <is>
          <t>GESTIÓN AMBIENTAL</t>
        </is>
      </c>
      <c r="D1070" s="5" t="inlineStr">
        <is>
          <t>Anual</t>
        </is>
      </c>
      <c r="E1070" s="5" t="inlineStr">
        <is>
          <t>Positivo</t>
        </is>
      </c>
      <c r="F1070" s="109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100</v>
      </c>
      <c r="K1070" s="5" t="n">
        <v>100</v>
      </c>
      <c r="L1070" s="14" t="n">
        <v>1</v>
      </c>
      <c r="M1070" s="14" t="n">
        <v>1</v>
      </c>
      <c r="N1070" s="11" t="inlineStr">
        <is>
          <t>tCO2e</t>
        </is>
      </c>
      <c r="O1070" s="11" t="inlineStr">
        <is>
          <t>tCO2e</t>
        </is>
      </c>
      <c r="P1070" s="5" t="n">
        <v>1</v>
      </c>
      <c r="Q1070" s="5" t="n">
        <v>1</v>
      </c>
      <c r="R1070" s="5" t="inlineStr">
        <is>
          <t>228-2023-12-31</t>
        </is>
      </c>
    </row>
    <row r="1071" hidden="1">
      <c r="A1071" s="21" t="n">
        <v>228</v>
      </c>
      <c r="B1071" s="5" t="inlineStr">
        <is>
          <t>Compensación de Gases de Efecto Invernadero</t>
        </is>
      </c>
      <c r="C1071" s="5" t="inlineStr">
        <is>
          <t>GESTIÓN AMBIENTAL</t>
        </is>
      </c>
      <c r="D1071" s="5" t="inlineStr">
        <is>
          <t>Anual</t>
        </is>
      </c>
      <c r="E1071" s="5" t="inlineStr">
        <is>
          <t>Positivo</t>
        </is>
      </c>
      <c r="F1071" s="109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100</v>
      </c>
      <c r="K1071" s="10" t="n">
        <v>3531.11</v>
      </c>
      <c r="L1071" s="14" t="n">
        <v>1.3</v>
      </c>
      <c r="M1071" s="14" t="n">
        <v>35.3111</v>
      </c>
      <c r="N1071" s="11" t="inlineStr">
        <is>
          <t>tCO2e</t>
        </is>
      </c>
      <c r="O1071" s="11" t="inlineStr">
        <is>
          <t>tCO2e</t>
        </is>
      </c>
      <c r="P1071" s="15" t="n">
        <v>1</v>
      </c>
      <c r="Q1071" s="15" t="n">
        <v>1</v>
      </c>
      <c r="R1071" s="5" t="inlineStr">
        <is>
          <t>228-2024-12-31</t>
        </is>
      </c>
    </row>
    <row r="1072" hidden="1">
      <c r="A1072" s="21" t="n">
        <v>230</v>
      </c>
      <c r="B1072" s="5" t="inlineStr">
        <is>
          <t>Ejecución de Eventos de Formación en Materia Ambiental</t>
        </is>
      </c>
      <c r="C1072" s="5" t="inlineStr">
        <is>
          <t>GESTIÓN AMBIENTAL</t>
        </is>
      </c>
      <c r="D1072" s="5" t="inlineStr">
        <is>
          <t>Semestral</t>
        </is>
      </c>
      <c r="E1072" s="5" t="inlineStr">
        <is>
          <t>Positivo</t>
        </is>
      </c>
      <c r="F1072" s="108" t="n">
        <v>45107</v>
      </c>
      <c r="G1072" s="5" t="n">
        <v>2023</v>
      </c>
      <c r="H1072" s="5" t="inlineStr">
        <is>
          <t>Junio</t>
        </is>
      </c>
      <c r="I1072" s="6" t="inlineStr">
        <is>
          <t>2023-1</t>
        </is>
      </c>
      <c r="J1072" s="5" t="n">
        <v>90</v>
      </c>
      <c r="K1072" s="9" t="n">
        <v>100</v>
      </c>
      <c r="L1072" s="14" t="n">
        <v>1.111111111111111</v>
      </c>
      <c r="M1072" s="14" t="n">
        <v>1.111111111111111</v>
      </c>
      <c r="N1072" s="5" t="inlineStr">
        <is>
          <t>%</t>
        </is>
      </c>
      <c r="O1072" s="17" t="inlineStr">
        <is>
          <t>%</t>
        </is>
      </c>
      <c r="P1072" s="15" t="n">
        <v>0</v>
      </c>
      <c r="Q1072" s="15" t="n">
        <v>0</v>
      </c>
      <c r="R1072" s="5" t="inlineStr">
        <is>
          <t>230-2023-06-30</t>
        </is>
      </c>
    </row>
    <row r="1073" hidden="1">
      <c r="A1073" s="26" t="n">
        <v>230</v>
      </c>
      <c r="B1073" s="5" t="inlineStr">
        <is>
          <t>Ejecución de Eventos de Formación en Materia Ambiental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09" t="n">
        <v>45291</v>
      </c>
      <c r="G1073" s="5" t="n">
        <v>2023</v>
      </c>
      <c r="H1073" s="5" t="inlineStr">
        <is>
          <t>Diciembre</t>
        </is>
      </c>
      <c r="I1073" s="6" t="inlineStr">
        <is>
          <t>2023-2</t>
        </is>
      </c>
      <c r="J1073" s="5" t="n">
        <v>90</v>
      </c>
      <c r="K1073" s="9" t="n">
        <v>100</v>
      </c>
      <c r="L1073" s="14" t="n">
        <v>1.111111111111111</v>
      </c>
      <c r="M1073" s="14" t="n">
        <v>1.111111111111111</v>
      </c>
      <c r="N1073" s="5" t="inlineStr">
        <is>
          <t>%</t>
        </is>
      </c>
      <c r="O1073" s="17" t="inlineStr">
        <is>
          <t>%</t>
        </is>
      </c>
      <c r="P1073" s="15" t="n">
        <v>0</v>
      </c>
      <c r="Q1073" s="15" t="n">
        <v>0</v>
      </c>
      <c r="R1073" s="5" t="inlineStr">
        <is>
          <t>230-2023-12-31</t>
        </is>
      </c>
    </row>
    <row r="1074" hidden="1">
      <c r="A1074" s="5" t="n">
        <v>230</v>
      </c>
      <c r="B1074" s="5" t="inlineStr">
        <is>
          <t>Ejecución de Eventos de Formación en Materia Ambiental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09" t="n">
        <v>45473</v>
      </c>
      <c r="G1074" s="5" t="n">
        <v>2024</v>
      </c>
      <c r="H1074" s="5" t="inlineStr">
        <is>
          <t>Junio</t>
        </is>
      </c>
      <c r="I1074" s="6" t="inlineStr">
        <is>
          <t>2024-1</t>
        </is>
      </c>
      <c r="J1074" s="5" t="n">
        <v>90</v>
      </c>
      <c r="K1074" s="5" t="n">
        <v>100</v>
      </c>
      <c r="L1074" s="14" t="n">
        <v>1.111111111111111</v>
      </c>
      <c r="M1074" s="14" t="n">
        <v>1.111111111111111</v>
      </c>
      <c r="N1074" s="5" t="inlineStr">
        <is>
          <t>%</t>
        </is>
      </c>
      <c r="O1074" s="17" t="inlineStr">
        <is>
          <t>%</t>
        </is>
      </c>
      <c r="P1074" s="5" t="n">
        <v>0</v>
      </c>
      <c r="Q1074" s="5" t="n">
        <v>0</v>
      </c>
      <c r="R1074" s="5" t="inlineStr">
        <is>
          <t>230-2024-06-30</t>
        </is>
      </c>
    </row>
    <row r="1075" hidden="1">
      <c r="A1075" s="21" t="n">
        <v>230</v>
      </c>
      <c r="B1075" s="5" t="inlineStr">
        <is>
          <t>Ejecución de Eventos de Formación en Materia Ambiental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09" t="n">
        <v>45657</v>
      </c>
      <c r="G1075" s="5" t="n">
        <v>2024</v>
      </c>
      <c r="H1075" s="5" t="inlineStr">
        <is>
          <t>Diciembre</t>
        </is>
      </c>
      <c r="I1075" s="6" t="inlineStr">
        <is>
          <t>2024-2</t>
        </is>
      </c>
      <c r="J1075" s="5" t="n">
        <v>90</v>
      </c>
      <c r="K1075" s="10" t="n">
        <v>100</v>
      </c>
      <c r="L1075" s="14" t="n">
        <v>1.111111111111111</v>
      </c>
      <c r="M1075" s="14" t="n">
        <v>1.111111111111111</v>
      </c>
      <c r="N1075" s="5" t="inlineStr">
        <is>
          <t>%</t>
        </is>
      </c>
      <c r="O1075" s="17" t="inlineStr">
        <is>
          <t>%</t>
        </is>
      </c>
      <c r="P1075" s="15" t="n">
        <v>0</v>
      </c>
      <c r="Q1075" s="15" t="n">
        <v>0</v>
      </c>
      <c r="R1075" s="5" t="inlineStr">
        <is>
          <t>230-2024-12-31</t>
        </is>
      </c>
    </row>
    <row r="1076" hidden="1">
      <c r="A1076" s="21" t="n">
        <v>230</v>
      </c>
      <c r="B1076" s="5" t="inlineStr">
        <is>
          <t>Ejecución de Eventos de Formación en Materia Ambiental</t>
        </is>
      </c>
      <c r="C1076" s="5" t="inlineStr">
        <is>
          <t>GESTIÓN AMBIENTAL</t>
        </is>
      </c>
      <c r="D1076" s="5" t="inlineStr">
        <is>
          <t>Trimestral</t>
        </is>
      </c>
      <c r="E1076" s="5" t="inlineStr">
        <is>
          <t>Positivo</t>
        </is>
      </c>
      <c r="F1076" s="108" t="n">
        <v>45838</v>
      </c>
      <c r="G1076" s="5" t="n">
        <v>2025</v>
      </c>
      <c r="H1076" s="5" t="inlineStr">
        <is>
          <t>Junio</t>
        </is>
      </c>
      <c r="I1076" s="6" t="inlineStr">
        <is>
          <t>2025-1</t>
        </is>
      </c>
      <c r="J1076" s="5" t="n">
        <v>90</v>
      </c>
      <c r="K1076" s="9" t="n">
        <v>96.77</v>
      </c>
      <c r="L1076" s="14" t="n">
        <v>1.075222222222222</v>
      </c>
      <c r="M1076" s="14" t="n">
        <v>1.075222222222222</v>
      </c>
      <c r="N1076" s="5" t="inlineStr">
        <is>
          <t>%</t>
        </is>
      </c>
      <c r="O1076" s="5" t="inlineStr">
        <is>
          <t>%</t>
        </is>
      </c>
      <c r="P1076" s="15" t="n">
        <v>0</v>
      </c>
      <c r="Q1076" s="15" t="n">
        <v>0</v>
      </c>
      <c r="R1076" s="5" t="inlineStr">
        <is>
          <t>230-2025-06-30</t>
        </is>
      </c>
    </row>
    <row r="1077" hidden="1">
      <c r="A1077" s="26" t="n">
        <v>230</v>
      </c>
      <c r="B1077" s="5" t="inlineStr">
        <is>
          <t>Ejecución de Eventos de Formación en Materia Ambiental</t>
        </is>
      </c>
      <c r="C1077" s="5" t="inlineStr">
        <is>
          <t>GESTIÓN AMBIENTAL</t>
        </is>
      </c>
      <c r="D1077" s="5" t="inlineStr">
        <is>
          <t>Trimestral</t>
        </is>
      </c>
      <c r="E1077" s="5" t="inlineStr">
        <is>
          <t>Positivo</t>
        </is>
      </c>
      <c r="F1077" s="109" t="n">
        <v>46022</v>
      </c>
      <c r="G1077" s="5" t="n">
        <v>2025</v>
      </c>
      <c r="H1077" s="5" t="inlineStr">
        <is>
          <t>Diciembre</t>
        </is>
      </c>
      <c r="I1077" s="6" t="inlineStr">
        <is>
          <t>2025-2</t>
        </is>
      </c>
      <c r="J1077" s="5" t="n">
        <v>90</v>
      </c>
      <c r="K1077" s="9" t="n">
        <v>96.72</v>
      </c>
      <c r="L1077" s="14" t="n">
        <v>1.074666666666667</v>
      </c>
      <c r="M1077" s="14" t="n">
        <v>1.074666666666667</v>
      </c>
      <c r="N1077" s="5" t="inlineStr">
        <is>
          <t>%</t>
        </is>
      </c>
      <c r="O1077" s="5" t="inlineStr">
        <is>
          <t>%</t>
        </is>
      </c>
      <c r="P1077" s="15" t="n">
        <v>0</v>
      </c>
      <c r="Q1077" s="15" t="n">
        <v>0</v>
      </c>
      <c r="R1077" s="5" t="inlineStr">
        <is>
          <t>230-2025-12-31</t>
        </is>
      </c>
    </row>
    <row r="1078" hidden="1">
      <c r="A1078" s="5" t="n">
        <v>231</v>
      </c>
      <c r="B1078" s="5" t="inlineStr">
        <is>
          <t>Asistencia Eventos de Formación en Materia Ambiental</t>
        </is>
      </c>
      <c r="C1078" s="5" t="inlineStr">
        <is>
          <t>GESTIÓN AMBIENTAL</t>
        </is>
      </c>
      <c r="D1078" s="5" t="inlineStr">
        <is>
          <t>Semestral</t>
        </is>
      </c>
      <c r="E1078" s="5" t="inlineStr">
        <is>
          <t>Positivo</t>
        </is>
      </c>
      <c r="F1078" s="109" t="n">
        <v>45107</v>
      </c>
      <c r="G1078" s="5" t="n">
        <v>2023</v>
      </c>
      <c r="H1078" s="5" t="inlineStr">
        <is>
          <t>Junio</t>
        </is>
      </c>
      <c r="I1078" s="6" t="inlineStr">
        <is>
          <t>2023-1</t>
        </is>
      </c>
      <c r="J1078" s="5" t="n">
        <v>35</v>
      </c>
      <c r="K1078" s="5" t="n">
        <v>40.58</v>
      </c>
      <c r="L1078" s="14" t="n">
        <v>1.159428571428571</v>
      </c>
      <c r="M1078" s="14" t="n">
        <v>1.159428571428571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231-2023-06-30</t>
        </is>
      </c>
    </row>
    <row r="1079" hidden="1">
      <c r="A1079" s="21" t="n">
        <v>231</v>
      </c>
      <c r="B1079" s="5" t="inlineStr">
        <is>
          <t>Asistencia Eventos de Formación en Materia Ambiental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09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35</v>
      </c>
      <c r="K1079" s="10" t="n">
        <v>96.44</v>
      </c>
      <c r="L1079" s="14" t="n">
        <v>1.3</v>
      </c>
      <c r="M1079" s="14" t="n">
        <v>2.755428571428571</v>
      </c>
      <c r="N1079" s="5" t="inlineStr">
        <is>
          <t>%</t>
        </is>
      </c>
      <c r="O1079" s="5" t="inlineStr">
        <is>
          <t>%</t>
        </is>
      </c>
      <c r="P1079" s="15" t="n">
        <v>0</v>
      </c>
      <c r="Q1079" s="15" t="n">
        <v>0</v>
      </c>
      <c r="R1079" s="5" t="inlineStr">
        <is>
          <t>231-2023-12-31</t>
        </is>
      </c>
    </row>
    <row r="1080" hidden="1">
      <c r="A1080" s="21" t="n">
        <v>231</v>
      </c>
      <c r="B1080" s="5" t="inlineStr">
        <is>
          <t>Asistencia Eventos de Formación en Materia Ambiental</t>
        </is>
      </c>
      <c r="C1080" s="5" t="inlineStr">
        <is>
          <t>GESTIÓN AMBIENTAL</t>
        </is>
      </c>
      <c r="D1080" s="5" t="inlineStr">
        <is>
          <t>Semestral</t>
        </is>
      </c>
      <c r="E1080" s="5" t="inlineStr">
        <is>
          <t>Positivo</t>
        </is>
      </c>
      <c r="F1080" s="109" t="n">
        <v>45473</v>
      </c>
      <c r="G1080" s="5" t="n">
        <v>2024</v>
      </c>
      <c r="H1080" s="5" t="inlineStr">
        <is>
          <t>Junio</t>
        </is>
      </c>
      <c r="I1080" s="6" t="inlineStr">
        <is>
          <t>2024-1</t>
        </is>
      </c>
      <c r="J1080" s="5" t="n">
        <v>35</v>
      </c>
      <c r="K1080" s="10" t="n">
        <v>96.75</v>
      </c>
      <c r="L1080" s="14" t="n">
        <v>1.3</v>
      </c>
      <c r="M1080" s="14" t="n">
        <v>2.764285714285714</v>
      </c>
      <c r="N1080" s="5" t="inlineStr">
        <is>
          <t>%</t>
        </is>
      </c>
      <c r="O1080" s="5" t="inlineStr">
        <is>
          <t>%</t>
        </is>
      </c>
      <c r="P1080" s="15" t="n">
        <v>0</v>
      </c>
      <c r="Q1080" s="15" t="n">
        <v>0</v>
      </c>
      <c r="R1080" s="5" t="inlineStr">
        <is>
          <t>231-2024-06-30</t>
        </is>
      </c>
    </row>
    <row r="1081" hidden="1">
      <c r="A1081" s="21" t="n">
        <v>231</v>
      </c>
      <c r="B1081" s="5" t="inlineStr">
        <is>
          <t>Asistencia Eventos de Formación en Materia Ambiental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08" t="n">
        <v>45657</v>
      </c>
      <c r="G1081" s="5" t="n">
        <v>2024</v>
      </c>
      <c r="H1081" s="5" t="inlineStr">
        <is>
          <t>Diciembre</t>
        </is>
      </c>
      <c r="I1081" s="6" t="inlineStr">
        <is>
          <t>2024-2</t>
        </is>
      </c>
      <c r="J1081" s="5" t="n">
        <v>35</v>
      </c>
      <c r="K1081" s="9" t="n">
        <v>104.19</v>
      </c>
      <c r="L1081" s="14" t="n">
        <v>1.3</v>
      </c>
      <c r="M1081" s="14" t="n">
        <v>2.976857142857143</v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231-2024-12-31</t>
        </is>
      </c>
    </row>
    <row r="1082" hidden="1">
      <c r="A1082" s="26" t="n">
        <v>231</v>
      </c>
      <c r="B1082" s="5" t="inlineStr">
        <is>
          <t>Asistencia Eventos de Formación en Materia Ambiental</t>
        </is>
      </c>
      <c r="C1082" s="5" t="inlineStr">
        <is>
          <t>GESTIÓN AMBIENTAL</t>
        </is>
      </c>
      <c r="D1082" s="5" t="inlineStr">
        <is>
          <t>Trimestral</t>
        </is>
      </c>
      <c r="E1082" s="5" t="inlineStr">
        <is>
          <t>Positivo</t>
        </is>
      </c>
      <c r="F1082" s="109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5" t="n">
        <v>35</v>
      </c>
      <c r="K1082" s="9" t="n">
        <v>570.89</v>
      </c>
      <c r="L1082" s="14" t="n">
        <v>1.3</v>
      </c>
      <c r="M1082" s="14" t="n">
        <v>16.31114285714286</v>
      </c>
      <c r="N1082" s="5" t="inlineStr">
        <is>
          <t>%</t>
        </is>
      </c>
      <c r="O1082" s="5" t="inlineStr">
        <is>
          <t>%</t>
        </is>
      </c>
      <c r="P1082" s="15" t="n">
        <v>0</v>
      </c>
      <c r="Q1082" s="15" t="n">
        <v>0</v>
      </c>
      <c r="R1082" s="5" t="inlineStr">
        <is>
          <t>231-2025-06-30</t>
        </is>
      </c>
    </row>
    <row r="1083" hidden="1">
      <c r="A1083" s="26" t="n">
        <v>231</v>
      </c>
      <c r="B1083" s="5" t="inlineStr">
        <is>
          <t>Asistencia Eventos de Formación en Materia Ambiental</t>
        </is>
      </c>
      <c r="C1083" s="5" t="inlineStr">
        <is>
          <t>GESTIÓN AMBIENTAL</t>
        </is>
      </c>
      <c r="D1083" s="5" t="inlineStr">
        <is>
          <t>Trimestral</t>
        </is>
      </c>
      <c r="E1083" s="5" t="inlineStr">
        <is>
          <t>Positivo</t>
        </is>
      </c>
      <c r="F1083" s="109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35</v>
      </c>
      <c r="K1083" s="9" t="n">
        <v>7277.98</v>
      </c>
      <c r="L1083" s="14" t="n">
        <v>1.3</v>
      </c>
      <c r="M1083" s="14" t="n">
        <v>207.9422857142857</v>
      </c>
      <c r="N1083" s="5" t="inlineStr">
        <is>
          <t>%</t>
        </is>
      </c>
      <c r="O1083" s="5" t="inlineStr">
        <is>
          <t>%</t>
        </is>
      </c>
      <c r="P1083" s="15" t="n">
        <v>0</v>
      </c>
      <c r="Q1083" s="15" t="n">
        <v>0</v>
      </c>
      <c r="R1083" s="5" t="inlineStr">
        <is>
          <t>231-2025-12-31</t>
        </is>
      </c>
    </row>
    <row r="1084" hidden="1">
      <c r="A1084" s="26" t="n">
        <v>232</v>
      </c>
      <c r="B1084" s="5" t="inlineStr">
        <is>
          <t>Ejecución de las Comunicaciones en Materia Ambiental</t>
        </is>
      </c>
      <c r="C1084" s="5" t="inlineStr">
        <is>
          <t>GESTIÓN AMBIENTAL</t>
        </is>
      </c>
      <c r="D1084" s="5" t="inlineStr">
        <is>
          <t>Semestral</t>
        </is>
      </c>
      <c r="E1084" s="5" t="inlineStr">
        <is>
          <t>Positivo</t>
        </is>
      </c>
      <c r="F1084" s="109" t="n">
        <v>45107</v>
      </c>
      <c r="G1084" s="5" t="n">
        <v>2023</v>
      </c>
      <c r="H1084" s="5" t="inlineStr">
        <is>
          <t>Junio</t>
        </is>
      </c>
      <c r="I1084" s="6" t="inlineStr">
        <is>
          <t>2023-1</t>
        </is>
      </c>
      <c r="J1084" s="5" t="n">
        <v>90</v>
      </c>
      <c r="K1084" s="9" t="n">
        <v>100</v>
      </c>
      <c r="L1084" s="14" t="n">
        <v>1.111111111111111</v>
      </c>
      <c r="M1084" s="14" t="n">
        <v>1.111111111111111</v>
      </c>
      <c r="N1084" s="5" t="inlineStr">
        <is>
          <t>%</t>
        </is>
      </c>
      <c r="O1084" s="5" t="inlineStr">
        <is>
          <t>%</t>
        </is>
      </c>
      <c r="P1084" s="15" t="n">
        <v>0</v>
      </c>
      <c r="Q1084" s="15" t="n">
        <v>0</v>
      </c>
      <c r="R1084" s="5" t="inlineStr">
        <is>
          <t>232-2023-06-30</t>
        </is>
      </c>
    </row>
    <row r="1085" hidden="1">
      <c r="A1085" s="5" t="n">
        <v>232</v>
      </c>
      <c r="B1085" s="5" t="inlineStr">
        <is>
          <t>Ejecución de las Comunicaciones en Materia Ambiental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45291</v>
      </c>
      <c r="G1085" s="5" t="n">
        <v>2023</v>
      </c>
      <c r="H1085" s="5" t="inlineStr">
        <is>
          <t>Diciembre</t>
        </is>
      </c>
      <c r="I1085" s="6" t="inlineStr">
        <is>
          <t>2023-2</t>
        </is>
      </c>
      <c r="J1085" s="5" t="n">
        <v>90</v>
      </c>
      <c r="K1085" s="5" t="n">
        <v>91.3</v>
      </c>
      <c r="L1085" s="14" t="n">
        <v>1.014444444444444</v>
      </c>
      <c r="M1085" s="14" t="n">
        <v>1.014444444444444</v>
      </c>
      <c r="N1085" s="5" t="inlineStr">
        <is>
          <t>%</t>
        </is>
      </c>
      <c r="O1085" s="5" t="inlineStr">
        <is>
          <t>%</t>
        </is>
      </c>
      <c r="P1085" s="15" t="n">
        <v>0</v>
      </c>
      <c r="Q1085" s="5" t="n">
        <v>0</v>
      </c>
      <c r="R1085" s="5" t="inlineStr">
        <is>
          <t>232-2023-12-31</t>
        </is>
      </c>
    </row>
    <row r="1086" hidden="1">
      <c r="A1086" s="21" t="n">
        <v>232</v>
      </c>
      <c r="B1086" s="5" t="inlineStr">
        <is>
          <t>Ejecución de las Comunicaciones en Materia Ambiental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09" t="n">
        <v>45473</v>
      </c>
      <c r="G1086" s="5" t="n">
        <v>2024</v>
      </c>
      <c r="H1086" s="5" t="inlineStr">
        <is>
          <t>Junio</t>
        </is>
      </c>
      <c r="I1086" s="6" t="inlineStr">
        <is>
          <t>2024-1</t>
        </is>
      </c>
      <c r="J1086" s="5" t="n">
        <v>90</v>
      </c>
      <c r="K1086" s="10" t="n">
        <v>95.45</v>
      </c>
      <c r="L1086" s="14" t="n">
        <v>1.060555555555556</v>
      </c>
      <c r="M1086" s="14" t="n">
        <v>1.060555555555556</v>
      </c>
      <c r="N1086" s="5" t="inlineStr">
        <is>
          <t>%</t>
        </is>
      </c>
      <c r="O1086" s="5" t="inlineStr">
        <is>
          <t>%</t>
        </is>
      </c>
      <c r="P1086" s="15" t="n">
        <v>0</v>
      </c>
      <c r="Q1086" s="15" t="n">
        <v>0</v>
      </c>
      <c r="R1086" s="5" t="inlineStr">
        <is>
          <t>232-2024-06-30</t>
        </is>
      </c>
    </row>
    <row r="1087" hidden="1">
      <c r="A1087" s="26" t="n">
        <v>232</v>
      </c>
      <c r="B1087" s="5" t="inlineStr">
        <is>
          <t>Ejecución de las Comunicaciones en Materia Ambiental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09" t="n">
        <v>45657</v>
      </c>
      <c r="G1087" s="5" t="n">
        <v>2024</v>
      </c>
      <c r="H1087" s="5" t="inlineStr">
        <is>
          <t>Diciembre</t>
        </is>
      </c>
      <c r="I1087" s="6" t="inlineStr">
        <is>
          <t>2024-2</t>
        </is>
      </c>
      <c r="J1087" s="5" t="n">
        <v>90</v>
      </c>
      <c r="K1087" s="9" t="n">
        <v>100</v>
      </c>
      <c r="L1087" s="14" t="n">
        <v>1.111111111111111</v>
      </c>
      <c r="M1087" s="14" t="n">
        <v>1.111111111111111</v>
      </c>
      <c r="N1087" s="5" t="inlineStr">
        <is>
          <t>%</t>
        </is>
      </c>
      <c r="O1087" s="5" t="inlineStr">
        <is>
          <t>%</t>
        </is>
      </c>
      <c r="P1087" s="15" t="n">
        <v>0</v>
      </c>
      <c r="Q1087" s="15" t="n">
        <v>0</v>
      </c>
      <c r="R1087" s="5" t="inlineStr">
        <is>
          <t>232-2024-12-31</t>
        </is>
      </c>
    </row>
    <row r="1088" hidden="1">
      <c r="A1088" s="5" t="n">
        <v>232</v>
      </c>
      <c r="B1088" s="5" t="inlineStr">
        <is>
          <t>Ejecución de las Comunicaciones en Materia Ambiental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09" t="n">
        <v>45838</v>
      </c>
      <c r="G1088" s="5" t="n">
        <v>2025</v>
      </c>
      <c r="H1088" s="5" t="inlineStr">
        <is>
          <t>Junio</t>
        </is>
      </c>
      <c r="I1088" s="6" t="inlineStr">
        <is>
          <t>2025-1</t>
        </is>
      </c>
      <c r="J1088" s="5" t="n">
        <v>90</v>
      </c>
      <c r="K1088" s="5" t="n">
        <v>85.70999999999999</v>
      </c>
      <c r="L1088" s="14" t="n">
        <v>0.9523333333333333</v>
      </c>
      <c r="M1088" s="14" t="n">
        <v>0.9523333333333333</v>
      </c>
      <c r="N1088" s="5" t="inlineStr">
        <is>
          <t>%</t>
        </is>
      </c>
      <c r="O1088" s="5" t="inlineStr">
        <is>
          <t>%</t>
        </is>
      </c>
      <c r="P1088" s="15" t="n">
        <v>0</v>
      </c>
      <c r="Q1088" s="5" t="n">
        <v>0</v>
      </c>
      <c r="R1088" s="5" t="inlineStr">
        <is>
          <t>232-2025-06-30</t>
        </is>
      </c>
    </row>
    <row r="1089" hidden="1">
      <c r="A1089" s="21" t="n">
        <v>232</v>
      </c>
      <c r="B1089" s="5" t="inlineStr">
        <is>
          <t>Ejecución de las Comunicaciones en Materia Ambiental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09" t="n">
        <v>46022</v>
      </c>
      <c r="G1089" s="5" t="n">
        <v>2025</v>
      </c>
      <c r="H1089" s="5" t="inlineStr">
        <is>
          <t>Diciembre</t>
        </is>
      </c>
      <c r="I1089" s="6" t="inlineStr">
        <is>
          <t>2025-2</t>
        </is>
      </c>
      <c r="J1089" s="5" t="n">
        <v>90</v>
      </c>
      <c r="K1089" s="10" t="n">
        <v>80.84999999999999</v>
      </c>
      <c r="L1089" s="14" t="n">
        <v>0.8983333333333333</v>
      </c>
      <c r="M1089" s="14" t="n">
        <v>0.8983333333333333</v>
      </c>
      <c r="N1089" s="5" t="inlineStr">
        <is>
          <t>%</t>
        </is>
      </c>
      <c r="O1089" s="5" t="inlineStr">
        <is>
          <t>%</t>
        </is>
      </c>
      <c r="P1089" s="15" t="n">
        <v>0</v>
      </c>
      <c r="Q1089" s="15" t="n">
        <v>0</v>
      </c>
      <c r="R1089" s="5" t="inlineStr">
        <is>
          <t>232-2025-12-31</t>
        </is>
      </c>
    </row>
    <row r="1090" hidden="1">
      <c r="A1090" s="28" t="n">
        <v>233</v>
      </c>
      <c r="B1090" s="5" t="inlineStr">
        <is>
          <t>Impacto de las Comunicaciones Correo Electrónico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09" t="n">
        <v>45016</v>
      </c>
      <c r="G1090" s="5" t="n">
        <v>2023</v>
      </c>
      <c r="H1090" s="5" t="inlineStr">
        <is>
          <t>Marzo</t>
        </is>
      </c>
      <c r="I1090" s="6" t="inlineStr">
        <is>
          <t>2023-1</t>
        </is>
      </c>
      <c r="J1090" s="5" t="n">
        <v>20</v>
      </c>
      <c r="K1090" s="9" t="n">
        <v>64.36781609195403</v>
      </c>
      <c r="L1090" s="14" t="n">
        <v>1.3</v>
      </c>
      <c r="M1090" s="14" t="n">
        <v>3.218390804597701</v>
      </c>
      <c r="N1090" s="5" t="inlineStr">
        <is>
          <t>%</t>
        </is>
      </c>
      <c r="O1090" s="5" t="inlineStr">
        <is>
          <t>%</t>
        </is>
      </c>
      <c r="P1090" s="15" t="n">
        <v>0</v>
      </c>
      <c r="Q1090" s="15" t="n">
        <v>0</v>
      </c>
      <c r="R1090" s="5" t="inlineStr">
        <is>
          <t>233-2023-03-31</t>
        </is>
      </c>
    </row>
    <row r="1091" hidden="1">
      <c r="A1091" s="26" t="n">
        <v>233</v>
      </c>
      <c r="B1091" s="5" t="inlineStr">
        <is>
          <t>Impacto de las Comunicaciones Correo Electrónico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09" t="n">
        <v>45107</v>
      </c>
      <c r="G1091" s="5" t="n">
        <v>2023</v>
      </c>
      <c r="H1091" s="5" t="inlineStr">
        <is>
          <t>Junio</t>
        </is>
      </c>
      <c r="I1091" s="6" t="inlineStr">
        <is>
          <t>2023-1</t>
        </is>
      </c>
      <c r="J1091" s="5" t="n">
        <v>20</v>
      </c>
      <c r="K1091" s="9" t="n">
        <v>27.60583259715072</v>
      </c>
      <c r="L1091" s="14" t="n">
        <v>1.3</v>
      </c>
      <c r="M1091" s="14" t="n">
        <v>1.380291629857536</v>
      </c>
      <c r="N1091" s="5" t="inlineStr">
        <is>
          <t>%</t>
        </is>
      </c>
      <c r="O1091" s="5" t="inlineStr">
        <is>
          <t>%</t>
        </is>
      </c>
      <c r="P1091" s="15" t="n">
        <v>1</v>
      </c>
      <c r="Q1091" s="15" t="n">
        <v>1</v>
      </c>
      <c r="R1091" s="5" t="inlineStr">
        <is>
          <t>233-2023-06-30</t>
        </is>
      </c>
    </row>
    <row r="1092" hidden="1">
      <c r="A1092" s="28" t="n">
        <v>233</v>
      </c>
      <c r="B1092" s="5" t="inlineStr">
        <is>
          <t>Impacto de las Comunicaciones Correo Electrónico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45199</v>
      </c>
      <c r="G1092" s="5" t="n">
        <v>2023</v>
      </c>
      <c r="H1092" s="5" t="inlineStr">
        <is>
          <t>Septiembre</t>
        </is>
      </c>
      <c r="I1092" s="6" t="inlineStr">
        <is>
          <t>2023-2</t>
        </is>
      </c>
      <c r="J1092" s="5" t="n">
        <v>20</v>
      </c>
      <c r="K1092" s="9" t="n">
        <v>27.41037918985376</v>
      </c>
      <c r="L1092" s="14" t="n">
        <v>1.3</v>
      </c>
      <c r="M1092" s="14" t="n">
        <v>1.370518959492688</v>
      </c>
      <c r="N1092" s="5" t="inlineStr">
        <is>
          <t>%</t>
        </is>
      </c>
      <c r="O1092" s="5" t="inlineStr">
        <is>
          <t>%</t>
        </is>
      </c>
      <c r="P1092" s="15" t="n">
        <v>0</v>
      </c>
      <c r="Q1092" s="15" t="n">
        <v>0</v>
      </c>
      <c r="R1092" s="5" t="inlineStr">
        <is>
          <t>233-2023-09-30</t>
        </is>
      </c>
    </row>
    <row r="1093" hidden="1">
      <c r="A1093" s="21" t="n">
        <v>233</v>
      </c>
      <c r="B1093" s="5" t="inlineStr">
        <is>
          <t>Impacto de las Comunicaciones Correo Electrónico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09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20</v>
      </c>
      <c r="K1093" s="10" t="n">
        <v>9.628275441803778</v>
      </c>
      <c r="L1093" s="14" t="n">
        <v>0.4814137720901889</v>
      </c>
      <c r="M1093" s="14" t="n">
        <v>0.4814137720901889</v>
      </c>
      <c r="N1093" s="5" t="inlineStr">
        <is>
          <t>%</t>
        </is>
      </c>
      <c r="O1093" s="5" t="inlineStr">
        <is>
          <t>%</t>
        </is>
      </c>
      <c r="P1093" s="15" t="n">
        <v>0</v>
      </c>
      <c r="Q1093" s="15" t="n">
        <v>0</v>
      </c>
      <c r="R1093" s="5" t="inlineStr">
        <is>
          <t>233-2023-12-31</t>
        </is>
      </c>
    </row>
    <row r="1094" hidden="1">
      <c r="A1094" s="26" t="n">
        <v>233</v>
      </c>
      <c r="B1094" s="5" t="inlineStr">
        <is>
          <t>Impacto de las Comunicaciones Correo Electrónico</t>
        </is>
      </c>
      <c r="C1094" s="5" t="inlineStr">
        <is>
          <t>GESTIÓN AMBIENTAL</t>
        </is>
      </c>
      <c r="D1094" s="5" t="inlineStr">
        <is>
          <t>Trimestral</t>
        </is>
      </c>
      <c r="E1094" s="5" t="inlineStr">
        <is>
          <t>Positivo</t>
        </is>
      </c>
      <c r="F1094" s="109" t="n">
        <v>45382</v>
      </c>
      <c r="G1094" s="5" t="n">
        <v>2024</v>
      </c>
      <c r="H1094" s="5" t="inlineStr">
        <is>
          <t>Marzo</t>
        </is>
      </c>
      <c r="I1094" s="6" t="inlineStr">
        <is>
          <t>2024-1</t>
        </is>
      </c>
      <c r="J1094" s="5" t="n">
        <v>20</v>
      </c>
      <c r="K1094" s="9" t="n">
        <v>48.35069444444444</v>
      </c>
      <c r="L1094" s="14" t="n">
        <v>1.3</v>
      </c>
      <c r="M1094" s="14" t="n">
        <v>2.417534722222222</v>
      </c>
      <c r="N1094" s="5" t="n"/>
      <c r="O1094" s="5" t="n"/>
      <c r="P1094" s="15" t="n">
        <v>0</v>
      </c>
      <c r="Q1094" s="15" t="n">
        <v>0</v>
      </c>
      <c r="R1094" s="5" t="inlineStr">
        <is>
          <t>233-2024-03-31</t>
        </is>
      </c>
    </row>
    <row r="1095" hidden="1">
      <c r="A1095" s="26" t="n">
        <v>233</v>
      </c>
      <c r="B1095" s="5" t="inlineStr">
        <is>
          <t>Impacto de las Comunicaciones Correo Electrónico</t>
        </is>
      </c>
      <c r="C1095" s="5" t="inlineStr">
        <is>
          <t>GESTIÓN AMBIENTAL</t>
        </is>
      </c>
      <c r="D1095" s="5" t="inlineStr">
        <is>
          <t>Trimestral</t>
        </is>
      </c>
      <c r="E1095" s="5" t="inlineStr">
        <is>
          <t>Positivo</t>
        </is>
      </c>
      <c r="F1095" s="109" t="n">
        <v>45473</v>
      </c>
      <c r="G1095" s="5" t="n">
        <v>2024</v>
      </c>
      <c r="H1095" s="5" t="inlineStr">
        <is>
          <t>Junio</t>
        </is>
      </c>
      <c r="I1095" s="6" t="inlineStr">
        <is>
          <t>2024-1</t>
        </is>
      </c>
      <c r="J1095" s="5" t="n">
        <v>20</v>
      </c>
      <c r="K1095" s="9" t="n">
        <v>18.56653706346807</v>
      </c>
      <c r="L1095" s="14" t="n">
        <v>0.9283268531734035</v>
      </c>
      <c r="M1095" s="14" t="n">
        <v>0.9283268531734035</v>
      </c>
      <c r="N1095" s="5" t="n"/>
      <c r="O1095" s="5" t="n"/>
      <c r="P1095" s="15" t="n">
        <v>0</v>
      </c>
      <c r="Q1095" s="15" t="n">
        <v>0</v>
      </c>
      <c r="R1095" s="5" t="inlineStr">
        <is>
          <t>233-2024-06-30</t>
        </is>
      </c>
    </row>
    <row r="1096" hidden="1">
      <c r="A1096" s="21" t="n">
        <v>233</v>
      </c>
      <c r="B1096" s="5" t="inlineStr">
        <is>
          <t>Impacto de las Comunicaciones Correo Electrónico</t>
        </is>
      </c>
      <c r="C1096" s="5" t="inlineStr">
        <is>
          <t>GESTIÓN AMBIENTAL</t>
        </is>
      </c>
      <c r="D1096" s="5" t="inlineStr">
        <is>
          <t>Trimestral</t>
        </is>
      </c>
      <c r="E1096" s="5" t="inlineStr">
        <is>
          <t>Positivo</t>
        </is>
      </c>
      <c r="F1096" s="109" t="n">
        <v>45657</v>
      </c>
      <c r="G1096" s="5" t="n">
        <v>2024</v>
      </c>
      <c r="H1096" s="5" t="inlineStr">
        <is>
          <t>Diciembre</t>
        </is>
      </c>
      <c r="I1096" s="6" t="inlineStr">
        <is>
          <t>2024-2</t>
        </is>
      </c>
      <c r="J1096" s="5" t="n">
        <v>20</v>
      </c>
      <c r="K1096" s="10" t="n">
        <v>31.82123655913979</v>
      </c>
      <c r="L1096" s="14" t="n">
        <v>1.3</v>
      </c>
      <c r="M1096" s="14" t="n">
        <v>1.591061827956989</v>
      </c>
      <c r="N1096" s="5" t="n"/>
      <c r="O1096" s="5" t="n"/>
      <c r="P1096" s="15" t="n">
        <v>0</v>
      </c>
      <c r="Q1096" s="15" t="n">
        <v>0</v>
      </c>
      <c r="R1096" s="5" t="inlineStr">
        <is>
          <t>233-2024-12-31</t>
        </is>
      </c>
    </row>
    <row r="1097" hidden="1">
      <c r="A1097" s="26" t="n">
        <v>233</v>
      </c>
      <c r="B1097" s="5" t="inlineStr">
        <is>
          <t>Impacto de las Comunicaciones Correo Electrónico</t>
        </is>
      </c>
      <c r="C1097" s="5" t="inlineStr">
        <is>
          <t>GESTIÓN AMBIENTAL</t>
        </is>
      </c>
      <c r="D1097" s="5" t="inlineStr">
        <is>
          <t>Semestral</t>
        </is>
      </c>
      <c r="E1097" s="5" t="inlineStr">
        <is>
          <t>Positivo</t>
        </is>
      </c>
      <c r="F1097" s="109" t="n">
        <v>45747</v>
      </c>
      <c r="G1097" s="5" t="n">
        <v>2025</v>
      </c>
      <c r="H1097" s="5" t="inlineStr">
        <is>
          <t>Marzo</t>
        </is>
      </c>
      <c r="I1097" s="6" t="inlineStr">
        <is>
          <t>2025-1</t>
        </is>
      </c>
      <c r="J1097" s="5" t="n">
        <v>20</v>
      </c>
      <c r="K1097" s="9" t="n">
        <v>32.86</v>
      </c>
      <c r="L1097" s="14" t="n">
        <v>1.3</v>
      </c>
      <c r="M1097" s="14" t="n">
        <v>1.643</v>
      </c>
      <c r="N1097" s="5" t="inlineStr">
        <is>
          <t>%</t>
        </is>
      </c>
      <c r="O1097" s="5" t="inlineStr">
        <is>
          <t>%</t>
        </is>
      </c>
      <c r="P1097" s="15" t="n">
        <v>0</v>
      </c>
      <c r="Q1097" s="15" t="n">
        <v>0</v>
      </c>
      <c r="R1097" s="5" t="inlineStr">
        <is>
          <t>233-2025-03-31</t>
        </is>
      </c>
    </row>
    <row r="1098" hidden="1">
      <c r="A1098" s="21" t="n">
        <v>233</v>
      </c>
      <c r="B1098" s="5" t="inlineStr">
        <is>
          <t>Impacto de las Comunicaciones Correo Electrónico</t>
        </is>
      </c>
      <c r="C1098" s="5" t="inlineStr">
        <is>
          <t>GESTIÓN AMBIENTAL</t>
        </is>
      </c>
      <c r="D1098" s="5" t="inlineStr">
        <is>
          <t>Semestral</t>
        </is>
      </c>
      <c r="E1098" s="5" t="inlineStr">
        <is>
          <t>Positivo</t>
        </is>
      </c>
      <c r="F1098" s="109" t="n">
        <v>45838</v>
      </c>
      <c r="G1098" s="5" t="n">
        <v>2025</v>
      </c>
      <c r="H1098" s="5" t="inlineStr">
        <is>
          <t>Junio</t>
        </is>
      </c>
      <c r="I1098" s="6" t="inlineStr">
        <is>
          <t>2025-1</t>
        </is>
      </c>
      <c r="J1098" s="5" t="n">
        <v>20</v>
      </c>
      <c r="K1098" s="10" t="n">
        <v>11.77</v>
      </c>
      <c r="L1098" s="14" t="n">
        <v>0.5885</v>
      </c>
      <c r="M1098" s="14" t="n">
        <v>0.5885</v>
      </c>
      <c r="N1098" s="5" t="inlineStr">
        <is>
          <t>%</t>
        </is>
      </c>
      <c r="O1098" s="5" t="inlineStr">
        <is>
          <t>%</t>
        </is>
      </c>
      <c r="P1098" s="15" t="n">
        <v>0</v>
      </c>
      <c r="Q1098" s="15" t="n">
        <v>0</v>
      </c>
      <c r="R1098" s="5" t="inlineStr">
        <is>
          <t>233-2025-06-30</t>
        </is>
      </c>
    </row>
    <row r="1099" hidden="1">
      <c r="A1099" s="28" t="n">
        <v>233</v>
      </c>
      <c r="B1099" s="5" t="inlineStr">
        <is>
          <t>Impacto de las Comunicaciones Correo Electrónico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09" t="n">
        <v>46022</v>
      </c>
      <c r="G1099" s="5" t="n">
        <v>2025</v>
      </c>
      <c r="H1099" s="5" t="inlineStr">
        <is>
          <t>Diciembre</t>
        </is>
      </c>
      <c r="I1099" s="6" t="inlineStr">
        <is>
          <t>2025-2</t>
        </is>
      </c>
      <c r="J1099" s="5" t="n">
        <v>20</v>
      </c>
      <c r="K1099" s="9" t="n"/>
      <c r="L1099" s="8" t="n"/>
      <c r="M1099" s="14" t="n"/>
      <c r="N1099" s="5" t="inlineStr">
        <is>
          <t>%</t>
        </is>
      </c>
      <c r="O1099" s="5" t="inlineStr">
        <is>
          <t>No Aplica</t>
        </is>
      </c>
      <c r="P1099" s="15" t="n">
        <v>0</v>
      </c>
      <c r="Q1099" s="15" t="n">
        <v>0</v>
      </c>
      <c r="R1099" s="5" t="inlineStr">
        <is>
          <t>233-2025-12-31</t>
        </is>
      </c>
      <c r="S1099" t="inlineStr">
        <is>
          <t>No Aplica</t>
        </is>
      </c>
    </row>
    <row r="1100" hidden="1">
      <c r="A1100" s="26" t="n">
        <v>234</v>
      </c>
      <c r="B1100" s="5" t="inlineStr">
        <is>
          <t>Impacto de las Comunicaciones en Materia Ambiental a Través de Redes Sociales - Instagram</t>
        </is>
      </c>
      <c r="C1100" s="5" t="inlineStr">
        <is>
          <t>GESTIÓN AMBIENTAL</t>
        </is>
      </c>
      <c r="D1100" s="5" t="inlineStr">
        <is>
          <t>Trimestral</t>
        </is>
      </c>
      <c r="E1100" s="5" t="inlineStr">
        <is>
          <t>Positivo</t>
        </is>
      </c>
      <c r="F1100" s="109" t="n">
        <v>45016</v>
      </c>
      <c r="G1100" s="5" t="n">
        <v>2023</v>
      </c>
      <c r="H1100" s="5" t="inlineStr">
        <is>
          <t>Marzo</t>
        </is>
      </c>
      <c r="I1100" s="6" t="inlineStr">
        <is>
          <t>2023-1</t>
        </is>
      </c>
      <c r="J1100" s="5" t="n">
        <v>4000</v>
      </c>
      <c r="K1100" s="9" t="n">
        <v>3692.25</v>
      </c>
      <c r="L1100" s="14" t="n">
        <v>0.9230625</v>
      </c>
      <c r="M1100" s="14" t="n">
        <v>0.9230625</v>
      </c>
      <c r="N1100" s="5" t="n"/>
      <c r="O1100" s="5" t="n"/>
      <c r="P1100" s="15" t="n">
        <v>0</v>
      </c>
      <c r="Q1100" s="15" t="n">
        <v>0</v>
      </c>
      <c r="R1100" s="5" t="inlineStr">
        <is>
          <t>234-2023-03-31</t>
        </is>
      </c>
    </row>
    <row r="1101" hidden="1">
      <c r="A1101" s="21" t="n">
        <v>234</v>
      </c>
      <c r="B1101" s="5" t="inlineStr">
        <is>
          <t>Impacto de las Comunicaciones en Materia Ambiental a Través de Redes Sociales - Instagram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09" t="n">
        <v>45107</v>
      </c>
      <c r="G1101" s="5" t="n">
        <v>2023</v>
      </c>
      <c r="H1101" s="5" t="inlineStr">
        <is>
          <t>Junio</t>
        </is>
      </c>
      <c r="I1101" s="6" t="inlineStr">
        <is>
          <t>2023-1</t>
        </is>
      </c>
      <c r="J1101" s="5" t="n">
        <v>4000</v>
      </c>
      <c r="K1101" s="10" t="n">
        <v>6843.5</v>
      </c>
      <c r="L1101" s="14" t="n">
        <v>1.3</v>
      </c>
      <c r="M1101" s="14" t="n">
        <v>1.710875</v>
      </c>
      <c r="N1101" s="5" t="n"/>
      <c r="O1101" s="5" t="n"/>
      <c r="P1101" s="15" t="n">
        <v>0</v>
      </c>
      <c r="Q1101" s="15" t="n">
        <v>0</v>
      </c>
      <c r="R1101" s="5" t="inlineStr">
        <is>
          <t>234-2023-06-30</t>
        </is>
      </c>
    </row>
    <row r="1102" hidden="1">
      <c r="A1102" s="5" t="n">
        <v>234</v>
      </c>
      <c r="B1102" s="5" t="inlineStr">
        <is>
          <t>Impacto de las Comunicaciones en Materia Ambiental a Través de Redes Sociales - Instagram</t>
        </is>
      </c>
      <c r="C1102" s="5" t="inlineStr">
        <is>
          <t>GESTIÓN AMBIENTAL</t>
        </is>
      </c>
      <c r="D1102" s="5" t="inlineStr">
        <is>
          <t>Semestral</t>
        </is>
      </c>
      <c r="E1102" s="5" t="inlineStr">
        <is>
          <t>Positivo</t>
        </is>
      </c>
      <c r="F1102" s="109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5" t="n">
        <v>4000</v>
      </c>
      <c r="K1102" s="5" t="n">
        <v>10713.75</v>
      </c>
      <c r="L1102" s="14" t="n">
        <v>1.3</v>
      </c>
      <c r="M1102" s="14" t="n">
        <v>2.6784375</v>
      </c>
      <c r="N1102" s="5" t="inlineStr">
        <is>
          <t>ENT</t>
        </is>
      </c>
      <c r="O1102" s="5" t="inlineStr">
        <is>
          <t>ENT</t>
        </is>
      </c>
      <c r="P1102" s="5" t="n">
        <v>0</v>
      </c>
      <c r="Q1102" s="5" t="n">
        <v>0</v>
      </c>
      <c r="R1102" s="5" t="inlineStr">
        <is>
          <t>234-2023-09-30</t>
        </is>
      </c>
    </row>
    <row r="1103" hidden="1">
      <c r="A1103" s="21" t="n">
        <v>234</v>
      </c>
      <c r="B1103" s="5" t="inlineStr">
        <is>
          <t>Impacto de las Comunicaciones en Materia Ambiental a Través de Redes Sociales - Instagram</t>
        </is>
      </c>
      <c r="C1103" s="5" t="inlineStr">
        <is>
          <t>GESTIÓN AMBIENTAL</t>
        </is>
      </c>
      <c r="D1103" s="5" t="inlineStr">
        <is>
          <t>Semestral</t>
        </is>
      </c>
      <c r="E1103" s="5" t="inlineStr">
        <is>
          <t>Positivo</t>
        </is>
      </c>
      <c r="F1103" s="109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4000</v>
      </c>
      <c r="K1103" s="10" t="n">
        <v>5893.5</v>
      </c>
      <c r="L1103" s="14" t="n">
        <v>1.3</v>
      </c>
      <c r="M1103" s="14" t="n">
        <v>1.473375</v>
      </c>
      <c r="N1103" s="5" t="inlineStr">
        <is>
          <t>ENT</t>
        </is>
      </c>
      <c r="O1103" s="5" t="inlineStr">
        <is>
          <t>ENT</t>
        </is>
      </c>
      <c r="P1103" s="15" t="n">
        <v>0</v>
      </c>
      <c r="Q1103" s="15" t="n">
        <v>0</v>
      </c>
      <c r="R1103" s="5" t="inlineStr">
        <is>
          <t>234-2023-12-31</t>
        </is>
      </c>
    </row>
    <row r="1104" hidden="1">
      <c r="A1104" s="21" t="n">
        <v>234</v>
      </c>
      <c r="B1104" s="5" t="inlineStr">
        <is>
          <t>Impacto de las Comunicaciones en Materia Ambiental a Través de Redes Sociales - Instagram</t>
        </is>
      </c>
      <c r="C1104" s="5" t="inlineStr">
        <is>
          <t>GESTIÓN AMBIENTAL</t>
        </is>
      </c>
      <c r="D1104" s="5" t="inlineStr">
        <is>
          <t>Trimestral</t>
        </is>
      </c>
      <c r="E1104" s="5" t="inlineStr">
        <is>
          <t>Positivo</t>
        </is>
      </c>
      <c r="F1104" s="109" t="n">
        <v>45382</v>
      </c>
      <c r="G1104" s="5" t="n">
        <v>2024</v>
      </c>
      <c r="H1104" s="5" t="inlineStr">
        <is>
          <t>Marzo</t>
        </is>
      </c>
      <c r="I1104" s="6" t="inlineStr">
        <is>
          <t>2024-1</t>
        </is>
      </c>
      <c r="J1104" s="5" t="n">
        <v>4000</v>
      </c>
      <c r="K1104" s="10" t="n">
        <v>3234.25</v>
      </c>
      <c r="L1104" s="14" t="n">
        <v>0.8085625</v>
      </c>
      <c r="M1104" s="14" t="n">
        <v>0.8085625</v>
      </c>
      <c r="N1104" s="5" t="n"/>
      <c r="O1104" s="5" t="n"/>
      <c r="P1104" s="15" t="n">
        <v>0</v>
      </c>
      <c r="Q1104" s="15" t="n">
        <v>0</v>
      </c>
      <c r="R1104" s="5" t="inlineStr">
        <is>
          <t>234-2024-03-31</t>
        </is>
      </c>
    </row>
    <row r="1105" hidden="1">
      <c r="A1105" s="28" t="n">
        <v>234</v>
      </c>
      <c r="B1105" s="5" t="inlineStr">
        <is>
          <t>Impacto de las Comunicaciones en Materia Ambiental a Través de Redes Sociales - Instagram</t>
        </is>
      </c>
      <c r="C1105" s="5" t="inlineStr">
        <is>
          <t>GESTIÓN AMBIENTAL</t>
        </is>
      </c>
      <c r="D1105" s="5" t="inlineStr">
        <is>
          <t>Trimestral</t>
        </is>
      </c>
      <c r="E1105" s="5" t="inlineStr">
        <is>
          <t>Positivo</t>
        </is>
      </c>
      <c r="F1105" s="109" t="n">
        <v>45473</v>
      </c>
      <c r="G1105" s="5" t="n">
        <v>2024</v>
      </c>
      <c r="H1105" s="5" t="inlineStr">
        <is>
          <t>Junio</t>
        </is>
      </c>
      <c r="I1105" s="6" t="inlineStr">
        <is>
          <t>2024-1</t>
        </is>
      </c>
      <c r="J1105" s="5" t="n">
        <v>4000</v>
      </c>
      <c r="K1105" s="9" t="n">
        <v>5453.333333333333</v>
      </c>
      <c r="L1105" s="14" t="n">
        <v>1.3</v>
      </c>
      <c r="M1105" s="14" t="n">
        <v>1.363333333333333</v>
      </c>
      <c r="N1105" s="5" t="n"/>
      <c r="O1105" s="5" t="n"/>
      <c r="P1105" s="15" t="n">
        <v>0</v>
      </c>
      <c r="Q1105" s="15" t="n">
        <v>0</v>
      </c>
      <c r="R1105" s="5" t="inlineStr">
        <is>
          <t>234-2024-06-30</t>
        </is>
      </c>
    </row>
    <row r="1106" hidden="1">
      <c r="A1106" s="26" t="n">
        <v>234</v>
      </c>
      <c r="B1106" s="5" t="inlineStr">
        <is>
          <t>Impacto de las Comunicaciones en Materia Ambiental a Través de Redes Sociales - Instagram</t>
        </is>
      </c>
      <c r="C1106" s="5" t="inlineStr">
        <is>
          <t>GESTIÓN AMBIENTAL</t>
        </is>
      </c>
      <c r="D1106" s="5" t="inlineStr">
        <is>
          <t>Trimestral</t>
        </is>
      </c>
      <c r="E1106" s="5" t="inlineStr">
        <is>
          <t>Positivo</t>
        </is>
      </c>
      <c r="F1106" s="109" t="n">
        <v>45657</v>
      </c>
      <c r="G1106" s="5" t="n">
        <v>2024</v>
      </c>
      <c r="H1106" s="5" t="inlineStr">
        <is>
          <t>Diciembre</t>
        </is>
      </c>
      <c r="I1106" s="6" t="inlineStr">
        <is>
          <t>2024-2</t>
        </is>
      </c>
      <c r="J1106" s="5" t="n">
        <v>4000</v>
      </c>
      <c r="K1106" s="9" t="n">
        <v>4218</v>
      </c>
      <c r="L1106" s="14" t="n">
        <v>1.0545</v>
      </c>
      <c r="M1106" s="14" t="n">
        <v>1.0545</v>
      </c>
      <c r="N1106" s="5" t="n"/>
      <c r="O1106" s="5" t="n"/>
      <c r="P1106" s="15" t="n">
        <v>0</v>
      </c>
      <c r="Q1106" s="15" t="n">
        <v>0</v>
      </c>
      <c r="R1106" s="5" t="inlineStr">
        <is>
          <t>234-2024-12-31</t>
        </is>
      </c>
    </row>
    <row r="1107" hidden="1">
      <c r="A1107" s="28" t="n">
        <v>234</v>
      </c>
      <c r="B1107" s="5" t="inlineStr">
        <is>
          <t>Impacto de las Comunicaciones en Materia Ambiental a Través de Redes Sociales - Instagram</t>
        </is>
      </c>
      <c r="C1107" s="5" t="inlineStr">
        <is>
          <t>GESTIÓN AMBIENTAL</t>
        </is>
      </c>
      <c r="D1107" s="5" t="inlineStr">
        <is>
          <t>Semestral</t>
        </is>
      </c>
      <c r="E1107" s="5" t="inlineStr">
        <is>
          <t>Positivo</t>
        </is>
      </c>
      <c r="F1107" s="109" t="n">
        <v>45747</v>
      </c>
      <c r="G1107" s="5" t="n">
        <v>2025</v>
      </c>
      <c r="H1107" s="5" t="inlineStr">
        <is>
          <t>Marzo</t>
        </is>
      </c>
      <c r="I1107" s="6" t="inlineStr">
        <is>
          <t>2025-1</t>
        </is>
      </c>
      <c r="J1107" s="5" t="n">
        <v>4000</v>
      </c>
      <c r="K1107" s="9" t="n">
        <v>7112</v>
      </c>
      <c r="L1107" s="14" t="n">
        <v>1.3</v>
      </c>
      <c r="M1107" s="14" t="n">
        <v>1.778</v>
      </c>
      <c r="N1107" s="5" t="inlineStr">
        <is>
          <t>ENT</t>
        </is>
      </c>
      <c r="O1107" s="5" t="inlineStr">
        <is>
          <t>ENT</t>
        </is>
      </c>
      <c r="P1107" s="15" t="n">
        <v>0</v>
      </c>
      <c r="Q1107" s="15" t="n">
        <v>0</v>
      </c>
      <c r="R1107" s="5" t="inlineStr">
        <is>
          <t>234-2025-03-31</t>
        </is>
      </c>
    </row>
    <row r="1108" hidden="1">
      <c r="A1108" s="21" t="n">
        <v>234</v>
      </c>
      <c r="B1108" s="5" t="inlineStr">
        <is>
          <t>Impacto de las Comunicaciones en Materia Ambiental a Través de Redes Sociales - Instagram</t>
        </is>
      </c>
      <c r="C1108" s="5" t="inlineStr">
        <is>
          <t>GESTIÓN AMBIENTAL</t>
        </is>
      </c>
      <c r="D1108" s="5" t="inlineStr">
        <is>
          <t>Semestral</t>
        </is>
      </c>
      <c r="E1108" s="5" t="inlineStr">
        <is>
          <t>Positivo</t>
        </is>
      </c>
      <c r="F1108" s="109" t="n">
        <v>45838</v>
      </c>
      <c r="G1108" s="5" t="n">
        <v>2025</v>
      </c>
      <c r="H1108" s="5" t="inlineStr">
        <is>
          <t>Junio</t>
        </is>
      </c>
      <c r="I1108" s="6" t="inlineStr">
        <is>
          <t>2025-1</t>
        </is>
      </c>
      <c r="J1108" s="5" t="n">
        <v>4000</v>
      </c>
      <c r="K1108" s="10" t="n">
        <v>14042.5</v>
      </c>
      <c r="L1108" s="14" t="n">
        <v>1.3</v>
      </c>
      <c r="M1108" s="14" t="n">
        <v>3.510625</v>
      </c>
      <c r="N1108" s="5" t="inlineStr">
        <is>
          <t>ENT</t>
        </is>
      </c>
      <c r="O1108" s="5" t="inlineStr">
        <is>
          <t>ENT</t>
        </is>
      </c>
      <c r="P1108" s="15" t="n">
        <v>0</v>
      </c>
      <c r="Q1108" s="15" t="n">
        <v>0</v>
      </c>
      <c r="R1108" s="5" t="inlineStr">
        <is>
          <t>234-2025-06-30</t>
        </is>
      </c>
    </row>
    <row r="1109" hidden="1">
      <c r="A1109" s="21" t="n">
        <v>234</v>
      </c>
      <c r="B1109" s="5" t="inlineStr">
        <is>
          <t>Impacto de las Comunicaciones en Materia Ambiental a Través de Redes Sociales - Instagram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08" t="n">
        <v>46022</v>
      </c>
      <c r="G1109" s="5" t="n">
        <v>2025</v>
      </c>
      <c r="H1109" s="5" t="inlineStr">
        <is>
          <t>Diciembre</t>
        </is>
      </c>
      <c r="I1109" s="6" t="inlineStr">
        <is>
          <t>2025-2</t>
        </is>
      </c>
      <c r="J1109" s="5" t="n">
        <v>4000</v>
      </c>
      <c r="K1109" s="9" t="n"/>
      <c r="L1109" s="8" t="n"/>
      <c r="M1109" s="14" t="n"/>
      <c r="N1109" s="5" t="inlineStr">
        <is>
          <t>ENT</t>
        </is>
      </c>
      <c r="O1109" s="5" t="inlineStr">
        <is>
          <t>No Aplica</t>
        </is>
      </c>
      <c r="P1109" s="15" t="n">
        <v>0</v>
      </c>
      <c r="Q1109" s="15" t="n">
        <v>0</v>
      </c>
      <c r="R1109" s="5" t="inlineStr">
        <is>
          <t>234-2025-12-31</t>
        </is>
      </c>
      <c r="S1109" t="inlineStr">
        <is>
          <t>No Aplica</t>
        </is>
      </c>
    </row>
    <row r="1110" hidden="1">
      <c r="A1110" s="21" t="n">
        <v>235</v>
      </c>
      <c r="B1110" s="5" t="inlineStr">
        <is>
          <t>Cumplimiento de Requisitos Legales Ambientales Aplicables</t>
        </is>
      </c>
      <c r="C1110" s="5" t="inlineStr">
        <is>
          <t>GESTIÓN AMBIENTAL</t>
        </is>
      </c>
      <c r="D1110" s="5" t="inlineStr">
        <is>
          <t>Anual</t>
        </is>
      </c>
      <c r="E1110" s="5" t="inlineStr">
        <is>
          <t>Positivo</t>
        </is>
      </c>
      <c r="F1110" s="108" t="n">
        <v>45291</v>
      </c>
      <c r="G1110" s="5" t="n">
        <v>2023</v>
      </c>
      <c r="H1110" s="5" t="inlineStr">
        <is>
          <t>Diciembre</t>
        </is>
      </c>
      <c r="I1110" s="6" t="inlineStr">
        <is>
          <t>2023-2</t>
        </is>
      </c>
      <c r="J1110" s="5" t="n">
        <v>100</v>
      </c>
      <c r="K1110" s="9" t="n">
        <v>81.65289256198299</v>
      </c>
      <c r="L1110" s="14" t="n">
        <v>0.8165289256198299</v>
      </c>
      <c r="M1110" s="14" t="n">
        <v>0.8165289256198299</v>
      </c>
      <c r="N1110" s="5" t="inlineStr">
        <is>
          <t>%</t>
        </is>
      </c>
      <c r="O1110" s="5" t="inlineStr">
        <is>
          <t>%</t>
        </is>
      </c>
      <c r="P1110" s="15" t="n">
        <v>0</v>
      </c>
      <c r="Q1110" s="15" t="n">
        <v>0</v>
      </c>
      <c r="R1110" s="5" t="inlineStr">
        <is>
          <t>235-2023-12-31</t>
        </is>
      </c>
    </row>
    <row r="1111" hidden="1">
      <c r="A1111" s="26" t="n">
        <v>235</v>
      </c>
      <c r="B1111" s="5" t="inlineStr">
        <is>
          <t>Cumplimiento de Requisitos Legales Ambientales Aplicables</t>
        </is>
      </c>
      <c r="C1111" s="5" t="inlineStr">
        <is>
          <t>GESTIÓN AMBIENTAL</t>
        </is>
      </c>
      <c r="D1111" s="5" t="inlineStr">
        <is>
          <t>Anual</t>
        </is>
      </c>
      <c r="E1111" s="5" t="inlineStr">
        <is>
          <t>Positivo</t>
        </is>
      </c>
      <c r="F1111" s="109" t="n">
        <v>45657</v>
      </c>
      <c r="G1111" s="5" t="n">
        <v>2024</v>
      </c>
      <c r="H1111" s="5" t="inlineStr">
        <is>
          <t>Diciembre</t>
        </is>
      </c>
      <c r="I1111" s="6" t="inlineStr">
        <is>
          <t>2024-2</t>
        </is>
      </c>
      <c r="J1111" s="5" t="n">
        <v>100</v>
      </c>
      <c r="K1111" s="9" t="n">
        <v>92.012779552716</v>
      </c>
      <c r="L1111" s="14" t="n">
        <v>0.92012779552716</v>
      </c>
      <c r="M1111" s="14" t="n">
        <v>0.92012779552716</v>
      </c>
      <c r="N1111" s="5" t="n"/>
      <c r="O1111" s="5" t="n"/>
      <c r="P1111" s="15" t="n">
        <v>0</v>
      </c>
      <c r="Q1111" s="15" t="n">
        <v>0</v>
      </c>
      <c r="R1111" s="5" t="inlineStr">
        <is>
          <t>235-2024-12-31</t>
        </is>
      </c>
    </row>
    <row r="1112" hidden="1">
      <c r="A1112" s="5" t="n">
        <v>236</v>
      </c>
      <c r="B1112" s="5" t="inlineStr">
        <is>
          <t>Actos Administrativos o Decisiones Judiciales Ambientales</t>
        </is>
      </c>
      <c r="C1112" s="5" t="inlineStr">
        <is>
          <t>GESTIÓN AMBIENTAL</t>
        </is>
      </c>
      <c r="D1112" s="5" t="inlineStr">
        <is>
          <t>Anual</t>
        </is>
      </c>
      <c r="E1112" s="5" t="inlineStr">
        <is>
          <t>Negativo</t>
        </is>
      </c>
      <c r="F1112" s="109" t="n">
        <v>45291</v>
      </c>
      <c r="G1112" s="5" t="n">
        <v>2023</v>
      </c>
      <c r="H1112" s="5" t="inlineStr">
        <is>
          <t>Diciembre</t>
        </is>
      </c>
      <c r="I1112" s="6" t="inlineStr">
        <is>
          <t>2023-2</t>
        </is>
      </c>
      <c r="J1112" s="5" t="n">
        <v>0</v>
      </c>
      <c r="K1112" s="11" t="n">
        <v>0</v>
      </c>
      <c r="L1112" s="14" t="n">
        <v>1</v>
      </c>
      <c r="M1112" s="14" t="n">
        <v>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236-2023-12-31</t>
        </is>
      </c>
    </row>
    <row r="1113" hidden="1">
      <c r="A1113" s="21" t="n">
        <v>236</v>
      </c>
      <c r="B1113" s="5" t="inlineStr">
        <is>
          <t>Actos Administrativos o Decisiones Judiciales Ambientales</t>
        </is>
      </c>
      <c r="C1113" s="5" t="inlineStr">
        <is>
          <t>GESTIÓN AMBIENTAL</t>
        </is>
      </c>
      <c r="D1113" s="5" t="inlineStr">
        <is>
          <t>Anual</t>
        </is>
      </c>
      <c r="E1113" s="5" t="inlineStr">
        <is>
          <t>Negativo</t>
        </is>
      </c>
      <c r="F1113" s="109" t="n">
        <v>45657</v>
      </c>
      <c r="G1113" s="5" t="n">
        <v>2024</v>
      </c>
      <c r="H1113" s="5" t="inlineStr">
        <is>
          <t>Diciembre</t>
        </is>
      </c>
      <c r="I1113" s="6" t="inlineStr">
        <is>
          <t>2024-2</t>
        </is>
      </c>
      <c r="J1113" s="5" t="n">
        <v>0</v>
      </c>
      <c r="K1113" s="10" t="n">
        <v>0</v>
      </c>
      <c r="L1113" s="14" t="n">
        <v>1</v>
      </c>
      <c r="M1113" s="14" t="n">
        <v>1</v>
      </c>
      <c r="N1113" s="5" t="n"/>
      <c r="O1113" s="5" t="n"/>
      <c r="P1113" s="15" t="n">
        <v>0</v>
      </c>
      <c r="Q1113" s="15" t="n">
        <v>0</v>
      </c>
      <c r="R1113" s="5" t="inlineStr">
        <is>
          <t>236-2024-12-31</t>
        </is>
      </c>
    </row>
    <row r="1114" hidden="1">
      <c r="A1114" s="28" t="n">
        <v>236</v>
      </c>
      <c r="B1114" s="5" t="inlineStr">
        <is>
          <t>Actos Administrativos o Decisiones Judiciales Ambientales</t>
        </is>
      </c>
      <c r="C1114" s="5" t="inlineStr">
        <is>
          <t>GESTIÓN AMBIENTAL</t>
        </is>
      </c>
      <c r="D1114" s="5" t="inlineStr">
        <is>
          <t>Anual</t>
        </is>
      </c>
      <c r="E1114" s="5" t="inlineStr">
        <is>
          <t>Negativo</t>
        </is>
      </c>
      <c r="F1114" s="109" t="n">
        <v>46022</v>
      </c>
      <c r="G1114" s="5" t="n">
        <v>2025</v>
      </c>
      <c r="H1114" s="5" t="inlineStr">
        <is>
          <t>Diciembre</t>
        </is>
      </c>
      <c r="I1114" s="6" t="inlineStr">
        <is>
          <t>2025-2</t>
        </is>
      </c>
      <c r="J1114" s="5" t="n">
        <v>0</v>
      </c>
      <c r="K1114" s="9" t="n">
        <v>0</v>
      </c>
      <c r="L1114" s="14" t="n">
        <v>1</v>
      </c>
      <c r="M1114" s="14" t="n">
        <v>1</v>
      </c>
      <c r="N1114" s="5" t="inlineStr">
        <is>
          <t>%</t>
        </is>
      </c>
      <c r="O1114" s="5" t="inlineStr">
        <is>
          <t>%</t>
        </is>
      </c>
      <c r="P1114" s="15" t="n">
        <v>0</v>
      </c>
      <c r="Q1114" s="15" t="n">
        <v>0</v>
      </c>
      <c r="R1114" s="5" t="inlineStr">
        <is>
          <t>236-2025-12-31</t>
        </is>
      </c>
    </row>
    <row r="1115" hidden="1">
      <c r="A1115" s="26" t="n">
        <v>238</v>
      </c>
      <c r="B1115" s="5" t="inlineStr">
        <is>
          <t>Cumplimiento de la Protección del Medio Ambiente</t>
        </is>
      </c>
      <c r="C1115" s="5" t="inlineStr">
        <is>
          <t>GESTIÓN AMBIENTAL</t>
        </is>
      </c>
      <c r="D1115" s="5" t="inlineStr">
        <is>
          <t>Semestral</t>
        </is>
      </c>
      <c r="E1115" s="5" t="inlineStr">
        <is>
          <t>Positivo</t>
        </is>
      </c>
      <c r="F1115" s="109" t="n">
        <v>44742</v>
      </c>
      <c r="G1115" s="5" t="n">
        <v>2022</v>
      </c>
      <c r="H1115" s="5" t="inlineStr">
        <is>
          <t>Junio</t>
        </is>
      </c>
      <c r="I1115" s="6" t="inlineStr">
        <is>
          <t>2022-1</t>
        </is>
      </c>
      <c r="J1115" s="5" t="n">
        <v>90</v>
      </c>
      <c r="K1115" s="9" t="n"/>
      <c r="L1115" s="8" t="n"/>
      <c r="M1115" s="14" t="n"/>
      <c r="N1115" s="5" t="inlineStr">
        <is>
          <t>Sin Reporte</t>
        </is>
      </c>
      <c r="O1115" s="5" t="inlineStr">
        <is>
          <t>No Aplica</t>
        </is>
      </c>
      <c r="P1115" s="15" t="n">
        <v>0</v>
      </c>
      <c r="Q1115" s="15" t="n">
        <v>0</v>
      </c>
      <c r="R1115" s="5" t="inlineStr">
        <is>
          <t>238-2022-06-30</t>
        </is>
      </c>
      <c r="S1115" t="inlineStr">
        <is>
          <t>No Aplica</t>
        </is>
      </c>
    </row>
    <row r="1116" hidden="1">
      <c r="A1116" s="21" t="n">
        <v>238</v>
      </c>
      <c r="B1116" s="5" t="inlineStr">
        <is>
          <t>Cumplimiento de la Protección del Medio Ambiente</t>
        </is>
      </c>
      <c r="C1116" s="5" t="inlineStr">
        <is>
          <t>GESTIÓN AMBIENTAL</t>
        </is>
      </c>
      <c r="D1116" s="5" t="inlineStr">
        <is>
          <t>Semestral</t>
        </is>
      </c>
      <c r="E1116" s="5" t="inlineStr">
        <is>
          <t>Positivo</t>
        </is>
      </c>
      <c r="F1116" s="109" t="n">
        <v>44926</v>
      </c>
      <c r="G1116" s="5" t="n">
        <v>2022</v>
      </c>
      <c r="H1116" s="5" t="inlineStr">
        <is>
          <t>Diciembre</t>
        </is>
      </c>
      <c r="I1116" s="6" t="inlineStr">
        <is>
          <t>2022-2</t>
        </is>
      </c>
      <c r="J1116" s="5" t="n">
        <v>90</v>
      </c>
      <c r="K1116" s="10" t="n"/>
      <c r="L1116" s="14" t="n"/>
      <c r="M1116" s="14" t="n"/>
      <c r="N1116" s="5" t="inlineStr">
        <is>
          <t>Sin Reporte</t>
        </is>
      </c>
      <c r="O1116" s="5" t="inlineStr">
        <is>
          <t>No Aplica</t>
        </is>
      </c>
      <c r="P1116" s="15" t="n">
        <v>0</v>
      </c>
      <c r="Q1116" s="15" t="n">
        <v>0</v>
      </c>
      <c r="R1116" s="5" t="inlineStr">
        <is>
          <t>238-2022-12-31</t>
        </is>
      </c>
      <c r="S1116" t="inlineStr">
        <is>
          <t>No Aplica</t>
        </is>
      </c>
    </row>
    <row r="1117" hidden="1">
      <c r="A1117" s="5" t="n">
        <v>238</v>
      </c>
      <c r="B1117" s="5" t="inlineStr">
        <is>
          <t>Cumplimiento de la Protección del Medio Ambiente</t>
        </is>
      </c>
      <c r="C1117" s="5" t="inlineStr">
        <is>
          <t>GESTIÓN AMBIENTAL</t>
        </is>
      </c>
      <c r="D1117" s="5" t="inlineStr">
        <is>
          <t>Trimestral</t>
        </is>
      </c>
      <c r="E1117" s="5" t="inlineStr">
        <is>
          <t>Positivo</t>
        </is>
      </c>
      <c r="F1117" s="109" t="n">
        <v>45016</v>
      </c>
      <c r="G1117" s="5" t="n">
        <v>2023</v>
      </c>
      <c r="H1117" s="5" t="inlineStr">
        <is>
          <t>Marzo</t>
        </is>
      </c>
      <c r="I1117" s="6" t="inlineStr">
        <is>
          <t>2023-1</t>
        </is>
      </c>
      <c r="J1117" s="5" t="n">
        <v>90</v>
      </c>
      <c r="K1117" s="5" t="n">
        <v>94.44444444444444</v>
      </c>
      <c r="L1117" s="14" t="n">
        <v>1.049382716049383</v>
      </c>
      <c r="M1117" s="14" t="n">
        <v>1.049382716049383</v>
      </c>
      <c r="N1117" s="5" t="n"/>
      <c r="O1117" s="5" t="n"/>
      <c r="P1117" s="5" t="n">
        <v>0</v>
      </c>
      <c r="Q1117" s="5" t="n">
        <v>0</v>
      </c>
      <c r="R1117" s="5" t="inlineStr">
        <is>
          <t>238-2023-03-31</t>
        </is>
      </c>
    </row>
    <row r="1118" hidden="1">
      <c r="A1118" s="21" t="n">
        <v>238</v>
      </c>
      <c r="B1118" s="5" t="inlineStr">
        <is>
          <t>Cumplimiento de la Protección del Medio Ambiente</t>
        </is>
      </c>
      <c r="C1118" s="5" t="inlineStr">
        <is>
          <t>GESTIÓN AMBIENTAL</t>
        </is>
      </c>
      <c r="D1118" s="5" t="inlineStr">
        <is>
          <t>Trimestral</t>
        </is>
      </c>
      <c r="E1118" s="5" t="inlineStr">
        <is>
          <t>Positivo</t>
        </is>
      </c>
      <c r="F1118" s="109" t="n">
        <v>45107</v>
      </c>
      <c r="G1118" s="5" t="n">
        <v>2023</v>
      </c>
      <c r="H1118" s="5" t="inlineStr">
        <is>
          <t>Junio</t>
        </is>
      </c>
      <c r="I1118" s="6" t="inlineStr">
        <is>
          <t>2023-1</t>
        </is>
      </c>
      <c r="J1118" s="5" t="n">
        <v>90</v>
      </c>
      <c r="K1118" s="10" t="n">
        <v>96.42857142857144</v>
      </c>
      <c r="L1118" s="14" t="n">
        <v>1.071428571428572</v>
      </c>
      <c r="M1118" s="14" t="n">
        <v>1.071428571428572</v>
      </c>
      <c r="N1118" s="5" t="n"/>
      <c r="O1118" s="5" t="n"/>
      <c r="P1118" s="15" t="n">
        <v>0</v>
      </c>
      <c r="Q1118" s="15" t="n">
        <v>0</v>
      </c>
      <c r="R1118" s="5" t="inlineStr">
        <is>
          <t>238-2023-06-30</t>
        </is>
      </c>
    </row>
    <row r="1119" hidden="1">
      <c r="A1119" s="21" t="n">
        <v>238</v>
      </c>
      <c r="B1119" s="5" t="inlineStr">
        <is>
          <t>Cumplimiento de la Protección del Medio Ambiente</t>
        </is>
      </c>
      <c r="C1119" s="5" t="inlineStr">
        <is>
          <t>GESTIÓN AMBIENTAL</t>
        </is>
      </c>
      <c r="D1119" s="5" t="inlineStr">
        <is>
          <t>Trimestral</t>
        </is>
      </c>
      <c r="E1119" s="5" t="inlineStr">
        <is>
          <t>Positivo</t>
        </is>
      </c>
      <c r="F1119" s="109" t="n">
        <v>45199</v>
      </c>
      <c r="G1119" s="5" t="n">
        <v>2023</v>
      </c>
      <c r="H1119" s="5" t="inlineStr">
        <is>
          <t>Septiembre</t>
        </is>
      </c>
      <c r="I1119" s="6" t="inlineStr">
        <is>
          <t>2023-2</t>
        </is>
      </c>
      <c r="J1119" s="5" t="n">
        <v>90</v>
      </c>
      <c r="K1119" s="10" t="n">
        <v>84.21052631578947</v>
      </c>
      <c r="L1119" s="14" t="n">
        <v>0.935672514619883</v>
      </c>
      <c r="M1119" s="14" t="n">
        <v>0.935672514619883</v>
      </c>
      <c r="N1119" s="5" t="n"/>
      <c r="O1119" s="5" t="n"/>
      <c r="P1119" s="15" t="n">
        <v>0</v>
      </c>
      <c r="Q1119" s="15" t="n">
        <v>0</v>
      </c>
      <c r="R1119" s="5" t="inlineStr">
        <is>
          <t>238-2023-09-30</t>
        </is>
      </c>
    </row>
    <row r="1120" hidden="1">
      <c r="A1120" s="21" t="n">
        <v>238</v>
      </c>
      <c r="B1120" s="5" t="inlineStr">
        <is>
          <t>Cumplimiento de la Protección del Medio Ambiente</t>
        </is>
      </c>
      <c r="C1120" s="5" t="inlineStr">
        <is>
          <t>GESTIÓN AMBIENTAL</t>
        </is>
      </c>
      <c r="D1120" s="5" t="inlineStr">
        <is>
          <t>Semestral</t>
        </is>
      </c>
      <c r="E1120" s="5" t="inlineStr">
        <is>
          <t>Positivo</t>
        </is>
      </c>
      <c r="F1120" s="109" t="n">
        <v>45291</v>
      </c>
      <c r="G1120" s="5" t="n">
        <v>2023</v>
      </c>
      <c r="H1120" s="5" t="inlineStr">
        <is>
          <t>Diciembre</t>
        </is>
      </c>
      <c r="I1120" s="6" t="inlineStr">
        <is>
          <t>2023-2</t>
        </is>
      </c>
      <c r="J1120" s="5" t="n">
        <v>90</v>
      </c>
      <c r="K1120" s="9" t="n">
        <v>75</v>
      </c>
      <c r="L1120" s="14" t="n">
        <v>0.8333333333333334</v>
      </c>
      <c r="M1120" s="14" t="n">
        <v>0.8333333333333334</v>
      </c>
      <c r="N1120" s="5" t="inlineStr">
        <is>
          <t>Sin Reporte</t>
        </is>
      </c>
      <c r="O1120" s="5" t="inlineStr">
        <is>
          <t>Sin Reporte</t>
        </is>
      </c>
      <c r="P1120" s="15" t="n">
        <v>0</v>
      </c>
      <c r="Q1120" s="15" t="n">
        <v>0</v>
      </c>
      <c r="R1120" s="5" t="inlineStr">
        <is>
          <t>238-2023-12-31</t>
        </is>
      </c>
    </row>
    <row r="1121" hidden="1">
      <c r="A1121" s="28" t="n">
        <v>238</v>
      </c>
      <c r="B1121" s="5" t="inlineStr">
        <is>
          <t>Cumplimiento de la Protección del Medio Ambiente</t>
        </is>
      </c>
      <c r="C1121" s="5" t="inlineStr">
        <is>
          <t>GESTIÓN AMBIENTAL</t>
        </is>
      </c>
      <c r="D1121" s="5" t="inlineStr">
        <is>
          <t>Trimestral</t>
        </is>
      </c>
      <c r="E1121" s="5" t="inlineStr">
        <is>
          <t>Positivo</t>
        </is>
      </c>
      <c r="F1121" s="109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>
        <v>90</v>
      </c>
      <c r="K1121" s="9" t="n">
        <v>76.19047619047619</v>
      </c>
      <c r="L1121" s="14" t="n">
        <v>0.8465608465608465</v>
      </c>
      <c r="M1121" s="14" t="n">
        <v>0.8465608465608465</v>
      </c>
      <c r="N1121" s="5" t="inlineStr">
        <is>
          <t>Sin Reporte</t>
        </is>
      </c>
      <c r="O1121" s="5" t="inlineStr">
        <is>
          <t>Sin Reporte</t>
        </is>
      </c>
      <c r="P1121" s="15" t="n">
        <v>0</v>
      </c>
      <c r="Q1121" s="15" t="n">
        <v>0</v>
      </c>
      <c r="R1121" s="5" t="inlineStr">
        <is>
          <t>238-2024-03-31</t>
        </is>
      </c>
    </row>
    <row r="1122" hidden="1">
      <c r="A1122" s="26" t="n">
        <v>238</v>
      </c>
      <c r="B1122" s="5" t="inlineStr">
        <is>
          <t>Cumplimiento de la Protección del Medio Ambiente</t>
        </is>
      </c>
      <c r="C1122" s="5" t="inlineStr">
        <is>
          <t>GESTIÓN AMBIENTAL</t>
        </is>
      </c>
      <c r="D1122" s="5" t="inlineStr">
        <is>
          <t>Semestral</t>
        </is>
      </c>
      <c r="E1122" s="5" t="inlineStr">
        <is>
          <t>Positivo</t>
        </is>
      </c>
      <c r="F1122" s="109" t="n">
        <v>45473</v>
      </c>
      <c r="G1122" s="5" t="n">
        <v>2024</v>
      </c>
      <c r="H1122" s="5" t="inlineStr">
        <is>
          <t>Junio</t>
        </is>
      </c>
      <c r="I1122" s="6" t="inlineStr">
        <is>
          <t>2024-1</t>
        </is>
      </c>
      <c r="J1122" s="5" t="n">
        <v>90</v>
      </c>
      <c r="K1122" s="9" t="n">
        <v>78.125</v>
      </c>
      <c r="L1122" s="14" t="n">
        <v>0.8680555555555556</v>
      </c>
      <c r="M1122" s="14" t="n">
        <v>0.8680555555555556</v>
      </c>
      <c r="N1122" s="5" t="inlineStr">
        <is>
          <t>Sin Reporte</t>
        </is>
      </c>
      <c r="O1122" s="5" t="inlineStr">
        <is>
          <t>Sin Reporte</t>
        </is>
      </c>
      <c r="P1122" s="15" t="n">
        <v>0</v>
      </c>
      <c r="Q1122" s="15" t="n">
        <v>0</v>
      </c>
      <c r="R1122" s="5" t="inlineStr">
        <is>
          <t>238-2024-06-30</t>
        </is>
      </c>
    </row>
    <row r="1123" hidden="1">
      <c r="A1123" s="21" t="n">
        <v>238</v>
      </c>
      <c r="B1123" s="5" t="inlineStr">
        <is>
          <t>Cumplimiento de la Protección del Medio Ambiente</t>
        </is>
      </c>
      <c r="C1123" s="5" t="inlineStr">
        <is>
          <t>GESTIÓN AMBIENTAL</t>
        </is>
      </c>
      <c r="D1123" s="5" t="inlineStr">
        <is>
          <t>Trimestral</t>
        </is>
      </c>
      <c r="E1123" s="5" t="inlineStr">
        <is>
          <t>Positivo</t>
        </is>
      </c>
      <c r="F1123" s="109" t="n">
        <v>45565</v>
      </c>
      <c r="G1123" s="5" t="n">
        <v>2024</v>
      </c>
      <c r="H1123" s="5" t="inlineStr">
        <is>
          <t>Septiembre</t>
        </is>
      </c>
      <c r="I1123" s="6" t="inlineStr">
        <is>
          <t>2024-2</t>
        </is>
      </c>
      <c r="J1123" s="5" t="n">
        <v>90</v>
      </c>
      <c r="K1123" s="10" t="n">
        <v>84.21052631578947</v>
      </c>
      <c r="L1123" s="14" t="n">
        <v>0.935672514619883</v>
      </c>
      <c r="M1123" s="14" t="n">
        <v>0.935672514619883</v>
      </c>
      <c r="N1123" s="5" t="inlineStr">
        <is>
          <t>Sin Reporte</t>
        </is>
      </c>
      <c r="O1123" s="5" t="inlineStr">
        <is>
          <t>Sin Reporte</t>
        </is>
      </c>
      <c r="P1123" s="15" t="n">
        <v>0</v>
      </c>
      <c r="Q1123" s="15" t="n">
        <v>0</v>
      </c>
      <c r="R1123" s="5" t="inlineStr">
        <is>
          <t>238-2024-09-30</t>
        </is>
      </c>
    </row>
    <row r="1124" hidden="1">
      <c r="A1124" s="5" t="n">
        <v>238</v>
      </c>
      <c r="B1124" s="5" t="inlineStr">
        <is>
          <t>Cumplimiento de la Protección del Medio Ambiente</t>
        </is>
      </c>
      <c r="C1124" s="5" t="inlineStr">
        <is>
          <t>GESTIÓN AMBIENTAL</t>
        </is>
      </c>
      <c r="D1124" s="5" t="inlineStr">
        <is>
          <t>Trimestral</t>
        </is>
      </c>
      <c r="E1124" s="5" t="inlineStr">
        <is>
          <t>Positivo</t>
        </is>
      </c>
      <c r="F1124" s="109" t="n">
        <v>45657</v>
      </c>
      <c r="G1124" s="5" t="n">
        <v>2024</v>
      </c>
      <c r="H1124" s="5" t="inlineStr">
        <is>
          <t>Diciembre</t>
        </is>
      </c>
      <c r="I1124" s="6" t="inlineStr">
        <is>
          <t>2024-2</t>
        </is>
      </c>
      <c r="J1124" s="5" t="n">
        <v>90</v>
      </c>
      <c r="K1124" s="5" t="n">
        <v>80</v>
      </c>
      <c r="L1124" s="14" t="n">
        <v>0.8888888888888888</v>
      </c>
      <c r="M1124" s="14" t="n">
        <v>0.8888888888888888</v>
      </c>
      <c r="N1124" s="5" t="inlineStr">
        <is>
          <t>Sin Reporte</t>
        </is>
      </c>
      <c r="O1124" s="5" t="inlineStr">
        <is>
          <t>Sin Reporte</t>
        </is>
      </c>
      <c r="P1124" s="5" t="n">
        <v>0</v>
      </c>
      <c r="Q1124" s="5" t="n">
        <v>0</v>
      </c>
      <c r="R1124" s="5" t="inlineStr">
        <is>
          <t>238-2024-12-31</t>
        </is>
      </c>
    </row>
    <row r="1125" hidden="1">
      <c r="A1125" s="21" t="n">
        <v>238</v>
      </c>
      <c r="B1125" s="5" t="inlineStr">
        <is>
          <t>Cumplimiento de la Protección del Medio Ambiente</t>
        </is>
      </c>
      <c r="C1125" s="5" t="inlineStr">
        <is>
          <t>GESTIÓN AMBIENTAL</t>
        </is>
      </c>
      <c r="D1125" s="5" t="inlineStr">
        <is>
          <t>Semestral</t>
        </is>
      </c>
      <c r="E1125" s="5" t="inlineStr">
        <is>
          <t>Positivo</t>
        </is>
      </c>
      <c r="F1125" s="109" t="n">
        <v>45747</v>
      </c>
      <c r="G1125" s="5" t="n">
        <v>2025</v>
      </c>
      <c r="H1125" s="5" t="inlineStr">
        <is>
          <t>Marzo</t>
        </is>
      </c>
      <c r="I1125" s="6" t="inlineStr">
        <is>
          <t>2025-1</t>
        </is>
      </c>
      <c r="J1125" s="5" t="n">
        <v>90</v>
      </c>
      <c r="K1125" s="10" t="n">
        <v>95.12</v>
      </c>
      <c r="L1125" s="14" t="n">
        <v>1.056888888888889</v>
      </c>
      <c r="M1125" s="14" t="n">
        <v>1.056888888888889</v>
      </c>
      <c r="N1125" s="5" t="inlineStr">
        <is>
          <t>Sin Reporte</t>
        </is>
      </c>
      <c r="O1125" s="5" t="inlineStr">
        <is>
          <t>Sin Reporte</t>
        </is>
      </c>
      <c r="P1125" s="15" t="n">
        <v>0</v>
      </c>
      <c r="Q1125" s="15" t="n">
        <v>0</v>
      </c>
      <c r="R1125" s="5" t="inlineStr">
        <is>
          <t>238-2025-03-31</t>
        </is>
      </c>
    </row>
    <row r="1126" hidden="1">
      <c r="A1126" s="26" t="n">
        <v>238</v>
      </c>
      <c r="B1126" s="5" t="inlineStr">
        <is>
          <t>Cumplimiento de la Protección del Medio Ambiente</t>
        </is>
      </c>
      <c r="C1126" s="5" t="inlineStr">
        <is>
          <t>GESTIÓN AMBIENTAL</t>
        </is>
      </c>
      <c r="D1126" s="5" t="inlineStr">
        <is>
          <t>Semestral</t>
        </is>
      </c>
      <c r="E1126" s="5" t="inlineStr">
        <is>
          <t>Positivo</t>
        </is>
      </c>
      <c r="F1126" s="109" t="n">
        <v>45838</v>
      </c>
      <c r="G1126" s="5" t="n">
        <v>2025</v>
      </c>
      <c r="H1126" s="5" t="inlineStr">
        <is>
          <t>Junio</t>
        </is>
      </c>
      <c r="I1126" s="6" t="inlineStr">
        <is>
          <t>2025-1</t>
        </is>
      </c>
      <c r="J1126" s="5" t="n">
        <v>90</v>
      </c>
      <c r="K1126" s="9" t="n">
        <v>90.48</v>
      </c>
      <c r="L1126" s="14" t="n">
        <v>1.005333333333333</v>
      </c>
      <c r="M1126" s="14" t="n">
        <v>1.005333333333333</v>
      </c>
      <c r="N1126" s="5" t="inlineStr">
        <is>
          <t>Sin Reporte</t>
        </is>
      </c>
      <c r="O1126" s="5" t="inlineStr">
        <is>
          <t>Sin Reporte</t>
        </is>
      </c>
      <c r="P1126" s="15" t="n">
        <v>0</v>
      </c>
      <c r="Q1126" s="15" t="n">
        <v>0</v>
      </c>
      <c r="R1126" s="5" t="inlineStr">
        <is>
          <t>238-2025-06-30</t>
        </is>
      </c>
    </row>
    <row r="1127" hidden="1">
      <c r="A1127" s="5" t="n">
        <v>238</v>
      </c>
      <c r="B1127" s="5" t="inlineStr">
        <is>
          <t>Cumplimiento de la Protección del Medio Ambiente</t>
        </is>
      </c>
      <c r="C1127" s="5" t="inlineStr">
        <is>
          <t>GESTIÓN AMBIENTAL</t>
        </is>
      </c>
      <c r="D1127" s="5" t="inlineStr">
        <is>
          <t>Semestral</t>
        </is>
      </c>
      <c r="E1127" s="5" t="inlineStr">
        <is>
          <t>Positivo</t>
        </is>
      </c>
      <c r="F1127" s="109" t="n">
        <v>46022</v>
      </c>
      <c r="G1127" s="5" t="n">
        <v>2025</v>
      </c>
      <c r="H1127" s="5" t="inlineStr">
        <is>
          <t>Diciembre</t>
        </is>
      </c>
      <c r="I1127" s="6" t="inlineStr">
        <is>
          <t>2025-2</t>
        </is>
      </c>
      <c r="J1127" s="5" t="n">
        <v>90</v>
      </c>
      <c r="K1127" s="5" t="n">
        <v>68</v>
      </c>
      <c r="L1127" s="14" t="n">
        <v>0.7555555555555555</v>
      </c>
      <c r="M1127" s="14" t="n">
        <v>0.7555555555555555</v>
      </c>
      <c r="N1127" s="5" t="inlineStr">
        <is>
          <t>Sin Reporte</t>
        </is>
      </c>
      <c r="O1127" s="5" t="inlineStr">
        <is>
          <t>Sin Reporte</t>
        </is>
      </c>
      <c r="P1127" s="15" t="n">
        <v>0</v>
      </c>
      <c r="Q1127" s="5" t="n">
        <v>0</v>
      </c>
      <c r="R1127" s="5" t="inlineStr">
        <is>
          <t>238-2025-12-31</t>
        </is>
      </c>
    </row>
    <row r="1128" hidden="1">
      <c r="A1128" s="21" t="n">
        <v>239</v>
      </c>
      <c r="B1128" s="5" t="inlineStr">
        <is>
          <t>Portafolio de Proyectos - Metrica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9" t="n">
        <v>44592</v>
      </c>
      <c r="G1128" s="5" t="n">
        <v>2022</v>
      </c>
      <c r="H1128" s="5" t="inlineStr">
        <is>
          <t>Enero</t>
        </is>
      </c>
      <c r="I1128" s="6" t="inlineStr">
        <is>
          <t>2022-1</t>
        </is>
      </c>
      <c r="J1128" s="5" t="n"/>
      <c r="K1128" s="10" t="n">
        <v>0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239-2022-01-31</t>
        </is>
      </c>
      <c r="S1128" t="inlineStr">
        <is>
          <t>Metrica</t>
        </is>
      </c>
    </row>
    <row r="1129" hidden="1">
      <c r="A1129" s="28" t="n">
        <v>239</v>
      </c>
      <c r="B1129" s="5" t="inlineStr">
        <is>
          <t>Portafolio de Proyectos - Metrica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9" t="n">
        <v>44620</v>
      </c>
      <c r="G1129" s="5" t="n">
        <v>2022</v>
      </c>
      <c r="H1129" s="5" t="inlineStr">
        <is>
          <t>Febrero</t>
        </is>
      </c>
      <c r="I1129" s="6" t="inlineStr">
        <is>
          <t>2022-1</t>
        </is>
      </c>
      <c r="J1129" s="5" t="n"/>
      <c r="K1129" s="9" t="n">
        <v>0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239-2022-02-28</t>
        </is>
      </c>
      <c r="S1129" t="inlineStr">
        <is>
          <t>Metrica</t>
        </is>
      </c>
    </row>
    <row r="1130" hidden="1">
      <c r="A1130" s="26" t="n">
        <v>239</v>
      </c>
      <c r="B1130" s="5" t="inlineStr">
        <is>
          <t>Portafolio de Proyectos - Metrica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9" t="n">
        <v>44651</v>
      </c>
      <c r="G1130" s="5" t="n">
        <v>2022</v>
      </c>
      <c r="H1130" s="5" t="inlineStr">
        <is>
          <t>Marzo</t>
        </is>
      </c>
      <c r="I1130" s="6" t="inlineStr">
        <is>
          <t>2022-1</t>
        </is>
      </c>
      <c r="J1130" s="5" t="n"/>
      <c r="K1130" s="9" t="n">
        <v>0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239-2022-03-31</t>
        </is>
      </c>
      <c r="S1130" t="inlineStr">
        <is>
          <t>Metrica</t>
        </is>
      </c>
    </row>
    <row r="1131" hidden="1">
      <c r="A1131" s="28" t="n">
        <v>239</v>
      </c>
      <c r="B1131" s="5" t="inlineStr">
        <is>
          <t>Portafolio de Proyectos - Metrica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9" t="n">
        <v>44681</v>
      </c>
      <c r="G1131" s="5" t="n">
        <v>2022</v>
      </c>
      <c r="H1131" s="5" t="inlineStr">
        <is>
          <t>Abril</t>
        </is>
      </c>
      <c r="I1131" s="6" t="inlineStr">
        <is>
          <t>2022-1</t>
        </is>
      </c>
      <c r="J1131" s="5" t="n"/>
      <c r="K1131" s="9" t="n">
        <v>0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239-2022-04-30</t>
        </is>
      </c>
      <c r="S1131" t="inlineStr">
        <is>
          <t>Metrica</t>
        </is>
      </c>
    </row>
    <row r="1132" hidden="1">
      <c r="A1132" s="21" t="n">
        <v>239</v>
      </c>
      <c r="B1132" s="5" t="inlineStr">
        <is>
          <t>Portafolio de Proyectos - Metrica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9" t="n">
        <v>44712</v>
      </c>
      <c r="G1132" s="5" t="n">
        <v>2022</v>
      </c>
      <c r="H1132" s="5" t="inlineStr">
        <is>
          <t>Mayo</t>
        </is>
      </c>
      <c r="I1132" s="6" t="inlineStr">
        <is>
          <t>2022-1</t>
        </is>
      </c>
      <c r="J1132" s="73" t="n"/>
      <c r="K1132" s="9" t="n">
        <v>0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239-2022-05-31</t>
        </is>
      </c>
      <c r="S1132" t="inlineStr">
        <is>
          <t>Metrica</t>
        </is>
      </c>
    </row>
    <row r="1133" hidden="1">
      <c r="A1133" s="28" t="n">
        <v>239</v>
      </c>
      <c r="B1133" s="5" t="inlineStr">
        <is>
          <t>Portafolio de Proyectos - Metrica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9" t="n">
        <v>44742</v>
      </c>
      <c r="G1133" s="5" t="n">
        <v>2022</v>
      </c>
      <c r="H1133" s="5" t="inlineStr">
        <is>
          <t>Junio</t>
        </is>
      </c>
      <c r="I1133" s="6" t="inlineStr">
        <is>
          <t>2022-1</t>
        </is>
      </c>
      <c r="J1133" s="5" t="n"/>
      <c r="K1133" s="9" t="n">
        <v>0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239-2022-06-30</t>
        </is>
      </c>
      <c r="S1133" t="inlineStr">
        <is>
          <t>Metrica</t>
        </is>
      </c>
    </row>
    <row r="1134" hidden="1">
      <c r="A1134" s="26" t="n">
        <v>239</v>
      </c>
      <c r="B1134" s="5" t="inlineStr">
        <is>
          <t>Portafolio de Proyectos - Metrica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9" t="n">
        <v>44773</v>
      </c>
      <c r="G1134" s="5" t="n">
        <v>2022</v>
      </c>
      <c r="H1134" s="5" t="inlineStr">
        <is>
          <t>Julio</t>
        </is>
      </c>
      <c r="I1134" s="6" t="inlineStr">
        <is>
          <t>2022-2</t>
        </is>
      </c>
      <c r="J1134" s="5" t="n"/>
      <c r="K1134" s="9" t="n">
        <v>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239-2022-07-31</t>
        </is>
      </c>
      <c r="S1134" t="inlineStr">
        <is>
          <t>Metrica</t>
        </is>
      </c>
    </row>
    <row r="1135" hidden="1">
      <c r="A1135" s="28" t="n">
        <v>239</v>
      </c>
      <c r="B1135" s="5" t="inlineStr">
        <is>
          <t>Portafolio de Proyectos - Metrica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9" t="n">
        <v>44804</v>
      </c>
      <c r="G1135" s="5" t="n">
        <v>2022</v>
      </c>
      <c r="H1135" s="5" t="inlineStr">
        <is>
          <t>Agosto</t>
        </is>
      </c>
      <c r="I1135" s="6" t="inlineStr">
        <is>
          <t>2022-2</t>
        </is>
      </c>
      <c r="J1135" s="5" t="n"/>
      <c r="K1135" s="9" t="n">
        <v>0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239-2022-08-31</t>
        </is>
      </c>
      <c r="S1135" t="inlineStr">
        <is>
          <t>Metrica</t>
        </is>
      </c>
    </row>
    <row r="1136" hidden="1">
      <c r="A1136" s="21" t="n">
        <v>239</v>
      </c>
      <c r="B1136" s="5" t="inlineStr">
        <is>
          <t>Portafolio de Proyectos - Metrica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9" t="n">
        <v>44834</v>
      </c>
      <c r="G1136" s="5" t="n">
        <v>2022</v>
      </c>
      <c r="H1136" s="5" t="inlineStr">
        <is>
          <t>Septiembre</t>
        </is>
      </c>
      <c r="I1136" s="6" t="inlineStr">
        <is>
          <t>2022-2</t>
        </is>
      </c>
      <c r="J1136" s="5" t="n"/>
      <c r="K1136" s="10" t="n">
        <v>0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239-2022-09-30</t>
        </is>
      </c>
      <c r="S1136" t="inlineStr">
        <is>
          <t>Metrica</t>
        </is>
      </c>
    </row>
    <row r="1137" hidden="1">
      <c r="A1137" s="21" t="n">
        <v>239</v>
      </c>
      <c r="B1137" s="5" t="inlineStr">
        <is>
          <t>Portafolio de Proyectos - Metrica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9" t="n">
        <v>44865</v>
      </c>
      <c r="G1137" s="5" t="n">
        <v>2022</v>
      </c>
      <c r="H1137" s="5" t="inlineStr">
        <is>
          <t>Octubre</t>
        </is>
      </c>
      <c r="I1137" s="6" t="inlineStr">
        <is>
          <t>2022-2</t>
        </is>
      </c>
      <c r="J1137" s="5" t="n"/>
      <c r="K1137" s="9" t="n">
        <v>0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239-2022-10-31</t>
        </is>
      </c>
      <c r="S1137" t="inlineStr">
        <is>
          <t>Metrica</t>
        </is>
      </c>
    </row>
    <row r="1138" hidden="1">
      <c r="A1138" s="21" t="n">
        <v>239</v>
      </c>
      <c r="B1138" s="5" t="inlineStr">
        <is>
          <t>Portafolio de Proyectos - Metrica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8" t="n">
        <v>44895</v>
      </c>
      <c r="G1138" s="5" t="n">
        <v>2022</v>
      </c>
      <c r="H1138" s="5" t="inlineStr">
        <is>
          <t>Noviembre</t>
        </is>
      </c>
      <c r="I1138" s="6" t="inlineStr">
        <is>
          <t>2022-2</t>
        </is>
      </c>
      <c r="J1138" s="5" t="n"/>
      <c r="K1138" s="9" t="n">
        <v>0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239-2022-11-30</t>
        </is>
      </c>
      <c r="S1138" t="inlineStr">
        <is>
          <t>Metrica</t>
        </is>
      </c>
    </row>
    <row r="1139" hidden="1">
      <c r="A1139" s="21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9" t="n">
        <v>44926</v>
      </c>
      <c r="G1139" s="5" t="n">
        <v>2022</v>
      </c>
      <c r="H1139" s="5" t="inlineStr">
        <is>
          <t>Diciembre</t>
        </is>
      </c>
      <c r="I1139" s="6" t="inlineStr">
        <is>
          <t>2022-2</t>
        </is>
      </c>
      <c r="J1139" s="5" t="n"/>
      <c r="K1139" s="9" t="n">
        <v>0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239-2022-12-31</t>
        </is>
      </c>
      <c r="S1139" t="inlineStr">
        <is>
          <t>Metrica</t>
        </is>
      </c>
    </row>
    <row r="1140" hidden="1">
      <c r="A1140" s="21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9" t="n">
        <v>44957</v>
      </c>
      <c r="G1140" s="5" t="n">
        <v>2023</v>
      </c>
      <c r="H1140" s="5" t="inlineStr">
        <is>
          <t>Enero</t>
        </is>
      </c>
      <c r="I1140" s="6" t="inlineStr">
        <is>
          <t>2023-1</t>
        </is>
      </c>
      <c r="J1140" s="5" t="n"/>
      <c r="K1140" s="9" t="n">
        <v>12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239-2023-01-31</t>
        </is>
      </c>
    </row>
    <row r="1141" hidden="1">
      <c r="A1141" s="21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9" t="n">
        <v>44985</v>
      </c>
      <c r="G1141" s="5" t="n">
        <v>2023</v>
      </c>
      <c r="H1141" s="5" t="inlineStr">
        <is>
          <t>Febrero</t>
        </is>
      </c>
      <c r="I1141" s="6" t="inlineStr">
        <is>
          <t>2023-1</t>
        </is>
      </c>
      <c r="J1141" s="5" t="n"/>
      <c r="K1141" s="9" t="n">
        <v>18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239-2023-02-28</t>
        </is>
      </c>
    </row>
    <row r="1142" hidden="1">
      <c r="A1142" s="21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09" t="n">
        <v>45016</v>
      </c>
      <c r="G1142" s="5" t="n">
        <v>2023</v>
      </c>
      <c r="H1142" s="5" t="inlineStr">
        <is>
          <t>Marzo</t>
        </is>
      </c>
      <c r="I1142" s="6" t="inlineStr">
        <is>
          <t>2023-1</t>
        </is>
      </c>
      <c r="J1142" s="5" t="n"/>
      <c r="K1142" s="9" t="n">
        <v>18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239-2023-03-31</t>
        </is>
      </c>
    </row>
    <row r="1143" hidden="1">
      <c r="A1143" s="21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09" t="n">
        <v>45046</v>
      </c>
      <c r="G1143" s="5" t="n">
        <v>2023</v>
      </c>
      <c r="H1143" s="5" t="inlineStr">
        <is>
          <t>Abril</t>
        </is>
      </c>
      <c r="I1143" s="6" t="inlineStr">
        <is>
          <t>2023-1</t>
        </is>
      </c>
      <c r="J1143" s="5" t="n"/>
      <c r="K1143" s="9" t="n">
        <v>18</v>
      </c>
      <c r="L1143" s="14" t="n"/>
      <c r="M1143" s="14" t="n"/>
      <c r="N1143" s="5" t="inlineStr">
        <is>
          <t>Metrica</t>
        </is>
      </c>
      <c r="O1143" s="5" t="inlineStr">
        <is>
          <t>ENT</t>
        </is>
      </c>
      <c r="P1143" s="15" t="n">
        <v>0</v>
      </c>
      <c r="Q1143" s="15" t="n">
        <v>0</v>
      </c>
      <c r="R1143" s="5" t="inlineStr">
        <is>
          <t>239-2023-04-30</t>
        </is>
      </c>
    </row>
    <row r="1144" hidden="1">
      <c r="A1144" s="26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09" t="n">
        <v>45077</v>
      </c>
      <c r="G1144" s="5" t="n">
        <v>2023</v>
      </c>
      <c r="H1144" s="5" t="inlineStr">
        <is>
          <t>Mayo</t>
        </is>
      </c>
      <c r="I1144" s="6" t="inlineStr">
        <is>
          <t>2023-1</t>
        </is>
      </c>
      <c r="J1144" s="5" t="n"/>
      <c r="K1144" s="9" t="n">
        <v>19</v>
      </c>
      <c r="L1144" s="14" t="n"/>
      <c r="M1144" s="14" t="n"/>
      <c r="N1144" s="5" t="inlineStr">
        <is>
          <t>Metrica</t>
        </is>
      </c>
      <c r="O1144" s="5" t="inlineStr">
        <is>
          <t>ENT</t>
        </is>
      </c>
      <c r="P1144" s="15" t="n">
        <v>0</v>
      </c>
      <c r="Q1144" s="15" t="n">
        <v>0</v>
      </c>
      <c r="R1144" s="5" t="inlineStr">
        <is>
          <t>239-2023-05-31</t>
        </is>
      </c>
    </row>
    <row r="1145" hidden="1">
      <c r="A1145" s="26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09" t="n">
        <v>45107</v>
      </c>
      <c r="G1145" s="5" t="n">
        <v>2023</v>
      </c>
      <c r="H1145" s="5" t="inlineStr">
        <is>
          <t>Junio</t>
        </is>
      </c>
      <c r="I1145" s="6" t="inlineStr">
        <is>
          <t>2023-1</t>
        </is>
      </c>
      <c r="J1145" s="5" t="n"/>
      <c r="K1145" s="9" t="n">
        <v>19</v>
      </c>
      <c r="L1145" s="14" t="n"/>
      <c r="M1145" s="14" t="n"/>
      <c r="N1145" s="5" t="inlineStr">
        <is>
          <t>Metrica</t>
        </is>
      </c>
      <c r="O1145" s="5" t="inlineStr">
        <is>
          <t>ENT</t>
        </is>
      </c>
      <c r="P1145" s="15" t="n">
        <v>0</v>
      </c>
      <c r="Q1145" s="15" t="n">
        <v>0</v>
      </c>
      <c r="R1145" s="5" t="inlineStr">
        <is>
          <t>239-2023-06-30</t>
        </is>
      </c>
    </row>
    <row r="1146" hidden="1">
      <c r="A1146" s="26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09" t="n">
        <v>45138</v>
      </c>
      <c r="G1146" s="5" t="n">
        <v>2023</v>
      </c>
      <c r="H1146" s="5" t="inlineStr">
        <is>
          <t>Julio</t>
        </is>
      </c>
      <c r="I1146" s="6" t="inlineStr">
        <is>
          <t>2023-2</t>
        </is>
      </c>
      <c r="J1146" s="5" t="n"/>
      <c r="K1146" s="9" t="n">
        <v>18</v>
      </c>
      <c r="L1146" s="14" t="n"/>
      <c r="M1146" s="14" t="n"/>
      <c r="N1146" s="5" t="inlineStr">
        <is>
          <t>Metrica</t>
        </is>
      </c>
      <c r="O1146" s="5" t="inlineStr">
        <is>
          <t>ENT</t>
        </is>
      </c>
      <c r="P1146" s="15" t="n">
        <v>0</v>
      </c>
      <c r="Q1146" s="15" t="n">
        <v>0</v>
      </c>
      <c r="R1146" s="5" t="inlineStr">
        <is>
          <t>239-2023-07-31</t>
        </is>
      </c>
    </row>
    <row r="1147" hidden="1">
      <c r="A1147" s="21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09" t="n">
        <v>45169</v>
      </c>
      <c r="G1147" s="5" t="n">
        <v>2023</v>
      </c>
      <c r="H1147" s="5" t="inlineStr">
        <is>
          <t>Agosto</t>
        </is>
      </c>
      <c r="I1147" s="6" t="inlineStr">
        <is>
          <t>2023-2</t>
        </is>
      </c>
      <c r="J1147" s="5" t="n"/>
      <c r="K1147" s="10" t="n">
        <v>0</v>
      </c>
      <c r="L1147" s="14" t="n"/>
      <c r="M1147" s="14" t="n"/>
      <c r="N1147" s="5" t="inlineStr">
        <is>
          <t>Metrica</t>
        </is>
      </c>
      <c r="O1147" s="5" t="inlineStr">
        <is>
          <t>ENT</t>
        </is>
      </c>
      <c r="P1147" s="15" t="n">
        <v>0</v>
      </c>
      <c r="Q1147" s="15" t="n">
        <v>0</v>
      </c>
      <c r="R1147" s="5" t="inlineStr">
        <is>
          <t>239-2023-08-31</t>
        </is>
      </c>
    </row>
    <row r="1148" hidden="1">
      <c r="A1148" s="21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09" t="n">
        <v>45199</v>
      </c>
      <c r="G1148" s="5" t="n">
        <v>2023</v>
      </c>
      <c r="H1148" s="5" t="inlineStr">
        <is>
          <t>Septiembre</t>
        </is>
      </c>
      <c r="I1148" s="6" t="inlineStr">
        <is>
          <t>2023-2</t>
        </is>
      </c>
      <c r="J1148" s="5" t="n"/>
      <c r="K1148" s="10" t="n">
        <v>0</v>
      </c>
      <c r="L1148" s="14" t="n"/>
      <c r="M1148" s="14" t="n"/>
      <c r="N1148" s="5" t="inlineStr">
        <is>
          <t>Metrica</t>
        </is>
      </c>
      <c r="O1148" s="5" t="inlineStr">
        <is>
          <t>ENT</t>
        </is>
      </c>
      <c r="P1148" s="15" t="n">
        <v>0</v>
      </c>
      <c r="Q1148" s="15" t="n">
        <v>0</v>
      </c>
      <c r="R1148" s="5" t="inlineStr">
        <is>
          <t>239-2023-09-30</t>
        </is>
      </c>
    </row>
    <row r="1149" hidden="1">
      <c r="A1149" s="21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09" t="n">
        <v>45230</v>
      </c>
      <c r="G1149" s="5" t="n">
        <v>2023</v>
      </c>
      <c r="H1149" s="5" t="inlineStr">
        <is>
          <t>Octubre</t>
        </is>
      </c>
      <c r="I1149" s="6" t="inlineStr">
        <is>
          <t>2023-2</t>
        </is>
      </c>
      <c r="J1149" s="5" t="n"/>
      <c r="K1149" s="10" t="n">
        <v>0</v>
      </c>
      <c r="L1149" s="14" t="n"/>
      <c r="M1149" s="14" t="n"/>
      <c r="N1149" s="5" t="inlineStr">
        <is>
          <t>Metrica</t>
        </is>
      </c>
      <c r="O1149" s="5" t="inlineStr">
        <is>
          <t>ENT</t>
        </is>
      </c>
      <c r="P1149" s="15" t="n">
        <v>0</v>
      </c>
      <c r="Q1149" s="15" t="n">
        <v>0</v>
      </c>
      <c r="R1149" s="5" t="inlineStr">
        <is>
          <t>239-2023-10-31</t>
        </is>
      </c>
    </row>
    <row r="1150" hidden="1">
      <c r="A1150" s="21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09" t="n">
        <v>45260</v>
      </c>
      <c r="G1150" s="5" t="n">
        <v>2023</v>
      </c>
      <c r="H1150" s="5" t="inlineStr">
        <is>
          <t>Noviembre</t>
        </is>
      </c>
      <c r="I1150" s="6" t="inlineStr">
        <is>
          <t>2023-2</t>
        </is>
      </c>
      <c r="J1150" s="5" t="n"/>
      <c r="K1150" s="10" t="n">
        <v>0</v>
      </c>
      <c r="L1150" s="14" t="n"/>
      <c r="M1150" s="14" t="n"/>
      <c r="N1150" s="5" t="inlineStr">
        <is>
          <t>Metrica</t>
        </is>
      </c>
      <c r="O1150" s="5" t="inlineStr">
        <is>
          <t>ENT</t>
        </is>
      </c>
      <c r="P1150" s="15" t="n">
        <v>0</v>
      </c>
      <c r="Q1150" s="15" t="n">
        <v>0</v>
      </c>
      <c r="R1150" s="5" t="inlineStr">
        <is>
          <t>239-2023-11-30</t>
        </is>
      </c>
    </row>
    <row r="1151" hidden="1">
      <c r="A1151" s="21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09" t="n">
        <v>45291</v>
      </c>
      <c r="G1151" s="5" t="n">
        <v>2023</v>
      </c>
      <c r="H1151" s="5" t="inlineStr">
        <is>
          <t>Diciembre</t>
        </is>
      </c>
      <c r="I1151" s="6" t="inlineStr">
        <is>
          <t>2023-2</t>
        </is>
      </c>
      <c r="J1151" s="5" t="n"/>
      <c r="K1151" s="10" t="n">
        <v>0</v>
      </c>
      <c r="L1151" s="14" t="n"/>
      <c r="M1151" s="14" t="n"/>
      <c r="N1151" s="5" t="inlineStr">
        <is>
          <t>Metrica</t>
        </is>
      </c>
      <c r="O1151" s="5" t="inlineStr">
        <is>
          <t>ENT</t>
        </is>
      </c>
      <c r="P1151" s="15" t="n">
        <v>0</v>
      </c>
      <c r="Q1151" s="15" t="n">
        <v>0</v>
      </c>
      <c r="R1151" s="5" t="inlineStr">
        <is>
          <t>239-2023-12-31</t>
        </is>
      </c>
    </row>
    <row r="1152" hidden="1">
      <c r="A1152" s="5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09" t="n">
        <v>45322</v>
      </c>
      <c r="G1152" s="5" t="n">
        <v>2024</v>
      </c>
      <c r="H1152" s="5" t="inlineStr">
        <is>
          <t>Enero</t>
        </is>
      </c>
      <c r="I1152" s="6" t="inlineStr">
        <is>
          <t>2024-1</t>
        </is>
      </c>
      <c r="J1152" s="5" t="n"/>
      <c r="K1152" s="5" t="n">
        <v>0</v>
      </c>
      <c r="L1152" s="14" t="n"/>
      <c r="M1152" s="14" t="n"/>
      <c r="N1152" s="5" t="inlineStr">
        <is>
          <t>Metrica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239-2024-01-31</t>
        </is>
      </c>
    </row>
    <row r="1153" hidden="1">
      <c r="A1153" s="21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09" t="n">
        <v>45351</v>
      </c>
      <c r="G1153" s="5" t="n">
        <v>2024</v>
      </c>
      <c r="H1153" s="5" t="inlineStr">
        <is>
          <t>Febrero</t>
        </is>
      </c>
      <c r="I1153" s="6" t="inlineStr">
        <is>
          <t>2024-1</t>
        </is>
      </c>
      <c r="J1153" s="5" t="n"/>
      <c r="K1153" s="10" t="n">
        <v>29</v>
      </c>
      <c r="L1153" s="14" t="n"/>
      <c r="M1153" s="14" t="n"/>
      <c r="N1153" s="5" t="inlineStr">
        <is>
          <t>Metrica</t>
        </is>
      </c>
      <c r="O1153" s="5" t="inlineStr">
        <is>
          <t>ENT</t>
        </is>
      </c>
      <c r="P1153" s="15" t="n">
        <v>0</v>
      </c>
      <c r="Q1153" s="15" t="n">
        <v>0</v>
      </c>
      <c r="R1153" s="5" t="inlineStr">
        <is>
          <t>239-2024-02-29</t>
        </is>
      </c>
    </row>
    <row r="1154" hidden="1">
      <c r="A1154" s="21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09" t="n">
        <v>45382</v>
      </c>
      <c r="G1154" s="5" t="n">
        <v>2024</v>
      </c>
      <c r="H1154" s="5" t="inlineStr">
        <is>
          <t>Marzo</t>
        </is>
      </c>
      <c r="I1154" s="6" t="inlineStr">
        <is>
          <t>2024-1</t>
        </is>
      </c>
      <c r="J1154" s="5" t="n"/>
      <c r="K1154" s="10" t="n">
        <v>0</v>
      </c>
      <c r="L1154" s="14" t="n"/>
      <c r="M1154" s="14" t="n"/>
      <c r="N1154" s="5" t="inlineStr">
        <is>
          <t>Metrica</t>
        </is>
      </c>
      <c r="O1154" s="5" t="inlineStr">
        <is>
          <t>ENT</t>
        </is>
      </c>
      <c r="P1154" s="15" t="n">
        <v>0</v>
      </c>
      <c r="Q1154" s="15" t="n">
        <v>0</v>
      </c>
      <c r="R1154" s="5" t="inlineStr">
        <is>
          <t>239-2024-03-31</t>
        </is>
      </c>
    </row>
    <row r="1155" hidden="1">
      <c r="A1155" s="21" t="n">
        <v>239</v>
      </c>
      <c r="B1155" s="5" t="inlineStr">
        <is>
          <t>Portafolio de Proyectos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9" t="n">
        <v>45412</v>
      </c>
      <c r="G1155" s="5" t="n">
        <v>2024</v>
      </c>
      <c r="H1155" s="5" t="inlineStr">
        <is>
          <t>Abril</t>
        </is>
      </c>
      <c r="I1155" s="6" t="inlineStr">
        <is>
          <t>2024-1</t>
        </is>
      </c>
      <c r="J1155" s="5" t="n"/>
      <c r="K1155" s="10" t="n">
        <v>28</v>
      </c>
      <c r="L1155" s="14" t="n"/>
      <c r="M1155" s="14" t="n"/>
      <c r="N1155" s="5" t="inlineStr">
        <is>
          <t>Metrica</t>
        </is>
      </c>
      <c r="O1155" s="5" t="inlineStr">
        <is>
          <t>ENT</t>
        </is>
      </c>
      <c r="P1155" s="15" t="n">
        <v>0</v>
      </c>
      <c r="Q1155" s="15" t="n">
        <v>0</v>
      </c>
      <c r="R1155" s="5" t="inlineStr">
        <is>
          <t>239-2024-04-30</t>
        </is>
      </c>
    </row>
    <row r="1156" hidden="1">
      <c r="A1156" s="21" t="n">
        <v>239</v>
      </c>
      <c r="B1156" s="5" t="inlineStr">
        <is>
          <t>Portafolio de Proyectos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9" t="n">
        <v>45443</v>
      </c>
      <c r="G1156" s="5" t="n">
        <v>2024</v>
      </c>
      <c r="H1156" s="5" t="inlineStr">
        <is>
          <t>Mayo</t>
        </is>
      </c>
      <c r="I1156" s="6" t="inlineStr">
        <is>
          <t>2024-1</t>
        </is>
      </c>
      <c r="J1156" s="5" t="n"/>
      <c r="K1156" s="10" t="n">
        <v>29</v>
      </c>
      <c r="L1156" s="14" t="n"/>
      <c r="M1156" s="14" t="n"/>
      <c r="N1156" s="5" t="inlineStr">
        <is>
          <t>Metrica</t>
        </is>
      </c>
      <c r="O1156" s="5" t="inlineStr">
        <is>
          <t>ENT</t>
        </is>
      </c>
      <c r="P1156" s="15" t="n">
        <v>0</v>
      </c>
      <c r="Q1156" s="15" t="n">
        <v>0</v>
      </c>
      <c r="R1156" s="5" t="inlineStr">
        <is>
          <t>239-2024-05-31</t>
        </is>
      </c>
    </row>
    <row r="1157" hidden="1">
      <c r="A1157" s="21" t="n">
        <v>239</v>
      </c>
      <c r="B1157" s="5" t="inlineStr">
        <is>
          <t>Portafolio de Proyectos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9" t="n">
        <v>45473</v>
      </c>
      <c r="G1157" s="5" t="n">
        <v>2024</v>
      </c>
      <c r="H1157" s="5" t="inlineStr">
        <is>
          <t>Junio</t>
        </is>
      </c>
      <c r="I1157" s="6" t="inlineStr">
        <is>
          <t>2024-1</t>
        </is>
      </c>
      <c r="J1157" s="5" t="n"/>
      <c r="K1157" s="10" t="n">
        <v>29</v>
      </c>
      <c r="L1157" s="14" t="n"/>
      <c r="M1157" s="14" t="n"/>
      <c r="N1157" s="5" t="inlineStr">
        <is>
          <t>Metrica</t>
        </is>
      </c>
      <c r="O1157" s="5" t="inlineStr">
        <is>
          <t>ENT</t>
        </is>
      </c>
      <c r="P1157" s="15" t="n">
        <v>0</v>
      </c>
      <c r="Q1157" s="15" t="n">
        <v>0</v>
      </c>
      <c r="R1157" s="5" t="inlineStr">
        <is>
          <t>239-2024-06-30</t>
        </is>
      </c>
    </row>
    <row r="1158" hidden="1">
      <c r="A1158" s="21" t="n">
        <v>239</v>
      </c>
      <c r="B1158" s="5" t="inlineStr">
        <is>
          <t>Portafolio de Proyectos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9" t="n">
        <v>45504</v>
      </c>
      <c r="G1158" s="5" t="n">
        <v>2024</v>
      </c>
      <c r="H1158" s="5" t="inlineStr">
        <is>
          <t>Julio</t>
        </is>
      </c>
      <c r="I1158" s="6" t="inlineStr">
        <is>
          <t>2024-2</t>
        </is>
      </c>
      <c r="J1158" s="5" t="n"/>
      <c r="K1158" s="10" t="n">
        <v>0</v>
      </c>
      <c r="L1158" s="14" t="n"/>
      <c r="M1158" s="14" t="n"/>
      <c r="N1158" s="5" t="inlineStr">
        <is>
          <t>Metrica</t>
        </is>
      </c>
      <c r="O1158" s="5" t="inlineStr">
        <is>
          <t>ENT</t>
        </is>
      </c>
      <c r="P1158" s="15" t="n">
        <v>0</v>
      </c>
      <c r="Q1158" s="15" t="n">
        <v>0</v>
      </c>
      <c r="R1158" s="5" t="inlineStr">
        <is>
          <t>239-2024-07-31</t>
        </is>
      </c>
    </row>
    <row r="1159" hidden="1">
      <c r="A1159" s="28" t="n">
        <v>239</v>
      </c>
      <c r="B1159" s="5" t="inlineStr">
        <is>
          <t>Portafolio de Proyectos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9" t="n">
        <v>45535</v>
      </c>
      <c r="G1159" s="5" t="n">
        <v>2024</v>
      </c>
      <c r="H1159" s="5" t="inlineStr">
        <is>
          <t>Agosto</t>
        </is>
      </c>
      <c r="I1159" s="6" t="inlineStr">
        <is>
          <t>2024-2</t>
        </is>
      </c>
      <c r="J1159" s="73" t="n"/>
      <c r="K1159" s="9" t="n">
        <v>0</v>
      </c>
      <c r="L1159" s="14" t="n"/>
      <c r="M1159" s="14" t="n"/>
      <c r="N1159" s="5" t="inlineStr">
        <is>
          <t>Metrica</t>
        </is>
      </c>
      <c r="O1159" s="5" t="inlineStr">
        <is>
          <t>ENT</t>
        </is>
      </c>
      <c r="P1159" s="15" t="n">
        <v>0</v>
      </c>
      <c r="Q1159" s="15" t="n">
        <v>0</v>
      </c>
      <c r="R1159" s="5" t="inlineStr">
        <is>
          <t>239-2024-08-31</t>
        </is>
      </c>
    </row>
    <row r="1160" hidden="1">
      <c r="A1160" s="26" t="n">
        <v>239</v>
      </c>
      <c r="B1160" s="5" t="inlineStr">
        <is>
          <t>Portafolio de Proyectos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9" t="n">
        <v>45565</v>
      </c>
      <c r="G1160" s="5" t="n">
        <v>2024</v>
      </c>
      <c r="H1160" s="5" t="inlineStr">
        <is>
          <t>Septiembre</t>
        </is>
      </c>
      <c r="I1160" s="6" t="inlineStr">
        <is>
          <t>2024-2</t>
        </is>
      </c>
      <c r="J1160" s="73" t="n"/>
      <c r="K1160" s="9" t="n">
        <v>0</v>
      </c>
      <c r="L1160" s="14" t="n"/>
      <c r="M1160" s="14" t="n"/>
      <c r="N1160" s="5" t="inlineStr">
        <is>
          <t>Metrica</t>
        </is>
      </c>
      <c r="O1160" s="5" t="inlineStr">
        <is>
          <t>ENT</t>
        </is>
      </c>
      <c r="P1160" s="15" t="n">
        <v>0</v>
      </c>
      <c r="Q1160" s="15" t="n">
        <v>0</v>
      </c>
      <c r="R1160" s="5" t="inlineStr">
        <is>
          <t>239-2024-09-30</t>
        </is>
      </c>
    </row>
    <row r="1161" hidden="1">
      <c r="A1161" s="28" t="n">
        <v>239</v>
      </c>
      <c r="B1161" s="5" t="inlineStr">
        <is>
          <t>Portafolio de Proyectos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09" t="n">
        <v>45596</v>
      </c>
      <c r="G1161" s="5" t="n">
        <v>2024</v>
      </c>
      <c r="H1161" s="5" t="inlineStr">
        <is>
          <t>Octubre</t>
        </is>
      </c>
      <c r="I1161" s="6" t="inlineStr">
        <is>
          <t>2024-2</t>
        </is>
      </c>
      <c r="J1161" s="73" t="n"/>
      <c r="K1161" s="9" t="n">
        <v>0</v>
      </c>
      <c r="L1161" s="14" t="n"/>
      <c r="M1161" s="14" t="n"/>
      <c r="N1161" s="5" t="inlineStr">
        <is>
          <t>Metrica</t>
        </is>
      </c>
      <c r="O1161" s="5" t="inlineStr">
        <is>
          <t>ENT</t>
        </is>
      </c>
      <c r="P1161" s="15" t="n">
        <v>0</v>
      </c>
      <c r="Q1161" s="15" t="n">
        <v>0</v>
      </c>
      <c r="R1161" s="5" t="inlineStr">
        <is>
          <t>239-2024-10-31</t>
        </is>
      </c>
    </row>
    <row r="1162" hidden="1">
      <c r="A1162" s="21" t="n">
        <v>239</v>
      </c>
      <c r="B1162" s="5" t="inlineStr">
        <is>
          <t>Portafolio de Proyectos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09" t="n">
        <v>45626</v>
      </c>
      <c r="G1162" s="5" t="n">
        <v>2024</v>
      </c>
      <c r="H1162" s="5" t="inlineStr">
        <is>
          <t>Noviembre</t>
        </is>
      </c>
      <c r="I1162" s="6" t="inlineStr">
        <is>
          <t>2024-2</t>
        </is>
      </c>
      <c r="J1162" s="73" t="n"/>
      <c r="K1162" s="9" t="n">
        <v>0</v>
      </c>
      <c r="L1162" s="14" t="n"/>
      <c r="M1162" s="14" t="n"/>
      <c r="N1162" s="5" t="inlineStr">
        <is>
          <t>Metrica</t>
        </is>
      </c>
      <c r="O1162" s="5" t="inlineStr">
        <is>
          <t>ENT</t>
        </is>
      </c>
      <c r="P1162" s="15" t="n">
        <v>0</v>
      </c>
      <c r="Q1162" s="15" t="n">
        <v>0</v>
      </c>
      <c r="R1162" s="5" t="inlineStr">
        <is>
          <t>239-2024-11-30</t>
        </is>
      </c>
    </row>
    <row r="1163" hidden="1">
      <c r="A1163" s="21" t="n">
        <v>239</v>
      </c>
      <c r="B1163" s="5" t="inlineStr">
        <is>
          <t>Portafolio de Proyectos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08" t="n">
        <v>45657</v>
      </c>
      <c r="G1163" s="5" t="n">
        <v>2024</v>
      </c>
      <c r="H1163" s="5" t="inlineStr">
        <is>
          <t>Diciembre</t>
        </is>
      </c>
      <c r="I1163" s="6" t="inlineStr">
        <is>
          <t>2024-2</t>
        </is>
      </c>
      <c r="J1163" s="96" t="n"/>
      <c r="K1163" s="9" t="n">
        <v>0</v>
      </c>
      <c r="L1163" s="14" t="n"/>
      <c r="M1163" s="14" t="n"/>
      <c r="N1163" s="5" t="inlineStr">
        <is>
          <t>Metrica</t>
        </is>
      </c>
      <c r="O1163" s="5" t="inlineStr">
        <is>
          <t>ENT</t>
        </is>
      </c>
      <c r="P1163" s="15" t="n">
        <v>0</v>
      </c>
      <c r="Q1163" s="15" t="n">
        <v>0</v>
      </c>
      <c r="R1163" s="5" t="inlineStr">
        <is>
          <t>239-2024-12-31</t>
        </is>
      </c>
    </row>
    <row r="1164" hidden="1">
      <c r="A1164" s="26" t="n">
        <v>239</v>
      </c>
      <c r="B1164" s="5" t="inlineStr">
        <is>
          <t>Portafolio de Proyectos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09" t="n">
        <v>45688</v>
      </c>
      <c r="G1164" s="5" t="n">
        <v>2025</v>
      </c>
      <c r="H1164" s="5" t="inlineStr">
        <is>
          <t>Enero</t>
        </is>
      </c>
      <c r="I1164" s="6" t="inlineStr">
        <is>
          <t>2025-1</t>
        </is>
      </c>
      <c r="J1164" s="96" t="n"/>
      <c r="K1164" s="9" t="n">
        <v>33</v>
      </c>
      <c r="L1164" s="14" t="n"/>
      <c r="M1164" s="14" t="n"/>
      <c r="N1164" s="5" t="inlineStr">
        <is>
          <t>Metrica</t>
        </is>
      </c>
      <c r="O1164" s="5" t="inlineStr">
        <is>
          <t>ENT</t>
        </is>
      </c>
      <c r="P1164" s="15" t="n">
        <v>0</v>
      </c>
      <c r="Q1164" s="15" t="n">
        <v>0</v>
      </c>
      <c r="R1164" s="5" t="inlineStr">
        <is>
          <t>239-2025-01-31</t>
        </is>
      </c>
    </row>
    <row r="1165" hidden="1">
      <c r="A1165" s="26" t="n">
        <v>239</v>
      </c>
      <c r="B1165" s="5" t="inlineStr">
        <is>
          <t>Portafolio de Proyectos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09" t="n">
        <v>45716</v>
      </c>
      <c r="G1165" s="5" t="n">
        <v>2025</v>
      </c>
      <c r="H1165" s="5" t="inlineStr">
        <is>
          <t>Febrero</t>
        </is>
      </c>
      <c r="I1165" s="6" t="inlineStr">
        <is>
          <t>2025-1</t>
        </is>
      </c>
      <c r="J1165" s="96" t="n"/>
      <c r="K1165" s="9" t="n">
        <v>0</v>
      </c>
      <c r="L1165" s="14" t="n"/>
      <c r="M1165" s="14" t="n"/>
      <c r="N1165" s="5" t="inlineStr">
        <is>
          <t>Metrica</t>
        </is>
      </c>
      <c r="O1165" s="5" t="inlineStr">
        <is>
          <t>ENT</t>
        </is>
      </c>
      <c r="P1165" s="15" t="n">
        <v>0</v>
      </c>
      <c r="Q1165" s="15" t="n">
        <v>0</v>
      </c>
      <c r="R1165" s="5" t="inlineStr">
        <is>
          <t>239-2025-02-28</t>
        </is>
      </c>
    </row>
    <row r="1166" hidden="1">
      <c r="A1166" s="21" t="n">
        <v>239</v>
      </c>
      <c r="B1166" s="5" t="inlineStr">
        <is>
          <t>Portafolio de Proyectos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09" t="n">
        <v>45747</v>
      </c>
      <c r="G1166" s="5" t="n">
        <v>2025</v>
      </c>
      <c r="H1166" s="5" t="inlineStr">
        <is>
          <t>Marzo</t>
        </is>
      </c>
      <c r="I1166" s="6" t="inlineStr">
        <is>
          <t>2025-1</t>
        </is>
      </c>
      <c r="J1166" s="5" t="n"/>
      <c r="K1166" s="10" t="n">
        <v>42</v>
      </c>
      <c r="L1166" s="14" t="n"/>
      <c r="M1166" s="14" t="n"/>
      <c r="N1166" s="5" t="inlineStr">
        <is>
          <t>Metrica</t>
        </is>
      </c>
      <c r="O1166" s="5" t="inlineStr">
        <is>
          <t>ENT</t>
        </is>
      </c>
      <c r="P1166" s="15" t="n">
        <v>0</v>
      </c>
      <c r="Q1166" s="15" t="n">
        <v>0</v>
      </c>
      <c r="R1166" s="5" t="inlineStr">
        <is>
          <t>239-2025-03-31</t>
        </is>
      </c>
    </row>
    <row r="1167" hidden="1">
      <c r="A1167" s="28" t="n">
        <v>239</v>
      </c>
      <c r="B1167" s="5" t="inlineStr">
        <is>
          <t>Portafolio de Proyectos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09" t="n">
        <v>45777</v>
      </c>
      <c r="G1167" s="5" t="n">
        <v>2025</v>
      </c>
      <c r="H1167" s="5" t="inlineStr">
        <is>
          <t>Abril</t>
        </is>
      </c>
      <c r="I1167" s="6" t="inlineStr">
        <is>
          <t>2025-1</t>
        </is>
      </c>
      <c r="J1167" s="5" t="n"/>
      <c r="K1167" s="9" t="n">
        <v>40</v>
      </c>
      <c r="L1167" s="14" t="n"/>
      <c r="M1167" s="14" t="n"/>
      <c r="N1167" s="5" t="inlineStr">
        <is>
          <t>Metrica</t>
        </is>
      </c>
      <c r="O1167" s="5" t="inlineStr">
        <is>
          <t>ENT</t>
        </is>
      </c>
      <c r="P1167" s="15" t="n">
        <v>0</v>
      </c>
      <c r="Q1167" s="15" t="n">
        <v>0</v>
      </c>
      <c r="R1167" s="5" t="inlineStr">
        <is>
          <t>239-2025-04-30</t>
        </is>
      </c>
    </row>
    <row r="1168" hidden="1">
      <c r="A1168" s="26" t="n">
        <v>239</v>
      </c>
      <c r="B1168" s="5" t="inlineStr">
        <is>
          <t>Portafolio de Proyectos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09" t="n">
        <v>45808</v>
      </c>
      <c r="G1168" s="5" t="n">
        <v>2025</v>
      </c>
      <c r="H1168" s="5" t="inlineStr">
        <is>
          <t>Mayo</t>
        </is>
      </c>
      <c r="I1168" s="6" t="inlineStr">
        <is>
          <t>2025-1</t>
        </is>
      </c>
      <c r="J1168" s="5" t="n"/>
      <c r="K1168" s="9" t="n">
        <v>42</v>
      </c>
      <c r="L1168" s="14" t="n"/>
      <c r="M1168" s="14" t="n"/>
      <c r="N1168" s="5" t="inlineStr">
        <is>
          <t>Metrica</t>
        </is>
      </c>
      <c r="O1168" s="5" t="inlineStr">
        <is>
          <t>ENT</t>
        </is>
      </c>
      <c r="P1168" s="15" t="n">
        <v>0</v>
      </c>
      <c r="Q1168" s="15" t="n">
        <v>0</v>
      </c>
      <c r="R1168" s="5" t="inlineStr">
        <is>
          <t>239-2025-05-31</t>
        </is>
      </c>
    </row>
    <row r="1169" hidden="1">
      <c r="A1169" s="28" t="n">
        <v>239</v>
      </c>
      <c r="B1169" s="5" t="inlineStr">
        <is>
          <t>Portafolio de Proyectos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08" t="n">
        <v>45838</v>
      </c>
      <c r="G1169" s="5" t="n">
        <v>2025</v>
      </c>
      <c r="H1169" s="5" t="inlineStr">
        <is>
          <t>Junio</t>
        </is>
      </c>
      <c r="I1169" s="6" t="inlineStr">
        <is>
          <t>2025-1</t>
        </is>
      </c>
      <c r="J1169" s="5" t="n"/>
      <c r="K1169" s="9" t="n">
        <v>41</v>
      </c>
      <c r="L1169" s="14" t="n"/>
      <c r="M1169" s="14" t="n"/>
      <c r="N1169" s="5" t="inlineStr">
        <is>
          <t>Metrica</t>
        </is>
      </c>
      <c r="O1169" s="5" t="inlineStr">
        <is>
          <t>ENT</t>
        </is>
      </c>
      <c r="P1169" s="15" t="n">
        <v>0</v>
      </c>
      <c r="Q1169" s="15" t="n">
        <v>0</v>
      </c>
      <c r="R1169" s="5" t="inlineStr">
        <is>
          <t>239-2025-06-30</t>
        </is>
      </c>
    </row>
    <row r="1170" hidden="1">
      <c r="A1170" s="21" t="n">
        <v>239</v>
      </c>
      <c r="B1170" s="5" t="inlineStr">
        <is>
          <t>Portafolio de Proyectos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09" t="n">
        <v>45869</v>
      </c>
      <c r="G1170" s="5" t="n">
        <v>2025</v>
      </c>
      <c r="H1170" s="5" t="inlineStr">
        <is>
          <t>Julio</t>
        </is>
      </c>
      <c r="I1170" s="6" t="inlineStr">
        <is>
          <t>2025-2</t>
        </is>
      </c>
      <c r="J1170" s="5" t="n"/>
      <c r="K1170" s="5" t="n">
        <v>42</v>
      </c>
      <c r="L1170" s="14" t="n"/>
      <c r="M1170" s="14" t="n"/>
      <c r="N1170" s="5" t="inlineStr">
        <is>
          <t>Metrica</t>
        </is>
      </c>
      <c r="O1170" s="5" t="inlineStr">
        <is>
          <t>ENT</t>
        </is>
      </c>
      <c r="P1170" s="15" t="n">
        <v>0</v>
      </c>
      <c r="Q1170" s="15" t="n">
        <v>0</v>
      </c>
      <c r="R1170" s="5" t="inlineStr">
        <is>
          <t>239-2025-07-31</t>
        </is>
      </c>
    </row>
    <row r="1171" hidden="1">
      <c r="A1171" s="5" t="n">
        <v>239</v>
      </c>
      <c r="B1171" s="5" t="inlineStr">
        <is>
          <t>Portafolio de Proyectos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09" t="n">
        <v>45900</v>
      </c>
      <c r="G1171" s="5" t="n">
        <v>2025</v>
      </c>
      <c r="H1171" s="5" t="inlineStr">
        <is>
          <t>Agosto</t>
        </is>
      </c>
      <c r="I1171" s="6" t="inlineStr">
        <is>
          <t>2025-2</t>
        </is>
      </c>
      <c r="J1171" s="5" t="n"/>
      <c r="K1171" s="9" t="n">
        <v>41</v>
      </c>
      <c r="L1171" s="14" t="n"/>
      <c r="M1171" s="14" t="n"/>
      <c r="N1171" s="5" t="inlineStr">
        <is>
          <t>Metrica</t>
        </is>
      </c>
      <c r="O1171" s="5" t="inlineStr">
        <is>
          <t>ENT</t>
        </is>
      </c>
      <c r="P1171" s="15" t="n">
        <v>0</v>
      </c>
      <c r="Q1171" s="15" t="n">
        <v>0</v>
      </c>
      <c r="R1171" s="5" t="inlineStr">
        <is>
          <t>239-2025-08-31</t>
        </is>
      </c>
    </row>
    <row r="1172" hidden="1">
      <c r="A1172" s="5" t="n">
        <v>239</v>
      </c>
      <c r="B1172" s="5" t="inlineStr">
        <is>
          <t>Portafolio de Proyectos - Metrica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08" t="n">
        <v>45930</v>
      </c>
      <c r="G1172" s="5" t="n">
        <v>2025</v>
      </c>
      <c r="H1172" s="5" t="inlineStr">
        <is>
          <t>Septiembre</t>
        </is>
      </c>
      <c r="I1172" s="6" t="inlineStr">
        <is>
          <t>2025-2</t>
        </is>
      </c>
      <c r="J1172" s="5" t="n"/>
      <c r="K1172" s="9" t="n">
        <v>43</v>
      </c>
      <c r="L1172" s="14" t="n"/>
      <c r="M1172" s="14" t="n"/>
      <c r="N1172" s="5" t="inlineStr">
        <is>
          <t>Metrica</t>
        </is>
      </c>
      <c r="O1172" s="5" t="inlineStr">
        <is>
          <t>ENT</t>
        </is>
      </c>
      <c r="P1172" s="15" t="n">
        <v>0</v>
      </c>
      <c r="Q1172" s="15" t="n">
        <v>0</v>
      </c>
      <c r="R1172" s="5" t="inlineStr">
        <is>
          <t>239-2025-09-30</t>
        </is>
      </c>
      <c r="S1172" t="inlineStr">
        <is>
          <t>Metrica</t>
        </is>
      </c>
    </row>
    <row r="1173" hidden="1">
      <c r="A1173" s="21" t="n">
        <v>239</v>
      </c>
      <c r="B1173" s="5" t="inlineStr">
        <is>
          <t>Portafolio de Proyectos - Metrica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09" t="n">
        <v>45961</v>
      </c>
      <c r="G1173" s="5" t="n">
        <v>2025</v>
      </c>
      <c r="H1173" s="5" t="inlineStr">
        <is>
          <t>Octubre</t>
        </is>
      </c>
      <c r="I1173" s="6" t="inlineStr">
        <is>
          <t>2025-2</t>
        </is>
      </c>
      <c r="J1173" s="5" t="n"/>
      <c r="K1173" s="15" t="n">
        <v>43</v>
      </c>
      <c r="L1173" s="14" t="n"/>
      <c r="M1173" s="14" t="n"/>
      <c r="N1173" s="5" t="inlineStr">
        <is>
          <t>Metrica</t>
        </is>
      </c>
      <c r="O1173" s="5" t="inlineStr">
        <is>
          <t>ENT</t>
        </is>
      </c>
      <c r="P1173" s="15" t="n">
        <v>0</v>
      </c>
      <c r="Q1173" s="15" t="n">
        <v>0</v>
      </c>
      <c r="R1173" s="5" t="inlineStr">
        <is>
          <t>239-2025-10-31</t>
        </is>
      </c>
      <c r="S1173" t="inlineStr">
        <is>
          <t>Metrica</t>
        </is>
      </c>
    </row>
    <row r="1174" hidden="1">
      <c r="A1174" s="28" t="n">
        <v>239</v>
      </c>
      <c r="B1174" s="5" t="inlineStr">
        <is>
          <t>Portafolio de Proyectos - Metrica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9" t="n">
        <v>45991</v>
      </c>
      <c r="G1174" s="5" t="n">
        <v>2025</v>
      </c>
      <c r="H1174" s="5" t="inlineStr">
        <is>
          <t>Noviembre</t>
        </is>
      </c>
      <c r="I1174" s="6" t="inlineStr">
        <is>
          <t>2025-2</t>
        </is>
      </c>
      <c r="J1174" s="3" t="n"/>
      <c r="K1174" s="9" t="n">
        <v>43</v>
      </c>
      <c r="L1174" s="14" t="n"/>
      <c r="M1174" s="14" t="n"/>
      <c r="N1174" s="5" t="inlineStr">
        <is>
          <t>Metrica</t>
        </is>
      </c>
      <c r="O1174" s="5" t="inlineStr">
        <is>
          <t>ENT</t>
        </is>
      </c>
      <c r="P1174" s="15" t="n">
        <v>0</v>
      </c>
      <c r="Q1174" s="15" t="n">
        <v>0</v>
      </c>
      <c r="R1174" s="5" t="inlineStr">
        <is>
          <t>239-2025-11-30</t>
        </is>
      </c>
      <c r="S1174" t="inlineStr">
        <is>
          <t>Metrica</t>
        </is>
      </c>
    </row>
    <row r="1175" hidden="1">
      <c r="A1175" s="26" t="n">
        <v>239</v>
      </c>
      <c r="B1175" s="5" t="inlineStr">
        <is>
          <t>Portafolio de Proyectos - Metrica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9" t="n">
        <v>46022</v>
      </c>
      <c r="G1175" s="5" t="n">
        <v>2025</v>
      </c>
      <c r="H1175" s="5" t="inlineStr">
        <is>
          <t>Diciembre</t>
        </is>
      </c>
      <c r="I1175" s="6" t="inlineStr">
        <is>
          <t>2025-2</t>
        </is>
      </c>
      <c r="J1175" s="3" t="n"/>
      <c r="K1175" s="9" t="n">
        <v>44</v>
      </c>
      <c r="L1175" s="14" t="n"/>
      <c r="M1175" s="14" t="n"/>
      <c r="N1175" s="5" t="inlineStr">
        <is>
          <t>Metrica</t>
        </is>
      </c>
      <c r="O1175" s="5" t="inlineStr">
        <is>
          <t>ENT</t>
        </is>
      </c>
      <c r="P1175" s="15" t="n">
        <v>0</v>
      </c>
      <c r="Q1175" s="15" t="n">
        <v>0</v>
      </c>
      <c r="R1175" s="5" t="inlineStr">
        <is>
          <t>239-2025-12-31</t>
        </is>
      </c>
      <c r="S1175" t="inlineStr">
        <is>
          <t>Metrica</t>
        </is>
      </c>
    </row>
    <row r="1176" hidden="1">
      <c r="A1176" s="28" t="n">
        <v>239</v>
      </c>
      <c r="B1176" s="5" t="inlineStr">
        <is>
          <t>Portafolio de Proyectos - Metrica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8" t="n">
        <v>46053</v>
      </c>
      <c r="G1176" s="5" t="n">
        <v>2026</v>
      </c>
      <c r="H1176" s="5" t="inlineStr">
        <is>
          <t>Enero</t>
        </is>
      </c>
      <c r="I1176" s="6" t="inlineStr">
        <is>
          <t>2026-1</t>
        </is>
      </c>
      <c r="J1176" s="3" t="n"/>
      <c r="K1176" s="9" t="n">
        <v>45</v>
      </c>
      <c r="L1176" s="14" t="n"/>
      <c r="M1176" s="14" t="n"/>
      <c r="N1176" s="5" t="inlineStr">
        <is>
          <t>Metrica</t>
        </is>
      </c>
      <c r="O1176" s="5" t="inlineStr">
        <is>
          <t>ENT</t>
        </is>
      </c>
      <c r="P1176" s="15" t="n">
        <v>0</v>
      </c>
      <c r="Q1176" s="15" t="n">
        <v>0</v>
      </c>
      <c r="R1176" s="5" t="inlineStr">
        <is>
          <t>239-2026-01-31</t>
        </is>
      </c>
    </row>
    <row r="1177" hidden="1">
      <c r="A1177" s="21" t="n">
        <v>239</v>
      </c>
      <c r="B1177" s="5" t="inlineStr">
        <is>
          <t>Portafolio de Proyectos - Metrica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9" t="n">
        <v>46081</v>
      </c>
      <c r="G1177" s="5" t="n">
        <v>2026</v>
      </c>
      <c r="H1177" s="5" t="inlineStr">
        <is>
          <t>Febrero</t>
        </is>
      </c>
      <c r="I1177" s="6" t="inlineStr">
        <is>
          <t>2026-1</t>
        </is>
      </c>
      <c r="J1177" s="3" t="n"/>
      <c r="K1177" s="10" t="n">
        <v>44</v>
      </c>
      <c r="L1177" s="14" t="n"/>
      <c r="M1177" s="14" t="n"/>
      <c r="N1177" s="5" t="inlineStr">
        <is>
          <t>Metrica</t>
        </is>
      </c>
      <c r="O1177" s="5" t="inlineStr">
        <is>
          <t>ENT</t>
        </is>
      </c>
      <c r="P1177" s="15" t="n">
        <v>0</v>
      </c>
      <c r="Q1177" s="15" t="n">
        <v>0</v>
      </c>
      <c r="R1177" s="5" t="inlineStr">
        <is>
          <t>239-2026-02-28</t>
        </is>
      </c>
    </row>
    <row r="1178" hidden="1">
      <c r="A1178" s="28" t="n">
        <v>239</v>
      </c>
      <c r="B1178" s="5" t="inlineStr">
        <is>
          <t>Portafolio de Proyectos - Metrica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9" t="n">
        <v>46112</v>
      </c>
      <c r="G1178" s="5" t="n">
        <v>2026</v>
      </c>
      <c r="H1178" s="5" t="inlineStr">
        <is>
          <t>Marzo</t>
        </is>
      </c>
      <c r="I1178" s="6" t="inlineStr">
        <is>
          <t>2026-1</t>
        </is>
      </c>
      <c r="J1178" s="5" t="n"/>
      <c r="K1178" s="9" t="n">
        <v>44</v>
      </c>
      <c r="L1178" s="14" t="n"/>
      <c r="M1178" s="14" t="n"/>
      <c r="N1178" s="5" t="inlineStr">
        <is>
          <t>Metrica</t>
        </is>
      </c>
      <c r="O1178" s="5" t="inlineStr">
        <is>
          <t>ENT</t>
        </is>
      </c>
      <c r="P1178" s="15" t="n">
        <v>0</v>
      </c>
      <c r="Q1178" s="15" t="n">
        <v>0</v>
      </c>
      <c r="R1178" s="5" t="inlineStr">
        <is>
          <t>239-2026-03-31</t>
        </is>
      </c>
    </row>
    <row r="1179" hidden="1">
      <c r="A1179" s="26" t="n">
        <v>239</v>
      </c>
      <c r="B1179" s="5" t="inlineStr">
        <is>
          <t>Portafolio de Proyectos - Metrica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9" t="n">
        <v>46142</v>
      </c>
      <c r="G1179" s="5" t="n">
        <v>2026</v>
      </c>
      <c r="H1179" s="5" t="inlineStr">
        <is>
          <t>Abril</t>
        </is>
      </c>
      <c r="I1179" s="6" t="inlineStr">
        <is>
          <t>2026-1</t>
        </is>
      </c>
      <c r="J1179" s="5" t="n"/>
      <c r="K1179" s="9" t="n">
        <v>51</v>
      </c>
      <c r="L1179" s="14" t="n"/>
      <c r="M1179" s="14" t="n"/>
      <c r="N1179" s="5" t="inlineStr">
        <is>
          <t>Metrica</t>
        </is>
      </c>
      <c r="O1179" s="5" t="inlineStr">
        <is>
          <t>ENT</t>
        </is>
      </c>
      <c r="P1179" s="15" t="n">
        <v>0</v>
      </c>
      <c r="Q1179" s="15" t="n">
        <v>0</v>
      </c>
      <c r="R1179" s="5" t="inlineStr">
        <is>
          <t>239-2026-04-30</t>
        </is>
      </c>
    </row>
    <row r="1180" hidden="1">
      <c r="A1180" s="28" t="n">
        <v>240</v>
      </c>
      <c r="B1180" s="5" t="inlineStr">
        <is>
          <t>Cumplimiento de Gestión De Proyectos Cerrados</t>
        </is>
      </c>
      <c r="C1180" s="5" t="inlineStr">
        <is>
          <t>Gestión de Proyectos</t>
        </is>
      </c>
      <c r="D1180" s="5" t="inlineStr">
        <is>
          <t>Trimestral</t>
        </is>
      </c>
      <c r="E1180" s="5" t="inlineStr">
        <is>
          <t>Positivo</t>
        </is>
      </c>
      <c r="F1180" s="108" t="n">
        <v>45016</v>
      </c>
      <c r="G1180" s="5" t="n">
        <v>2023</v>
      </c>
      <c r="H1180" s="5" t="inlineStr">
        <is>
          <t>Marzo</t>
        </is>
      </c>
      <c r="I1180" s="6" t="inlineStr">
        <is>
          <t>2023-1</t>
        </is>
      </c>
      <c r="J1180" s="5" t="n">
        <v>100</v>
      </c>
      <c r="K1180" s="9" t="n">
        <v>40</v>
      </c>
      <c r="L1180" s="14" t="n">
        <v>0.4</v>
      </c>
      <c r="M1180" s="14" t="n">
        <v>0.4</v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240-2023-03-31</t>
        </is>
      </c>
    </row>
    <row r="1181" hidden="1">
      <c r="A1181" s="21" t="n">
        <v>240</v>
      </c>
      <c r="B1181" s="5" t="inlineStr">
        <is>
          <t>Cumplimiento de Gestión De Proyectos Cerrados</t>
        </is>
      </c>
      <c r="C1181" s="5" t="inlineStr">
        <is>
          <t>Gestión de Proyectos</t>
        </is>
      </c>
      <c r="D1181" s="5" t="inlineStr">
        <is>
          <t>Trimestral</t>
        </is>
      </c>
      <c r="E1181" s="5" t="inlineStr">
        <is>
          <t>Positivo</t>
        </is>
      </c>
      <c r="F1181" s="109" t="n">
        <v>45107</v>
      </c>
      <c r="G1181" s="5" t="n">
        <v>2023</v>
      </c>
      <c r="H1181" s="5" t="inlineStr">
        <is>
          <t>Junio</t>
        </is>
      </c>
      <c r="I1181" s="6" t="inlineStr">
        <is>
          <t>2023-1</t>
        </is>
      </c>
      <c r="J1181" s="5" t="n">
        <v>100</v>
      </c>
      <c r="K1181" s="10" t="n">
        <v>60</v>
      </c>
      <c r="L1181" s="14" t="n">
        <v>0.6</v>
      </c>
      <c r="M1181" s="14" t="n">
        <v>0.6</v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240-2023-06-30</t>
        </is>
      </c>
    </row>
    <row r="1182" hidden="1">
      <c r="A1182" s="28" t="n">
        <v>240</v>
      </c>
      <c r="B1182" s="5" t="inlineStr">
        <is>
          <t>Cumplimiento de Gestión De Proyectos Cerrados</t>
        </is>
      </c>
      <c r="C1182" s="5" t="inlineStr">
        <is>
          <t>Gestión de Proyectos</t>
        </is>
      </c>
      <c r="D1182" s="5" t="inlineStr">
        <is>
          <t>Trimestral</t>
        </is>
      </c>
      <c r="E1182" s="5" t="inlineStr">
        <is>
          <t>Positivo</t>
        </is>
      </c>
      <c r="F1182" s="109" t="n">
        <v>45199</v>
      </c>
      <c r="G1182" s="5" t="n">
        <v>2023</v>
      </c>
      <c r="H1182" s="5" t="inlineStr">
        <is>
          <t>Septiembre</t>
        </is>
      </c>
      <c r="I1182" s="6" t="inlineStr">
        <is>
          <t>2023-2</t>
        </is>
      </c>
      <c r="J1182" s="5" t="n">
        <v>100</v>
      </c>
      <c r="K1182" s="9" t="n">
        <v>80</v>
      </c>
      <c r="L1182" s="14" t="n">
        <v>0.8</v>
      </c>
      <c r="M1182" s="14" t="n">
        <v>0.8</v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240-2023-09-30</t>
        </is>
      </c>
    </row>
    <row r="1183" hidden="1">
      <c r="A1183" s="26" t="n">
        <v>240</v>
      </c>
      <c r="B1183" s="5" t="inlineStr">
        <is>
          <t>Cumplimiento de Gestión De Proyectos Cerrados</t>
        </is>
      </c>
      <c r="C1183" s="5" t="inlineStr">
        <is>
          <t>Gestión de Proyectos</t>
        </is>
      </c>
      <c r="D1183" s="5" t="inlineStr">
        <is>
          <t>Trimestral</t>
        </is>
      </c>
      <c r="E1183" s="5" t="inlineStr">
        <is>
          <t>Positivo</t>
        </is>
      </c>
      <c r="F1183" s="109" t="n">
        <v>45291</v>
      </c>
      <c r="G1183" s="5" t="n">
        <v>2023</v>
      </c>
      <c r="H1183" s="5" t="inlineStr">
        <is>
          <t>Diciembre</t>
        </is>
      </c>
      <c r="I1183" s="6" t="inlineStr">
        <is>
          <t>2023-2</t>
        </is>
      </c>
      <c r="J1183" s="5" t="n">
        <v>100</v>
      </c>
      <c r="K1183" s="9" t="n">
        <v>80</v>
      </c>
      <c r="L1183" s="14" t="n">
        <v>0.8</v>
      </c>
      <c r="M1183" s="14" t="n">
        <v>0.8</v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240-2023-12-31</t>
        </is>
      </c>
    </row>
    <row r="1184" hidden="1">
      <c r="A1184" s="28" t="n">
        <v>240</v>
      </c>
      <c r="B1184" s="5" t="inlineStr">
        <is>
          <t>Cumplimiento de Gestión De Proyectos Cerrados</t>
        </is>
      </c>
      <c r="C1184" s="5" t="inlineStr">
        <is>
          <t>Gestión de Proyectos</t>
        </is>
      </c>
      <c r="D1184" s="5" t="inlineStr">
        <is>
          <t>Trimestral</t>
        </is>
      </c>
      <c r="E1184" s="5" t="inlineStr">
        <is>
          <t>Positivo</t>
        </is>
      </c>
      <c r="F1184" s="109" t="n">
        <v>45382</v>
      </c>
      <c r="G1184" s="5" t="n">
        <v>2024</v>
      </c>
      <c r="H1184" s="5" t="inlineStr">
        <is>
          <t>Marzo</t>
        </is>
      </c>
      <c r="I1184" s="6" t="inlineStr">
        <is>
          <t>2024-1</t>
        </is>
      </c>
      <c r="J1184" s="5" t="n">
        <v>100</v>
      </c>
      <c r="K1184" s="9" t="n">
        <v>91.66666666666666</v>
      </c>
      <c r="L1184" s="14" t="n">
        <v>0.9166666666666665</v>
      </c>
      <c r="M1184" s="14" t="n">
        <v>0.9166666666666665</v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240-2024-03-31</t>
        </is>
      </c>
    </row>
    <row r="1185" hidden="1">
      <c r="A1185" s="21" t="n">
        <v>240</v>
      </c>
      <c r="B1185" s="5" t="inlineStr">
        <is>
          <t>Cumplimiento de Gestión De Proyectos Cerrados</t>
        </is>
      </c>
      <c r="C1185" s="5" t="inlineStr">
        <is>
          <t>Gestión de Proyectos</t>
        </is>
      </c>
      <c r="D1185" s="5" t="inlineStr">
        <is>
          <t>Trimestral</t>
        </is>
      </c>
      <c r="E1185" s="5" t="inlineStr">
        <is>
          <t>Positivo</t>
        </is>
      </c>
      <c r="F1185" s="109" t="n">
        <v>45473</v>
      </c>
      <c r="G1185" s="5" t="n">
        <v>2024</v>
      </c>
      <c r="H1185" s="5" t="inlineStr">
        <is>
          <t>Junio</t>
        </is>
      </c>
      <c r="I1185" s="6" t="inlineStr">
        <is>
          <t>2024-1</t>
        </is>
      </c>
      <c r="J1185" s="5" t="n">
        <v>100</v>
      </c>
      <c r="K1185" s="96" t="n">
        <v>100</v>
      </c>
      <c r="L1185" s="14" t="n">
        <v>1</v>
      </c>
      <c r="M1185" s="14" t="n">
        <v>1</v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240-2024-06-30</t>
        </is>
      </c>
    </row>
    <row r="1186" hidden="1">
      <c r="A1186" s="21" t="n">
        <v>240</v>
      </c>
      <c r="B1186" s="5" t="inlineStr">
        <is>
          <t>Cumplimiento de Gestión De Proyectos Cerrados</t>
        </is>
      </c>
      <c r="C1186" s="5" t="inlineStr">
        <is>
          <t>Gestión de Proyectos</t>
        </is>
      </c>
      <c r="D1186" s="5" t="inlineStr">
        <is>
          <t>Trimestral</t>
        </is>
      </c>
      <c r="E1186" s="5" t="inlineStr">
        <is>
          <t>Positivo</t>
        </is>
      </c>
      <c r="F1186" s="109" t="n">
        <v>45565</v>
      </c>
      <c r="G1186" s="5" t="n">
        <v>2024</v>
      </c>
      <c r="H1186" s="5" t="inlineStr">
        <is>
          <t>Septiembre</t>
        </is>
      </c>
      <c r="I1186" s="6" t="inlineStr">
        <is>
          <t>2024-2</t>
        </is>
      </c>
      <c r="J1186" s="73" t="n">
        <v>100</v>
      </c>
      <c r="K1186" s="9" t="n">
        <v>100</v>
      </c>
      <c r="L1186" s="14" t="n">
        <v>1</v>
      </c>
      <c r="M1186" s="14" t="n">
        <v>1</v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240-2024-09-30</t>
        </is>
      </c>
    </row>
    <row r="1187" hidden="1">
      <c r="A1187" s="21" t="n">
        <v>240</v>
      </c>
      <c r="B1187" s="5" t="inlineStr">
        <is>
          <t>Cumplimiento de Gestión De Proyectos Cerrados</t>
        </is>
      </c>
      <c r="C1187" s="5" t="inlineStr">
        <is>
          <t>Gestión de Proyectos</t>
        </is>
      </c>
      <c r="D1187" s="5" t="inlineStr">
        <is>
          <t>Trimestral</t>
        </is>
      </c>
      <c r="E1187" s="5" t="inlineStr">
        <is>
          <t>Positivo</t>
        </is>
      </c>
      <c r="F1187" s="109" t="n">
        <v>45657</v>
      </c>
      <c r="G1187" s="5" t="n">
        <v>2024</v>
      </c>
      <c r="H1187" s="5" t="inlineStr">
        <is>
          <t>Diciembre</t>
        </is>
      </c>
      <c r="I1187" s="6" t="inlineStr">
        <is>
          <t>2024-2</t>
        </is>
      </c>
      <c r="J1187" s="73" t="n">
        <v>100</v>
      </c>
      <c r="K1187" s="9" t="n">
        <v>100</v>
      </c>
      <c r="L1187" s="14" t="n">
        <v>1</v>
      </c>
      <c r="M1187" s="14" t="n">
        <v>1</v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240-2024-12-31</t>
        </is>
      </c>
    </row>
    <row r="1188" hidden="1">
      <c r="A1188" s="21" t="n">
        <v>240</v>
      </c>
      <c r="B1188" s="5" t="inlineStr">
        <is>
          <t>Cumplimiento de Gestión De Proyectos Cerrados</t>
        </is>
      </c>
      <c r="C1188" s="5" t="inlineStr">
        <is>
          <t>Gestión de Proyectos</t>
        </is>
      </c>
      <c r="D1188" s="5" t="inlineStr">
        <is>
          <t>Trimestral</t>
        </is>
      </c>
      <c r="E1188" s="5" t="inlineStr">
        <is>
          <t>Positivo</t>
        </is>
      </c>
      <c r="F1188" s="109" t="n">
        <v>45747</v>
      </c>
      <c r="G1188" s="5" t="n">
        <v>2025</v>
      </c>
      <c r="H1188" s="5" t="inlineStr">
        <is>
          <t>Marzo</t>
        </is>
      </c>
      <c r="I1188" s="6" t="inlineStr">
        <is>
          <t>2025-1</t>
        </is>
      </c>
      <c r="J1188" s="73" t="n">
        <v>100</v>
      </c>
      <c r="K1188" s="9" t="n">
        <v>100</v>
      </c>
      <c r="L1188" s="14" t="n">
        <v>1</v>
      </c>
      <c r="M1188" s="14" t="n">
        <v>1</v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240-2025-03-31</t>
        </is>
      </c>
    </row>
    <row r="1189" hidden="1">
      <c r="A1189" s="21" t="n">
        <v>240</v>
      </c>
      <c r="B1189" s="5" t="inlineStr">
        <is>
          <t>Cumplimiento de Gestión De Proyectos Cerrados</t>
        </is>
      </c>
      <c r="C1189" s="5" t="inlineStr">
        <is>
          <t>Gestión de Proyectos</t>
        </is>
      </c>
      <c r="D1189" s="5" t="inlineStr">
        <is>
          <t>Trimestral</t>
        </is>
      </c>
      <c r="E1189" s="5" t="inlineStr">
        <is>
          <t>Positivo</t>
        </is>
      </c>
      <c r="F1189" s="108" t="n">
        <v>45838</v>
      </c>
      <c r="G1189" s="5" t="n">
        <v>2025</v>
      </c>
      <c r="H1189" s="5" t="inlineStr">
        <is>
          <t>Junio</t>
        </is>
      </c>
      <c r="I1189" s="6" t="inlineStr">
        <is>
          <t>2025-1</t>
        </is>
      </c>
      <c r="J1189" s="5" t="n">
        <v>100</v>
      </c>
      <c r="K1189" s="9" t="n">
        <v>100</v>
      </c>
      <c r="L1189" s="14" t="n">
        <v>1</v>
      </c>
      <c r="M1189" s="14" t="n">
        <v>1</v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240-2025-06-30</t>
        </is>
      </c>
    </row>
    <row r="1190" hidden="1">
      <c r="A1190" s="26" t="n">
        <v>240</v>
      </c>
      <c r="B1190" s="5" t="inlineStr">
        <is>
          <t>Cumplimiento de Gestión De Proyectos Cerrados</t>
        </is>
      </c>
      <c r="C1190" s="5" t="inlineStr">
        <is>
          <t>Gestión de Proyectos</t>
        </is>
      </c>
      <c r="D1190" s="5" t="inlineStr">
        <is>
          <t>Semestral</t>
        </is>
      </c>
      <c r="E1190" s="5" t="inlineStr">
        <is>
          <t>Positivo</t>
        </is>
      </c>
      <c r="F1190" s="109" t="n">
        <v>45930</v>
      </c>
      <c r="G1190" s="5" t="n">
        <v>2025</v>
      </c>
      <c r="H1190" s="5" t="inlineStr">
        <is>
          <t>Septiembre</t>
        </is>
      </c>
      <c r="I1190" s="6" t="inlineStr">
        <is>
          <t>2025-2</t>
        </is>
      </c>
      <c r="J1190" s="5" t="n">
        <v>100</v>
      </c>
      <c r="K1190" s="9" t="n">
        <v>100</v>
      </c>
      <c r="L1190" s="14" t="n">
        <v>1</v>
      </c>
      <c r="M1190" s="14" t="n">
        <v>1</v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240-2025-09-30</t>
        </is>
      </c>
    </row>
    <row r="1191" hidden="1">
      <c r="A1191" s="26" t="n">
        <v>240</v>
      </c>
      <c r="B1191" s="5" t="inlineStr">
        <is>
          <t>Cumplimiento de Gestión De Proyectos Cerrados</t>
        </is>
      </c>
      <c r="C1191" s="5" t="inlineStr">
        <is>
          <t>Gestión de Proyectos</t>
        </is>
      </c>
      <c r="D1191" s="5" t="inlineStr">
        <is>
          <t>Semestral</t>
        </is>
      </c>
      <c r="E1191" s="5" t="inlineStr">
        <is>
          <t>Positivo</t>
        </is>
      </c>
      <c r="F1191" s="109" t="n">
        <v>46022</v>
      </c>
      <c r="G1191" s="5" t="n">
        <v>2025</v>
      </c>
      <c r="H1191" s="5" t="inlineStr">
        <is>
          <t>Diciembre</t>
        </is>
      </c>
      <c r="I1191" s="6" t="inlineStr">
        <is>
          <t>2025-2</t>
        </is>
      </c>
      <c r="J1191" s="5" t="n">
        <v>100</v>
      </c>
      <c r="K1191" s="9" t="n">
        <v>100</v>
      </c>
      <c r="L1191" s="14" t="n">
        <v>1</v>
      </c>
      <c r="M1191" s="14" t="n">
        <v>1</v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240-2025-12-31</t>
        </is>
      </c>
    </row>
    <row r="1192" hidden="1">
      <c r="A1192" s="21" t="n">
        <v>240</v>
      </c>
      <c r="B1192" s="5" t="inlineStr">
        <is>
          <t>Cumplimiento de Gestión De Proyectos Cerrados</t>
        </is>
      </c>
      <c r="C1192" s="5" t="inlineStr">
        <is>
          <t>Gestión de Proyectos</t>
        </is>
      </c>
      <c r="D1192" s="5" t="inlineStr">
        <is>
          <t>Semestral</t>
        </is>
      </c>
      <c r="E1192" s="5" t="inlineStr">
        <is>
          <t>Positivo</t>
        </is>
      </c>
      <c r="F1192" s="108" t="n">
        <v>46112</v>
      </c>
      <c r="G1192" s="5" t="n">
        <v>2026</v>
      </c>
      <c r="H1192" s="5" t="inlineStr">
        <is>
          <t>Marzo</t>
        </is>
      </c>
      <c r="I1192" s="6" t="inlineStr">
        <is>
          <t>2026-1</t>
        </is>
      </c>
      <c r="J1192" s="5" t="n">
        <v>100</v>
      </c>
      <c r="K1192" s="9" t="n">
        <v>100</v>
      </c>
      <c r="L1192" s="14" t="n">
        <v>1</v>
      </c>
      <c r="M1192" s="14" t="n">
        <v>1</v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240-2026-03-31</t>
        </is>
      </c>
    </row>
    <row r="1193" hidden="1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09" t="n">
        <v>44957</v>
      </c>
      <c r="G1193" s="5" t="n">
        <v>2023</v>
      </c>
      <c r="H1193" s="5" t="inlineStr">
        <is>
          <t>Enero</t>
        </is>
      </c>
      <c r="I1193" s="6" t="inlineStr">
        <is>
          <t>2023-1</t>
        </is>
      </c>
      <c r="J1193" s="5" t="n">
        <v>80</v>
      </c>
      <c r="K1193" s="9" t="n">
        <v>100</v>
      </c>
      <c r="L1193" s="14" t="n">
        <v>1.25</v>
      </c>
      <c r="M1193" s="14" t="n">
        <v>1.25</v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241-2023-01-31</t>
        </is>
      </c>
    </row>
    <row r="1194" hidden="1">
      <c r="A1194" s="5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9" t="n">
        <v>44985</v>
      </c>
      <c r="G1194" s="5" t="n">
        <v>2023</v>
      </c>
      <c r="H1194" s="5" t="inlineStr">
        <is>
          <t>Febrero</t>
        </is>
      </c>
      <c r="I1194" s="6" t="inlineStr">
        <is>
          <t>2023-1</t>
        </is>
      </c>
      <c r="J1194" s="5" t="n">
        <v>80</v>
      </c>
      <c r="K1194" s="5" t="n">
        <v>100</v>
      </c>
      <c r="L1194" s="14" t="n">
        <v>1.25</v>
      </c>
      <c r="M1194" s="14" t="n">
        <v>1.25</v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241-2023-02-28</t>
        </is>
      </c>
    </row>
    <row r="1195" hidden="1">
      <c r="A1195" s="21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9" t="n">
        <v>45016</v>
      </c>
      <c r="G1195" s="5" t="n">
        <v>2023</v>
      </c>
      <c r="H1195" s="5" t="inlineStr">
        <is>
          <t>Marzo</t>
        </is>
      </c>
      <c r="I1195" s="6" t="inlineStr">
        <is>
          <t>2023-1</t>
        </is>
      </c>
      <c r="J1195" s="5" t="n">
        <v>80</v>
      </c>
      <c r="K1195" s="10" t="n">
        <v>100</v>
      </c>
      <c r="L1195" s="14" t="n">
        <v>1.25</v>
      </c>
      <c r="M1195" s="14" t="n">
        <v>1.25</v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241-2023-03-31</t>
        </is>
      </c>
    </row>
    <row r="1196" hidden="1">
      <c r="A1196" s="21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9" t="n">
        <v>45046</v>
      </c>
      <c r="G1196" s="5" t="n">
        <v>2023</v>
      </c>
      <c r="H1196" s="5" t="inlineStr">
        <is>
          <t>Abril</t>
        </is>
      </c>
      <c r="I1196" s="6" t="inlineStr">
        <is>
          <t>2023-1</t>
        </is>
      </c>
      <c r="J1196" s="5" t="n">
        <v>80</v>
      </c>
      <c r="K1196" s="9" t="n">
        <v>81.818181818182</v>
      </c>
      <c r="L1196" s="14" t="n">
        <v>1.022727272727275</v>
      </c>
      <c r="M1196" s="14" t="n">
        <v>1.022727272727275</v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241-2023-04-30</t>
        </is>
      </c>
    </row>
    <row r="1197" hidden="1">
      <c r="A1197" s="21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9" t="n">
        <v>45077</v>
      </c>
      <c r="G1197" s="5" t="n">
        <v>2023</v>
      </c>
      <c r="H1197" s="5" t="inlineStr">
        <is>
          <t>Mayo</t>
        </is>
      </c>
      <c r="I1197" s="6" t="inlineStr">
        <is>
          <t>2023-1</t>
        </is>
      </c>
      <c r="J1197" s="5" t="n">
        <v>80</v>
      </c>
      <c r="K1197" s="9" t="n">
        <v>83.333333333333</v>
      </c>
      <c r="L1197" s="14" t="n">
        <v>1.041666666666663</v>
      </c>
      <c r="M1197" s="14" t="n">
        <v>1.041666666666663</v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241-2023-05-31</t>
        </is>
      </c>
    </row>
    <row r="1198" hidden="1">
      <c r="A1198" s="21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9" t="n">
        <v>45107</v>
      </c>
      <c r="G1198" s="5" t="n">
        <v>2023</v>
      </c>
      <c r="H1198" s="5" t="inlineStr">
        <is>
          <t>Junio</t>
        </is>
      </c>
      <c r="I1198" s="6" t="inlineStr">
        <is>
          <t>2023-1</t>
        </is>
      </c>
      <c r="J1198" s="5" t="n">
        <v>80</v>
      </c>
      <c r="K1198" s="9" t="n">
        <v>100</v>
      </c>
      <c r="L1198" s="14" t="n">
        <v>1.25</v>
      </c>
      <c r="M1198" s="14" t="n">
        <v>1.25</v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241-2023-06-30</t>
        </is>
      </c>
    </row>
    <row r="1199" hidden="1">
      <c r="A1199" s="21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9" t="n">
        <v>45138</v>
      </c>
      <c r="G1199" s="5" t="n">
        <v>2023</v>
      </c>
      <c r="H1199" s="5" t="inlineStr">
        <is>
          <t>Julio</t>
        </is>
      </c>
      <c r="I1199" s="6" t="inlineStr">
        <is>
          <t>2023-2</t>
        </is>
      </c>
      <c r="J1199" s="5" t="n">
        <v>80</v>
      </c>
      <c r="K1199" s="10" t="n">
        <v>100</v>
      </c>
      <c r="L1199" s="14" t="n">
        <v>1.25</v>
      </c>
      <c r="M1199" s="14" t="n">
        <v>1.25</v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241-2023-07-31</t>
        </is>
      </c>
    </row>
    <row r="1200" hidden="1">
      <c r="A1200" s="5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9" t="n">
        <v>45169</v>
      </c>
      <c r="G1200" s="5" t="n">
        <v>2023</v>
      </c>
      <c r="H1200" s="5" t="inlineStr">
        <is>
          <t>Agosto</t>
        </is>
      </c>
      <c r="I1200" s="6" t="inlineStr">
        <is>
          <t>2023-2</t>
        </is>
      </c>
      <c r="J1200" s="5" t="n">
        <v>80</v>
      </c>
      <c r="K1200" s="5" t="n">
        <v>91.67</v>
      </c>
      <c r="L1200" s="14" t="n">
        <v>1.145875</v>
      </c>
      <c r="M1200" s="14" t="n">
        <v>1.145875</v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241-2023-08-31</t>
        </is>
      </c>
    </row>
    <row r="1201" hidden="1">
      <c r="A1201" s="21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9" t="n">
        <v>45199</v>
      </c>
      <c r="G1201" s="5" t="n">
        <v>2023</v>
      </c>
      <c r="H1201" s="5" t="inlineStr">
        <is>
          <t>Septiembre</t>
        </is>
      </c>
      <c r="I1201" s="6" t="inlineStr">
        <is>
          <t>2023-2</t>
        </is>
      </c>
      <c r="J1201" s="5" t="n">
        <v>80</v>
      </c>
      <c r="K1201" s="10" t="n">
        <v>91.67</v>
      </c>
      <c r="L1201" s="14" t="n">
        <v>1.145875</v>
      </c>
      <c r="M1201" s="14" t="n">
        <v>1.145875</v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241-2023-09-30</t>
        </is>
      </c>
    </row>
    <row r="1202" hidden="1">
      <c r="A1202" s="21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09" t="n">
        <v>45230</v>
      </c>
      <c r="G1202" s="5" t="n">
        <v>2023</v>
      </c>
      <c r="H1202" s="5" t="inlineStr">
        <is>
          <t>Octubre</t>
        </is>
      </c>
      <c r="I1202" s="6" t="inlineStr">
        <is>
          <t>2023-2</t>
        </is>
      </c>
      <c r="J1202" s="5" t="n">
        <v>80</v>
      </c>
      <c r="K1202" s="10" t="n">
        <v>88.89</v>
      </c>
      <c r="L1202" s="14" t="n">
        <v>1.111125</v>
      </c>
      <c r="M1202" s="14" t="n">
        <v>1.111125</v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241-2023-10-31</t>
        </is>
      </c>
    </row>
    <row r="1203" hidden="1">
      <c r="A1203" s="21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08" t="n">
        <v>45260</v>
      </c>
      <c r="G1203" s="5" t="n">
        <v>2023</v>
      </c>
      <c r="H1203" s="5" t="inlineStr">
        <is>
          <t>Noviembre</t>
        </is>
      </c>
      <c r="I1203" s="6" t="inlineStr">
        <is>
          <t>2023-2</t>
        </is>
      </c>
      <c r="J1203" s="5" t="n">
        <v>80</v>
      </c>
      <c r="K1203" s="9" t="n">
        <v>87.5</v>
      </c>
      <c r="L1203" s="14" t="n">
        <v>1.09375</v>
      </c>
      <c r="M1203" s="14" t="n">
        <v>1.09375</v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241-2023-11-30</t>
        </is>
      </c>
    </row>
    <row r="1204" hidden="1">
      <c r="A1204" s="26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09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80</v>
      </c>
      <c r="K1204" s="9" t="n">
        <v>85.70999999999999</v>
      </c>
      <c r="L1204" s="14" t="n">
        <v>1.071375</v>
      </c>
      <c r="M1204" s="14" t="n">
        <v>1.071375</v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241-2023-12-31</t>
        </is>
      </c>
    </row>
    <row r="1205" hidden="1">
      <c r="A1205" s="5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09" t="n">
        <v>45322</v>
      </c>
      <c r="G1205" s="5" t="n">
        <v>2024</v>
      </c>
      <c r="H1205" s="5" t="inlineStr">
        <is>
          <t>Enero</t>
        </is>
      </c>
      <c r="I1205" s="6" t="inlineStr">
        <is>
          <t>2024-1</t>
        </is>
      </c>
      <c r="J1205" s="5" t="n">
        <v>80</v>
      </c>
      <c r="K1205" s="5" t="n">
        <v>88.88888888888889</v>
      </c>
      <c r="L1205" s="14" t="n">
        <v>1.111111111111111</v>
      </c>
      <c r="M1205" s="14" t="n">
        <v>1.111111111111111</v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241-2024-01-31</t>
        </is>
      </c>
    </row>
    <row r="1206" hidden="1">
      <c r="A1206" s="21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09" t="n">
        <v>45351</v>
      </c>
      <c r="G1206" s="5" t="n">
        <v>2024</v>
      </c>
      <c r="H1206" s="5" t="inlineStr">
        <is>
          <t>Febrero</t>
        </is>
      </c>
      <c r="I1206" s="6" t="inlineStr">
        <is>
          <t>2024-1</t>
        </is>
      </c>
      <c r="J1206" s="5" t="n">
        <v>80</v>
      </c>
      <c r="K1206" s="10" t="n">
        <v>90.90909090909091</v>
      </c>
      <c r="L1206" s="14" t="n">
        <v>1.136363636363636</v>
      </c>
      <c r="M1206" s="14" t="n">
        <v>1.136363636363636</v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241-2024-02-29</t>
        </is>
      </c>
    </row>
    <row r="1207" hidden="1">
      <c r="A1207" s="21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08" t="n">
        <v>45382</v>
      </c>
      <c r="G1207" s="5" t="n">
        <v>2024</v>
      </c>
      <c r="H1207" s="5" t="inlineStr">
        <is>
          <t>Marzo</t>
        </is>
      </c>
      <c r="I1207" s="6" t="inlineStr">
        <is>
          <t>2024-1</t>
        </is>
      </c>
      <c r="J1207" s="5" t="n">
        <v>80</v>
      </c>
      <c r="K1207" s="9" t="n">
        <v>80</v>
      </c>
      <c r="L1207" s="14" t="n">
        <v>1</v>
      </c>
      <c r="M1207" s="14" t="n">
        <v>1</v>
      </c>
      <c r="N1207" s="11" t="inlineStr">
        <is>
          <t>%</t>
        </is>
      </c>
      <c r="O1207" s="11" t="inlineStr">
        <is>
          <t>%</t>
        </is>
      </c>
      <c r="P1207" s="15" t="n">
        <v>0</v>
      </c>
      <c r="Q1207" s="15" t="n">
        <v>0</v>
      </c>
      <c r="R1207" s="5" t="inlineStr">
        <is>
          <t>241-2024-03-31</t>
        </is>
      </c>
    </row>
    <row r="1208" hidden="1">
      <c r="A1208" s="26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09" t="n">
        <v>45412</v>
      </c>
      <c r="G1208" s="5" t="n">
        <v>2024</v>
      </c>
      <c r="H1208" s="5" t="inlineStr">
        <is>
          <t>Abril</t>
        </is>
      </c>
      <c r="I1208" s="6" t="inlineStr">
        <is>
          <t>2024-1</t>
        </is>
      </c>
      <c r="J1208" s="5" t="n">
        <v>80</v>
      </c>
      <c r="K1208" s="9" t="n">
        <v>100</v>
      </c>
      <c r="L1208" s="14" t="n">
        <v>1.25</v>
      </c>
      <c r="M1208" s="14" t="n">
        <v>1.25</v>
      </c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241-2024-04-30</t>
        </is>
      </c>
    </row>
    <row r="1209" hidden="1">
      <c r="A1209" s="5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09" t="n">
        <v>45443</v>
      </c>
      <c r="G1209" s="5" t="n">
        <v>2024</v>
      </c>
      <c r="H1209" s="5" t="inlineStr">
        <is>
          <t>Mayo</t>
        </is>
      </c>
      <c r="I1209" s="6" t="inlineStr">
        <is>
          <t>2024-1</t>
        </is>
      </c>
      <c r="J1209" s="5" t="n">
        <v>80</v>
      </c>
      <c r="K1209" s="23" t="n">
        <v>85.71428571428571</v>
      </c>
      <c r="L1209" s="14" t="n">
        <v>1.071428571428571</v>
      </c>
      <c r="M1209" s="14" t="n">
        <v>1.071428571428571</v>
      </c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241-2024-05-31</t>
        </is>
      </c>
    </row>
    <row r="1210" hidden="1">
      <c r="A1210" s="21" t="n">
        <v>241</v>
      </c>
      <c r="B1210" s="5" t="inlineStr">
        <is>
          <t>Cumplimiento de gestión de proyectos fase inicio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09" t="n">
        <v>45473</v>
      </c>
      <c r="G1210" s="5" t="n">
        <v>2024</v>
      </c>
      <c r="H1210" s="5" t="inlineStr">
        <is>
          <t>Junio</t>
        </is>
      </c>
      <c r="I1210" s="6" t="inlineStr">
        <is>
          <t>2024-1</t>
        </is>
      </c>
      <c r="J1210" s="5" t="n">
        <v>80</v>
      </c>
      <c r="K1210" s="10" t="n">
        <v>85.71428571428571</v>
      </c>
      <c r="L1210" s="14" t="n">
        <v>1.071428571428571</v>
      </c>
      <c r="M1210" s="14" t="n">
        <v>1.071428571428571</v>
      </c>
      <c r="N1210" s="5" t="inlineStr">
        <is>
          <t>%</t>
        </is>
      </c>
      <c r="O1210" s="5" t="inlineStr">
        <is>
          <t>%</t>
        </is>
      </c>
      <c r="P1210" s="15" t="n">
        <v>0</v>
      </c>
      <c r="Q1210" s="15" t="n">
        <v>0</v>
      </c>
      <c r="R1210" s="5" t="inlineStr">
        <is>
          <t>241-2024-06-30</t>
        </is>
      </c>
    </row>
    <row r="1211" hidden="1">
      <c r="A1211" s="26" t="n">
        <v>241</v>
      </c>
      <c r="B1211" s="5" t="inlineStr">
        <is>
          <t>Cumplimiento de gestión de proyectos fase inicio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09" t="n">
        <v>45504</v>
      </c>
      <c r="G1211" s="5" t="n">
        <v>2024</v>
      </c>
      <c r="H1211" s="5" t="inlineStr">
        <is>
          <t>Julio</t>
        </is>
      </c>
      <c r="I1211" s="6" t="inlineStr">
        <is>
          <t>2024-2</t>
        </is>
      </c>
      <c r="J1211" s="5" t="n">
        <v>80</v>
      </c>
      <c r="K1211" s="9" t="n">
        <v>85.71428571428571</v>
      </c>
      <c r="L1211" s="14" t="n">
        <v>1.071428571428571</v>
      </c>
      <c r="M1211" s="14" t="n">
        <v>1.071428571428571</v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241-2024-07-31</t>
        </is>
      </c>
    </row>
    <row r="1212" hidden="1">
      <c r="A1212" s="21" t="n">
        <v>241</v>
      </c>
      <c r="B1212" s="5" t="inlineStr">
        <is>
          <t>Cumplimiento de gestión de proyectos fase inicio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09" t="n">
        <v>45535</v>
      </c>
      <c r="G1212" s="5" t="n">
        <v>2024</v>
      </c>
      <c r="H1212" s="5" t="inlineStr">
        <is>
          <t>Agosto</t>
        </is>
      </c>
      <c r="I1212" s="6" t="inlineStr">
        <is>
          <t>2024-2</t>
        </is>
      </c>
      <c r="J1212" s="5" t="n">
        <v>80</v>
      </c>
      <c r="K1212" s="10" t="n">
        <v>80</v>
      </c>
      <c r="L1212" s="14" t="n">
        <v>1</v>
      </c>
      <c r="M1212" s="14" t="n">
        <v>1</v>
      </c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241-2024-08-31</t>
        </is>
      </c>
    </row>
    <row r="1213" hidden="1">
      <c r="A1213" s="21" t="n">
        <v>241</v>
      </c>
      <c r="B1213" s="5" t="inlineStr">
        <is>
          <t>Cumplimiento de gestión de proyectos fase inicio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08" t="n">
        <v>45565</v>
      </c>
      <c r="G1213" s="5" t="n">
        <v>2024</v>
      </c>
      <c r="H1213" s="5" t="inlineStr">
        <is>
          <t>Septiembre</t>
        </is>
      </c>
      <c r="I1213" s="6" t="inlineStr">
        <is>
          <t>2024-2</t>
        </is>
      </c>
      <c r="J1213" s="5" t="n">
        <v>80</v>
      </c>
      <c r="K1213" s="9" t="n">
        <v>84.61538461538461</v>
      </c>
      <c r="L1213" s="14" t="n">
        <v>1.057692307692308</v>
      </c>
      <c r="M1213" s="14" t="n">
        <v>1.057692307692308</v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241-2024-09-30</t>
        </is>
      </c>
    </row>
    <row r="1214" hidden="1">
      <c r="A1214" s="26" t="n">
        <v>241</v>
      </c>
      <c r="B1214" s="5" t="inlineStr">
        <is>
          <t>Cumplimiento de gestión de proyectos fase inicio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09" t="n">
        <v>45596</v>
      </c>
      <c r="G1214" s="5" t="n">
        <v>2024</v>
      </c>
      <c r="H1214" s="5" t="inlineStr">
        <is>
          <t>Octubre</t>
        </is>
      </c>
      <c r="I1214" s="6" t="inlineStr">
        <is>
          <t>2024-2</t>
        </is>
      </c>
      <c r="J1214" s="5" t="n">
        <v>80</v>
      </c>
      <c r="K1214" s="9" t="n">
        <v>85.71428571428571</v>
      </c>
      <c r="L1214" s="14" t="n">
        <v>1.071428571428571</v>
      </c>
      <c r="M1214" s="14" t="n">
        <v>1.071428571428571</v>
      </c>
      <c r="N1214" s="5" t="inlineStr">
        <is>
          <t>%</t>
        </is>
      </c>
      <c r="O1214" s="5" t="inlineStr">
        <is>
          <t>%</t>
        </is>
      </c>
      <c r="P1214" s="15" t="n">
        <v>0</v>
      </c>
      <c r="Q1214" s="15" t="n">
        <v>0</v>
      </c>
      <c r="R1214" s="5" t="inlineStr">
        <is>
          <t>241-2024-10-31</t>
        </is>
      </c>
    </row>
    <row r="1215" hidden="1">
      <c r="A1215" s="5" t="n">
        <v>241</v>
      </c>
      <c r="B1215" s="5" t="inlineStr">
        <is>
          <t>Cumplimiento de gestión de proyectos fase inicio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09" t="n">
        <v>45626</v>
      </c>
      <c r="G1215" s="5" t="n">
        <v>2024</v>
      </c>
      <c r="H1215" s="5" t="inlineStr">
        <is>
          <t>Noviembre</t>
        </is>
      </c>
      <c r="I1215" s="6" t="inlineStr">
        <is>
          <t>2024-2</t>
        </is>
      </c>
      <c r="J1215" s="5" t="n">
        <v>80</v>
      </c>
      <c r="K1215" s="5" t="n">
        <v>100</v>
      </c>
      <c r="L1215" s="14" t="n">
        <v>1.25</v>
      </c>
      <c r="M1215" s="14" t="n">
        <v>1.25</v>
      </c>
      <c r="N1215" s="5" t="inlineStr">
        <is>
          <t>%</t>
        </is>
      </c>
      <c r="O1215" s="5" t="inlineStr">
        <is>
          <t>%</t>
        </is>
      </c>
      <c r="P1215" s="5" t="n">
        <v>0</v>
      </c>
      <c r="Q1215" s="5" t="n">
        <v>0</v>
      </c>
      <c r="R1215" s="5" t="inlineStr">
        <is>
          <t>241-2024-11-30</t>
        </is>
      </c>
    </row>
    <row r="1216" hidden="1">
      <c r="A1216" s="21" t="n">
        <v>241</v>
      </c>
      <c r="B1216" s="5" t="inlineStr">
        <is>
          <t>Cumplimiento de gestión de proyectos fase inicio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09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80</v>
      </c>
      <c r="K1216" s="10" t="n">
        <v>100</v>
      </c>
      <c r="L1216" s="14" t="n">
        <v>1.25</v>
      </c>
      <c r="M1216" s="14" t="n">
        <v>1.25</v>
      </c>
      <c r="N1216" s="5" t="inlineStr">
        <is>
          <t>%</t>
        </is>
      </c>
      <c r="O1216" s="5" t="inlineStr">
        <is>
          <t>%</t>
        </is>
      </c>
      <c r="P1216" s="15" t="n">
        <v>0</v>
      </c>
      <c r="Q1216" s="15" t="n">
        <v>0</v>
      </c>
      <c r="R1216" s="5" t="inlineStr">
        <is>
          <t>241-2024-12-31</t>
        </is>
      </c>
    </row>
    <row r="1217" hidden="1">
      <c r="A1217" s="21" t="n">
        <v>241</v>
      </c>
      <c r="B1217" s="5" t="inlineStr">
        <is>
          <t>Cumplimiento de gestión de proyectos fase inicio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08" t="n">
        <v>45688</v>
      </c>
      <c r="G1217" s="5" t="n">
        <v>2025</v>
      </c>
      <c r="H1217" s="5" t="inlineStr">
        <is>
          <t>Enero</t>
        </is>
      </c>
      <c r="I1217" s="6" t="inlineStr">
        <is>
          <t>2025-1</t>
        </is>
      </c>
      <c r="J1217" s="5" t="n">
        <v>80</v>
      </c>
      <c r="K1217" s="9" t="n">
        <v>100</v>
      </c>
      <c r="L1217" s="14" t="n">
        <v>1.25</v>
      </c>
      <c r="M1217" s="14" t="n">
        <v>1.25</v>
      </c>
      <c r="N1217" s="5" t="inlineStr">
        <is>
          <t>%</t>
        </is>
      </c>
      <c r="O1217" s="5" t="inlineStr">
        <is>
          <t>%</t>
        </is>
      </c>
      <c r="P1217" s="15" t="n">
        <v>0</v>
      </c>
      <c r="Q1217" s="15" t="n">
        <v>0</v>
      </c>
      <c r="R1217" s="5" t="inlineStr">
        <is>
          <t>241-2025-01-31</t>
        </is>
      </c>
    </row>
    <row r="1218" hidden="1">
      <c r="A1218" s="26" t="n">
        <v>241</v>
      </c>
      <c r="B1218" s="5" t="inlineStr">
        <is>
          <t>Cumplimiento de gestión de proyectos fase inicio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09" t="n">
        <v>45716</v>
      </c>
      <c r="G1218" s="5" t="n">
        <v>2025</v>
      </c>
      <c r="H1218" s="5" t="inlineStr">
        <is>
          <t>Febrero</t>
        </is>
      </c>
      <c r="I1218" s="6" t="inlineStr">
        <is>
          <t>2025-1</t>
        </is>
      </c>
      <c r="J1218" s="5" t="n">
        <v>80</v>
      </c>
      <c r="K1218" s="9" t="n">
        <v>100</v>
      </c>
      <c r="L1218" s="14" t="n">
        <v>1.25</v>
      </c>
      <c r="M1218" s="14" t="n">
        <v>1.25</v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241-2025-02-28</t>
        </is>
      </c>
    </row>
    <row r="1219" hidden="1">
      <c r="A1219" s="5" t="n">
        <v>241</v>
      </c>
      <c r="B1219" s="5" t="inlineStr">
        <is>
          <t>Cumplimiento de gestión de proyectos fase inicio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09" t="n">
        <v>45747</v>
      </c>
      <c r="G1219" s="5" t="n">
        <v>2025</v>
      </c>
      <c r="H1219" s="5" t="inlineStr">
        <is>
          <t>Marzo</t>
        </is>
      </c>
      <c r="I1219" s="6" t="inlineStr">
        <is>
          <t>2025-1</t>
        </is>
      </c>
      <c r="J1219" s="5" t="n">
        <v>80</v>
      </c>
      <c r="K1219" s="5" t="n">
        <v>100</v>
      </c>
      <c r="L1219" s="14" t="n">
        <v>1.25</v>
      </c>
      <c r="M1219" s="14" t="n">
        <v>1.25</v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241-2025-03-31</t>
        </is>
      </c>
    </row>
    <row r="1220" hidden="1">
      <c r="A1220" s="21" t="n">
        <v>241</v>
      </c>
      <c r="B1220" s="5" t="inlineStr">
        <is>
          <t>Cumplimiento de gestión de proyectos fase inicio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09" t="n">
        <v>45777</v>
      </c>
      <c r="G1220" s="5" t="n">
        <v>2025</v>
      </c>
      <c r="H1220" s="5" t="inlineStr">
        <is>
          <t>Abril</t>
        </is>
      </c>
      <c r="I1220" s="6" t="inlineStr">
        <is>
          <t>2025-1</t>
        </is>
      </c>
      <c r="J1220" s="5" t="n">
        <v>80</v>
      </c>
      <c r="K1220" s="10" t="n">
        <v>100</v>
      </c>
      <c r="L1220" s="14" t="n">
        <v>1.25</v>
      </c>
      <c r="M1220" s="14" t="n">
        <v>1.25</v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241-2025-04-30</t>
        </is>
      </c>
    </row>
    <row r="1221" hidden="1">
      <c r="A1221" s="26" t="n">
        <v>241</v>
      </c>
      <c r="B1221" s="5" t="inlineStr">
        <is>
          <t>Cumplimiento de gestión de proyectos fase inicio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09" t="n">
        <v>45808</v>
      </c>
      <c r="G1221" s="5" t="n">
        <v>2025</v>
      </c>
      <c r="H1221" s="5" t="inlineStr">
        <is>
          <t>Mayo</t>
        </is>
      </c>
      <c r="I1221" s="6" t="inlineStr">
        <is>
          <t>2025-1</t>
        </is>
      </c>
      <c r="J1221" s="5" t="n">
        <v>80</v>
      </c>
      <c r="K1221" s="9" t="n">
        <v>100</v>
      </c>
      <c r="L1221" s="14" t="n">
        <v>1.25</v>
      </c>
      <c r="M1221" s="14" t="n">
        <v>1.25</v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241-2025-05-31</t>
        </is>
      </c>
    </row>
    <row r="1222" hidden="1">
      <c r="A1222" s="5" t="n">
        <v>241</v>
      </c>
      <c r="B1222" s="5" t="inlineStr">
        <is>
          <t>Cumplimiento de gestión de proyectos fase inicio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Positivo</t>
        </is>
      </c>
      <c r="F1222" s="109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80</v>
      </c>
      <c r="K1222" s="5" t="n">
        <v>100</v>
      </c>
      <c r="L1222" s="14" t="n">
        <v>1.25</v>
      </c>
      <c r="M1222" s="14" t="n">
        <v>1.25</v>
      </c>
      <c r="N1222" s="5" t="inlineStr">
        <is>
          <t>%</t>
        </is>
      </c>
      <c r="O1222" s="5" t="inlineStr">
        <is>
          <t>%</t>
        </is>
      </c>
      <c r="P1222" s="5" t="n">
        <v>0</v>
      </c>
      <c r="Q1222" s="5" t="n">
        <v>0</v>
      </c>
      <c r="R1222" s="5" t="inlineStr">
        <is>
          <t>241-2025-06-30</t>
        </is>
      </c>
    </row>
    <row r="1223" hidden="1">
      <c r="A1223" s="21" t="n">
        <v>241</v>
      </c>
      <c r="B1223" s="5" t="inlineStr">
        <is>
          <t>Cumplimiento de gestión de proyectos fase inicio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Positivo</t>
        </is>
      </c>
      <c r="F1223" s="108" t="n">
        <v>45869</v>
      </c>
      <c r="G1223" s="5" t="n">
        <v>2025</v>
      </c>
      <c r="H1223" s="5" t="inlineStr">
        <is>
          <t>Julio</t>
        </is>
      </c>
      <c r="I1223" s="6" t="inlineStr">
        <is>
          <t>2025-2</t>
        </is>
      </c>
      <c r="J1223" s="5" t="n">
        <v>80</v>
      </c>
      <c r="K1223" s="9" t="n">
        <v>100</v>
      </c>
      <c r="L1223" s="14" t="n">
        <v>1.25</v>
      </c>
      <c r="M1223" s="14" t="n">
        <v>1.25</v>
      </c>
      <c r="N1223" s="5" t="inlineStr">
        <is>
          <t>%</t>
        </is>
      </c>
      <c r="O1223" s="5" t="inlineStr">
        <is>
          <t>%</t>
        </is>
      </c>
      <c r="P1223" s="15" t="n">
        <v>0</v>
      </c>
      <c r="Q1223" s="15" t="n">
        <v>0</v>
      </c>
      <c r="R1223" s="5" t="inlineStr">
        <is>
          <t>241-2025-07-31</t>
        </is>
      </c>
    </row>
    <row r="1224" hidden="1">
      <c r="A1224" s="26" t="n">
        <v>241</v>
      </c>
      <c r="B1224" s="5" t="inlineStr">
        <is>
          <t>Cumplimiento de gestión de proyectos fase inicio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Positivo</t>
        </is>
      </c>
      <c r="F1224" s="109" t="n">
        <v>45900</v>
      </c>
      <c r="G1224" s="5" t="n">
        <v>2025</v>
      </c>
      <c r="H1224" s="5" t="inlineStr">
        <is>
          <t>Agosto</t>
        </is>
      </c>
      <c r="I1224" s="6" t="inlineStr">
        <is>
          <t>2025-2</t>
        </is>
      </c>
      <c r="J1224" s="5" t="n">
        <v>80</v>
      </c>
      <c r="K1224" s="9" t="n">
        <v>100</v>
      </c>
      <c r="L1224" s="14" t="n">
        <v>1.25</v>
      </c>
      <c r="M1224" s="14" t="n">
        <v>1.25</v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241-2025-08-31</t>
        </is>
      </c>
    </row>
    <row r="1225" hidden="1">
      <c r="A1225" s="5" t="n">
        <v>241</v>
      </c>
      <c r="B1225" s="5" t="inlineStr">
        <is>
          <t>Cumplimiento de gestión de proyectos fase inicio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Positivo</t>
        </is>
      </c>
      <c r="F1225" s="109" t="n">
        <v>45930</v>
      </c>
      <c r="G1225" s="5" t="n">
        <v>2025</v>
      </c>
      <c r="H1225" s="5" t="inlineStr">
        <is>
          <t>Septiembre</t>
        </is>
      </c>
      <c r="I1225" s="6" t="inlineStr">
        <is>
          <t>2025-2</t>
        </is>
      </c>
      <c r="J1225" s="5" t="n">
        <v>80</v>
      </c>
      <c r="K1225" s="5" t="n">
        <v>100</v>
      </c>
      <c r="L1225" s="14" t="n">
        <v>1.25</v>
      </c>
      <c r="M1225" s="14" t="n">
        <v>1.25</v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241-2025-09-30</t>
        </is>
      </c>
    </row>
    <row r="1226" hidden="1">
      <c r="A1226" s="21" t="n">
        <v>241</v>
      </c>
      <c r="B1226" s="5" t="inlineStr">
        <is>
          <t>Cumplimiento de gestión de proyectos fase inicio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Positivo</t>
        </is>
      </c>
      <c r="F1226" s="109" t="n">
        <v>45961</v>
      </c>
      <c r="G1226" s="5" t="n">
        <v>2025</v>
      </c>
      <c r="H1226" s="5" t="inlineStr">
        <is>
          <t>Octubre</t>
        </is>
      </c>
      <c r="I1226" s="6" t="inlineStr">
        <is>
          <t>2025-2</t>
        </is>
      </c>
      <c r="J1226" s="5" t="n">
        <v>80</v>
      </c>
      <c r="K1226" s="10" t="n">
        <v>100</v>
      </c>
      <c r="L1226" s="14" t="n">
        <v>1.25</v>
      </c>
      <c r="M1226" s="14" t="n">
        <v>1.25</v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241-2025-10-31</t>
        </is>
      </c>
    </row>
    <row r="1227" hidden="1">
      <c r="A1227" s="21" t="n">
        <v>241</v>
      </c>
      <c r="B1227" s="5" t="inlineStr">
        <is>
          <t>Cumplimiento de gestión de proyectos fase inicio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Positivo</t>
        </is>
      </c>
      <c r="F1227" s="108" t="n">
        <v>45991</v>
      </c>
      <c r="G1227" s="5" t="n">
        <v>2025</v>
      </c>
      <c r="H1227" s="5" t="inlineStr">
        <is>
          <t>Noviembre</t>
        </is>
      </c>
      <c r="I1227" s="6" t="inlineStr">
        <is>
          <t>2025-2</t>
        </is>
      </c>
      <c r="J1227" s="5" t="n">
        <v>80</v>
      </c>
      <c r="K1227" s="9" t="n">
        <v>100</v>
      </c>
      <c r="L1227" s="14" t="n">
        <v>1.25</v>
      </c>
      <c r="M1227" s="14" t="n">
        <v>1.25</v>
      </c>
      <c r="N1227" s="11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241-2025-11-30</t>
        </is>
      </c>
    </row>
    <row r="1228" hidden="1">
      <c r="A1228" s="26" t="n">
        <v>241</v>
      </c>
      <c r="B1228" s="5" t="inlineStr">
        <is>
          <t>Cumplimiento de gestión de proyectos fase inicio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Positivo</t>
        </is>
      </c>
      <c r="F1228" s="109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80</v>
      </c>
      <c r="K1228" s="9" t="n">
        <v>91.67</v>
      </c>
      <c r="L1228" s="14" t="n">
        <v>1.145875</v>
      </c>
      <c r="M1228" s="14" t="n">
        <v>1.145875</v>
      </c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241-2025-12-31</t>
        </is>
      </c>
      <c r="S1228" s="86" t="n"/>
    </row>
    <row r="1229" hidden="1">
      <c r="A1229" s="5" t="n">
        <v>241</v>
      </c>
      <c r="B1229" s="5" t="inlineStr">
        <is>
          <t>Cumplimiento de gestión de proyectos fase inicio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Positivo</t>
        </is>
      </c>
      <c r="F1229" s="109" t="n">
        <v>46053</v>
      </c>
      <c r="G1229" s="5" t="n">
        <v>2026</v>
      </c>
      <c r="H1229" s="5" t="inlineStr">
        <is>
          <t>Enero</t>
        </is>
      </c>
      <c r="I1229" s="6" t="inlineStr">
        <is>
          <t>2026-1</t>
        </is>
      </c>
      <c r="J1229" s="5" t="n">
        <v>80</v>
      </c>
      <c r="K1229" s="5" t="n">
        <v>90</v>
      </c>
      <c r="L1229" s="14" t="n">
        <v>1.125</v>
      </c>
      <c r="M1229" s="14" t="n">
        <v>1.125</v>
      </c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241-2026-01-31</t>
        </is>
      </c>
    </row>
    <row r="1230" hidden="1">
      <c r="A1230" s="21" t="n">
        <v>241</v>
      </c>
      <c r="B1230" s="5" t="inlineStr">
        <is>
          <t>Cumplimiento de gestión de proyectos fase inicio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Positivo</t>
        </is>
      </c>
      <c r="F1230" s="109" t="n">
        <v>46081</v>
      </c>
      <c r="G1230" s="5" t="n">
        <v>2026</v>
      </c>
      <c r="H1230" s="5" t="inlineStr">
        <is>
          <t>Febrero</t>
        </is>
      </c>
      <c r="I1230" s="6" t="inlineStr">
        <is>
          <t>2026-1</t>
        </is>
      </c>
      <c r="J1230" s="5" t="n">
        <v>80</v>
      </c>
      <c r="K1230" s="10" t="n">
        <v>100</v>
      </c>
      <c r="L1230" s="14" t="n">
        <v>1.25</v>
      </c>
      <c r="M1230" s="14" t="n">
        <v>1.25</v>
      </c>
      <c r="N1230" s="5" t="inlineStr">
        <is>
          <t>%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241-2026-02-28</t>
        </is>
      </c>
    </row>
    <row r="1231" hidden="1">
      <c r="A1231" s="21" t="n">
        <v>241</v>
      </c>
      <c r="B1231" s="5" t="inlineStr">
        <is>
          <t>Cumplimiento de gestión de proyectos fase inicio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Positivo</t>
        </is>
      </c>
      <c r="F1231" s="108" t="n">
        <v>46112</v>
      </c>
      <c r="G1231" s="5" t="n">
        <v>2026</v>
      </c>
      <c r="H1231" s="5" t="inlineStr">
        <is>
          <t>Marzo</t>
        </is>
      </c>
      <c r="I1231" s="6" t="inlineStr">
        <is>
          <t>2026-1</t>
        </is>
      </c>
      <c r="J1231" s="5" t="n">
        <v>80</v>
      </c>
      <c r="K1231" s="9" t="n">
        <v>90.91</v>
      </c>
      <c r="L1231" s="14" t="n">
        <v>1.136375</v>
      </c>
      <c r="M1231" s="14" t="n">
        <v>1.136375</v>
      </c>
      <c r="N1231" s="5" t="inlineStr">
        <is>
          <t>%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241-2026-03-31</t>
        </is>
      </c>
    </row>
    <row r="1232" hidden="1">
      <c r="A1232" s="5" t="n">
        <v>241</v>
      </c>
      <c r="B1232" s="5" t="inlineStr">
        <is>
          <t>Cumplimiento de gestión de proyectos fase inicio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Positivo</t>
        </is>
      </c>
      <c r="F1232" s="109" t="n">
        <v>46142</v>
      </c>
      <c r="G1232" s="5" t="n">
        <v>2026</v>
      </c>
      <c r="H1232" s="5" t="inlineStr">
        <is>
          <t>Abril</t>
        </is>
      </c>
      <c r="I1232" s="6" t="inlineStr">
        <is>
          <t>2026-1</t>
        </is>
      </c>
      <c r="J1232" s="5" t="n">
        <v>80</v>
      </c>
      <c r="K1232" s="9" t="n">
        <v>100</v>
      </c>
      <c r="L1232" s="14" t="n">
        <v>1.25</v>
      </c>
      <c r="M1232" s="14" t="n">
        <v>1.25</v>
      </c>
      <c r="N1232" s="5" t="inlineStr">
        <is>
          <t>%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241-2026-04-30</t>
        </is>
      </c>
      <c r="S1232" s="86" t="inlineStr"/>
    </row>
    <row r="1233" hidden="1">
      <c r="A1233" s="5" t="n">
        <v>242</v>
      </c>
      <c r="B1233" s="5" t="inlineStr">
        <is>
          <t>Cumplimiento a cronograma de proyectos 2023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Positivo</t>
        </is>
      </c>
      <c r="F1233" s="109" t="n">
        <v>44957</v>
      </c>
      <c r="G1233" s="5" t="n">
        <v>2023</v>
      </c>
      <c r="H1233" s="5" t="inlineStr">
        <is>
          <t>Enero</t>
        </is>
      </c>
      <c r="I1233" s="6" t="inlineStr">
        <is>
          <t>2023-1</t>
        </is>
      </c>
      <c r="J1233" s="5" t="n">
        <v>95</v>
      </c>
      <c r="K1233" s="5" t="n">
        <v>100.966183574879</v>
      </c>
      <c r="L1233" s="14" t="n">
        <v>1.062801932367147</v>
      </c>
      <c r="M1233" s="14" t="n">
        <v>1.062801932367147</v>
      </c>
      <c r="N1233" s="5" t="inlineStr">
        <is>
          <t>%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242-2023-01-31</t>
        </is>
      </c>
    </row>
    <row r="1234" hidden="1">
      <c r="A1234" s="21" t="n">
        <v>242</v>
      </c>
      <c r="B1234" s="5" t="inlineStr">
        <is>
          <t>Cumplimiento a cronograma de proyectos 2023</t>
        </is>
      </c>
      <c r="C1234" s="5" t="inlineStr">
        <is>
          <t>Gestión de Proyectos</t>
        </is>
      </c>
      <c r="D1234" s="5" t="inlineStr">
        <is>
          <t>Mensual</t>
        </is>
      </c>
      <c r="E1234" s="5" t="inlineStr">
        <is>
          <t>Positivo</t>
        </is>
      </c>
      <c r="F1234" s="109" t="n">
        <v>44985</v>
      </c>
      <c r="G1234" s="5" t="n">
        <v>2023</v>
      </c>
      <c r="H1234" s="5" t="inlineStr">
        <is>
          <t>Febrero</t>
        </is>
      </c>
      <c r="I1234" s="6" t="inlineStr">
        <is>
          <t>2023-1</t>
        </is>
      </c>
      <c r="J1234" s="5" t="n">
        <v>95</v>
      </c>
      <c r="K1234" s="10" t="n">
        <v>88.27586206896549</v>
      </c>
      <c r="L1234" s="14" t="n">
        <v>0.9292196007259526</v>
      </c>
      <c r="M1234" s="14" t="n">
        <v>0.9292196007259526</v>
      </c>
      <c r="N1234" s="5" t="inlineStr">
        <is>
          <t>%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242-2023-02-28</t>
        </is>
      </c>
    </row>
    <row r="1235" hidden="1">
      <c r="A1235" s="58" t="n">
        <v>242</v>
      </c>
      <c r="B1235" s="87" t="inlineStr">
        <is>
          <t>Cumplimiento a cronograma de proyectos 2023</t>
        </is>
      </c>
      <c r="C1235" s="87" t="inlineStr">
        <is>
          <t>Gestión de Proyectos</t>
        </is>
      </c>
      <c r="D1235" s="87" t="inlineStr">
        <is>
          <t>Mensual</t>
        </is>
      </c>
      <c r="E1235" s="87" t="inlineStr">
        <is>
          <t>Positivo</t>
        </is>
      </c>
      <c r="F1235" s="112" t="n">
        <v>45016</v>
      </c>
      <c r="G1235" s="87" t="n">
        <v>2023</v>
      </c>
      <c r="H1235" s="87" t="inlineStr">
        <is>
          <t>Marzo</t>
        </is>
      </c>
      <c r="I1235" s="56" t="inlineStr">
        <is>
          <t>2023-1</t>
        </is>
      </c>
      <c r="J1235" s="87" t="n">
        <v>95</v>
      </c>
      <c r="K1235" s="59" t="n">
        <v>112.671232876712</v>
      </c>
      <c r="L1235" s="14" t="n">
        <v>1.1860129776496</v>
      </c>
      <c r="M1235" s="55" t="n">
        <v>1.1860129776496</v>
      </c>
      <c r="N1235" s="87" t="inlineStr">
        <is>
          <t>%</t>
        </is>
      </c>
      <c r="O1235" s="87" t="inlineStr">
        <is>
          <t>%</t>
        </is>
      </c>
      <c r="P1235" s="57" t="n">
        <v>0</v>
      </c>
      <c r="Q1235" s="57" t="n">
        <v>0</v>
      </c>
      <c r="R1235" s="87" t="inlineStr">
        <is>
          <t>242-2023-03-31</t>
        </is>
      </c>
    </row>
    <row r="1236" hidden="1">
      <c r="A1236" s="5" t="n">
        <v>242</v>
      </c>
      <c r="B1236" s="5" t="inlineStr">
        <is>
          <t>Cumplimiento a cronograma de proyectos 2023</t>
        </is>
      </c>
      <c r="C1236" s="5" t="inlineStr">
        <is>
          <t>Gestión de Proyectos</t>
        </is>
      </c>
      <c r="D1236" s="5" t="inlineStr">
        <is>
          <t>Mensual</t>
        </is>
      </c>
      <c r="E1236" s="5" t="inlineStr">
        <is>
          <t>Positivo</t>
        </is>
      </c>
      <c r="F1236" s="109" t="n">
        <v>45046</v>
      </c>
      <c r="G1236" s="5" t="n">
        <v>2023</v>
      </c>
      <c r="H1236" s="5" t="inlineStr">
        <is>
          <t>Abril</t>
        </is>
      </c>
      <c r="I1236" s="6" t="inlineStr">
        <is>
          <t>2023-1</t>
        </is>
      </c>
      <c r="J1236" s="5" t="n">
        <v>95</v>
      </c>
      <c r="K1236" s="9" t="n">
        <v>94.90445859872609</v>
      </c>
      <c r="L1236" s="14" t="n">
        <v>0.998994301039222</v>
      </c>
      <c r="M1236" s="55" t="n">
        <v>0.998994301039222</v>
      </c>
      <c r="N1236" s="5" t="inlineStr">
        <is>
          <t>%</t>
        </is>
      </c>
      <c r="O1236" s="5" t="inlineStr">
        <is>
          <t>%</t>
        </is>
      </c>
      <c r="P1236" s="15" t="n">
        <v>0</v>
      </c>
      <c r="Q1236" s="15" t="n">
        <v>0</v>
      </c>
      <c r="R1236" s="5" t="inlineStr">
        <is>
          <t>242-2023-04-30</t>
        </is>
      </c>
    </row>
    <row r="1237" hidden="1">
      <c r="A1237" s="5" t="n">
        <v>242</v>
      </c>
      <c r="B1237" s="5" t="inlineStr">
        <is>
          <t>Cumplimiento a cronograma de proyectos 2023</t>
        </is>
      </c>
      <c r="C1237" s="5" t="inlineStr">
        <is>
          <t>Gestión de Proyectos</t>
        </is>
      </c>
      <c r="D1237" s="5" t="inlineStr">
        <is>
          <t>Mensual</t>
        </is>
      </c>
      <c r="E1237" s="5" t="inlineStr">
        <is>
          <t>Positivo</t>
        </is>
      </c>
      <c r="F1237" s="109" t="n">
        <v>45077</v>
      </c>
      <c r="G1237" s="5" t="n">
        <v>2023</v>
      </c>
      <c r="H1237" s="5" t="inlineStr">
        <is>
          <t>Mayo</t>
        </is>
      </c>
      <c r="I1237" s="6" t="inlineStr">
        <is>
          <t>2023-1</t>
        </is>
      </c>
      <c r="J1237" s="5" t="n">
        <v>95</v>
      </c>
      <c r="K1237" s="5" t="n">
        <v>94.39102564102561</v>
      </c>
      <c r="L1237" s="14" t="n">
        <v>0.9935897435897433</v>
      </c>
      <c r="M1237" s="55" t="n">
        <v>0.9935897435897433</v>
      </c>
      <c r="N1237" s="5" t="inlineStr">
        <is>
          <t>%</t>
        </is>
      </c>
      <c r="O1237" s="5" t="inlineStr">
        <is>
          <t>%</t>
        </is>
      </c>
      <c r="P1237" s="5" t="n">
        <v>0</v>
      </c>
      <c r="Q1237" s="5" t="n">
        <v>0</v>
      </c>
      <c r="R1237" s="5" t="inlineStr">
        <is>
          <t>242-2023-05-31</t>
        </is>
      </c>
    </row>
    <row r="1238" hidden="1">
      <c r="A1238" s="21" t="n">
        <v>242</v>
      </c>
      <c r="B1238" s="5" t="inlineStr">
        <is>
          <t>Cumplimiento a cronograma de proyectos 2023</t>
        </is>
      </c>
      <c r="C1238" s="5" t="inlineStr">
        <is>
          <t>Gestión de Proyectos</t>
        </is>
      </c>
      <c r="D1238" s="5" t="inlineStr">
        <is>
          <t>Mensual</t>
        </is>
      </c>
      <c r="E1238" s="5" t="inlineStr">
        <is>
          <t>Positivo</t>
        </is>
      </c>
      <c r="F1238" s="109" t="n">
        <v>45107</v>
      </c>
      <c r="G1238" s="5" t="n">
        <v>2023</v>
      </c>
      <c r="H1238" s="5" t="inlineStr">
        <is>
          <t>Junio</t>
        </is>
      </c>
      <c r="I1238" s="6" t="inlineStr">
        <is>
          <t>2023-1</t>
        </is>
      </c>
      <c r="J1238" s="5" t="n">
        <v>95</v>
      </c>
      <c r="K1238" s="10" t="n">
        <v>94.85488126649081</v>
      </c>
      <c r="L1238" s="14" t="n">
        <v>0.9984724343841137</v>
      </c>
      <c r="M1238" s="55" t="n">
        <v>0.9984724343841137</v>
      </c>
      <c r="N1238" s="5" t="inlineStr">
        <is>
          <t>%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242-2023-06-30</t>
        </is>
      </c>
    </row>
    <row r="1239" hidden="1">
      <c r="A1239" s="21" t="n">
        <v>242</v>
      </c>
      <c r="B1239" s="5" t="inlineStr">
        <is>
          <t>Cumplimiento a cronograma de proyectos 2023</t>
        </is>
      </c>
      <c r="C1239" s="5" t="inlineStr">
        <is>
          <t>Gestión de Proyectos</t>
        </is>
      </c>
      <c r="D1239" s="5" t="inlineStr">
        <is>
          <t>Mensual</t>
        </is>
      </c>
      <c r="E1239" s="5" t="inlineStr">
        <is>
          <t>Positivo</t>
        </is>
      </c>
      <c r="F1239" s="108" t="n">
        <v>45138</v>
      </c>
      <c r="G1239" s="5" t="n">
        <v>2023</v>
      </c>
      <c r="H1239" s="5" t="inlineStr">
        <is>
          <t>Julio</t>
        </is>
      </c>
      <c r="I1239" s="6" t="inlineStr">
        <is>
          <t>2023-2</t>
        </is>
      </c>
      <c r="J1239" s="5" t="n">
        <v>95</v>
      </c>
      <c r="K1239" s="9" t="n">
        <v>91.89</v>
      </c>
      <c r="L1239" s="14" t="n">
        <v>0.9672631578947368</v>
      </c>
      <c r="M1239" s="14" t="n">
        <v>0.9672631578947368</v>
      </c>
      <c r="N1239" s="5" t="inlineStr">
        <is>
          <t>%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242-2023-07-31</t>
        </is>
      </c>
    </row>
    <row r="1240" hidden="1">
      <c r="A1240" s="26" t="n">
        <v>242</v>
      </c>
      <c r="B1240" s="5" t="inlineStr">
        <is>
          <t>Cumplimiento a cronograma de proyectos 2023</t>
        </is>
      </c>
      <c r="C1240" s="5" t="inlineStr">
        <is>
          <t>Gestión de Proyectos</t>
        </is>
      </c>
      <c r="D1240" s="5" t="inlineStr">
        <is>
          <t>Mensual</t>
        </is>
      </c>
      <c r="E1240" s="5" t="inlineStr">
        <is>
          <t>Positivo</t>
        </is>
      </c>
      <c r="F1240" s="109" t="n">
        <v>45169</v>
      </c>
      <c r="G1240" s="5" t="n">
        <v>2023</v>
      </c>
      <c r="H1240" s="5" t="inlineStr">
        <is>
          <t>Agosto</t>
        </is>
      </c>
      <c r="I1240" s="6" t="inlineStr">
        <is>
          <t>2023-2</t>
        </is>
      </c>
      <c r="J1240" s="5" t="n">
        <v>95</v>
      </c>
      <c r="K1240" s="9" t="n">
        <v>95.48999999999999</v>
      </c>
      <c r="L1240" s="14" t="n">
        <v>1.005157894736842</v>
      </c>
      <c r="M1240" s="14" t="n">
        <v>1.005157894736842</v>
      </c>
      <c r="N1240" s="5" t="inlineStr">
        <is>
          <t>%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242-2023-08-31</t>
        </is>
      </c>
    </row>
    <row r="1241" hidden="1">
      <c r="A1241" s="5" t="n">
        <v>242</v>
      </c>
      <c r="B1241" s="5" t="inlineStr">
        <is>
          <t>Cumplimiento a cronograma de proyectos 2023</t>
        </is>
      </c>
      <c r="C1241" s="5" t="inlineStr">
        <is>
          <t>Gestión de Proyectos</t>
        </is>
      </c>
      <c r="D1241" s="5" t="inlineStr">
        <is>
          <t>Mensual</t>
        </is>
      </c>
      <c r="E1241" s="5" t="inlineStr">
        <is>
          <t>Positivo</t>
        </is>
      </c>
      <c r="F1241" s="109" t="n">
        <v>45199</v>
      </c>
      <c r="G1241" s="5" t="n">
        <v>2023</v>
      </c>
      <c r="H1241" s="5" t="inlineStr">
        <is>
          <t>Septiembre</t>
        </is>
      </c>
      <c r="I1241" s="6" t="inlineStr">
        <is>
          <t>2023-2</t>
        </is>
      </c>
      <c r="J1241" s="5" t="n">
        <v>95</v>
      </c>
      <c r="K1241" s="5" t="n">
        <v>97.20999999999999</v>
      </c>
      <c r="L1241" s="14" t="n">
        <v>1.023263157894737</v>
      </c>
      <c r="M1241" s="14" t="n">
        <v>1.023263157894737</v>
      </c>
      <c r="N1241" s="5" t="inlineStr">
        <is>
          <t>%</t>
        </is>
      </c>
      <c r="O1241" s="5" t="inlineStr">
        <is>
          <t>%</t>
        </is>
      </c>
      <c r="P1241" s="5" t="n">
        <v>0</v>
      </c>
      <c r="Q1241" s="5" t="n">
        <v>0</v>
      </c>
      <c r="R1241" s="5" t="inlineStr">
        <is>
          <t>242-2023-09-30</t>
        </is>
      </c>
    </row>
    <row r="1242" hidden="1">
      <c r="A1242" s="21" t="n">
        <v>242</v>
      </c>
      <c r="B1242" s="5" t="inlineStr">
        <is>
          <t>Cumplimiento a cronograma de proyectos 2023</t>
        </is>
      </c>
      <c r="C1242" s="5" t="inlineStr">
        <is>
          <t>Gestión de Proyectos</t>
        </is>
      </c>
      <c r="D1242" s="5" t="inlineStr">
        <is>
          <t>Mensual</t>
        </is>
      </c>
      <c r="E1242" s="5" t="inlineStr">
        <is>
          <t>Positivo</t>
        </is>
      </c>
      <c r="F1242" s="109" t="n">
        <v>45230</v>
      </c>
      <c r="G1242" s="5" t="n">
        <v>2023</v>
      </c>
      <c r="H1242" s="5" t="inlineStr">
        <is>
          <t>Octubre</t>
        </is>
      </c>
      <c r="I1242" s="6" t="inlineStr">
        <is>
          <t>2023-2</t>
        </is>
      </c>
      <c r="J1242" s="5" t="n">
        <v>95</v>
      </c>
      <c r="K1242" s="10" t="n">
        <v>94.14</v>
      </c>
      <c r="L1242" s="14" t="n">
        <v>0.9909473684210527</v>
      </c>
      <c r="M1242" s="14" t="n">
        <v>0.9909473684210527</v>
      </c>
      <c r="N1242" s="5" t="inlineStr">
        <is>
          <t>%</t>
        </is>
      </c>
      <c r="O1242" s="5" t="inlineStr">
        <is>
          <t>%</t>
        </is>
      </c>
      <c r="P1242" s="15" t="n">
        <v>0</v>
      </c>
      <c r="Q1242" s="15" t="n">
        <v>0</v>
      </c>
      <c r="R1242" s="5" t="inlineStr">
        <is>
          <t>242-2023-10-31</t>
        </is>
      </c>
    </row>
    <row r="1243" hidden="1">
      <c r="A1243" s="26" t="n">
        <v>242</v>
      </c>
      <c r="B1243" s="5" t="inlineStr">
        <is>
          <t>Cumplimiento a cronograma de proyectos 2023</t>
        </is>
      </c>
      <c r="C1243" s="5" t="inlineStr">
        <is>
          <t>Gestión de Proyectos</t>
        </is>
      </c>
      <c r="D1243" s="5" t="inlineStr">
        <is>
          <t>Mensual</t>
        </is>
      </c>
      <c r="E1243" s="5" t="inlineStr">
        <is>
          <t>Positivo</t>
        </is>
      </c>
      <c r="F1243" s="109" t="n">
        <v>45260</v>
      </c>
      <c r="G1243" s="5" t="n">
        <v>2023</v>
      </c>
      <c r="H1243" s="5" t="inlineStr">
        <is>
          <t>Noviembre</t>
        </is>
      </c>
      <c r="I1243" s="6" t="inlineStr">
        <is>
          <t>2023-2</t>
        </is>
      </c>
      <c r="J1243" s="5" t="n">
        <v>95</v>
      </c>
      <c r="K1243" s="9" t="n">
        <v>92.75</v>
      </c>
      <c r="L1243" s="14" t="n">
        <v>0.9763157894736842</v>
      </c>
      <c r="M1243" s="14" t="n">
        <v>0.9763157894736842</v>
      </c>
      <c r="N1243" s="5" t="inlineStr">
        <is>
          <t>%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242-2023-11-30</t>
        </is>
      </c>
    </row>
    <row r="1244" hidden="1">
      <c r="A1244" s="21" t="n">
        <v>242</v>
      </c>
      <c r="B1244" s="5" t="inlineStr">
        <is>
          <t>Cumplimiento a cronograma de proyectos 2023</t>
        </is>
      </c>
      <c r="C1244" s="5" t="inlineStr">
        <is>
          <t>Gestión de Proyectos</t>
        </is>
      </c>
      <c r="D1244" s="5" t="inlineStr">
        <is>
          <t>Mensual</t>
        </is>
      </c>
      <c r="E1244" s="5" t="inlineStr">
        <is>
          <t>Positivo</t>
        </is>
      </c>
      <c r="F1244" s="109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95</v>
      </c>
      <c r="K1244" s="10" t="n">
        <v>95.36</v>
      </c>
      <c r="L1244" s="14" t="n">
        <v>1.003789473684211</v>
      </c>
      <c r="M1244" s="14" t="n">
        <v>1.003789473684211</v>
      </c>
      <c r="N1244" s="5" t="inlineStr">
        <is>
          <t>%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242-2023-12-31</t>
        </is>
      </c>
    </row>
    <row r="1245" hidden="1">
      <c r="A1245" s="21" t="n">
        <v>243</v>
      </c>
      <c r="B1245" s="5" t="inlineStr">
        <is>
          <t>Cumplimiento de gestión de proyectos control de cambios</t>
        </is>
      </c>
      <c r="C1245" s="5" t="inlineStr">
        <is>
          <t>Gestión de Proyectos</t>
        </is>
      </c>
      <c r="D1245" s="5" t="inlineStr">
        <is>
          <t>Mensual</t>
        </is>
      </c>
      <c r="E1245" s="5" t="inlineStr">
        <is>
          <t>Negativo</t>
        </is>
      </c>
      <c r="F1245" s="108" t="n">
        <v>44957</v>
      </c>
      <c r="G1245" s="5" t="n">
        <v>2023</v>
      </c>
      <c r="H1245" s="5" t="inlineStr">
        <is>
          <t>Enero</t>
        </is>
      </c>
      <c r="I1245" s="6" t="inlineStr">
        <is>
          <t>2023-1</t>
        </is>
      </c>
      <c r="J1245" s="5" t="n">
        <v>0</v>
      </c>
      <c r="K1245" s="9" t="n">
        <v>0</v>
      </c>
      <c r="L1245" s="14" t="n">
        <v>1</v>
      </c>
      <c r="M1245" s="14" t="n">
        <v>1</v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243-2023-01-31</t>
        </is>
      </c>
    </row>
    <row r="1246" hidden="1">
      <c r="A1246" s="26" t="n">
        <v>243</v>
      </c>
      <c r="B1246" s="5" t="inlineStr">
        <is>
          <t>Cumplimiento de gestión de proyectos control de cambios</t>
        </is>
      </c>
      <c r="C1246" s="5" t="inlineStr">
        <is>
          <t>Gestión de Proyectos</t>
        </is>
      </c>
      <c r="D1246" s="5" t="inlineStr">
        <is>
          <t>Mensual</t>
        </is>
      </c>
      <c r="E1246" s="5" t="inlineStr">
        <is>
          <t>Negativo</t>
        </is>
      </c>
      <c r="F1246" s="109" t="n">
        <v>44985</v>
      </c>
      <c r="G1246" s="5" t="n">
        <v>2023</v>
      </c>
      <c r="H1246" s="5" t="inlineStr">
        <is>
          <t>Febrero</t>
        </is>
      </c>
      <c r="I1246" s="6" t="inlineStr">
        <is>
          <t>2023-1</t>
        </is>
      </c>
      <c r="J1246" s="5" t="n">
        <v>0</v>
      </c>
      <c r="K1246" s="9" t="n">
        <v>0</v>
      </c>
      <c r="L1246" s="14" t="n">
        <v>1</v>
      </c>
      <c r="M1246" s="14" t="n">
        <v>1</v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243-2023-02-28</t>
        </is>
      </c>
    </row>
    <row r="1247" hidden="1">
      <c r="A1247" s="21" t="n">
        <v>243</v>
      </c>
      <c r="B1247" s="5" t="inlineStr">
        <is>
          <t>Cumplimiento de gestión de proyectos control de cambios</t>
        </is>
      </c>
      <c r="C1247" s="5" t="inlineStr">
        <is>
          <t>Gestión de Proyectos</t>
        </is>
      </c>
      <c r="D1247" s="5" t="inlineStr">
        <is>
          <t>Mensual</t>
        </is>
      </c>
      <c r="E1247" s="5" t="inlineStr">
        <is>
          <t>Negativo</t>
        </is>
      </c>
      <c r="F1247" s="109" t="n">
        <v>45016</v>
      </c>
      <c r="G1247" s="5" t="n">
        <v>2023</v>
      </c>
      <c r="H1247" s="5" t="inlineStr">
        <is>
          <t>Marzo</t>
        </is>
      </c>
      <c r="I1247" s="6" t="inlineStr">
        <is>
          <t>2023-1</t>
        </is>
      </c>
      <c r="J1247" s="5" t="n">
        <v>0</v>
      </c>
      <c r="K1247" s="10" t="n">
        <v>0</v>
      </c>
      <c r="L1247" s="14" t="n">
        <v>1</v>
      </c>
      <c r="M1247" s="14" t="n">
        <v>1</v>
      </c>
      <c r="N1247" s="5" t="inlineStr">
        <is>
          <t>%</t>
        </is>
      </c>
      <c r="O1247" s="5" t="inlineStr">
        <is>
          <t>%</t>
        </is>
      </c>
      <c r="P1247" s="15" t="n">
        <v>0</v>
      </c>
      <c r="Q1247" s="15" t="n">
        <v>0</v>
      </c>
      <c r="R1247" s="5" t="inlineStr">
        <is>
          <t>243-2023-03-31</t>
        </is>
      </c>
    </row>
    <row r="1248" hidden="1">
      <c r="A1248" s="21" t="n">
        <v>243</v>
      </c>
      <c r="B1248" s="5" t="inlineStr">
        <is>
          <t>Cumplimiento de gestión de proyectos control de cambios</t>
        </is>
      </c>
      <c r="C1248" s="5" t="inlineStr">
        <is>
          <t>Gestión de Proyectos</t>
        </is>
      </c>
      <c r="D1248" s="5" t="inlineStr">
        <is>
          <t>Mensual</t>
        </is>
      </c>
      <c r="E1248" s="5" t="inlineStr">
        <is>
          <t>Negativo</t>
        </is>
      </c>
      <c r="F1248" s="108" t="n">
        <v>45046</v>
      </c>
      <c r="G1248" s="5" t="n">
        <v>2023</v>
      </c>
      <c r="H1248" s="5" t="inlineStr">
        <is>
          <t>Abril</t>
        </is>
      </c>
      <c r="I1248" s="6" t="inlineStr">
        <is>
          <t>2023-1</t>
        </is>
      </c>
      <c r="J1248" s="5" t="n">
        <v>0</v>
      </c>
      <c r="K1248" s="9" t="n">
        <v>0</v>
      </c>
      <c r="L1248" s="14" t="n">
        <v>1</v>
      </c>
      <c r="M1248" s="14" t="n">
        <v>1</v>
      </c>
      <c r="N1248" s="11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243-2023-04-30</t>
        </is>
      </c>
    </row>
    <row r="1249" hidden="1">
      <c r="A1249" s="26" t="n">
        <v>243</v>
      </c>
      <c r="B1249" s="5" t="inlineStr">
        <is>
          <t>Cumplimiento de gestión de proyectos control de cambios</t>
        </is>
      </c>
      <c r="C1249" s="5" t="inlineStr">
        <is>
          <t>Gestión de Proyectos</t>
        </is>
      </c>
      <c r="D1249" s="5" t="inlineStr">
        <is>
          <t>Mensual</t>
        </is>
      </c>
      <c r="E1249" s="5" t="inlineStr">
        <is>
          <t>Negativo</t>
        </is>
      </c>
      <c r="F1249" s="109" t="n">
        <v>45077</v>
      </c>
      <c r="G1249" s="5" t="n">
        <v>2023</v>
      </c>
      <c r="H1249" s="5" t="inlineStr">
        <is>
          <t>Mayo</t>
        </is>
      </c>
      <c r="I1249" s="6" t="inlineStr">
        <is>
          <t>2023-1</t>
        </is>
      </c>
      <c r="J1249" s="5" t="n">
        <v>0</v>
      </c>
      <c r="K1249" s="9" t="n">
        <v>0</v>
      </c>
      <c r="L1249" s="14" t="n">
        <v>1</v>
      </c>
      <c r="M1249" s="14" t="n">
        <v>1</v>
      </c>
      <c r="N1249" s="5" t="inlineStr">
        <is>
          <t>%</t>
        </is>
      </c>
      <c r="O1249" s="5" t="inlineStr">
        <is>
          <t>%</t>
        </is>
      </c>
      <c r="P1249" s="15" t="n">
        <v>0</v>
      </c>
      <c r="Q1249" s="15" t="n">
        <v>0</v>
      </c>
      <c r="R1249" s="5" t="inlineStr">
        <is>
          <t>243-2023-05-31</t>
        </is>
      </c>
    </row>
    <row r="1250" hidden="1">
      <c r="A1250" s="5" t="n">
        <v>243</v>
      </c>
      <c r="B1250" s="5" t="inlineStr">
        <is>
          <t>Cumplimiento de gestión de proyectos control de cambios</t>
        </is>
      </c>
      <c r="C1250" s="5" t="inlineStr">
        <is>
          <t>Gestión de Proyectos</t>
        </is>
      </c>
      <c r="D1250" s="5" t="inlineStr">
        <is>
          <t>Mensual</t>
        </is>
      </c>
      <c r="E1250" s="5" t="inlineStr">
        <is>
          <t>Negativo</t>
        </is>
      </c>
      <c r="F1250" s="113" t="n">
        <v>45107</v>
      </c>
      <c r="G1250" s="5" t="n">
        <v>2023</v>
      </c>
      <c r="H1250" s="5" t="inlineStr">
        <is>
          <t>Junio</t>
        </is>
      </c>
      <c r="I1250" s="6" t="inlineStr">
        <is>
          <t>2023-1</t>
        </is>
      </c>
      <c r="J1250" s="5" t="n">
        <v>0</v>
      </c>
      <c r="K1250" s="5" t="n">
        <v>8.33333333333333</v>
      </c>
      <c r="L1250" s="14" t="n"/>
      <c r="M1250" s="14" t="n"/>
      <c r="N1250" s="5" t="inlineStr">
        <is>
          <t>%</t>
        </is>
      </c>
      <c r="O1250" s="5" t="inlineStr">
        <is>
          <t>%</t>
        </is>
      </c>
      <c r="P1250" s="5" t="n">
        <v>0</v>
      </c>
      <c r="Q1250" s="5" t="n">
        <v>0</v>
      </c>
      <c r="R1250" s="5" t="inlineStr">
        <is>
          <t>243-2023-06-30</t>
        </is>
      </c>
    </row>
    <row r="1251" hidden="1">
      <c r="A1251" s="21" t="n">
        <v>243</v>
      </c>
      <c r="B1251" s="5" t="inlineStr">
        <is>
          <t>Cumplimiento de gestión de proyectos control de cambios</t>
        </is>
      </c>
      <c r="C1251" s="5" t="inlineStr">
        <is>
          <t>Gestión de Proyectos</t>
        </is>
      </c>
      <c r="D1251" s="5" t="inlineStr">
        <is>
          <t>Mensual</t>
        </is>
      </c>
      <c r="E1251" s="5" t="inlineStr">
        <is>
          <t>Negativo</t>
        </is>
      </c>
      <c r="F1251" s="113" t="n">
        <v>45138</v>
      </c>
      <c r="G1251" s="5" t="n">
        <v>2023</v>
      </c>
      <c r="H1251" s="5" t="inlineStr">
        <is>
          <t>Julio</t>
        </is>
      </c>
      <c r="I1251" s="6" t="inlineStr">
        <is>
          <t>2023-2</t>
        </is>
      </c>
      <c r="J1251" s="5" t="n">
        <v>0</v>
      </c>
      <c r="K1251" s="5" t="n">
        <v>16.666666666667</v>
      </c>
      <c r="L1251" s="14" t="n"/>
      <c r="M1251" s="14" t="n"/>
      <c r="N1251" s="5" t="inlineStr">
        <is>
          <t>%</t>
        </is>
      </c>
      <c r="O1251" s="5" t="inlineStr">
        <is>
          <t>%</t>
        </is>
      </c>
      <c r="P1251" s="15" t="n">
        <v>0</v>
      </c>
      <c r="Q1251" s="15" t="n">
        <v>0</v>
      </c>
      <c r="R1251" s="5" t="inlineStr">
        <is>
          <t>243-2023-07-31</t>
        </is>
      </c>
    </row>
    <row r="1252" hidden="1">
      <c r="A1252" s="21" t="n">
        <v>243</v>
      </c>
      <c r="B1252" s="5" t="inlineStr">
        <is>
          <t>Cumplimiento de gestión de proyectos control de cambios</t>
        </is>
      </c>
      <c r="C1252" s="5" t="inlineStr">
        <is>
          <t>Gestión de Proyectos</t>
        </is>
      </c>
      <c r="D1252" s="5" t="inlineStr">
        <is>
          <t>Mensual</t>
        </is>
      </c>
      <c r="E1252" s="5" t="inlineStr">
        <is>
          <t>Negativo</t>
        </is>
      </c>
      <c r="F1252" s="114" t="n">
        <v>45169</v>
      </c>
      <c r="G1252" s="5" t="n">
        <v>2023</v>
      </c>
      <c r="H1252" s="5" t="inlineStr">
        <is>
          <t>Agosto</t>
        </is>
      </c>
      <c r="I1252" s="6" t="inlineStr">
        <is>
          <t>2023-2</t>
        </is>
      </c>
      <c r="J1252" s="5" t="n">
        <v>0</v>
      </c>
      <c r="K1252" s="5" t="n">
        <v>9.09</v>
      </c>
      <c r="L1252" s="14" t="n"/>
      <c r="M1252" s="14" t="n"/>
      <c r="N1252" s="5" t="inlineStr">
        <is>
          <t>%</t>
        </is>
      </c>
      <c r="O1252" s="5" t="inlineStr">
        <is>
          <t>%</t>
        </is>
      </c>
      <c r="P1252" s="15" t="n">
        <v>1</v>
      </c>
      <c r="Q1252" s="15" t="n">
        <v>1</v>
      </c>
      <c r="R1252" s="5" t="inlineStr">
        <is>
          <t>243-2023-08-31</t>
        </is>
      </c>
    </row>
    <row r="1253" hidden="1">
      <c r="A1253" s="26" t="n">
        <v>243</v>
      </c>
      <c r="B1253" s="5" t="inlineStr">
        <is>
          <t>Cumplimiento de gestión de proyectos control de cambios</t>
        </is>
      </c>
      <c r="C1253" s="5" t="inlineStr">
        <is>
          <t>Gestión de Proyectos</t>
        </is>
      </c>
      <c r="D1253" s="5" t="inlineStr">
        <is>
          <t>Mensual</t>
        </is>
      </c>
      <c r="E1253" s="5" t="inlineStr">
        <is>
          <t>Negativo</t>
        </is>
      </c>
      <c r="F1253" s="113" t="n">
        <v>45199</v>
      </c>
      <c r="G1253" s="5" t="n">
        <v>2023</v>
      </c>
      <c r="H1253" s="5" t="inlineStr">
        <is>
          <t>Septiembre</t>
        </is>
      </c>
      <c r="I1253" s="6" t="inlineStr">
        <is>
          <t>2023-2</t>
        </is>
      </c>
      <c r="J1253" s="5" t="n">
        <v>0</v>
      </c>
      <c r="K1253" s="5" t="n">
        <v>0</v>
      </c>
      <c r="L1253" s="14" t="n">
        <v>1</v>
      </c>
      <c r="M1253" s="14" t="n">
        <v>1</v>
      </c>
      <c r="N1253" s="5" t="inlineStr">
        <is>
          <t>%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243-2023-09-30</t>
        </is>
      </c>
    </row>
    <row r="1254" hidden="1">
      <c r="A1254" s="5" t="n">
        <v>243</v>
      </c>
      <c r="B1254" s="5" t="inlineStr">
        <is>
          <t>Cumplimiento de gestión de proyectos control de cambios</t>
        </is>
      </c>
      <c r="C1254" s="5" t="inlineStr">
        <is>
          <t>Gestión de Proyectos</t>
        </is>
      </c>
      <c r="D1254" s="5" t="inlineStr">
        <is>
          <t>Mensual</t>
        </is>
      </c>
      <c r="E1254" s="5" t="inlineStr">
        <is>
          <t>Negativo</t>
        </is>
      </c>
      <c r="F1254" s="113" t="n">
        <v>45230</v>
      </c>
      <c r="G1254" s="5" t="n">
        <v>2023</v>
      </c>
      <c r="H1254" s="5" t="inlineStr">
        <is>
          <t>Octubre</t>
        </is>
      </c>
      <c r="I1254" s="6" t="inlineStr">
        <is>
          <t>2023-2</t>
        </is>
      </c>
      <c r="J1254" s="5" t="n">
        <v>0</v>
      </c>
      <c r="K1254" s="5" t="n">
        <v>11.11</v>
      </c>
      <c r="L1254" s="14" t="n"/>
      <c r="M1254" s="14" t="n"/>
      <c r="N1254" s="5" t="inlineStr">
        <is>
          <t>%</t>
        </is>
      </c>
      <c r="O1254" s="5" t="inlineStr">
        <is>
          <t>%</t>
        </is>
      </c>
      <c r="P1254" s="5" t="n">
        <v>0</v>
      </c>
      <c r="Q1254" s="5" t="n">
        <v>0</v>
      </c>
      <c r="R1254" s="5" t="inlineStr">
        <is>
          <t>243-2023-10-31</t>
        </is>
      </c>
    </row>
    <row r="1255" hidden="1">
      <c r="A1255" s="21" t="n">
        <v>243</v>
      </c>
      <c r="B1255" s="5" t="inlineStr">
        <is>
          <t>Cumplimiento de gestión de proyectos control de cambios</t>
        </is>
      </c>
      <c r="C1255" s="5" t="inlineStr">
        <is>
          <t>Gestión de Proyectos</t>
        </is>
      </c>
      <c r="D1255" s="5" t="inlineStr">
        <is>
          <t>Mensual</t>
        </is>
      </c>
      <c r="E1255" s="5" t="inlineStr">
        <is>
          <t>Negativo</t>
        </is>
      </c>
      <c r="F1255" s="113" t="n">
        <v>45260</v>
      </c>
      <c r="G1255" s="5" t="n">
        <v>2023</v>
      </c>
      <c r="H1255" s="5" t="inlineStr">
        <is>
          <t>Noviembre</t>
        </is>
      </c>
      <c r="I1255" s="6" t="inlineStr">
        <is>
          <t>2023-2</t>
        </is>
      </c>
      <c r="J1255" s="5" t="n">
        <v>0</v>
      </c>
      <c r="K1255" s="5" t="n">
        <v>0</v>
      </c>
      <c r="L1255" s="14" t="n">
        <v>1</v>
      </c>
      <c r="M1255" s="14" t="n">
        <v>1</v>
      </c>
      <c r="N1255" s="5" t="inlineStr">
        <is>
          <t>%</t>
        </is>
      </c>
      <c r="O1255" s="5" t="inlineStr">
        <is>
          <t>%</t>
        </is>
      </c>
      <c r="P1255" s="15" t="n">
        <v>0</v>
      </c>
      <c r="Q1255" s="15" t="n">
        <v>0</v>
      </c>
      <c r="R1255" s="5" t="inlineStr">
        <is>
          <t>243-2023-11-30</t>
        </is>
      </c>
    </row>
    <row r="1256" hidden="1">
      <c r="A1256" s="26" t="n">
        <v>243</v>
      </c>
      <c r="B1256" s="5" t="inlineStr">
        <is>
          <t>Cumplimiento de gestión de proyectos control de cambios</t>
        </is>
      </c>
      <c r="C1256" s="5" t="inlineStr">
        <is>
          <t>Gestión de Proyectos</t>
        </is>
      </c>
      <c r="D1256" s="5" t="inlineStr">
        <is>
          <t>Mensual</t>
        </is>
      </c>
      <c r="E1256" s="5" t="inlineStr">
        <is>
          <t>Negativo</t>
        </is>
      </c>
      <c r="F1256" s="113" t="n">
        <v>45291</v>
      </c>
      <c r="G1256" s="5" t="n">
        <v>2023</v>
      </c>
      <c r="H1256" s="5" t="inlineStr">
        <is>
          <t>Diciembre</t>
        </is>
      </c>
      <c r="I1256" s="6" t="inlineStr">
        <is>
          <t>2023-2</t>
        </is>
      </c>
      <c r="J1256" s="5" t="n">
        <v>0</v>
      </c>
      <c r="K1256" s="5" t="n">
        <v>14.29</v>
      </c>
      <c r="L1256" s="14" t="n"/>
      <c r="M1256" s="14" t="n"/>
      <c r="N1256" s="5" t="inlineStr">
        <is>
          <t>%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243-2023-12-31</t>
        </is>
      </c>
    </row>
    <row r="1257" hidden="1">
      <c r="A1257" s="5" t="n">
        <v>244</v>
      </c>
      <c r="B1257" s="5" t="inlineStr">
        <is>
          <t>GreenMetric - Nacional</t>
        </is>
      </c>
      <c r="C1257" s="5" t="inlineStr">
        <is>
          <t>GESTIÓN AMBIENTAL</t>
        </is>
      </c>
      <c r="D1257" s="5" t="inlineStr">
        <is>
          <t>Anual</t>
        </is>
      </c>
      <c r="E1257" s="5" t="inlineStr">
        <is>
          <t>Negativo</t>
        </is>
      </c>
      <c r="F1257" s="113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25</v>
      </c>
      <c r="K1257" s="5" t="n">
        <v>24</v>
      </c>
      <c r="L1257" s="14" t="n">
        <v>1.041666666666667</v>
      </c>
      <c r="M1257" s="14" t="n">
        <v>1.041666666666667</v>
      </c>
      <c r="N1257" s="5" t="inlineStr">
        <is>
          <t>ENT</t>
        </is>
      </c>
      <c r="O1257" s="5" t="inlineStr">
        <is>
          <t>ENT</t>
        </is>
      </c>
      <c r="P1257" s="5" t="n">
        <v>0</v>
      </c>
      <c r="Q1257" s="5" t="n">
        <v>0</v>
      </c>
      <c r="R1257" s="5" t="inlineStr">
        <is>
          <t>244-2023-12-31</t>
        </is>
      </c>
    </row>
    <row r="1258" hidden="1">
      <c r="A1258" s="26" t="n">
        <v>244</v>
      </c>
      <c r="B1258" s="5" t="inlineStr">
        <is>
          <t>GreenMetric - Nacional</t>
        </is>
      </c>
      <c r="C1258" s="5" t="inlineStr">
        <is>
          <t>GESTIÓN AMBIENTAL</t>
        </is>
      </c>
      <c r="D1258" s="5" t="inlineStr">
        <is>
          <t>Anual</t>
        </is>
      </c>
      <c r="E1258" s="5" t="inlineStr">
        <is>
          <t>Negativo</t>
        </is>
      </c>
      <c r="F1258" s="113" t="n">
        <v>45657</v>
      </c>
      <c r="G1258" s="5" t="n">
        <v>2024</v>
      </c>
      <c r="H1258" s="5" t="inlineStr">
        <is>
          <t>Diciembre</t>
        </is>
      </c>
      <c r="I1258" s="6" t="inlineStr">
        <is>
          <t>2024-2</t>
        </is>
      </c>
      <c r="J1258" s="5" t="n">
        <v>25</v>
      </c>
      <c r="K1258" s="9" t="n">
        <v>25</v>
      </c>
      <c r="L1258" s="14" t="n">
        <v>1</v>
      </c>
      <c r="M1258" s="14" t="n">
        <v>1</v>
      </c>
      <c r="N1258" s="5" t="n"/>
      <c r="O1258" s="5" t="n"/>
      <c r="P1258" s="15" t="n">
        <v>0</v>
      </c>
      <c r="Q1258" s="15" t="n">
        <v>0</v>
      </c>
      <c r="R1258" s="5" t="inlineStr">
        <is>
          <t>244-2024-12-31</t>
        </is>
      </c>
    </row>
    <row r="1259" hidden="1">
      <c r="A1259" s="26" t="n">
        <v>244</v>
      </c>
      <c r="B1259" s="5" t="inlineStr">
        <is>
          <t>GreenMetric - Nacional</t>
        </is>
      </c>
      <c r="C1259" s="5" t="inlineStr">
        <is>
          <t>GESTIÓN AMBIENTAL</t>
        </is>
      </c>
      <c r="D1259" s="5" t="inlineStr">
        <is>
          <t>Anual</t>
        </is>
      </c>
      <c r="E1259" s="5" t="inlineStr">
        <is>
          <t>Negativo</t>
        </is>
      </c>
      <c r="F1259" s="109" t="n">
        <v>46022</v>
      </c>
      <c r="G1259" s="5" t="n">
        <v>2025</v>
      </c>
      <c r="H1259" s="5" t="inlineStr">
        <is>
          <t>Diciembre</t>
        </is>
      </c>
      <c r="I1259" s="6" t="inlineStr">
        <is>
          <t>2025-2</t>
        </is>
      </c>
      <c r="J1259" s="5" t="n">
        <v>25</v>
      </c>
      <c r="K1259" s="9" t="n">
        <v>13</v>
      </c>
      <c r="L1259" s="14" t="n">
        <v>1.3</v>
      </c>
      <c r="M1259" s="14" t="n">
        <v>1.923076923076923</v>
      </c>
      <c r="N1259" s="5" t="inlineStr">
        <is>
          <t>ENT</t>
        </is>
      </c>
      <c r="O1259" s="5" t="inlineStr">
        <is>
          <t>ENT</t>
        </is>
      </c>
      <c r="P1259" s="15" t="n">
        <v>0</v>
      </c>
      <c r="Q1259" s="15" t="n">
        <v>0</v>
      </c>
      <c r="R1259" s="5" t="inlineStr">
        <is>
          <t>244-2025-12-31</t>
        </is>
      </c>
    </row>
    <row r="1260" hidden="1">
      <c r="A1260" s="21" t="n">
        <v>245</v>
      </c>
      <c r="B1260" s="5" t="inlineStr">
        <is>
          <t>Permanencia Intersemestral</t>
        </is>
      </c>
      <c r="C1260" s="5" t="inlineStr">
        <is>
          <t>Permanencia</t>
        </is>
      </c>
      <c r="D1260" s="5" t="inlineStr">
        <is>
          <t>Semestral</t>
        </is>
      </c>
      <c r="E1260" s="5" t="inlineStr">
        <is>
          <t>Positivo</t>
        </is>
      </c>
      <c r="F1260" s="109" t="n">
        <v>45107</v>
      </c>
      <c r="G1260" s="5" t="n">
        <v>2023</v>
      </c>
      <c r="H1260" s="5" t="inlineStr">
        <is>
          <t>Junio</t>
        </is>
      </c>
      <c r="I1260" s="6" t="inlineStr">
        <is>
          <t>2023-1</t>
        </is>
      </c>
      <c r="J1260" s="5" t="n">
        <v>87</v>
      </c>
      <c r="K1260" s="10" t="n">
        <v>97.84</v>
      </c>
      <c r="L1260" s="14" t="n">
        <v>1.124597701149425</v>
      </c>
      <c r="M1260" s="14" t="n">
        <v>1.124597701149425</v>
      </c>
      <c r="N1260" s="5" t="inlineStr">
        <is>
          <t>%</t>
        </is>
      </c>
      <c r="O1260" s="5" t="inlineStr">
        <is>
          <t>%</t>
        </is>
      </c>
      <c r="P1260" s="15" t="n">
        <v>0</v>
      </c>
      <c r="Q1260" s="15" t="n">
        <v>0</v>
      </c>
      <c r="R1260" s="5" t="inlineStr">
        <is>
          <t>245-2023-06-30</t>
        </is>
      </c>
    </row>
    <row r="1261" hidden="1">
      <c r="A1261" s="28" t="n">
        <v>245</v>
      </c>
      <c r="B1261" s="5" t="inlineStr">
        <is>
          <t>Permanencia Intersemestral</t>
        </is>
      </c>
      <c r="C1261" s="5" t="inlineStr">
        <is>
          <t>Permanencia</t>
        </is>
      </c>
      <c r="D1261" s="5" t="inlineStr">
        <is>
          <t>Semestral</t>
        </is>
      </c>
      <c r="E1261" s="5" t="inlineStr">
        <is>
          <t>Positivo</t>
        </is>
      </c>
      <c r="F1261" s="109" t="n">
        <v>45291</v>
      </c>
      <c r="G1261" s="5" t="n">
        <v>2023</v>
      </c>
      <c r="H1261" s="5" t="inlineStr">
        <is>
          <t>Diciembre</t>
        </is>
      </c>
      <c r="I1261" s="6" t="inlineStr">
        <is>
          <t>2023-2</t>
        </is>
      </c>
      <c r="J1261" s="5" t="n">
        <v>87</v>
      </c>
      <c r="K1261" s="9" t="n">
        <v>98.14</v>
      </c>
      <c r="L1261" s="14" t="n">
        <v>1.128045977011494</v>
      </c>
      <c r="M1261" s="14" t="n">
        <v>1.128045977011494</v>
      </c>
      <c r="N1261" s="5" t="inlineStr">
        <is>
          <t>%</t>
        </is>
      </c>
      <c r="O1261" s="5" t="inlineStr">
        <is>
          <t>%</t>
        </is>
      </c>
      <c r="P1261" s="15" t="n">
        <v>0</v>
      </c>
      <c r="Q1261" s="15" t="n">
        <v>0</v>
      </c>
      <c r="R1261" s="5" t="inlineStr">
        <is>
          <t>245-2023-12-31</t>
        </is>
      </c>
    </row>
    <row r="1262" hidden="1">
      <c r="A1262" s="26" t="n">
        <v>245</v>
      </c>
      <c r="B1262" s="5" t="inlineStr">
        <is>
          <t>Permanencia Intersemestral</t>
        </is>
      </c>
      <c r="C1262" s="5" t="inlineStr">
        <is>
          <t>Permanencia</t>
        </is>
      </c>
      <c r="D1262" s="5" t="inlineStr">
        <is>
          <t>Semestral</t>
        </is>
      </c>
      <c r="E1262" s="5" t="inlineStr">
        <is>
          <t>Positivo</t>
        </is>
      </c>
      <c r="F1262" s="109" t="n">
        <v>45473</v>
      </c>
      <c r="G1262" s="5" t="n">
        <v>2024</v>
      </c>
      <c r="H1262" s="5" t="inlineStr">
        <is>
          <t>Junio</t>
        </is>
      </c>
      <c r="I1262" s="6" t="inlineStr">
        <is>
          <t>2024-1</t>
        </is>
      </c>
      <c r="J1262" s="5" t="n">
        <v>100</v>
      </c>
      <c r="K1262" s="9" t="n">
        <v>100.15</v>
      </c>
      <c r="L1262" s="14" t="n">
        <v>1.0015</v>
      </c>
      <c r="M1262" s="14" t="n">
        <v>1.0015</v>
      </c>
      <c r="N1262" s="5" t="inlineStr">
        <is>
          <t>%</t>
        </is>
      </c>
      <c r="O1262" s="5" t="inlineStr">
        <is>
          <t>%</t>
        </is>
      </c>
      <c r="P1262" s="15" t="n">
        <v>0</v>
      </c>
      <c r="Q1262" s="15" t="n">
        <v>0</v>
      </c>
      <c r="R1262" s="5" t="inlineStr">
        <is>
          <t>245-2024-06-30</t>
        </is>
      </c>
    </row>
    <row r="1263" hidden="1">
      <c r="A1263" s="21" t="n">
        <v>245</v>
      </c>
      <c r="B1263" s="5" t="inlineStr">
        <is>
          <t>Permanencia Intersemestral</t>
        </is>
      </c>
      <c r="C1263" s="5" t="inlineStr">
        <is>
          <t>Permanencia</t>
        </is>
      </c>
      <c r="D1263" s="5" t="inlineStr">
        <is>
          <t>Semestral</t>
        </is>
      </c>
      <c r="E1263" s="5" t="inlineStr">
        <is>
          <t>Positivo</t>
        </is>
      </c>
      <c r="F1263" s="109" t="n">
        <v>45657</v>
      </c>
      <c r="G1263" s="5" t="n">
        <v>2024</v>
      </c>
      <c r="H1263" s="5" t="inlineStr">
        <is>
          <t>Diciembre</t>
        </is>
      </c>
      <c r="I1263" s="6" t="inlineStr">
        <is>
          <t>2024-2</t>
        </is>
      </c>
      <c r="J1263" s="5" t="n">
        <v>100</v>
      </c>
      <c r="K1263" s="10" t="n">
        <v>100.22</v>
      </c>
      <c r="L1263" s="14" t="n">
        <v>1.0022</v>
      </c>
      <c r="M1263" s="14" t="n">
        <v>1.0022</v>
      </c>
      <c r="N1263" s="5" t="inlineStr">
        <is>
          <t>%</t>
        </is>
      </c>
      <c r="O1263" s="5" t="inlineStr">
        <is>
          <t>%</t>
        </is>
      </c>
      <c r="P1263" s="15" t="n">
        <v>0</v>
      </c>
      <c r="Q1263" s="15" t="n">
        <v>0</v>
      </c>
      <c r="R1263" s="5" t="inlineStr">
        <is>
          <t>245-2024-12-31</t>
        </is>
      </c>
    </row>
    <row r="1264" hidden="1">
      <c r="A1264" s="5" t="n">
        <v>245</v>
      </c>
      <c r="B1264" s="5" t="inlineStr">
        <is>
          <t>Permanencia Intersemestral</t>
        </is>
      </c>
      <c r="C1264" s="5" t="inlineStr">
        <is>
          <t>Permanencia</t>
        </is>
      </c>
      <c r="D1264" s="5" t="inlineStr">
        <is>
          <t>Semestral</t>
        </is>
      </c>
      <c r="E1264" s="5" t="inlineStr">
        <is>
          <t>Positivo</t>
        </is>
      </c>
      <c r="F1264" s="109" t="n">
        <v>45838</v>
      </c>
      <c r="G1264" s="5" t="n">
        <v>2025</v>
      </c>
      <c r="H1264" s="5" t="inlineStr">
        <is>
          <t>Junio</t>
        </is>
      </c>
      <c r="I1264" s="6" t="inlineStr">
        <is>
          <t>2025-1</t>
        </is>
      </c>
      <c r="J1264" s="5" t="n">
        <v>100</v>
      </c>
      <c r="K1264" s="5" t="n">
        <v>100.93</v>
      </c>
      <c r="L1264" s="14" t="n">
        <v>1.0093</v>
      </c>
      <c r="M1264" s="14" t="n">
        <v>1.0093</v>
      </c>
      <c r="N1264" s="5" t="inlineStr">
        <is>
          <t>%</t>
        </is>
      </c>
      <c r="O1264" s="5" t="inlineStr">
        <is>
          <t>%</t>
        </is>
      </c>
      <c r="P1264" s="5" t="n">
        <v>0</v>
      </c>
      <c r="Q1264" s="5" t="n">
        <v>0</v>
      </c>
      <c r="R1264" s="5" t="inlineStr">
        <is>
          <t>245-2025-06-30</t>
        </is>
      </c>
    </row>
    <row r="1265" hidden="1">
      <c r="A1265" s="21" t="n">
        <v>245</v>
      </c>
      <c r="B1265" s="5" t="inlineStr">
        <is>
          <t>Tasa de Permanencia Intersemestral</t>
        </is>
      </c>
      <c r="C1265" s="5" t="inlineStr">
        <is>
          <t>Permanencia</t>
        </is>
      </c>
      <c r="D1265" s="5" t="inlineStr">
        <is>
          <t>Trimestral</t>
        </is>
      </c>
      <c r="E1265" s="5" t="inlineStr">
        <is>
          <t>Positivo</t>
        </is>
      </c>
      <c r="F1265" s="109" t="n">
        <v>46022</v>
      </c>
      <c r="G1265" s="5" t="n">
        <v>2025</v>
      </c>
      <c r="H1265" s="5" t="inlineStr">
        <is>
          <t>Diciembre</t>
        </is>
      </c>
      <c r="I1265" s="6" t="inlineStr">
        <is>
          <t>2025-2</t>
        </is>
      </c>
      <c r="J1265" s="5" t="n">
        <v>100</v>
      </c>
      <c r="K1265" s="10" t="n">
        <v>100.12</v>
      </c>
      <c r="L1265" s="14" t="n">
        <v>1.0012</v>
      </c>
      <c r="M1265" s="14" t="n">
        <v>1.0012</v>
      </c>
      <c r="N1265" s="5" t="inlineStr">
        <is>
          <t>%</t>
        </is>
      </c>
      <c r="O1265" s="5" t="inlineStr">
        <is>
          <t>%</t>
        </is>
      </c>
      <c r="P1265" s="15" t="n">
        <v>1</v>
      </c>
      <c r="Q1265" s="15" t="n">
        <v>1</v>
      </c>
      <c r="R1265" s="5" t="inlineStr">
        <is>
          <t>245-2025-12-31</t>
        </is>
      </c>
    </row>
    <row r="1266" hidden="1">
      <c r="A1266" s="21" t="n">
        <v>246</v>
      </c>
      <c r="B1266" s="5" t="inlineStr">
        <is>
          <t>Satisfacción del proceso de grados</t>
        </is>
      </c>
      <c r="C1266" s="5" t="inlineStr">
        <is>
          <t>Registro y Control</t>
        </is>
      </c>
      <c r="D1266" s="5" t="inlineStr">
        <is>
          <t>Semestral</t>
        </is>
      </c>
      <c r="E1266" s="5" t="inlineStr">
        <is>
          <t>Positivo</t>
        </is>
      </c>
      <c r="F1266" s="109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85</v>
      </c>
      <c r="K1266" s="10" t="n">
        <v>61.4</v>
      </c>
      <c r="L1266" s="14" t="n">
        <v>0.7223529411764705</v>
      </c>
      <c r="M1266" s="14" t="n">
        <v>0.7223529411764705</v>
      </c>
      <c r="N1266" s="5" t="inlineStr">
        <is>
          <t>%</t>
        </is>
      </c>
      <c r="O1266" s="5" t="inlineStr">
        <is>
          <t>%</t>
        </is>
      </c>
      <c r="P1266" s="15" t="n">
        <v>0</v>
      </c>
      <c r="Q1266" s="15" t="n">
        <v>0</v>
      </c>
      <c r="R1266" s="5" t="inlineStr">
        <is>
          <t>246-2023-12-31</t>
        </is>
      </c>
    </row>
    <row r="1267" hidden="1">
      <c r="A1267" s="28" t="n">
        <v>246</v>
      </c>
      <c r="B1267" s="5" t="inlineStr">
        <is>
          <t>Satisfacción del proceso de grados presencial</t>
        </is>
      </c>
      <c r="C1267" s="5" t="inlineStr">
        <is>
          <t>Registro y Control</t>
        </is>
      </c>
      <c r="D1267" s="5" t="inlineStr">
        <is>
          <t>Semestral</t>
        </is>
      </c>
      <c r="E1267" s="5" t="inlineStr">
        <is>
          <t>Positivo</t>
        </is>
      </c>
      <c r="F1267" s="109" t="n">
        <v>45473</v>
      </c>
      <c r="G1267" s="5" t="n">
        <v>2024</v>
      </c>
      <c r="H1267" s="5" t="inlineStr">
        <is>
          <t>Junio</t>
        </is>
      </c>
      <c r="I1267" s="6" t="inlineStr">
        <is>
          <t>2024-1</t>
        </is>
      </c>
      <c r="J1267" s="5" t="n">
        <v>67.5</v>
      </c>
      <c r="K1267" s="9" t="n">
        <v>92.5</v>
      </c>
      <c r="L1267" s="14" t="n">
        <v>1.3</v>
      </c>
      <c r="M1267" s="14" t="n">
        <v>1.37037037037037</v>
      </c>
      <c r="N1267" s="5" t="inlineStr">
        <is>
          <t>%</t>
        </is>
      </c>
      <c r="O1267" s="5" t="inlineStr">
        <is>
          <t>%</t>
        </is>
      </c>
      <c r="P1267" s="15" t="n">
        <v>0</v>
      </c>
      <c r="Q1267" s="15" t="n">
        <v>0</v>
      </c>
      <c r="R1267" s="5" t="inlineStr">
        <is>
          <t>246-2024-06-30</t>
        </is>
      </c>
    </row>
    <row r="1268" hidden="1">
      <c r="A1268" s="26" t="n">
        <v>246</v>
      </c>
      <c r="B1268" s="5" t="inlineStr">
        <is>
          <t>Satisfacción del proceso de grados presencial</t>
        </is>
      </c>
      <c r="C1268" s="5" t="inlineStr">
        <is>
          <t>Registro y Control</t>
        </is>
      </c>
      <c r="D1268" s="5" t="inlineStr">
        <is>
          <t>Semestral</t>
        </is>
      </c>
      <c r="E1268" s="5" t="inlineStr">
        <is>
          <t>Positivo</t>
        </is>
      </c>
      <c r="F1268" s="109" t="n">
        <v>45657</v>
      </c>
      <c r="G1268" s="5" t="n">
        <v>2024</v>
      </c>
      <c r="H1268" s="5" t="inlineStr">
        <is>
          <t>Diciembre</t>
        </is>
      </c>
      <c r="I1268" s="6" t="inlineStr">
        <is>
          <t>2024-2</t>
        </is>
      </c>
      <c r="J1268" s="5" t="n">
        <v>67.5</v>
      </c>
      <c r="K1268" s="9" t="n">
        <v>94.40000000000001</v>
      </c>
      <c r="L1268" s="14" t="n">
        <v>1.3</v>
      </c>
      <c r="M1268" s="14" t="n">
        <v>1.398518518518518</v>
      </c>
      <c r="N1268" s="5" t="inlineStr">
        <is>
          <t>%</t>
        </is>
      </c>
      <c r="O1268" s="5" t="inlineStr">
        <is>
          <t>%</t>
        </is>
      </c>
      <c r="P1268" s="15" t="n">
        <v>0</v>
      </c>
      <c r="Q1268" s="15" t="n">
        <v>0</v>
      </c>
      <c r="R1268" s="5" t="inlineStr">
        <is>
          <t>246-2024-12-31</t>
        </is>
      </c>
    </row>
    <row r="1269" hidden="1">
      <c r="A1269" s="26" t="n">
        <v>246</v>
      </c>
      <c r="B1269" s="5" t="inlineStr">
        <is>
          <t>Satisfacción del proceso de grados presencial</t>
        </is>
      </c>
      <c r="C1269" s="5" t="inlineStr">
        <is>
          <t>Registro y Control</t>
        </is>
      </c>
      <c r="D1269" s="5" t="inlineStr">
        <is>
          <t>Semestral</t>
        </is>
      </c>
      <c r="E1269" s="5" t="inlineStr">
        <is>
          <t>Positivo</t>
        </is>
      </c>
      <c r="F1269" s="109" t="n">
        <v>45838</v>
      </c>
      <c r="G1269" s="5" t="n">
        <v>2025</v>
      </c>
      <c r="H1269" s="5" t="inlineStr">
        <is>
          <t>Junio</t>
        </is>
      </c>
      <c r="I1269" s="6" t="inlineStr">
        <is>
          <t>2025-1</t>
        </is>
      </c>
      <c r="J1269" s="5" t="n">
        <v>90</v>
      </c>
      <c r="K1269" s="9" t="n">
        <v>90.09999999999999</v>
      </c>
      <c r="L1269" s="14" t="n">
        <v>1.001111111111111</v>
      </c>
      <c r="M1269" s="14" t="n">
        <v>1.001111111111111</v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246-2025-06-30</t>
        </is>
      </c>
    </row>
    <row r="1270" hidden="1">
      <c r="A1270" s="21" t="n">
        <v>246</v>
      </c>
      <c r="B1270" s="5" t="inlineStr">
        <is>
          <t>Satisfacción del proceso de grados presencial</t>
        </is>
      </c>
      <c r="C1270" s="5" t="inlineStr">
        <is>
          <t>Registro y Control</t>
        </is>
      </c>
      <c r="D1270" s="5" t="inlineStr">
        <is>
          <t>Trimestral</t>
        </is>
      </c>
      <c r="E1270" s="5" t="inlineStr">
        <is>
          <t>Positivo</t>
        </is>
      </c>
      <c r="F1270" s="109" t="n">
        <v>46022</v>
      </c>
      <c r="G1270" s="5" t="n">
        <v>2025</v>
      </c>
      <c r="H1270" s="5" t="inlineStr">
        <is>
          <t>Diciembre</t>
        </is>
      </c>
      <c r="I1270" s="6" t="inlineStr">
        <is>
          <t>2025-2</t>
        </is>
      </c>
      <c r="J1270" s="5" t="n">
        <v>90</v>
      </c>
      <c r="K1270" s="10" t="n">
        <v>92.7</v>
      </c>
      <c r="L1270" s="14" t="n">
        <v>1.03</v>
      </c>
      <c r="M1270" s="14" t="n">
        <v>1.03</v>
      </c>
      <c r="N1270" s="5" t="inlineStr">
        <is>
          <t>%</t>
        </is>
      </c>
      <c r="O1270" s="5" t="inlineStr">
        <is>
          <t>%</t>
        </is>
      </c>
      <c r="P1270" s="15" t="n">
        <v>0</v>
      </c>
      <c r="Q1270" s="15" t="n">
        <v>0</v>
      </c>
      <c r="R1270" s="5" t="inlineStr">
        <is>
          <t>246-2025-12-31</t>
        </is>
      </c>
    </row>
    <row r="1271" hidden="1">
      <c r="A1271" s="26" t="n">
        <v>247</v>
      </c>
      <c r="B1271" s="5" t="inlineStr">
        <is>
          <t>Solicitud de certificados</t>
        </is>
      </c>
      <c r="C1271" s="5" t="inlineStr">
        <is>
          <t>Registro y Control</t>
        </is>
      </c>
      <c r="D1271" s="5" t="inlineStr">
        <is>
          <t>Mensual</t>
        </is>
      </c>
      <c r="E1271" s="5" t="inlineStr">
        <is>
          <t>Positivo</t>
        </is>
      </c>
      <c r="F1271" s="109" t="n">
        <v>44957</v>
      </c>
      <c r="G1271" s="5" t="n">
        <v>2023</v>
      </c>
      <c r="H1271" s="5" t="inlineStr">
        <is>
          <t>Enero</t>
        </is>
      </c>
      <c r="I1271" s="6" t="inlineStr">
        <is>
          <t>2023-1</t>
        </is>
      </c>
      <c r="J1271" s="5" t="n"/>
      <c r="K1271" s="9" t="n">
        <v>75.64023765621801</v>
      </c>
      <c r="L1271" s="14" t="n"/>
      <c r="M1271" s="14" t="n"/>
      <c r="N1271" s="5" t="inlineStr">
        <is>
          <t>Linea Base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247-2023-01-31</t>
        </is>
      </c>
    </row>
    <row r="1272" hidden="1">
      <c r="A1272" s="21" t="n">
        <v>247</v>
      </c>
      <c r="B1272" s="5" t="inlineStr">
        <is>
          <t>Solicitud de certificados</t>
        </is>
      </c>
      <c r="C1272" s="5" t="inlineStr">
        <is>
          <t>Registro y Control</t>
        </is>
      </c>
      <c r="D1272" s="5" t="inlineStr">
        <is>
          <t>Mensual</t>
        </is>
      </c>
      <c r="E1272" s="5" t="inlineStr">
        <is>
          <t>Positivo</t>
        </is>
      </c>
      <c r="F1272" s="109" t="n">
        <v>44985</v>
      </c>
      <c r="G1272" s="5" t="n">
        <v>2023</v>
      </c>
      <c r="H1272" s="5" t="inlineStr">
        <is>
          <t>Febrero</t>
        </is>
      </c>
      <c r="I1272" s="6" t="inlineStr">
        <is>
          <t>2023-1</t>
        </is>
      </c>
      <c r="J1272" s="5" t="n"/>
      <c r="K1272" s="10" t="n">
        <v>71.28712871287129</v>
      </c>
      <c r="L1272" s="14" t="n"/>
      <c r="M1272" s="14" t="n"/>
      <c r="N1272" s="5" t="inlineStr">
        <is>
          <t>Linea Base</t>
        </is>
      </c>
      <c r="O1272" s="5" t="inlineStr">
        <is>
          <t>%</t>
        </is>
      </c>
      <c r="P1272" s="15" t="n">
        <v>0</v>
      </c>
      <c r="Q1272" s="15" t="n">
        <v>0</v>
      </c>
      <c r="R1272" s="5" t="inlineStr">
        <is>
          <t>247-2023-02-28</t>
        </is>
      </c>
    </row>
    <row r="1273" hidden="1">
      <c r="A1273" s="21" t="n">
        <v>247</v>
      </c>
      <c r="B1273" s="5" t="inlineStr">
        <is>
          <t>Solicitud de certificados</t>
        </is>
      </c>
      <c r="C1273" s="5" t="inlineStr">
        <is>
          <t>Registro y Control</t>
        </is>
      </c>
      <c r="D1273" s="5" t="inlineStr">
        <is>
          <t>Mensual</t>
        </is>
      </c>
      <c r="E1273" s="5" t="inlineStr">
        <is>
          <t>Positivo</t>
        </is>
      </c>
      <c r="F1273" s="109" t="n">
        <v>45016</v>
      </c>
      <c r="G1273" s="5" t="n">
        <v>2023</v>
      </c>
      <c r="H1273" s="5" t="inlineStr">
        <is>
          <t>Marzo</t>
        </is>
      </c>
      <c r="I1273" s="6" t="inlineStr">
        <is>
          <t>2023-1</t>
        </is>
      </c>
      <c r="J1273" s="5" t="n"/>
      <c r="K1273" s="9" t="n">
        <v>71.01731601731601</v>
      </c>
      <c r="L1273" s="14" t="n"/>
      <c r="M1273" s="14" t="n"/>
      <c r="N1273" s="5" t="inlineStr">
        <is>
          <t>Linea Base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247-2023-03-31</t>
        </is>
      </c>
    </row>
    <row r="1274" hidden="1">
      <c r="A1274" s="21" t="n">
        <v>247</v>
      </c>
      <c r="B1274" s="5" t="inlineStr">
        <is>
          <t>Solicitud de certificados</t>
        </is>
      </c>
      <c r="C1274" s="5" t="inlineStr">
        <is>
          <t>Registro y Control</t>
        </is>
      </c>
      <c r="D1274" s="5" t="inlineStr">
        <is>
          <t>Mensual</t>
        </is>
      </c>
      <c r="E1274" s="5" t="inlineStr">
        <is>
          <t>Positivo</t>
        </is>
      </c>
      <c r="F1274" s="109" t="n">
        <v>45046</v>
      </c>
      <c r="G1274" s="5" t="n">
        <v>2023</v>
      </c>
      <c r="H1274" s="5" t="inlineStr">
        <is>
          <t>Abril</t>
        </is>
      </c>
      <c r="I1274" s="6" t="inlineStr">
        <is>
          <t>2023-1</t>
        </is>
      </c>
      <c r="J1274" s="5" t="n"/>
      <c r="K1274" s="9" t="n">
        <v>74.075723830735</v>
      </c>
      <c r="L1274" s="14" t="n"/>
      <c r="M1274" s="14" t="n"/>
      <c r="N1274" s="5" t="inlineStr">
        <is>
          <t>Linea Base</t>
        </is>
      </c>
      <c r="O1274" s="5" t="inlineStr">
        <is>
          <t>%</t>
        </is>
      </c>
      <c r="P1274" s="15" t="n">
        <v>0</v>
      </c>
      <c r="Q1274" s="15" t="n">
        <v>0</v>
      </c>
      <c r="R1274" s="5" t="inlineStr">
        <is>
          <t>247-2023-04-30</t>
        </is>
      </c>
    </row>
    <row r="1275" hidden="1">
      <c r="A1275" s="21" t="n">
        <v>247</v>
      </c>
      <c r="B1275" s="5" t="inlineStr">
        <is>
          <t>Solicitud de certificados</t>
        </is>
      </c>
      <c r="C1275" s="5" t="inlineStr">
        <is>
          <t>Registro y Control</t>
        </is>
      </c>
      <c r="D1275" s="5" t="inlineStr">
        <is>
          <t>Mensual</t>
        </is>
      </c>
      <c r="E1275" s="5" t="inlineStr">
        <is>
          <t>Positivo</t>
        </is>
      </c>
      <c r="F1275" s="109" t="n">
        <v>45077</v>
      </c>
      <c r="G1275" s="5" t="n">
        <v>2023</v>
      </c>
      <c r="H1275" s="5" t="inlineStr">
        <is>
          <t>Mayo</t>
        </is>
      </c>
      <c r="I1275" s="6" t="inlineStr">
        <is>
          <t>2023-1</t>
        </is>
      </c>
      <c r="J1275" s="5" t="n"/>
      <c r="K1275" s="9" t="n">
        <v>70.167903162827</v>
      </c>
      <c r="L1275" s="14" t="n"/>
      <c r="M1275" s="14" t="n"/>
      <c r="N1275" s="5" t="inlineStr">
        <is>
          <t>Linea Base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247-2023-05-31</t>
        </is>
      </c>
    </row>
    <row r="1276" hidden="1">
      <c r="A1276" s="21" t="n">
        <v>247</v>
      </c>
      <c r="B1276" s="5" t="inlineStr">
        <is>
          <t>Solicitud de certificados</t>
        </is>
      </c>
      <c r="C1276" s="5" t="inlineStr">
        <is>
          <t>Registro y Control</t>
        </is>
      </c>
      <c r="D1276" s="5" t="inlineStr">
        <is>
          <t>Mensual</t>
        </is>
      </c>
      <c r="E1276" s="5" t="inlineStr">
        <is>
          <t>Positivo</t>
        </is>
      </c>
      <c r="F1276" s="109" t="n">
        <v>45107</v>
      </c>
      <c r="G1276" s="5" t="n">
        <v>2023</v>
      </c>
      <c r="H1276" s="5" t="inlineStr">
        <is>
          <t>Junio</t>
        </is>
      </c>
      <c r="I1276" s="6" t="inlineStr">
        <is>
          <t>2023-1</t>
        </is>
      </c>
      <c r="J1276" s="5" t="n"/>
      <c r="K1276" s="10" t="n">
        <v>61.0823853843502</v>
      </c>
      <c r="L1276" s="14" t="n"/>
      <c r="M1276" s="14" t="n"/>
      <c r="N1276" s="5" t="inlineStr">
        <is>
          <t>Linea Base</t>
        </is>
      </c>
      <c r="O1276" s="5" t="inlineStr">
        <is>
          <t>%</t>
        </is>
      </c>
      <c r="P1276" s="15" t="n">
        <v>0</v>
      </c>
      <c r="Q1276" s="15" t="n">
        <v>0</v>
      </c>
      <c r="R1276" s="5" t="inlineStr">
        <is>
          <t>247-2023-06-30</t>
        </is>
      </c>
    </row>
    <row r="1277" hidden="1">
      <c r="A1277" s="5" t="n">
        <v>247</v>
      </c>
      <c r="B1277" s="5" t="inlineStr">
        <is>
          <t>Solicitud de certificados</t>
        </is>
      </c>
      <c r="C1277" s="5" t="inlineStr">
        <is>
          <t>Registro y Control</t>
        </is>
      </c>
      <c r="D1277" s="5" t="inlineStr">
        <is>
          <t>Mensual</t>
        </is>
      </c>
      <c r="E1277" s="5" t="inlineStr">
        <is>
          <t>Positivo</t>
        </is>
      </c>
      <c r="F1277" s="109" t="n">
        <v>45138</v>
      </c>
      <c r="G1277" s="5" t="n">
        <v>2023</v>
      </c>
      <c r="H1277" s="5" t="inlineStr">
        <is>
          <t>Julio</t>
        </is>
      </c>
      <c r="I1277" s="6" t="inlineStr">
        <is>
          <t>2023-2</t>
        </is>
      </c>
      <c r="J1277" s="5" t="n"/>
      <c r="K1277" s="5" t="n">
        <v>75.552362134004</v>
      </c>
      <c r="L1277" s="14" t="n"/>
      <c r="M1277" s="14" t="n"/>
      <c r="N1277" s="5" t="inlineStr">
        <is>
          <t>Linea Base</t>
        </is>
      </c>
      <c r="O1277" s="5" t="inlineStr">
        <is>
          <t>%</t>
        </is>
      </c>
      <c r="P1277" s="5" t="n">
        <v>0</v>
      </c>
      <c r="Q1277" s="5" t="n">
        <v>0</v>
      </c>
      <c r="R1277" s="5" t="inlineStr">
        <is>
          <t>247-2023-07-31</t>
        </is>
      </c>
    </row>
    <row r="1278" hidden="1">
      <c r="A1278" s="21" t="n">
        <v>247</v>
      </c>
      <c r="B1278" s="5" t="inlineStr">
        <is>
          <t>Solicitud de certificados</t>
        </is>
      </c>
      <c r="C1278" s="5" t="inlineStr">
        <is>
          <t>Registro y Control</t>
        </is>
      </c>
      <c r="D1278" s="5" t="inlineStr">
        <is>
          <t>Mensual</t>
        </is>
      </c>
      <c r="E1278" s="5" t="inlineStr">
        <is>
          <t>Positivo</t>
        </is>
      </c>
      <c r="F1278" s="109" t="n">
        <v>45169</v>
      </c>
      <c r="G1278" s="5" t="n">
        <v>2023</v>
      </c>
      <c r="H1278" s="5" t="inlineStr">
        <is>
          <t>Agosto</t>
        </is>
      </c>
      <c r="I1278" s="6" t="inlineStr">
        <is>
          <t>2023-2</t>
        </is>
      </c>
      <c r="J1278" s="5" t="n"/>
      <c r="K1278" s="10" t="n">
        <v>70.64</v>
      </c>
      <c r="L1278" s="14" t="n"/>
      <c r="M1278" s="14" t="n"/>
      <c r="N1278" s="5" t="inlineStr">
        <is>
          <t>Linea Base</t>
        </is>
      </c>
      <c r="O1278" s="5" t="inlineStr">
        <is>
          <t>%</t>
        </is>
      </c>
      <c r="P1278" s="15" t="n">
        <v>0</v>
      </c>
      <c r="Q1278" s="15" t="n">
        <v>0</v>
      </c>
      <c r="R1278" s="5" t="inlineStr">
        <is>
          <t>247-2023-08-31</t>
        </is>
      </c>
    </row>
    <row r="1279" hidden="1">
      <c r="A1279" s="21" t="n">
        <v>247</v>
      </c>
      <c r="B1279" s="5" t="inlineStr">
        <is>
          <t>Solicitud de certificados</t>
        </is>
      </c>
      <c r="C1279" s="5" t="inlineStr">
        <is>
          <t>Registro y Control</t>
        </is>
      </c>
      <c r="D1279" s="5" t="inlineStr">
        <is>
          <t>Mensual</t>
        </is>
      </c>
      <c r="E1279" s="5" t="inlineStr">
        <is>
          <t>Positivo</t>
        </is>
      </c>
      <c r="F1279" s="109" t="n">
        <v>45199</v>
      </c>
      <c r="G1279" s="5" t="n">
        <v>2023</v>
      </c>
      <c r="H1279" s="5" t="inlineStr">
        <is>
          <t>Septiembre</t>
        </is>
      </c>
      <c r="I1279" s="6" t="inlineStr">
        <is>
          <t>2023-2</t>
        </is>
      </c>
      <c r="J1279" s="5" t="n"/>
      <c r="K1279" s="10" t="n">
        <v>67.14</v>
      </c>
      <c r="L1279" s="14" t="n"/>
      <c r="M1279" s="14" t="n"/>
      <c r="N1279" s="5" t="inlineStr">
        <is>
          <t>Linea Base</t>
        </is>
      </c>
      <c r="O1279" s="5" t="inlineStr">
        <is>
          <t>%</t>
        </is>
      </c>
      <c r="P1279" s="15" t="n">
        <v>0</v>
      </c>
      <c r="Q1279" s="15" t="n">
        <v>0</v>
      </c>
      <c r="R1279" s="5" t="inlineStr">
        <is>
          <t>247-2023-09-30</t>
        </is>
      </c>
    </row>
    <row r="1280" hidden="1">
      <c r="A1280" s="21" t="n">
        <v>247</v>
      </c>
      <c r="B1280" s="5" t="inlineStr">
        <is>
          <t>Solicitud de certificados</t>
        </is>
      </c>
      <c r="C1280" s="5" t="inlineStr">
        <is>
          <t>Registro y Control</t>
        </is>
      </c>
      <c r="D1280" s="5" t="inlineStr">
        <is>
          <t>Mensual</t>
        </is>
      </c>
      <c r="E1280" s="5" t="inlineStr">
        <is>
          <t>Positivo</t>
        </is>
      </c>
      <c r="F1280" s="109" t="n">
        <v>45230</v>
      </c>
      <c r="G1280" s="5" t="n">
        <v>2023</v>
      </c>
      <c r="H1280" s="5" t="inlineStr">
        <is>
          <t>Octubre</t>
        </is>
      </c>
      <c r="I1280" s="6" t="inlineStr">
        <is>
          <t>2023-2</t>
        </is>
      </c>
      <c r="J1280" s="5" t="n"/>
      <c r="K1280" s="9" t="n">
        <v>65.84999999999999</v>
      </c>
      <c r="L1280" s="14" t="n"/>
      <c r="M1280" s="14" t="n"/>
      <c r="N1280" s="5" t="inlineStr">
        <is>
          <t>Linea Base</t>
        </is>
      </c>
      <c r="O1280" s="5" t="inlineStr">
        <is>
          <t>%</t>
        </is>
      </c>
      <c r="P1280" s="15" t="n">
        <v>0</v>
      </c>
      <c r="Q1280" s="15" t="n">
        <v>0</v>
      </c>
      <c r="R1280" s="5" t="inlineStr">
        <is>
          <t>247-2023-10-31</t>
        </is>
      </c>
    </row>
    <row r="1281" hidden="1">
      <c r="A1281" s="21" t="n">
        <v>247</v>
      </c>
      <c r="B1281" s="5" t="inlineStr">
        <is>
          <t>Solicitud de certificados</t>
        </is>
      </c>
      <c r="C1281" s="5" t="inlineStr">
        <is>
          <t>Registro y Control</t>
        </is>
      </c>
      <c r="D1281" s="5" t="inlineStr">
        <is>
          <t>Mensual</t>
        </is>
      </c>
      <c r="E1281" s="5" t="inlineStr">
        <is>
          <t>Positivo</t>
        </is>
      </c>
      <c r="F1281" s="109" t="n">
        <v>45260</v>
      </c>
      <c r="G1281" s="5" t="n">
        <v>2023</v>
      </c>
      <c r="H1281" s="5" t="inlineStr">
        <is>
          <t>Noviembre</t>
        </is>
      </c>
      <c r="I1281" s="6" t="inlineStr">
        <is>
          <t>2023-2</t>
        </is>
      </c>
      <c r="J1281" s="5" t="n"/>
      <c r="K1281" s="9" t="n">
        <v>65.47</v>
      </c>
      <c r="L1281" s="14" t="n"/>
      <c r="M1281" s="14" t="n"/>
      <c r="N1281" s="5" t="inlineStr">
        <is>
          <t>Linea Base</t>
        </is>
      </c>
      <c r="O1281" s="5" t="inlineStr">
        <is>
          <t>%</t>
        </is>
      </c>
      <c r="P1281" s="15" t="n">
        <v>0</v>
      </c>
      <c r="Q1281" s="15" t="n">
        <v>0</v>
      </c>
      <c r="R1281" s="5" t="inlineStr">
        <is>
          <t>247-2023-11-30</t>
        </is>
      </c>
    </row>
    <row r="1282" hidden="1">
      <c r="A1282" s="21" t="n">
        <v>247</v>
      </c>
      <c r="B1282" s="5" t="inlineStr">
        <is>
          <t>Solicitud de certificados</t>
        </is>
      </c>
      <c r="C1282" s="5" t="inlineStr">
        <is>
          <t>Registro y Control</t>
        </is>
      </c>
      <c r="D1282" s="5" t="inlineStr">
        <is>
          <t>Mensual</t>
        </is>
      </c>
      <c r="E1282" s="5" t="inlineStr">
        <is>
          <t>Positivo</t>
        </is>
      </c>
      <c r="F1282" s="109" t="n">
        <v>45291</v>
      </c>
      <c r="G1282" s="5" t="n">
        <v>2023</v>
      </c>
      <c r="H1282" s="5" t="inlineStr">
        <is>
          <t>Diciembre</t>
        </is>
      </c>
      <c r="I1282" s="6" t="inlineStr">
        <is>
          <t>2023-2</t>
        </is>
      </c>
      <c r="J1282" s="5" t="n"/>
      <c r="K1282" s="9" t="n">
        <v>69.86</v>
      </c>
      <c r="L1282" s="14" t="n"/>
      <c r="M1282" s="14" t="n"/>
      <c r="N1282" s="5" t="inlineStr">
        <is>
          <t>Linea Base</t>
        </is>
      </c>
      <c r="O1282" s="5" t="inlineStr">
        <is>
          <t>%</t>
        </is>
      </c>
      <c r="P1282" s="15" t="n">
        <v>0</v>
      </c>
      <c r="Q1282" s="15" t="n">
        <v>0</v>
      </c>
      <c r="R1282" s="5" t="inlineStr">
        <is>
          <t>247-2023-12-31</t>
        </is>
      </c>
    </row>
    <row r="1283" hidden="1">
      <c r="A1283" s="21" t="n">
        <v>248</v>
      </c>
      <c r="B1283" s="5" t="inlineStr">
        <is>
          <t>Programas con reforzamiento curricular</t>
        </is>
      </c>
      <c r="C1283" s="5" t="inlineStr">
        <is>
          <t>Gestión, Evaluación e Innovación Curricular</t>
        </is>
      </c>
      <c r="D1283" s="5" t="inlineStr">
        <is>
          <t>Semestral</t>
        </is>
      </c>
      <c r="E1283" s="5" t="inlineStr">
        <is>
          <t>Positivo</t>
        </is>
      </c>
      <c r="F1283" s="109" t="n">
        <v>45107</v>
      </c>
      <c r="G1283" s="5" t="n">
        <v>2023</v>
      </c>
      <c r="H1283" s="5" t="inlineStr">
        <is>
          <t>Junio</t>
        </is>
      </c>
      <c r="I1283" s="6" t="inlineStr">
        <is>
          <t>2023-1</t>
        </is>
      </c>
      <c r="J1283" s="5" t="n">
        <v>27</v>
      </c>
      <c r="K1283" s="10" t="n">
        <v>27</v>
      </c>
      <c r="L1283" s="14" t="n">
        <v>1</v>
      </c>
      <c r="M1283" s="14" t="n">
        <v>1</v>
      </c>
      <c r="N1283" s="5" t="inlineStr">
        <is>
          <t>Linea Base</t>
        </is>
      </c>
      <c r="O1283" s="5" t="inlineStr">
        <is>
          <t>%</t>
        </is>
      </c>
      <c r="P1283" s="15" t="n">
        <v>0</v>
      </c>
      <c r="Q1283" s="15" t="n">
        <v>0</v>
      </c>
      <c r="R1283" s="5" t="inlineStr">
        <is>
          <t>248-2023-06-30</t>
        </is>
      </c>
    </row>
    <row r="1284" hidden="1">
      <c r="A1284" s="5" t="n">
        <v>248</v>
      </c>
      <c r="B1284" s="5" t="inlineStr">
        <is>
          <t>Programas con reforzamiento curricular</t>
        </is>
      </c>
      <c r="C1284" s="5" t="inlineStr">
        <is>
          <t>Gestión, Evaluación e Innovación Curricular</t>
        </is>
      </c>
      <c r="D1284" s="5" t="inlineStr">
        <is>
          <t>Semestral</t>
        </is>
      </c>
      <c r="E1284" s="5" t="inlineStr">
        <is>
          <t>Positivo</t>
        </is>
      </c>
      <c r="F1284" s="109" t="n">
        <v>45291</v>
      </c>
      <c r="G1284" s="5" t="n">
        <v>2023</v>
      </c>
      <c r="H1284" s="5" t="inlineStr">
        <is>
          <t>Diciembre</t>
        </is>
      </c>
      <c r="I1284" s="6" t="inlineStr">
        <is>
          <t>2023-2</t>
        </is>
      </c>
      <c r="J1284" s="5" t="n">
        <v>17</v>
      </c>
      <c r="K1284" s="5" t="n">
        <v>17</v>
      </c>
      <c r="L1284" s="14" t="n">
        <v>1</v>
      </c>
      <c r="M1284" s="14" t="n">
        <v>1</v>
      </c>
      <c r="N1284" s="5" t="inlineStr">
        <is>
          <t>Linea Base</t>
        </is>
      </c>
      <c r="O1284" s="5" t="inlineStr">
        <is>
          <t>%</t>
        </is>
      </c>
      <c r="P1284" s="5" t="n">
        <v>0</v>
      </c>
      <c r="Q1284" s="5" t="n">
        <v>0</v>
      </c>
      <c r="R1284" s="5" t="inlineStr">
        <is>
          <t>248-2023-12-31</t>
        </is>
      </c>
    </row>
    <row r="1285" hidden="1">
      <c r="A1285" s="21" t="n">
        <v>249</v>
      </c>
      <c r="B1285" s="5" t="inlineStr">
        <is>
          <t>Programas con matriz de resultado de aprendizaje</t>
        </is>
      </c>
      <c r="C1285" s="5" t="inlineStr">
        <is>
          <t>Gestión, Evaluación e Innovación Curricular</t>
        </is>
      </c>
      <c r="D1285" s="5" t="inlineStr">
        <is>
          <t>Semestral</t>
        </is>
      </c>
      <c r="E1285" s="5" t="inlineStr">
        <is>
          <t>Positivo</t>
        </is>
      </c>
      <c r="F1285" s="109" t="n">
        <v>45107</v>
      </c>
      <c r="G1285" s="5" t="n">
        <v>2023</v>
      </c>
      <c r="H1285" s="5" t="inlineStr">
        <is>
          <t>Junio</t>
        </is>
      </c>
      <c r="I1285" s="6" t="inlineStr">
        <is>
          <t>2023-1</t>
        </is>
      </c>
      <c r="J1285" s="5" t="n">
        <v>72</v>
      </c>
      <c r="K1285" s="10" t="n">
        <v>72</v>
      </c>
      <c r="L1285" s="14" t="n">
        <v>1</v>
      </c>
      <c r="M1285" s="14" t="n">
        <v>1</v>
      </c>
      <c r="N1285" s="5" t="inlineStr">
        <is>
          <t>Linea Base</t>
        </is>
      </c>
      <c r="O1285" s="5" t="inlineStr">
        <is>
          <t>%</t>
        </is>
      </c>
      <c r="P1285" s="15" t="n">
        <v>0</v>
      </c>
      <c r="Q1285" s="15" t="n">
        <v>0</v>
      </c>
      <c r="R1285" s="5" t="inlineStr">
        <is>
          <t>249-2023-06-30</t>
        </is>
      </c>
    </row>
    <row r="1286" hidden="1">
      <c r="A1286" s="21" t="n">
        <v>249</v>
      </c>
      <c r="B1286" s="5" t="inlineStr">
        <is>
          <t>Programas con matriz de resultado de aprendizaje</t>
        </is>
      </c>
      <c r="C1286" s="5" t="inlineStr">
        <is>
          <t>Gestión, Evaluación e Innovación Curricular</t>
        </is>
      </c>
      <c r="D1286" s="5" t="inlineStr">
        <is>
          <t>Semestral</t>
        </is>
      </c>
      <c r="E1286" s="5" t="inlineStr">
        <is>
          <t>Positivo</t>
        </is>
      </c>
      <c r="F1286" s="109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26</v>
      </c>
      <c r="K1286" s="10" t="n">
        <v>26</v>
      </c>
      <c r="L1286" s="14" t="n">
        <v>1</v>
      </c>
      <c r="M1286" s="14" t="n">
        <v>1</v>
      </c>
      <c r="N1286" s="5" t="inlineStr">
        <is>
          <t>Linea Base</t>
        </is>
      </c>
      <c r="O1286" s="5" t="inlineStr">
        <is>
          <t>%</t>
        </is>
      </c>
      <c r="P1286" s="15" t="n">
        <v>0</v>
      </c>
      <c r="Q1286" s="15" t="n">
        <v>0</v>
      </c>
      <c r="R1286" s="5" t="inlineStr">
        <is>
          <t>249-2023-12-31</t>
        </is>
      </c>
    </row>
    <row r="1287" hidden="1">
      <c r="A1287" s="21" t="n">
        <v>251</v>
      </c>
      <c r="B1287" s="5" t="inlineStr">
        <is>
          <t>Subprocesos Con CMI Estructurado</t>
        </is>
      </c>
      <c r="C1287" s="5" t="inlineStr">
        <is>
          <t>Desempeño Institucional</t>
        </is>
      </c>
      <c r="D1287" s="5" t="inlineStr">
        <is>
          <t>Trimestral</t>
        </is>
      </c>
      <c r="E1287" s="5" t="inlineStr">
        <is>
          <t>Positivo</t>
        </is>
      </c>
      <c r="F1287" s="109" t="n">
        <v>45107</v>
      </c>
      <c r="G1287" s="5" t="n">
        <v>2023</v>
      </c>
      <c r="H1287" s="5" t="inlineStr">
        <is>
          <t>Junio</t>
        </is>
      </c>
      <c r="I1287" s="6" t="inlineStr">
        <is>
          <t>2023-1</t>
        </is>
      </c>
      <c r="J1287" s="5" t="n">
        <v>100</v>
      </c>
      <c r="K1287" s="9" t="n">
        <v>93.87755102040816</v>
      </c>
      <c r="L1287" s="14" t="n">
        <v>0.9387755102040817</v>
      </c>
      <c r="M1287" s="14" t="n">
        <v>0.9387755102040817</v>
      </c>
      <c r="N1287" s="5" t="inlineStr">
        <is>
          <t>%</t>
        </is>
      </c>
      <c r="O1287" s="5" t="inlineStr">
        <is>
          <t>%</t>
        </is>
      </c>
      <c r="P1287" s="15" t="n">
        <v>0</v>
      </c>
      <c r="Q1287" s="15" t="n">
        <v>0</v>
      </c>
      <c r="R1287" s="5" t="inlineStr">
        <is>
          <t>251-2023-06-30</t>
        </is>
      </c>
    </row>
    <row r="1288" hidden="1">
      <c r="A1288" s="21" t="n">
        <v>251</v>
      </c>
      <c r="B1288" s="5" t="inlineStr">
        <is>
          <t>Subprocesos Con CMI Estructurado</t>
        </is>
      </c>
      <c r="C1288" s="5" t="inlineStr">
        <is>
          <t>Desempeño Institucional</t>
        </is>
      </c>
      <c r="D1288" s="5" t="inlineStr">
        <is>
          <t>Trimestral</t>
        </is>
      </c>
      <c r="E1288" s="5" t="inlineStr">
        <is>
          <t>Positivo</t>
        </is>
      </c>
      <c r="F1288" s="109" t="n">
        <v>45199</v>
      </c>
      <c r="G1288" s="5" t="n">
        <v>2023</v>
      </c>
      <c r="H1288" s="5" t="inlineStr">
        <is>
          <t>Septiembre</t>
        </is>
      </c>
      <c r="I1288" s="6" t="inlineStr">
        <is>
          <t>2023-2</t>
        </is>
      </c>
      <c r="J1288" s="5" t="n">
        <v>100</v>
      </c>
      <c r="K1288" s="9" t="n">
        <v>100</v>
      </c>
      <c r="L1288" s="14" t="n">
        <v>1</v>
      </c>
      <c r="M1288" s="14" t="n">
        <v>1</v>
      </c>
      <c r="N1288" s="5" t="inlineStr">
        <is>
          <t>%</t>
        </is>
      </c>
      <c r="O1288" s="5" t="inlineStr">
        <is>
          <t>%</t>
        </is>
      </c>
      <c r="P1288" s="15" t="n">
        <v>0</v>
      </c>
      <c r="Q1288" s="15" t="n">
        <v>0</v>
      </c>
      <c r="R1288" s="5" t="inlineStr">
        <is>
          <t>251-2023-09-30</t>
        </is>
      </c>
    </row>
    <row r="1289" hidden="1">
      <c r="A1289" s="21" t="n">
        <v>251</v>
      </c>
      <c r="B1289" s="5" t="inlineStr">
        <is>
          <t>Subprocesos Con CMI Estructurado</t>
        </is>
      </c>
      <c r="C1289" s="5" t="inlineStr">
        <is>
          <t>Desempeño Institucional</t>
        </is>
      </c>
      <c r="D1289" s="5" t="inlineStr">
        <is>
          <t>Trimestral</t>
        </is>
      </c>
      <c r="E1289" s="5" t="inlineStr">
        <is>
          <t>Positivo</t>
        </is>
      </c>
      <c r="F1289" s="109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100</v>
      </c>
      <c r="K1289" s="9" t="n">
        <v>100</v>
      </c>
      <c r="L1289" s="14" t="n">
        <v>1</v>
      </c>
      <c r="M1289" s="14" t="n">
        <v>1</v>
      </c>
      <c r="N1289" s="5" t="inlineStr">
        <is>
          <t>%</t>
        </is>
      </c>
      <c r="O1289" s="5" t="inlineStr">
        <is>
          <t>%</t>
        </is>
      </c>
      <c r="P1289" s="15" t="n">
        <v>0</v>
      </c>
      <c r="Q1289" s="15" t="n">
        <v>0</v>
      </c>
      <c r="R1289" s="5" t="inlineStr">
        <is>
          <t>251-2023-12-31</t>
        </is>
      </c>
    </row>
    <row r="1290" hidden="1">
      <c r="A1290" s="21" t="n">
        <v>251</v>
      </c>
      <c r="B1290" s="5" t="inlineStr">
        <is>
          <t>Subprocesos Con indicadores definidos</t>
        </is>
      </c>
      <c r="C1290" s="5" t="inlineStr">
        <is>
          <t>Desempeño Institucional</t>
        </is>
      </c>
      <c r="D1290" s="5" t="inlineStr">
        <is>
          <t>Semestral</t>
        </is>
      </c>
      <c r="E1290" s="5" t="inlineStr">
        <is>
          <t>Positivo</t>
        </is>
      </c>
      <c r="F1290" s="109" t="n">
        <v>45382</v>
      </c>
      <c r="G1290" s="5" t="n">
        <v>2024</v>
      </c>
      <c r="H1290" s="5" t="inlineStr">
        <is>
          <t>Marzo</t>
        </is>
      </c>
      <c r="I1290" s="6" t="inlineStr">
        <is>
          <t>2024-1</t>
        </is>
      </c>
      <c r="J1290" s="5" t="n">
        <v>100</v>
      </c>
      <c r="K1290" s="10" t="n">
        <v>0</v>
      </c>
      <c r="L1290" s="14" t="n">
        <v>0</v>
      </c>
      <c r="M1290" s="14" t="n">
        <v>0</v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251-2024-03-31</t>
        </is>
      </c>
      <c r="S1290" t="inlineStr">
        <is>
          <t>No Aplica</t>
        </is>
      </c>
    </row>
    <row r="1291" hidden="1">
      <c r="A1291" s="5" t="n">
        <v>251</v>
      </c>
      <c r="B1291" s="5" t="inlineStr">
        <is>
          <t>Subprocesos Con CMI Estructurado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09" t="n">
        <v>45473</v>
      </c>
      <c r="G1291" s="5" t="n">
        <v>2024</v>
      </c>
      <c r="H1291" s="5" t="inlineStr">
        <is>
          <t>Junio</t>
        </is>
      </c>
      <c r="I1291" s="6" t="inlineStr">
        <is>
          <t>2024-1</t>
        </is>
      </c>
      <c r="J1291" s="5" t="n">
        <v>100</v>
      </c>
      <c r="K1291" s="5" t="n">
        <v>92.45283018867924</v>
      </c>
      <c r="L1291" s="14" t="n">
        <v>0.9245283018867925</v>
      </c>
      <c r="M1291" s="14" t="n">
        <v>0.9245283018867925</v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251-2024-06-30</t>
        </is>
      </c>
    </row>
    <row r="1292" hidden="1">
      <c r="A1292" s="21" t="n">
        <v>251</v>
      </c>
      <c r="B1292" s="5" t="inlineStr">
        <is>
          <t>Subprocesos Con CMI Estructurado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09" t="n">
        <v>45565</v>
      </c>
      <c r="G1292" s="5" t="n">
        <v>2024</v>
      </c>
      <c r="H1292" s="5" t="inlineStr">
        <is>
          <t>Septiembre</t>
        </is>
      </c>
      <c r="I1292" s="6" t="inlineStr">
        <is>
          <t>2024-2</t>
        </is>
      </c>
      <c r="J1292" s="5" t="n">
        <v>100</v>
      </c>
      <c r="K1292" s="10" t="n">
        <v>96.22641509433964</v>
      </c>
      <c r="L1292" s="14" t="n">
        <v>0.9622641509433965</v>
      </c>
      <c r="M1292" s="14" t="n">
        <v>0.9622641509433965</v>
      </c>
      <c r="N1292" s="5" t="inlineStr">
        <is>
          <t>%</t>
        </is>
      </c>
      <c r="O1292" s="5" t="inlineStr">
        <is>
          <t>%</t>
        </is>
      </c>
      <c r="P1292" s="15" t="n">
        <v>0</v>
      </c>
      <c r="Q1292" s="15" t="n">
        <v>0</v>
      </c>
      <c r="R1292" s="5" t="inlineStr">
        <is>
          <t>251-2024-09-30</t>
        </is>
      </c>
    </row>
    <row r="1293" hidden="1">
      <c r="A1293" s="21" t="n">
        <v>251</v>
      </c>
      <c r="B1293" s="5" t="inlineStr">
        <is>
          <t>Subprocesos Con CMI Estructurado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09" t="n">
        <v>45657</v>
      </c>
      <c r="G1293" s="5" t="n">
        <v>2024</v>
      </c>
      <c r="H1293" s="5" t="inlineStr">
        <is>
          <t>Diciembre</t>
        </is>
      </c>
      <c r="I1293" s="6" t="inlineStr">
        <is>
          <t>2024-2</t>
        </is>
      </c>
      <c r="J1293" s="5" t="n">
        <v>100</v>
      </c>
      <c r="K1293" s="10" t="n">
        <v>96.22641509433964</v>
      </c>
      <c r="L1293" s="14" t="n">
        <v>0.9622641509433965</v>
      </c>
      <c r="M1293" s="14" t="n">
        <v>0.9622641509433965</v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251-2024-12-31</t>
        </is>
      </c>
    </row>
    <row r="1294" hidden="1">
      <c r="A1294" s="21" t="n">
        <v>251</v>
      </c>
      <c r="B1294" s="5" t="inlineStr">
        <is>
          <t>Subprocesos Con indicadores definidos</t>
        </is>
      </c>
      <c r="C1294" s="5" t="inlineStr">
        <is>
          <t>Desempeño Institucional</t>
        </is>
      </c>
      <c r="D1294" s="5" t="inlineStr">
        <is>
          <t>Semestral</t>
        </is>
      </c>
      <c r="E1294" s="5" t="inlineStr">
        <is>
          <t>Positivo</t>
        </is>
      </c>
      <c r="F1294" s="109" t="n">
        <v>45747</v>
      </c>
      <c r="G1294" s="5" t="n">
        <v>2025</v>
      </c>
      <c r="H1294" s="5" t="inlineStr">
        <is>
          <t>Marzo</t>
        </is>
      </c>
      <c r="I1294" s="6" t="inlineStr">
        <is>
          <t>2025-1</t>
        </is>
      </c>
      <c r="J1294" s="5" t="n">
        <v>100</v>
      </c>
      <c r="K1294" s="9" t="n">
        <v>0</v>
      </c>
      <c r="L1294" s="14" t="n">
        <v>0</v>
      </c>
      <c r="M1294" s="14" t="n">
        <v>0</v>
      </c>
      <c r="N1294" s="5" t="inlineStr">
        <is>
          <t>%</t>
        </is>
      </c>
      <c r="O1294" s="5" t="inlineStr">
        <is>
          <t>%</t>
        </is>
      </c>
      <c r="P1294" s="15" t="n">
        <v>0</v>
      </c>
      <c r="Q1294" s="15" t="n">
        <v>0</v>
      </c>
      <c r="R1294" s="5" t="inlineStr">
        <is>
          <t>251-2025-03-31</t>
        </is>
      </c>
      <c r="S1294" t="inlineStr">
        <is>
          <t>No Aplica</t>
        </is>
      </c>
    </row>
    <row r="1295" hidden="1">
      <c r="A1295" s="21" t="n">
        <v>251</v>
      </c>
      <c r="B1295" s="5" t="inlineStr">
        <is>
          <t>Subprocesos Con CMI Estructurado</t>
        </is>
      </c>
      <c r="C1295" s="5" t="inlineStr">
        <is>
          <t>Desempeño Institucional</t>
        </is>
      </c>
      <c r="D1295" s="5" t="inlineStr">
        <is>
          <t>Trimestral</t>
        </is>
      </c>
      <c r="E1295" s="5" t="inlineStr">
        <is>
          <t>Positivo</t>
        </is>
      </c>
      <c r="F1295" s="109" t="n">
        <v>45838</v>
      </c>
      <c r="G1295" s="5" t="n">
        <v>2025</v>
      </c>
      <c r="H1295" s="5" t="inlineStr">
        <is>
          <t>Junio</t>
        </is>
      </c>
      <c r="I1295" s="6" t="inlineStr">
        <is>
          <t>2025-1</t>
        </is>
      </c>
      <c r="J1295" s="5" t="n">
        <v>100</v>
      </c>
      <c r="K1295" s="9" t="n">
        <v>82.34999999999999</v>
      </c>
      <c r="L1295" s="14" t="n">
        <v>0.8234999999999999</v>
      </c>
      <c r="M1295" s="14" t="n">
        <v>0.8234999999999999</v>
      </c>
      <c r="N1295" s="5" t="inlineStr">
        <is>
          <t>%</t>
        </is>
      </c>
      <c r="O1295" s="5" t="inlineStr">
        <is>
          <t>%</t>
        </is>
      </c>
      <c r="P1295" s="15" t="n">
        <v>0</v>
      </c>
      <c r="Q1295" s="15" t="n">
        <v>0</v>
      </c>
      <c r="R1295" s="5" t="inlineStr">
        <is>
          <t>251-2025-06-30</t>
        </is>
      </c>
    </row>
    <row r="1296" hidden="1">
      <c r="A1296" s="21" t="n">
        <v>251</v>
      </c>
      <c r="B1296" s="5" t="inlineStr">
        <is>
          <t>Subprocesos Con indicadores definidos</t>
        </is>
      </c>
      <c r="C1296" s="5" t="inlineStr">
        <is>
          <t>Desempeño Institucional</t>
        </is>
      </c>
      <c r="D1296" s="5" t="inlineStr">
        <is>
          <t>Semestral</t>
        </is>
      </c>
      <c r="E1296" s="5" t="inlineStr">
        <is>
          <t>Positivo</t>
        </is>
      </c>
      <c r="F1296" s="109" t="n">
        <v>45930</v>
      </c>
      <c r="G1296" s="5" t="n">
        <v>2025</v>
      </c>
      <c r="H1296" s="5" t="inlineStr">
        <is>
          <t>Septiembre</t>
        </is>
      </c>
      <c r="I1296" s="6" t="inlineStr">
        <is>
          <t>2025-2</t>
        </is>
      </c>
      <c r="J1296" s="5" t="n">
        <v>100</v>
      </c>
      <c r="K1296" s="9" t="n">
        <v>96.08</v>
      </c>
      <c r="L1296" s="14" t="n">
        <v>0.9608</v>
      </c>
      <c r="M1296" s="14" t="n">
        <v>0.9608</v>
      </c>
      <c r="N1296" s="5" t="inlineStr">
        <is>
          <t>%</t>
        </is>
      </c>
      <c r="O1296" s="5" t="inlineStr">
        <is>
          <t>%</t>
        </is>
      </c>
      <c r="P1296" s="15" t="n">
        <v>0</v>
      </c>
      <c r="Q1296" s="15" t="n">
        <v>0</v>
      </c>
      <c r="R1296" s="5" t="inlineStr">
        <is>
          <t>251-2025-09-30</t>
        </is>
      </c>
    </row>
    <row r="1297" hidden="1">
      <c r="A1297" s="21" t="n">
        <v>251</v>
      </c>
      <c r="B1297" s="5" t="inlineStr">
        <is>
          <t>Subprocesos Con indicadores definidos</t>
        </is>
      </c>
      <c r="C1297" s="5" t="inlineStr">
        <is>
          <t>Desempeño Institucional</t>
        </is>
      </c>
      <c r="D1297" s="5" t="inlineStr">
        <is>
          <t>Semestral</t>
        </is>
      </c>
      <c r="E1297" s="5" t="inlineStr">
        <is>
          <t>Positivo</t>
        </is>
      </c>
      <c r="F1297" s="109" t="n">
        <v>46022</v>
      </c>
      <c r="G1297" s="5" t="n">
        <v>2025</v>
      </c>
      <c r="H1297" s="5" t="inlineStr">
        <is>
          <t>Diciembre</t>
        </is>
      </c>
      <c r="I1297" s="6" t="inlineStr">
        <is>
          <t>2025-2</t>
        </is>
      </c>
      <c r="J1297" s="5" t="n">
        <v>100</v>
      </c>
      <c r="K1297" s="10" t="n">
        <v>100</v>
      </c>
      <c r="L1297" s="14" t="n">
        <v>1</v>
      </c>
      <c r="M1297" s="14" t="n">
        <v>1</v>
      </c>
      <c r="N1297" s="5" t="inlineStr">
        <is>
          <t>%</t>
        </is>
      </c>
      <c r="O1297" s="5" t="inlineStr">
        <is>
          <t>%</t>
        </is>
      </c>
      <c r="P1297" s="15" t="n">
        <v>0</v>
      </c>
      <c r="Q1297" s="15" t="n">
        <v>0</v>
      </c>
      <c r="R1297" s="5" t="inlineStr">
        <is>
          <t>251-2025-12-31</t>
        </is>
      </c>
    </row>
    <row r="1298" hidden="1">
      <c r="A1298" s="5" t="n">
        <v>251</v>
      </c>
      <c r="B1298" s="5" t="inlineStr">
        <is>
          <t>Subprocesos Con indicadores definidos</t>
        </is>
      </c>
      <c r="C1298" s="5" t="inlineStr">
        <is>
          <t>Desempeño Institucional</t>
        </is>
      </c>
      <c r="D1298" s="5" t="inlineStr">
        <is>
          <t>Semestral</t>
        </is>
      </c>
      <c r="E1298" s="5" t="inlineStr">
        <is>
          <t>Positivo</t>
        </is>
      </c>
      <c r="F1298" s="109" t="n">
        <v>46112</v>
      </c>
      <c r="G1298" s="5" t="n">
        <v>2026</v>
      </c>
      <c r="H1298" s="5" t="inlineStr">
        <is>
          <t>Marzo</t>
        </is>
      </c>
      <c r="I1298" s="6" t="inlineStr">
        <is>
          <t>2026-1</t>
        </is>
      </c>
      <c r="J1298" s="5" t="n">
        <v>100</v>
      </c>
      <c r="K1298" s="5" t="n">
        <v>0</v>
      </c>
      <c r="L1298" s="14" t="n">
        <v>0</v>
      </c>
      <c r="M1298" s="14" t="n">
        <v>0</v>
      </c>
      <c r="N1298" s="5" t="inlineStr">
        <is>
          <t>%</t>
        </is>
      </c>
      <c r="O1298" s="5" t="inlineStr">
        <is>
          <t>%</t>
        </is>
      </c>
      <c r="P1298" s="5" t="n">
        <v>0</v>
      </c>
      <c r="Q1298" s="5" t="n">
        <v>0</v>
      </c>
      <c r="R1298" s="5" t="inlineStr">
        <is>
          <t>251-2026-03-31</t>
        </is>
      </c>
    </row>
    <row r="1299" hidden="1">
      <c r="A1299" s="21" t="n">
        <v>252</v>
      </c>
      <c r="B1299" s="5" t="inlineStr">
        <is>
          <t>Permanencia intersemestral ingresantes</t>
        </is>
      </c>
      <c r="C1299" s="5" t="inlineStr">
        <is>
          <t>Permanencia</t>
        </is>
      </c>
      <c r="D1299" s="5" t="inlineStr">
        <is>
          <t>Semestral</t>
        </is>
      </c>
      <c r="E1299" s="5" t="inlineStr">
        <is>
          <t>Positivo</t>
        </is>
      </c>
      <c r="F1299" s="109" t="n">
        <v>45107</v>
      </c>
      <c r="G1299" s="5" t="n">
        <v>2023</v>
      </c>
      <c r="H1299" s="5" t="inlineStr">
        <is>
          <t>Junio</t>
        </is>
      </c>
      <c r="I1299" s="6" t="inlineStr">
        <is>
          <t>2023-1</t>
        </is>
      </c>
      <c r="J1299" s="5" t="n">
        <v>68</v>
      </c>
      <c r="K1299" s="10" t="n">
        <v>98.81</v>
      </c>
      <c r="L1299" s="14" t="n">
        <v>1.3</v>
      </c>
      <c r="M1299" s="14" t="n">
        <v>1.453088235294118</v>
      </c>
      <c r="N1299" s="5" t="inlineStr">
        <is>
          <t>%</t>
        </is>
      </c>
      <c r="O1299" s="5" t="inlineStr">
        <is>
          <t>%</t>
        </is>
      </c>
      <c r="P1299" s="15" t="n">
        <v>0</v>
      </c>
      <c r="Q1299" s="15" t="n">
        <v>0</v>
      </c>
      <c r="R1299" s="5" t="inlineStr">
        <is>
          <t>252-2023-06-30</t>
        </is>
      </c>
    </row>
    <row r="1300" hidden="1">
      <c r="A1300" s="21" t="n">
        <v>252</v>
      </c>
      <c r="B1300" s="5" t="inlineStr">
        <is>
          <t>Permanencia intersemestral ingresantes</t>
        </is>
      </c>
      <c r="C1300" s="5" t="inlineStr">
        <is>
          <t>Permanencia</t>
        </is>
      </c>
      <c r="D1300" s="5" t="inlineStr">
        <is>
          <t>Semestral</t>
        </is>
      </c>
      <c r="E1300" s="5" t="inlineStr">
        <is>
          <t>Positivo</t>
        </is>
      </c>
      <c r="F1300" s="109" t="n">
        <v>45291</v>
      </c>
      <c r="G1300" s="5" t="n">
        <v>2023</v>
      </c>
      <c r="H1300" s="5" t="inlineStr">
        <is>
          <t>Diciembre</t>
        </is>
      </c>
      <c r="I1300" s="6" t="inlineStr">
        <is>
          <t>2023-2</t>
        </is>
      </c>
      <c r="J1300" s="5" t="n">
        <v>68</v>
      </c>
      <c r="K1300" s="10" t="n">
        <v>109.91</v>
      </c>
      <c r="L1300" s="14" t="n">
        <v>1.3</v>
      </c>
      <c r="M1300" s="14" t="n">
        <v>1.616323529411765</v>
      </c>
      <c r="N1300" s="5" t="inlineStr">
        <is>
          <t>%</t>
        </is>
      </c>
      <c r="O1300" s="5" t="inlineStr">
        <is>
          <t>%</t>
        </is>
      </c>
      <c r="P1300" s="15" t="n">
        <v>0</v>
      </c>
      <c r="Q1300" s="15" t="n">
        <v>0</v>
      </c>
      <c r="R1300" s="5" t="inlineStr">
        <is>
          <t>252-2023-12-31</t>
        </is>
      </c>
    </row>
    <row r="1301" hidden="1">
      <c r="A1301" s="21" t="n">
        <v>252</v>
      </c>
      <c r="B1301" s="5" t="inlineStr">
        <is>
          <t>Permanencia intersemestral ingresantes</t>
        </is>
      </c>
      <c r="C1301" s="5" t="inlineStr">
        <is>
          <t>Permanencia</t>
        </is>
      </c>
      <c r="D1301" s="5" t="inlineStr">
        <is>
          <t>Semestral</t>
        </is>
      </c>
      <c r="E1301" s="5" t="inlineStr">
        <is>
          <t>Positivo</t>
        </is>
      </c>
      <c r="F1301" s="109" t="n">
        <v>45473</v>
      </c>
      <c r="G1301" s="5" t="n">
        <v>2024</v>
      </c>
      <c r="H1301" s="5" t="inlineStr">
        <is>
          <t>Junio</t>
        </is>
      </c>
      <c r="I1301" s="6" t="inlineStr">
        <is>
          <t>2024-1</t>
        </is>
      </c>
      <c r="J1301" s="5" t="n">
        <v>68.5</v>
      </c>
      <c r="K1301" s="9" t="n">
        <v>104.47</v>
      </c>
      <c r="L1301" s="14" t="n">
        <v>1.3</v>
      </c>
      <c r="M1301" s="14" t="n">
        <v>1.525109489051095</v>
      </c>
      <c r="N1301" s="5" t="inlineStr">
        <is>
          <t>%</t>
        </is>
      </c>
      <c r="O1301" s="5" t="inlineStr">
        <is>
          <t>%</t>
        </is>
      </c>
      <c r="P1301" s="15" t="n">
        <v>2</v>
      </c>
      <c r="Q1301" s="15" t="n">
        <v>2</v>
      </c>
      <c r="R1301" s="5" t="inlineStr">
        <is>
          <t>252-2024-06-30</t>
        </is>
      </c>
    </row>
    <row r="1302" hidden="1">
      <c r="A1302" s="21" t="n">
        <v>252</v>
      </c>
      <c r="B1302" s="5" t="inlineStr">
        <is>
          <t>Permanencia intersemestral ingresantes</t>
        </is>
      </c>
      <c r="C1302" s="5" t="inlineStr">
        <is>
          <t>Permanencia</t>
        </is>
      </c>
      <c r="D1302" s="5" t="inlineStr">
        <is>
          <t>Semestral</t>
        </is>
      </c>
      <c r="E1302" s="5" t="inlineStr">
        <is>
          <t>Positivo</t>
        </is>
      </c>
      <c r="F1302" s="109" t="n">
        <v>45657</v>
      </c>
      <c r="G1302" s="5" t="n">
        <v>2024</v>
      </c>
      <c r="H1302" s="5" t="inlineStr">
        <is>
          <t>Diciembre</t>
        </is>
      </c>
      <c r="I1302" s="6" t="inlineStr">
        <is>
          <t>2024-2</t>
        </is>
      </c>
      <c r="J1302" s="5" t="n">
        <v>72.90000000000001</v>
      </c>
      <c r="K1302" s="9" t="n">
        <v>99.48999999999999</v>
      </c>
      <c r="L1302" s="14" t="n">
        <v>1.3</v>
      </c>
      <c r="M1302" s="14" t="n">
        <v>1.36474622770919</v>
      </c>
      <c r="N1302" s="5" t="inlineStr">
        <is>
          <t>%</t>
        </is>
      </c>
      <c r="O1302" s="5" t="inlineStr">
        <is>
          <t>%</t>
        </is>
      </c>
      <c r="P1302" s="15" t="n">
        <v>2</v>
      </c>
      <c r="Q1302" s="15" t="n">
        <v>2</v>
      </c>
      <c r="R1302" s="5" t="inlineStr">
        <is>
          <t>252-2024-12-31</t>
        </is>
      </c>
    </row>
    <row r="1303" hidden="1">
      <c r="A1303" s="21" t="n">
        <v>252</v>
      </c>
      <c r="B1303" s="5" t="inlineStr">
        <is>
          <t>Permanencia intersemestral ingresantes</t>
        </is>
      </c>
      <c r="C1303" s="5" t="inlineStr">
        <is>
          <t>Permanencia</t>
        </is>
      </c>
      <c r="D1303" s="5" t="inlineStr">
        <is>
          <t>Semestral</t>
        </is>
      </c>
      <c r="E1303" s="5" t="inlineStr">
        <is>
          <t>Positivo</t>
        </is>
      </c>
      <c r="F1303" s="109" t="n">
        <v>45838</v>
      </c>
      <c r="G1303" s="5" t="n">
        <v>2025</v>
      </c>
      <c r="H1303" s="5" t="inlineStr">
        <is>
          <t>Junio</t>
        </is>
      </c>
      <c r="I1303" s="6" t="inlineStr">
        <is>
          <t>2025-1</t>
        </is>
      </c>
      <c r="J1303" s="5" t="n">
        <v>100</v>
      </c>
      <c r="K1303" s="9" t="n">
        <v>99.58</v>
      </c>
      <c r="L1303" s="14" t="n">
        <v>0.9958</v>
      </c>
      <c r="M1303" s="14" t="n">
        <v>0.9958</v>
      </c>
      <c r="N1303" s="5" t="inlineStr">
        <is>
          <t>%</t>
        </is>
      </c>
      <c r="O1303" s="5" t="inlineStr">
        <is>
          <t>%</t>
        </is>
      </c>
      <c r="P1303" s="15" t="n">
        <v>2</v>
      </c>
      <c r="Q1303" s="15" t="n">
        <v>2</v>
      </c>
      <c r="R1303" s="5" t="inlineStr">
        <is>
          <t>252-2025-06-30</t>
        </is>
      </c>
    </row>
    <row r="1304" hidden="1">
      <c r="A1304" s="21" t="n">
        <v>252</v>
      </c>
      <c r="B1304" s="5" t="inlineStr">
        <is>
          <t>Tasa de Permanencia Intersemestral de Estudiantes Ingresantes</t>
        </is>
      </c>
      <c r="C1304" s="5" t="inlineStr">
        <is>
          <t>Permanencia</t>
        </is>
      </c>
      <c r="D1304" s="5" t="inlineStr">
        <is>
          <t>Trimestral</t>
        </is>
      </c>
      <c r="E1304" s="5" t="inlineStr">
        <is>
          <t>Positivo</t>
        </is>
      </c>
      <c r="F1304" s="109" t="n">
        <v>46022</v>
      </c>
      <c r="G1304" s="5" t="n">
        <v>2025</v>
      </c>
      <c r="H1304" s="5" t="inlineStr">
        <is>
          <t>Diciembre</t>
        </is>
      </c>
      <c r="I1304" s="6" t="inlineStr">
        <is>
          <t>2025-2</t>
        </is>
      </c>
      <c r="J1304" s="5" t="n">
        <v>100</v>
      </c>
      <c r="K1304" s="10" t="n">
        <v>104.31</v>
      </c>
      <c r="L1304" s="14" t="n">
        <v>1.0431</v>
      </c>
      <c r="M1304" s="14" t="n">
        <v>1.0431</v>
      </c>
      <c r="N1304" s="5" t="inlineStr">
        <is>
          <t>%</t>
        </is>
      </c>
      <c r="O1304" s="5" t="inlineStr">
        <is>
          <t>%</t>
        </is>
      </c>
      <c r="P1304" s="15" t="n">
        <v>1</v>
      </c>
      <c r="Q1304" s="15" t="n">
        <v>1</v>
      </c>
      <c r="R1304" s="5" t="inlineStr">
        <is>
          <t>252-2025-12-31</t>
        </is>
      </c>
    </row>
    <row r="1305" hidden="1">
      <c r="A1305" s="5" t="n">
        <v>253</v>
      </c>
      <c r="B1305" s="5" t="inlineStr">
        <is>
          <t>Oportunidad en la entrega de informes de auditoria</t>
        </is>
      </c>
      <c r="C1305" s="5" t="inlineStr">
        <is>
          <t>AUDITORÍA INTERNA</t>
        </is>
      </c>
      <c r="D1305" s="5" t="inlineStr">
        <is>
          <t>Bimestral</t>
        </is>
      </c>
      <c r="E1305" s="5" t="inlineStr">
        <is>
          <t>Negativo</t>
        </is>
      </c>
      <c r="F1305" s="109" t="n">
        <v>45046</v>
      </c>
      <c r="G1305" s="5" t="n">
        <v>2023</v>
      </c>
      <c r="H1305" s="5" t="inlineStr">
        <is>
          <t>Abril</t>
        </is>
      </c>
      <c r="I1305" s="6" t="inlineStr">
        <is>
          <t>2023-1</t>
        </is>
      </c>
      <c r="J1305" s="5" t="n">
        <v>8</v>
      </c>
      <c r="K1305" s="5" t="n">
        <v>8</v>
      </c>
      <c r="L1305" s="14" t="n">
        <v>1</v>
      </c>
      <c r="M1305" s="14" t="n">
        <v>1</v>
      </c>
      <c r="N1305" s="5" t="inlineStr">
        <is>
          <t>N/A</t>
        </is>
      </c>
      <c r="O1305" s="5" t="inlineStr">
        <is>
          <t>N/A</t>
        </is>
      </c>
      <c r="P1305" s="5" t="n">
        <v>0</v>
      </c>
      <c r="Q1305" s="5" t="n">
        <v>0</v>
      </c>
      <c r="R1305" s="5" t="inlineStr">
        <is>
          <t>253-2023-04-30</t>
        </is>
      </c>
    </row>
    <row r="1306" hidden="1">
      <c r="A1306" s="21" t="n">
        <v>253</v>
      </c>
      <c r="B1306" s="5" t="inlineStr">
        <is>
          <t>Oportunidad en la entrega de informes de auditoria</t>
        </is>
      </c>
      <c r="C1306" s="5" t="inlineStr">
        <is>
          <t>AUDITORÍA INTERNA</t>
        </is>
      </c>
      <c r="D1306" s="5" t="inlineStr">
        <is>
          <t>Bimestral</t>
        </is>
      </c>
      <c r="E1306" s="5" t="inlineStr">
        <is>
          <t>Negativo</t>
        </is>
      </c>
      <c r="F1306" s="109" t="n">
        <v>45107</v>
      </c>
      <c r="G1306" s="5" t="n">
        <v>2023</v>
      </c>
      <c r="H1306" s="5" t="inlineStr">
        <is>
          <t>Junio</t>
        </is>
      </c>
      <c r="I1306" s="6" t="inlineStr">
        <is>
          <t>2023-1</t>
        </is>
      </c>
      <c r="J1306" s="5" t="n">
        <v>8</v>
      </c>
      <c r="K1306" s="10" t="n">
        <v>4.5</v>
      </c>
      <c r="L1306" s="14" t="n">
        <v>1.3</v>
      </c>
      <c r="M1306" s="14" t="n">
        <v>1.777777777777778</v>
      </c>
      <c r="N1306" s="5" t="inlineStr">
        <is>
          <t>N/A</t>
        </is>
      </c>
      <c r="O1306" s="5" t="inlineStr">
        <is>
          <t>N/A</t>
        </is>
      </c>
      <c r="P1306" s="15" t="n">
        <v>1</v>
      </c>
      <c r="Q1306" s="15" t="n">
        <v>1</v>
      </c>
      <c r="R1306" s="5" t="inlineStr">
        <is>
          <t>253-2023-06-30</t>
        </is>
      </c>
    </row>
    <row r="1307" hidden="1">
      <c r="A1307" s="21" t="n">
        <v>253</v>
      </c>
      <c r="B1307" s="5" t="inlineStr">
        <is>
          <t>Oportunidad en la entrega de informes de auditoria</t>
        </is>
      </c>
      <c r="C1307" s="5" t="inlineStr">
        <is>
          <t>AUDITORÍA INTERNA</t>
        </is>
      </c>
      <c r="D1307" s="5" t="inlineStr">
        <is>
          <t>Bimestral</t>
        </is>
      </c>
      <c r="E1307" s="5" t="inlineStr">
        <is>
          <t>Negativo</t>
        </is>
      </c>
      <c r="F1307" s="109" t="n">
        <v>45169</v>
      </c>
      <c r="G1307" s="5" t="n">
        <v>2023</v>
      </c>
      <c r="H1307" s="5" t="inlineStr">
        <is>
          <t>Agosto</t>
        </is>
      </c>
      <c r="I1307" s="6" t="inlineStr">
        <is>
          <t>2023-2</t>
        </is>
      </c>
      <c r="J1307" s="5" t="n">
        <v>8</v>
      </c>
      <c r="K1307" s="10" t="n">
        <v>4.5</v>
      </c>
      <c r="L1307" s="14" t="n">
        <v>1.3</v>
      </c>
      <c r="M1307" s="14" t="n">
        <v>1.777777777777778</v>
      </c>
      <c r="N1307" s="5" t="inlineStr">
        <is>
          <t>N/A</t>
        </is>
      </c>
      <c r="O1307" s="5" t="inlineStr">
        <is>
          <t>N/A</t>
        </is>
      </c>
      <c r="P1307" s="15" t="n">
        <v>1</v>
      </c>
      <c r="Q1307" s="15" t="n">
        <v>1</v>
      </c>
      <c r="R1307" s="5" t="inlineStr">
        <is>
          <t>253-2023-08-31</t>
        </is>
      </c>
    </row>
    <row r="1308" hidden="1">
      <c r="A1308" s="21" t="n">
        <v>253</v>
      </c>
      <c r="B1308" s="5" t="inlineStr">
        <is>
          <t>Oportunidad en la entrega de informes de auditoria</t>
        </is>
      </c>
      <c r="C1308" s="5" t="inlineStr">
        <is>
          <t>AUDITORÍA INTERNA</t>
        </is>
      </c>
      <c r="D1308" s="5" t="inlineStr">
        <is>
          <t>Bimestral</t>
        </is>
      </c>
      <c r="E1308" s="5" t="inlineStr">
        <is>
          <t>Negativo</t>
        </is>
      </c>
      <c r="F1308" s="109" t="n">
        <v>45230</v>
      </c>
      <c r="G1308" s="5" t="n">
        <v>2023</v>
      </c>
      <c r="H1308" s="5" t="inlineStr">
        <is>
          <t>Octubre</t>
        </is>
      </c>
      <c r="I1308" s="6" t="inlineStr">
        <is>
          <t>2023-2</t>
        </is>
      </c>
      <c r="J1308" s="5" t="n">
        <v>8</v>
      </c>
      <c r="K1308" s="9" t="n">
        <v>5.8</v>
      </c>
      <c r="L1308" s="14" t="n">
        <v>1.3</v>
      </c>
      <c r="M1308" s="14" t="n">
        <v>1.379310344827586</v>
      </c>
      <c r="N1308" s="5" t="inlineStr">
        <is>
          <t>N/A</t>
        </is>
      </c>
      <c r="O1308" s="5" t="inlineStr">
        <is>
          <t>N/A</t>
        </is>
      </c>
      <c r="P1308" s="15" t="n">
        <v>1</v>
      </c>
      <c r="Q1308" s="15" t="n">
        <v>1</v>
      </c>
      <c r="R1308" s="5" t="inlineStr">
        <is>
          <t>253-2023-10-31</t>
        </is>
      </c>
    </row>
    <row r="1309" hidden="1">
      <c r="A1309" s="21" t="n">
        <v>253</v>
      </c>
      <c r="B1309" s="5" t="inlineStr">
        <is>
          <t>Oportunidad en la entrega de informes de auditoria</t>
        </is>
      </c>
      <c r="C1309" s="5" t="inlineStr">
        <is>
          <t>AUDITORÍA INTERNA</t>
        </is>
      </c>
      <c r="D1309" s="5" t="inlineStr">
        <is>
          <t>Bimestral</t>
        </is>
      </c>
      <c r="E1309" s="5" t="inlineStr">
        <is>
          <t>Negativo</t>
        </is>
      </c>
      <c r="F1309" s="109" t="n">
        <v>45291</v>
      </c>
      <c r="G1309" s="5" t="n">
        <v>2023</v>
      </c>
      <c r="H1309" s="5" t="inlineStr">
        <is>
          <t>Diciembre</t>
        </is>
      </c>
      <c r="I1309" s="6" t="inlineStr">
        <is>
          <t>2023-2</t>
        </is>
      </c>
      <c r="J1309" s="5" t="n">
        <v>8</v>
      </c>
      <c r="K1309" s="9" t="n">
        <v>5</v>
      </c>
      <c r="L1309" s="14" t="n">
        <v>1.3</v>
      </c>
      <c r="M1309" s="14" t="n">
        <v>1.6</v>
      </c>
      <c r="N1309" s="5" t="inlineStr">
        <is>
          <t>N/A</t>
        </is>
      </c>
      <c r="O1309" s="5" t="inlineStr">
        <is>
          <t>N/A</t>
        </is>
      </c>
      <c r="P1309" s="15" t="n">
        <v>0</v>
      </c>
      <c r="Q1309" s="15" t="n">
        <v>0</v>
      </c>
      <c r="R1309" s="5" t="inlineStr">
        <is>
          <t>253-2023-12-31</t>
        </is>
      </c>
    </row>
    <row r="1310" hidden="1">
      <c r="A1310" s="21" t="n">
        <v>254</v>
      </c>
      <c r="B1310" s="5" t="inlineStr">
        <is>
          <t>Áreas con reportes de plan de retos</t>
        </is>
      </c>
      <c r="C1310" s="5" t="inlineStr">
        <is>
          <t>Planeación Estratégica</t>
        </is>
      </c>
      <c r="D1310" s="5" t="inlineStr">
        <is>
          <t>Semestral</t>
        </is>
      </c>
      <c r="E1310" s="5" t="inlineStr">
        <is>
          <t>Positivo</t>
        </is>
      </c>
      <c r="F1310" s="109" t="n">
        <v>45016</v>
      </c>
      <c r="G1310" s="5" t="n">
        <v>2023</v>
      </c>
      <c r="H1310" s="5" t="inlineStr">
        <is>
          <t>Marzo</t>
        </is>
      </c>
      <c r="I1310" s="6" t="inlineStr">
        <is>
          <t>2023-1</t>
        </is>
      </c>
      <c r="J1310" s="5" t="n">
        <v>55</v>
      </c>
      <c r="K1310" s="9" t="n">
        <v>100</v>
      </c>
      <c r="L1310" s="14" t="n">
        <v>1.3</v>
      </c>
      <c r="M1310" s="14" t="n">
        <v>1.818181818181818</v>
      </c>
      <c r="N1310" s="5" t="inlineStr">
        <is>
          <t>ENT</t>
        </is>
      </c>
      <c r="O1310" s="5" t="inlineStr">
        <is>
          <t>ENT</t>
        </is>
      </c>
      <c r="P1310" s="15" t="n">
        <v>0</v>
      </c>
      <c r="Q1310" s="15" t="n">
        <v>0</v>
      </c>
      <c r="R1310" s="5" t="inlineStr">
        <is>
          <t>254-2023-03-31</t>
        </is>
      </c>
    </row>
    <row r="1311" hidden="1">
      <c r="A1311" s="21" t="n">
        <v>254</v>
      </c>
      <c r="B1311" s="5" t="inlineStr">
        <is>
          <t>Áreas con reportes de plan de retos</t>
        </is>
      </c>
      <c r="C1311" s="5" t="inlineStr">
        <is>
          <t>Planeación Estratégica</t>
        </is>
      </c>
      <c r="D1311" s="5" t="inlineStr">
        <is>
          <t>Trianual</t>
        </is>
      </c>
      <c r="E1311" s="5" t="inlineStr">
        <is>
          <t>Positivo</t>
        </is>
      </c>
      <c r="F1311" s="109" t="n">
        <v>45107</v>
      </c>
      <c r="G1311" s="5" t="n">
        <v>2023</v>
      </c>
      <c r="H1311" s="5" t="inlineStr">
        <is>
          <t>Junio</t>
        </is>
      </c>
      <c r="I1311" s="6" t="inlineStr">
        <is>
          <t>2023-1</t>
        </is>
      </c>
      <c r="J1311" s="5" t="n">
        <v>100</v>
      </c>
      <c r="K1311" s="9" t="n">
        <v>100</v>
      </c>
      <c r="L1311" s="14" t="n">
        <v>1</v>
      </c>
      <c r="M1311" s="14" t="n">
        <v>1</v>
      </c>
      <c r="N1311" s="5" t="inlineStr">
        <is>
          <t>ENT</t>
        </is>
      </c>
      <c r="O1311" s="5" t="inlineStr">
        <is>
          <t>ENT</t>
        </is>
      </c>
      <c r="P1311" s="15" t="n">
        <v>0</v>
      </c>
      <c r="Q1311" s="15" t="n">
        <v>0</v>
      </c>
      <c r="R1311" s="5" t="inlineStr">
        <is>
          <t>254-2023-06-30</t>
        </is>
      </c>
    </row>
    <row r="1312" hidden="1">
      <c r="A1312" s="21" t="n">
        <v>254</v>
      </c>
      <c r="B1312" s="5" t="inlineStr">
        <is>
          <t>Áreas con reportes de plan de retos</t>
        </is>
      </c>
      <c r="C1312" s="5" t="inlineStr">
        <is>
          <t>Planeación Estratégica</t>
        </is>
      </c>
      <c r="D1312" s="5" t="inlineStr">
        <is>
          <t>Trimestral</t>
        </is>
      </c>
      <c r="E1312" s="5" t="inlineStr">
        <is>
          <t>Positivo</t>
        </is>
      </c>
      <c r="F1312" s="109" t="n">
        <v>45199</v>
      </c>
      <c r="G1312" s="5" t="n">
        <v>2023</v>
      </c>
      <c r="H1312" s="5" t="inlineStr">
        <is>
          <t>Septiembre</t>
        </is>
      </c>
      <c r="I1312" s="6" t="inlineStr">
        <is>
          <t>2023-2</t>
        </is>
      </c>
      <c r="J1312" s="5" t="n">
        <v>100</v>
      </c>
      <c r="K1312" s="9" t="n">
        <v>98.181818181818</v>
      </c>
      <c r="L1312" s="14" t="n">
        <v>0.98181818181818</v>
      </c>
      <c r="M1312" s="14" t="n">
        <v>0.98181818181818</v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254-2023-09-30</t>
        </is>
      </c>
    </row>
    <row r="1313" hidden="1">
      <c r="A1313" s="21" t="n">
        <v>254</v>
      </c>
      <c r="B1313" s="5" t="inlineStr">
        <is>
          <t>Áreas con reportes de plan de retos</t>
        </is>
      </c>
      <c r="C1313" s="5" t="inlineStr">
        <is>
          <t>Planeación Estratégica</t>
        </is>
      </c>
      <c r="D1313" s="5" t="inlineStr">
        <is>
          <t>Trimestral</t>
        </is>
      </c>
      <c r="E1313" s="5" t="inlineStr">
        <is>
          <t>Positivo</t>
        </is>
      </c>
      <c r="F1313" s="109" t="n">
        <v>45291</v>
      </c>
      <c r="G1313" s="5" t="n">
        <v>2023</v>
      </c>
      <c r="H1313" s="5" t="inlineStr">
        <is>
          <t>Diciembre</t>
        </is>
      </c>
      <c r="I1313" s="6" t="inlineStr">
        <is>
          <t>2023-2</t>
        </is>
      </c>
      <c r="J1313" s="5" t="n">
        <v>100</v>
      </c>
      <c r="K1313" s="9" t="n">
        <v>100</v>
      </c>
      <c r="L1313" s="14" t="n">
        <v>1</v>
      </c>
      <c r="M1313" s="14" t="n">
        <v>1</v>
      </c>
      <c r="N1313" s="5" t="inlineStr">
        <is>
          <t>ENT</t>
        </is>
      </c>
      <c r="O1313" s="5" t="inlineStr">
        <is>
          <t>ENT</t>
        </is>
      </c>
      <c r="P1313" s="15" t="n">
        <v>0</v>
      </c>
      <c r="Q1313" s="15" t="n">
        <v>0</v>
      </c>
      <c r="R1313" s="5" t="inlineStr">
        <is>
          <t>254-2023-12-31</t>
        </is>
      </c>
    </row>
    <row r="1314" hidden="1">
      <c r="A1314" s="5" t="n">
        <v>254</v>
      </c>
      <c r="B1314" s="5" t="inlineStr">
        <is>
          <t>Áreas con reportes de plan de retos</t>
        </is>
      </c>
      <c r="C1314" s="5" t="inlineStr">
        <is>
          <t>Planeación Estratégica</t>
        </is>
      </c>
      <c r="D1314" s="5" t="inlineStr">
        <is>
          <t>Trimestral</t>
        </is>
      </c>
      <c r="E1314" s="5" t="inlineStr">
        <is>
          <t>Positivo</t>
        </is>
      </c>
      <c r="F1314" s="109" t="n">
        <v>45382</v>
      </c>
      <c r="G1314" s="5" t="n">
        <v>2024</v>
      </c>
      <c r="H1314" s="5" t="inlineStr">
        <is>
          <t>Marzo</t>
        </is>
      </c>
      <c r="I1314" s="6" t="inlineStr">
        <is>
          <t>2024-1</t>
        </is>
      </c>
      <c r="J1314" s="5" t="n">
        <v>100</v>
      </c>
      <c r="K1314" s="5" t="n">
        <v>100</v>
      </c>
      <c r="L1314" s="14" t="n">
        <v>1</v>
      </c>
      <c r="M1314" s="14" t="n">
        <v>1</v>
      </c>
      <c r="N1314" s="5" t="inlineStr">
        <is>
          <t>%</t>
        </is>
      </c>
      <c r="O1314" s="5" t="inlineStr">
        <is>
          <t>%</t>
        </is>
      </c>
      <c r="P1314" s="5" t="n">
        <v>0</v>
      </c>
      <c r="Q1314" s="5" t="n">
        <v>0</v>
      </c>
      <c r="R1314" s="5" t="inlineStr">
        <is>
          <t>254-2024-03-31</t>
        </is>
      </c>
    </row>
    <row r="1315" hidden="1">
      <c r="A1315" s="21" t="n">
        <v>254</v>
      </c>
      <c r="B1315" s="5" t="inlineStr">
        <is>
          <t>Áreas con reportes de plan de retos</t>
        </is>
      </c>
      <c r="C1315" s="5" t="inlineStr">
        <is>
          <t>Planeación Estratégica</t>
        </is>
      </c>
      <c r="D1315" s="5" t="inlineStr">
        <is>
          <t>Trimestral</t>
        </is>
      </c>
      <c r="E1315" s="5" t="inlineStr">
        <is>
          <t>Positivo</t>
        </is>
      </c>
      <c r="F1315" s="109" t="n">
        <v>45473</v>
      </c>
      <c r="G1315" s="5" t="n">
        <v>2024</v>
      </c>
      <c r="H1315" s="5" t="inlineStr">
        <is>
          <t>Junio</t>
        </is>
      </c>
      <c r="I1315" s="6" t="inlineStr">
        <is>
          <t>2024-1</t>
        </is>
      </c>
      <c r="J1315" s="5" t="n">
        <v>100</v>
      </c>
      <c r="K1315" s="10" t="n">
        <v>100</v>
      </c>
      <c r="L1315" s="14" t="n">
        <v>1</v>
      </c>
      <c r="M1315" s="14" t="n">
        <v>1</v>
      </c>
      <c r="N1315" s="5" t="inlineStr">
        <is>
          <t>ENT</t>
        </is>
      </c>
      <c r="O1315" s="5" t="inlineStr">
        <is>
          <t>ENT</t>
        </is>
      </c>
      <c r="P1315" s="15" t="n">
        <v>0</v>
      </c>
      <c r="Q1315" s="15" t="n">
        <v>0</v>
      </c>
      <c r="R1315" s="5" t="inlineStr">
        <is>
          <t>254-2024-06-30</t>
        </is>
      </c>
    </row>
    <row r="1316" hidden="1">
      <c r="A1316" s="21" t="n">
        <v>254</v>
      </c>
      <c r="B1316" s="5" t="inlineStr">
        <is>
          <t>Áreas con reportes de plan de retos</t>
        </is>
      </c>
      <c r="C1316" s="5" t="inlineStr">
        <is>
          <t>Planeación Estratégica</t>
        </is>
      </c>
      <c r="D1316" s="5" t="inlineStr">
        <is>
          <t>Trimestral</t>
        </is>
      </c>
      <c r="E1316" s="5" t="inlineStr">
        <is>
          <t>Positivo</t>
        </is>
      </c>
      <c r="F1316" s="109" t="n">
        <v>45565</v>
      </c>
      <c r="G1316" s="5" t="n">
        <v>2024</v>
      </c>
      <c r="H1316" s="5" t="inlineStr">
        <is>
          <t>Septiembre</t>
        </is>
      </c>
      <c r="I1316" s="6" t="inlineStr">
        <is>
          <t>2024-2</t>
        </is>
      </c>
      <c r="J1316" s="5" t="n">
        <v>100</v>
      </c>
      <c r="K1316" s="10" t="n">
        <v>100</v>
      </c>
      <c r="L1316" s="14" t="n">
        <v>1</v>
      </c>
      <c r="M1316" s="14" t="n">
        <v>1</v>
      </c>
      <c r="N1316" s="5" t="inlineStr">
        <is>
          <t>%</t>
        </is>
      </c>
      <c r="O1316" s="5" t="inlineStr">
        <is>
          <t>%</t>
        </is>
      </c>
      <c r="P1316" s="15" t="n">
        <v>0</v>
      </c>
      <c r="Q1316" s="15" t="n">
        <v>0</v>
      </c>
      <c r="R1316" s="5" t="inlineStr">
        <is>
          <t>254-2024-09-30</t>
        </is>
      </c>
    </row>
    <row r="1317" hidden="1">
      <c r="A1317" s="21" t="n">
        <v>254</v>
      </c>
      <c r="B1317" s="5" t="inlineStr">
        <is>
          <t>Áreas con reportes de plan de retos</t>
        </is>
      </c>
      <c r="C1317" s="5" t="inlineStr">
        <is>
          <t>Planeación Estratégica</t>
        </is>
      </c>
      <c r="D1317" s="5" t="inlineStr">
        <is>
          <t>Trimestral</t>
        </is>
      </c>
      <c r="E1317" s="5" t="inlineStr">
        <is>
          <t>Positivo</t>
        </is>
      </c>
      <c r="F1317" s="108" t="n">
        <v>45657</v>
      </c>
      <c r="G1317" s="5" t="n">
        <v>2024</v>
      </c>
      <c r="H1317" s="5" t="inlineStr">
        <is>
          <t>Diciembre</t>
        </is>
      </c>
      <c r="I1317" s="6" t="inlineStr">
        <is>
          <t>2024-2</t>
        </is>
      </c>
      <c r="J1317" s="5" t="n">
        <v>100</v>
      </c>
      <c r="K1317" s="9" t="n">
        <v>100</v>
      </c>
      <c r="L1317" s="14" t="n">
        <v>1</v>
      </c>
      <c r="M1317" s="14" t="n">
        <v>1</v>
      </c>
      <c r="N1317" s="5" t="inlineStr">
        <is>
          <t>ENT</t>
        </is>
      </c>
      <c r="O1317" s="5" t="inlineStr">
        <is>
          <t>ENT</t>
        </is>
      </c>
      <c r="P1317" s="15" t="n">
        <v>0</v>
      </c>
      <c r="Q1317" s="15" t="n">
        <v>0</v>
      </c>
      <c r="R1317" s="5" t="inlineStr">
        <is>
          <t>254-2024-12-31</t>
        </is>
      </c>
    </row>
    <row r="1318" hidden="1">
      <c r="A1318" s="26" t="n">
        <v>254</v>
      </c>
      <c r="B1318" s="5" t="inlineStr">
        <is>
          <t>Áreas con reportes de plan de retos</t>
        </is>
      </c>
      <c r="C1318" s="5" t="inlineStr">
        <is>
          <t>Planeación Estratégica</t>
        </is>
      </c>
      <c r="D1318" s="5" t="inlineStr">
        <is>
          <t>Trimestral</t>
        </is>
      </c>
      <c r="E1318" s="5" t="inlineStr">
        <is>
          <t>Positivo</t>
        </is>
      </c>
      <c r="F1318" s="109" t="n">
        <v>45747</v>
      </c>
      <c r="G1318" s="5" t="n">
        <v>2025</v>
      </c>
      <c r="H1318" s="5" t="inlineStr">
        <is>
          <t>Marzo</t>
        </is>
      </c>
      <c r="I1318" s="6" t="inlineStr">
        <is>
          <t>2025-1</t>
        </is>
      </c>
      <c r="J1318" s="5" t="n">
        <v>100</v>
      </c>
      <c r="K1318" s="9" t="n">
        <v>100</v>
      </c>
      <c r="L1318" s="14" t="n">
        <v>1</v>
      </c>
      <c r="M1318" s="14" t="n">
        <v>1</v>
      </c>
      <c r="N1318" s="5" t="inlineStr">
        <is>
          <t>%</t>
        </is>
      </c>
      <c r="O1318" s="5" t="inlineStr">
        <is>
          <t>%</t>
        </is>
      </c>
      <c r="P1318" s="15" t="n">
        <v>0</v>
      </c>
      <c r="Q1318" s="15" t="n">
        <v>0</v>
      </c>
      <c r="R1318" s="5" t="inlineStr">
        <is>
          <t>254-2025-03-31</t>
        </is>
      </c>
    </row>
    <row r="1319" hidden="1">
      <c r="A1319" s="21" t="n">
        <v>254</v>
      </c>
      <c r="B1319" s="5" t="inlineStr">
        <is>
          <t>Áreas con reportes de plan de retos</t>
        </is>
      </c>
      <c r="C1319" s="5" t="inlineStr">
        <is>
          <t>Planeación Estratégica</t>
        </is>
      </c>
      <c r="D1319" s="5" t="inlineStr">
        <is>
          <t>Trimestral</t>
        </is>
      </c>
      <c r="E1319" s="5" t="inlineStr">
        <is>
          <t>Positivo</t>
        </is>
      </c>
      <c r="F1319" s="108" t="n">
        <v>45838</v>
      </c>
      <c r="G1319" s="5" t="n">
        <v>2025</v>
      </c>
      <c r="H1319" s="5" t="inlineStr">
        <is>
          <t>Junio</t>
        </is>
      </c>
      <c r="I1319" s="6" t="inlineStr">
        <is>
          <t>2025-1</t>
        </is>
      </c>
      <c r="J1319" s="5" t="n">
        <v>100</v>
      </c>
      <c r="K1319" s="9" t="n">
        <v>100</v>
      </c>
      <c r="L1319" s="14" t="n">
        <v>1</v>
      </c>
      <c r="M1319" s="14" t="n">
        <v>1</v>
      </c>
      <c r="N1319" s="5" t="inlineStr">
        <is>
          <t>ENT</t>
        </is>
      </c>
      <c r="O1319" s="5" t="inlineStr">
        <is>
          <t>ENT</t>
        </is>
      </c>
      <c r="P1319" s="15" t="n">
        <v>0</v>
      </c>
      <c r="Q1319" s="15" t="n">
        <v>0</v>
      </c>
      <c r="R1319" s="5" t="inlineStr">
        <is>
          <t>254-2025-06-30</t>
        </is>
      </c>
    </row>
    <row r="1320" hidden="1">
      <c r="A1320" s="21" t="n">
        <v>254</v>
      </c>
      <c r="B1320" s="5" t="inlineStr">
        <is>
          <t>Áreas con reportes de plan de retos</t>
        </is>
      </c>
      <c r="C1320" s="5" t="inlineStr">
        <is>
          <t>Planeación Estratégica</t>
        </is>
      </c>
      <c r="D1320" s="5" t="inlineStr">
        <is>
          <t>Semestral</t>
        </is>
      </c>
      <c r="E1320" s="5" t="inlineStr">
        <is>
          <t>Positivo</t>
        </is>
      </c>
      <c r="F1320" s="109" t="n">
        <v>45930</v>
      </c>
      <c r="G1320" s="5" t="n">
        <v>2025</v>
      </c>
      <c r="H1320" s="5" t="inlineStr">
        <is>
          <t>Septiembre</t>
        </is>
      </c>
      <c r="I1320" s="6" t="inlineStr">
        <is>
          <t>2025-2</t>
        </is>
      </c>
      <c r="J1320" s="5" t="n">
        <v>100</v>
      </c>
      <c r="K1320" s="10" t="n">
        <v>100</v>
      </c>
      <c r="L1320" s="14" t="n">
        <v>1</v>
      </c>
      <c r="M1320" s="14" t="n">
        <v>1</v>
      </c>
      <c r="N1320" s="5" t="inlineStr">
        <is>
          <t>%</t>
        </is>
      </c>
      <c r="O1320" s="5" t="inlineStr">
        <is>
          <t>%</t>
        </is>
      </c>
      <c r="P1320" s="15" t="n">
        <v>0</v>
      </c>
      <c r="Q1320" s="15" t="n">
        <v>0</v>
      </c>
      <c r="R1320" s="5" t="inlineStr">
        <is>
          <t>254-2025-09-30</t>
        </is>
      </c>
    </row>
    <row r="1321" hidden="1">
      <c r="A1321" s="21" t="n">
        <v>254</v>
      </c>
      <c r="B1321" s="5" t="inlineStr">
        <is>
          <t>Áreas con reportes de plan de retos</t>
        </is>
      </c>
      <c r="C1321" s="5" t="inlineStr">
        <is>
          <t>Planeación Estratégica</t>
        </is>
      </c>
      <c r="D1321" s="5" t="inlineStr">
        <is>
          <t>Semestral</t>
        </is>
      </c>
      <c r="E1321" s="5" t="inlineStr">
        <is>
          <t>Positivo</t>
        </is>
      </c>
      <c r="F1321" s="108" t="n">
        <v>46022</v>
      </c>
      <c r="G1321" s="5" t="n">
        <v>2025</v>
      </c>
      <c r="H1321" s="5" t="inlineStr">
        <is>
          <t>Diciembre</t>
        </is>
      </c>
      <c r="I1321" s="6" t="inlineStr">
        <is>
          <t>2025-2</t>
        </is>
      </c>
      <c r="J1321" s="11" t="n">
        <v>100</v>
      </c>
      <c r="K1321" s="9" t="n">
        <v>100</v>
      </c>
      <c r="L1321" s="14" t="n">
        <v>1</v>
      </c>
      <c r="M1321" s="14" t="n">
        <v>1</v>
      </c>
      <c r="N1321" s="11" t="inlineStr">
        <is>
          <t>ENT</t>
        </is>
      </c>
      <c r="O1321" s="11" t="inlineStr">
        <is>
          <t>ENT</t>
        </is>
      </c>
      <c r="P1321" s="15" t="n">
        <v>0</v>
      </c>
      <c r="Q1321" s="15" t="n">
        <v>0</v>
      </c>
      <c r="R1321" s="5" t="inlineStr">
        <is>
          <t>254-2025-12-31</t>
        </is>
      </c>
    </row>
    <row r="1322" hidden="1">
      <c r="A1322" s="26" t="n">
        <v>255</v>
      </c>
      <c r="B1322" s="5" t="inlineStr">
        <is>
          <t>Informe anual de variación de índice H</t>
        </is>
      </c>
      <c r="C1322" s="5" t="inlineStr">
        <is>
          <t>Editorial y Publicaciones</t>
        </is>
      </c>
      <c r="D1322" s="5" t="inlineStr">
        <is>
          <t>Anual</t>
        </is>
      </c>
      <c r="E1322" s="5" t="inlineStr">
        <is>
          <t>Positivo</t>
        </is>
      </c>
      <c r="F1322" s="109" t="n">
        <v>45291</v>
      </c>
      <c r="G1322" s="5" t="n">
        <v>2023</v>
      </c>
      <c r="H1322" s="5" t="inlineStr">
        <is>
          <t>Diciembre</t>
        </is>
      </c>
      <c r="I1322" s="6" t="inlineStr">
        <is>
          <t>2023-2</t>
        </is>
      </c>
      <c r="J1322" s="5" t="n">
        <v>100</v>
      </c>
      <c r="K1322" s="9" t="n">
        <v>18</v>
      </c>
      <c r="L1322" s="14" t="n">
        <v>0.18</v>
      </c>
      <c r="M1322" s="14" t="n">
        <v>0.18</v>
      </c>
      <c r="N1322" s="11" t="inlineStr">
        <is>
          <t>%</t>
        </is>
      </c>
      <c r="O1322" s="11" t="inlineStr">
        <is>
          <t>%</t>
        </is>
      </c>
      <c r="P1322" s="15" t="n">
        <v>0</v>
      </c>
      <c r="Q1322" s="15" t="n">
        <v>0</v>
      </c>
      <c r="R1322" s="5" t="inlineStr">
        <is>
          <t>255-2023-12-31</t>
        </is>
      </c>
    </row>
    <row r="1323" hidden="1">
      <c r="A1323" s="26" t="n">
        <v>255</v>
      </c>
      <c r="B1323" s="5" t="inlineStr">
        <is>
          <t>Informe anual de variación de índice H</t>
        </is>
      </c>
      <c r="C1323" s="5" t="inlineStr">
        <is>
          <t>Editorial y Publicaciones</t>
        </is>
      </c>
      <c r="D1323" s="5" t="inlineStr">
        <is>
          <t>Anual</t>
        </is>
      </c>
      <c r="E1323" s="5" t="inlineStr">
        <is>
          <t>Positivo</t>
        </is>
      </c>
      <c r="F1323" s="109" t="n">
        <v>45657</v>
      </c>
      <c r="G1323" s="5" t="n">
        <v>2024</v>
      </c>
      <c r="H1323" s="5" t="inlineStr">
        <is>
          <t>Diciembre</t>
        </is>
      </c>
      <c r="I1323" s="6" t="inlineStr">
        <is>
          <t>2024-2</t>
        </is>
      </c>
      <c r="J1323" s="5" t="n">
        <v>100</v>
      </c>
      <c r="K1323" s="9" t="n">
        <v>15</v>
      </c>
      <c r="L1323" s="14" t="n">
        <v>0.15</v>
      </c>
      <c r="M1323" s="14" t="n">
        <v>0.15</v>
      </c>
      <c r="N1323" s="11" t="n"/>
      <c r="O1323" s="11" t="n"/>
      <c r="P1323" s="15" t="n">
        <v>0</v>
      </c>
      <c r="Q1323" s="15" t="n">
        <v>0</v>
      </c>
      <c r="R1323" s="5" t="inlineStr">
        <is>
          <t>255-2024-12-31</t>
        </is>
      </c>
    </row>
    <row r="1324" hidden="1">
      <c r="A1324" s="21" t="n">
        <v>255</v>
      </c>
      <c r="B1324" s="5" t="inlineStr">
        <is>
          <t>Informe anual de índice H</t>
        </is>
      </c>
      <c r="C1324" s="5" t="inlineStr">
        <is>
          <t>Editorial y Publicaciones</t>
        </is>
      </c>
      <c r="D1324" s="5" t="inlineStr">
        <is>
          <t>Anual</t>
        </is>
      </c>
      <c r="E1324" s="5" t="inlineStr">
        <is>
          <t>Positivo</t>
        </is>
      </c>
      <c r="F1324" s="109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/>
      <c r="K1324" s="10" t="n">
        <v>17.5</v>
      </c>
      <c r="L1324" s="14" t="n"/>
      <c r="M1324" s="14" t="n"/>
      <c r="N1324" s="5" t="inlineStr">
        <is>
          <t>ENT</t>
        </is>
      </c>
      <c r="O1324" s="5" t="inlineStr">
        <is>
          <t>ENT</t>
        </is>
      </c>
      <c r="P1324" s="15" t="n">
        <v>0</v>
      </c>
      <c r="Q1324" s="15" t="n">
        <v>0</v>
      </c>
      <c r="R1324" s="5" t="inlineStr">
        <is>
          <t>255-2025-12-31</t>
        </is>
      </c>
    </row>
    <row r="1325" hidden="1">
      <c r="A1325" s="26" t="n">
        <v>256</v>
      </c>
      <c r="B1325" s="5" t="inlineStr">
        <is>
          <t>Publicaciones editadas por la editorial</t>
        </is>
      </c>
      <c r="C1325" s="5" t="inlineStr">
        <is>
          <t>Editorial y Publicaciones</t>
        </is>
      </c>
      <c r="D1325" s="5" t="inlineStr">
        <is>
          <t>Semestral</t>
        </is>
      </c>
      <c r="E1325" s="5" t="inlineStr">
        <is>
          <t>Positivo</t>
        </is>
      </c>
      <c r="F1325" s="109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9" t="n">
        <v>123.52941176471</v>
      </c>
      <c r="L1325" s="14" t="n">
        <v>1.2352941176471</v>
      </c>
      <c r="M1325" s="14" t="n">
        <v>1.2352941176471</v>
      </c>
      <c r="N1325" s="5" t="inlineStr">
        <is>
          <t>ENT</t>
        </is>
      </c>
      <c r="O1325" s="5" t="inlineStr">
        <is>
          <t>ENT</t>
        </is>
      </c>
      <c r="P1325" s="15" t="n">
        <v>0</v>
      </c>
      <c r="Q1325" s="15" t="n">
        <v>0</v>
      </c>
      <c r="R1325" s="5" t="inlineStr">
        <is>
          <t>256-2023-06-30</t>
        </is>
      </c>
    </row>
    <row r="1326" hidden="1">
      <c r="A1326" s="21" t="n">
        <v>256</v>
      </c>
      <c r="B1326" s="5" t="inlineStr">
        <is>
          <t>Publicaciones editadas por la editorial</t>
        </is>
      </c>
      <c r="C1326" s="5" t="inlineStr">
        <is>
          <t>Editorial y Publicaciones</t>
        </is>
      </c>
      <c r="D1326" s="5" t="inlineStr">
        <is>
          <t>Semestral</t>
        </is>
      </c>
      <c r="E1326" s="5" t="inlineStr">
        <is>
          <t>Positivo</t>
        </is>
      </c>
      <c r="F1326" s="109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10" t="n">
        <v>123.53</v>
      </c>
      <c r="L1326" s="14" t="n">
        <v>1.2353</v>
      </c>
      <c r="M1326" s="14" t="n">
        <v>1.2353</v>
      </c>
      <c r="N1326" s="5" t="inlineStr">
        <is>
          <t>ENT</t>
        </is>
      </c>
      <c r="O1326" s="5" t="inlineStr">
        <is>
          <t>ENT</t>
        </is>
      </c>
      <c r="P1326" s="15" t="n">
        <v>0</v>
      </c>
      <c r="Q1326" s="15" t="n">
        <v>0</v>
      </c>
      <c r="R1326" s="5" t="inlineStr">
        <is>
          <t>256-2023-12-31</t>
        </is>
      </c>
    </row>
    <row r="1327" hidden="1">
      <c r="A1327" s="26" t="n">
        <v>256</v>
      </c>
      <c r="B1327" s="5" t="inlineStr">
        <is>
          <t>Publicaciones editadas por la editorial</t>
        </is>
      </c>
      <c r="C1327" s="5" t="inlineStr">
        <is>
          <t>Editorial y Publicaciones</t>
        </is>
      </c>
      <c r="D1327" s="5" t="inlineStr">
        <is>
          <t>Semestral</t>
        </is>
      </c>
      <c r="E1327" s="5" t="inlineStr">
        <is>
          <t>Positivo</t>
        </is>
      </c>
      <c r="F1327" s="109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9" t="n">
        <v>117.65</v>
      </c>
      <c r="L1327" s="14" t="n">
        <v>1.1765</v>
      </c>
      <c r="M1327" s="14" t="n">
        <v>1.1765</v>
      </c>
      <c r="N1327" s="5" t="inlineStr">
        <is>
          <t>ENT</t>
        </is>
      </c>
      <c r="O1327" s="5" t="inlineStr">
        <is>
          <t>ENT</t>
        </is>
      </c>
      <c r="P1327" s="15" t="n">
        <v>0</v>
      </c>
      <c r="Q1327" s="15" t="n">
        <v>0</v>
      </c>
      <c r="R1327" s="5" t="inlineStr">
        <is>
          <t>256-2024-06-30</t>
        </is>
      </c>
    </row>
    <row r="1328" hidden="1">
      <c r="A1328" s="21" t="n">
        <v>256</v>
      </c>
      <c r="B1328" s="5" t="inlineStr">
        <is>
          <t>Publicaciones editadas por la editorial</t>
        </is>
      </c>
      <c r="C1328" s="5" t="inlineStr">
        <is>
          <t>Editorial y Publicaciones</t>
        </is>
      </c>
      <c r="D1328" s="5" t="inlineStr">
        <is>
          <t>Semestral</t>
        </is>
      </c>
      <c r="E1328" s="5" t="inlineStr">
        <is>
          <t>Positivo</t>
        </is>
      </c>
      <c r="F1328" s="109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152.94</v>
      </c>
      <c r="L1328" s="14" t="n">
        <v>1.3</v>
      </c>
      <c r="M1328" s="14" t="n">
        <v>1.5294</v>
      </c>
      <c r="N1328" s="5" t="inlineStr">
        <is>
          <t>ENT</t>
        </is>
      </c>
      <c r="O1328" s="5" t="inlineStr">
        <is>
          <t>ENT</t>
        </is>
      </c>
      <c r="P1328" s="15" t="n">
        <v>0</v>
      </c>
      <c r="Q1328" s="15" t="n">
        <v>0</v>
      </c>
      <c r="R1328" s="5" t="inlineStr">
        <is>
          <t>256-2024-12-31</t>
        </is>
      </c>
    </row>
    <row r="1329" hidden="1">
      <c r="A1329" s="26" t="n">
        <v>256</v>
      </c>
      <c r="B1329" s="5" t="inlineStr">
        <is>
          <t>Publicaciones editadas por la editorial</t>
        </is>
      </c>
      <c r="C1329" s="5" t="inlineStr">
        <is>
          <t>Editorial y Publicaciones</t>
        </is>
      </c>
      <c r="D1329" s="5" t="inlineStr">
        <is>
          <t>Semestral</t>
        </is>
      </c>
      <c r="E1329" s="5" t="inlineStr">
        <is>
          <t>Positivo</t>
        </is>
      </c>
      <c r="F1329" s="109" t="n">
        <v>45838</v>
      </c>
      <c r="G1329" s="5" t="n">
        <v>2025</v>
      </c>
      <c r="H1329" s="5" t="inlineStr">
        <is>
          <t>Junio</t>
        </is>
      </c>
      <c r="I1329" s="6" t="inlineStr">
        <is>
          <t>2025-1</t>
        </is>
      </c>
      <c r="J1329" s="5" t="n">
        <v>100</v>
      </c>
      <c r="K1329" s="9" t="n">
        <v>100</v>
      </c>
      <c r="L1329" s="14" t="n">
        <v>1</v>
      </c>
      <c r="M1329" s="14" t="n">
        <v>1</v>
      </c>
      <c r="N1329" s="5" t="inlineStr">
        <is>
          <t>ENT</t>
        </is>
      </c>
      <c r="O1329" s="5" t="inlineStr">
        <is>
          <t>ENT</t>
        </is>
      </c>
      <c r="P1329" s="15" t="n">
        <v>0</v>
      </c>
      <c r="Q1329" s="15" t="n">
        <v>0</v>
      </c>
      <c r="R1329" s="5" t="inlineStr">
        <is>
          <t>256-2025-06-30</t>
        </is>
      </c>
    </row>
    <row r="1330" hidden="1">
      <c r="A1330" s="5" t="n">
        <v>256</v>
      </c>
      <c r="B1330" s="5" t="inlineStr">
        <is>
          <t>Publicaciones editadas por la editorial</t>
        </is>
      </c>
      <c r="C1330" s="5" t="inlineStr">
        <is>
          <t>Editorial y Publicaciones</t>
        </is>
      </c>
      <c r="D1330" s="5" t="inlineStr">
        <is>
          <t>Trimestral</t>
        </is>
      </c>
      <c r="E1330" s="5" t="inlineStr">
        <is>
          <t>Positivo</t>
        </is>
      </c>
      <c r="F1330" s="109" t="n">
        <v>46022</v>
      </c>
      <c r="G1330" s="5" t="n">
        <v>2025</v>
      </c>
      <c r="H1330" s="5" t="inlineStr">
        <is>
          <t>Diciembre</t>
        </is>
      </c>
      <c r="I1330" s="6" t="inlineStr">
        <is>
          <t>2025-2</t>
        </is>
      </c>
      <c r="J1330" s="5" t="n">
        <v>100</v>
      </c>
      <c r="K1330" s="5" t="n">
        <v>170.59</v>
      </c>
      <c r="L1330" s="14" t="n">
        <v>1.3</v>
      </c>
      <c r="M1330" s="14" t="n">
        <v>1.7059</v>
      </c>
      <c r="N1330" s="5" t="inlineStr">
        <is>
          <t>ENT</t>
        </is>
      </c>
      <c r="O1330" s="5" t="inlineStr">
        <is>
          <t>ENT</t>
        </is>
      </c>
      <c r="P1330" s="5" t="n">
        <v>0</v>
      </c>
      <c r="Q1330" s="5" t="n">
        <v>0</v>
      </c>
      <c r="R1330" s="5" t="inlineStr">
        <is>
          <t>256-2025-12-31</t>
        </is>
      </c>
    </row>
    <row r="1331" hidden="1">
      <c r="A1331" s="21" t="n">
        <v>257</v>
      </c>
      <c r="B1331" s="5" t="inlineStr">
        <is>
          <t>N de publicaciones aprobadas en convocatorias</t>
        </is>
      </c>
      <c r="C1331" s="5" t="inlineStr">
        <is>
          <t>Editorial y Publicaciones</t>
        </is>
      </c>
      <c r="D1331" s="5" t="inlineStr">
        <is>
          <t>Semestral</t>
        </is>
      </c>
      <c r="E1331" s="5" t="inlineStr">
        <is>
          <t>Positivo</t>
        </is>
      </c>
      <c r="F1331" s="109" t="n">
        <v>45107</v>
      </c>
      <c r="G1331" s="5" t="n">
        <v>2023</v>
      </c>
      <c r="H1331" s="5" t="inlineStr">
        <is>
          <t>Junio</t>
        </is>
      </c>
      <c r="I1331" s="6" t="inlineStr">
        <is>
          <t>2023-1</t>
        </is>
      </c>
      <c r="J1331" s="5" t="n">
        <v>18</v>
      </c>
      <c r="K1331" s="10" t="n">
        <v>15</v>
      </c>
      <c r="L1331" s="14" t="n">
        <v>0.8333333333333334</v>
      </c>
      <c r="M1331" s="14" t="n">
        <v>0.8333333333333334</v>
      </c>
      <c r="N1331" s="5" t="inlineStr">
        <is>
          <t>ENT</t>
        </is>
      </c>
      <c r="O1331" s="5" t="inlineStr">
        <is>
          <t>ENT</t>
        </is>
      </c>
      <c r="P1331" s="15" t="n">
        <v>0</v>
      </c>
      <c r="Q1331" s="15" t="n">
        <v>0</v>
      </c>
      <c r="R1331" s="5" t="inlineStr">
        <is>
          <t>257-2023-06-30</t>
        </is>
      </c>
    </row>
    <row r="1332" hidden="1">
      <c r="A1332" s="21" t="n">
        <v>257</v>
      </c>
      <c r="B1332" s="5" t="inlineStr">
        <is>
          <t>N de publicaciones aprobadas en convocatorias</t>
        </is>
      </c>
      <c r="C1332" s="5" t="inlineStr">
        <is>
          <t>Editorial y Publicaciones</t>
        </is>
      </c>
      <c r="D1332" s="5" t="inlineStr">
        <is>
          <t>Semestral</t>
        </is>
      </c>
      <c r="E1332" s="5" t="inlineStr">
        <is>
          <t>Positivo</t>
        </is>
      </c>
      <c r="F1332" s="108" t="n">
        <v>45291</v>
      </c>
      <c r="G1332" s="5" t="n">
        <v>2023</v>
      </c>
      <c r="H1332" s="5" t="inlineStr">
        <is>
          <t>Diciembre</t>
        </is>
      </c>
      <c r="I1332" s="6" t="inlineStr">
        <is>
          <t>2023-2</t>
        </is>
      </c>
      <c r="J1332" s="5" t="n">
        <v>24</v>
      </c>
      <c r="K1332" s="9" t="n">
        <v>24</v>
      </c>
      <c r="L1332" s="14" t="n">
        <v>1</v>
      </c>
      <c r="M1332" s="14" t="n">
        <v>1</v>
      </c>
      <c r="N1332" s="5" t="inlineStr">
        <is>
          <t>ENT</t>
        </is>
      </c>
      <c r="O1332" s="5" t="inlineStr">
        <is>
          <t>ENT</t>
        </is>
      </c>
      <c r="P1332" s="15" t="n">
        <v>0</v>
      </c>
      <c r="Q1332" s="15" t="n">
        <v>0</v>
      </c>
      <c r="R1332" s="5" t="inlineStr">
        <is>
          <t>257-2023-12-31</t>
        </is>
      </c>
    </row>
    <row r="1333" hidden="1">
      <c r="A1333" s="26" t="n">
        <v>259</v>
      </c>
      <c r="B1333" s="5" t="inlineStr">
        <is>
          <t>Subprocesos con indicadores reportados oportunamente</t>
        </is>
      </c>
      <c r="C1333" s="5" t="inlineStr">
        <is>
          <t>Desempeño Institucional</t>
        </is>
      </c>
      <c r="D1333" s="5" t="inlineStr">
        <is>
          <t>Trimestral</t>
        </is>
      </c>
      <c r="E1333" s="5" t="inlineStr">
        <is>
          <t>Positivo</t>
        </is>
      </c>
      <c r="F1333" s="109" t="n">
        <v>45107</v>
      </c>
      <c r="G1333" s="5" t="n">
        <v>2023</v>
      </c>
      <c r="H1333" s="5" t="inlineStr">
        <is>
          <t>Junio</t>
        </is>
      </c>
      <c r="I1333" s="6" t="inlineStr">
        <is>
          <t>2023-1</t>
        </is>
      </c>
      <c r="J1333" s="5" t="n">
        <v>100</v>
      </c>
      <c r="K1333" s="9" t="n">
        <v>60.526315789474</v>
      </c>
      <c r="L1333" s="14" t="n">
        <v>0.6052631578947399</v>
      </c>
      <c r="M1333" s="14" t="n">
        <v>0.6052631578947399</v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259-2023-06-30</t>
        </is>
      </c>
    </row>
    <row r="1334" hidden="1">
      <c r="A1334" s="5" t="n">
        <v>259</v>
      </c>
      <c r="B1334" s="5" t="inlineStr">
        <is>
          <t>Subprocesos con indicadores reportados oportunamente</t>
        </is>
      </c>
      <c r="C1334" s="5" t="inlineStr">
        <is>
          <t>Desempeño Institucional</t>
        </is>
      </c>
      <c r="D1334" s="5" t="inlineStr">
        <is>
          <t>Trimestral</t>
        </is>
      </c>
      <c r="E1334" s="5" t="inlineStr">
        <is>
          <t>Positivo</t>
        </is>
      </c>
      <c r="F1334" s="109" t="n">
        <v>45199</v>
      </c>
      <c r="G1334" s="5" t="n">
        <v>2023</v>
      </c>
      <c r="H1334" s="5" t="inlineStr">
        <is>
          <t>Septiembre</t>
        </is>
      </c>
      <c r="I1334" s="6" t="inlineStr">
        <is>
          <t>2023-2</t>
        </is>
      </c>
      <c r="J1334" s="5" t="n">
        <v>100</v>
      </c>
      <c r="K1334" s="5" t="n">
        <v>68.75</v>
      </c>
      <c r="L1334" s="14" t="n">
        <v>0.6875</v>
      </c>
      <c r="M1334" s="14" t="n">
        <v>0.6875</v>
      </c>
      <c r="N1334" s="5" t="inlineStr">
        <is>
          <t>%</t>
        </is>
      </c>
      <c r="O1334" s="5" t="inlineStr">
        <is>
          <t>%</t>
        </is>
      </c>
      <c r="P1334" s="5" t="n">
        <v>0</v>
      </c>
      <c r="Q1334" s="5" t="n">
        <v>0</v>
      </c>
      <c r="R1334" s="5" t="inlineStr">
        <is>
          <t>259-2023-09-30</t>
        </is>
      </c>
    </row>
    <row r="1335" hidden="1">
      <c r="A1335" s="21" t="n">
        <v>259</v>
      </c>
      <c r="B1335" s="5" t="inlineStr">
        <is>
          <t>Subprocesos con indicadores reportados oportunamente</t>
        </is>
      </c>
      <c r="C1335" s="5" t="inlineStr">
        <is>
          <t>Desempeño Institucional</t>
        </is>
      </c>
      <c r="D1335" s="5" t="inlineStr">
        <is>
          <t>Trimestral</t>
        </is>
      </c>
      <c r="E1335" s="5" t="inlineStr">
        <is>
          <t>Positivo</t>
        </is>
      </c>
      <c r="F1335" s="109" t="n">
        <v>45473</v>
      </c>
      <c r="G1335" s="5" t="n">
        <v>2024</v>
      </c>
      <c r="H1335" s="5" t="inlineStr">
        <is>
          <t>Junio</t>
        </is>
      </c>
      <c r="I1335" s="6" t="inlineStr">
        <is>
          <t>2024-1</t>
        </is>
      </c>
      <c r="J1335" s="5" t="n">
        <v>90</v>
      </c>
      <c r="K1335" s="10" t="n">
        <v>34.69</v>
      </c>
      <c r="L1335" s="14" t="n">
        <v>0.3854444444444444</v>
      </c>
      <c r="M1335" s="14" t="n">
        <v>0.3854444444444444</v>
      </c>
      <c r="N1335" s="5" t="inlineStr">
        <is>
          <t>%</t>
        </is>
      </c>
      <c r="O1335" s="5" t="inlineStr">
        <is>
          <t>%</t>
        </is>
      </c>
      <c r="P1335" s="15" t="n">
        <v>0</v>
      </c>
      <c r="Q1335" s="15" t="n">
        <v>0</v>
      </c>
      <c r="R1335" s="5" t="inlineStr">
        <is>
          <t>259-2024-06-30</t>
        </is>
      </c>
    </row>
    <row r="1336" hidden="1">
      <c r="A1336" s="21" t="n">
        <v>259</v>
      </c>
      <c r="B1336" s="5" t="inlineStr">
        <is>
          <t>Subprocesos con indicadores reportados oportunamente</t>
        </is>
      </c>
      <c r="C1336" s="5" t="inlineStr">
        <is>
          <t>Desempeño Institucional</t>
        </is>
      </c>
      <c r="D1336" s="5" t="inlineStr">
        <is>
          <t>Trimestral</t>
        </is>
      </c>
      <c r="E1336" s="5" t="inlineStr">
        <is>
          <t>Positivo</t>
        </is>
      </c>
      <c r="F1336" s="108" t="n">
        <v>45565</v>
      </c>
      <c r="G1336" s="5" t="n">
        <v>2024</v>
      </c>
      <c r="H1336" s="5" t="inlineStr">
        <is>
          <t>Septiembre</t>
        </is>
      </c>
      <c r="I1336" s="6" t="inlineStr">
        <is>
          <t>2024-2</t>
        </is>
      </c>
      <c r="J1336" s="5" t="n">
        <v>90</v>
      </c>
      <c r="K1336" s="96" t="n">
        <v>83.33</v>
      </c>
      <c r="L1336" s="14" t="n">
        <v>0.9258888888888889</v>
      </c>
      <c r="M1336" s="14" t="n">
        <v>0.9258888888888889</v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259-2024-09-30</t>
        </is>
      </c>
    </row>
    <row r="1337" hidden="1">
      <c r="A1337" s="26" t="n">
        <v>259</v>
      </c>
      <c r="B1337" s="5" t="inlineStr">
        <is>
          <t>Subprocesos con indicadores reportados oportunamente</t>
        </is>
      </c>
      <c r="C1337" s="5" t="inlineStr">
        <is>
          <t>Desempeño Institucional</t>
        </is>
      </c>
      <c r="D1337" s="5" t="inlineStr">
        <is>
          <t>Trimestral</t>
        </is>
      </c>
      <c r="E1337" s="5" t="inlineStr">
        <is>
          <t>Positivo</t>
        </is>
      </c>
      <c r="F1337" s="109" t="n">
        <v>45657</v>
      </c>
      <c r="G1337" s="5" t="n">
        <v>2024</v>
      </c>
      <c r="H1337" s="5" t="inlineStr">
        <is>
          <t>Diciembre</t>
        </is>
      </c>
      <c r="I1337" s="6" t="inlineStr">
        <is>
          <t>2024-2</t>
        </is>
      </c>
      <c r="J1337" s="5" t="n">
        <v>90</v>
      </c>
      <c r="K1337" s="9" t="n">
        <v>78.43000000000001</v>
      </c>
      <c r="L1337" s="14" t="n">
        <v>0.8714444444444445</v>
      </c>
      <c r="M1337" s="14" t="n">
        <v>0.8714444444444445</v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259-2024-12-31</t>
        </is>
      </c>
    </row>
    <row r="1338" hidden="1">
      <c r="A1338" s="5" t="n">
        <v>260</v>
      </c>
      <c r="B1338" s="5" t="inlineStr">
        <is>
          <t>CES- Costumer Effort Score del proceso de Rematrícula</t>
        </is>
      </c>
      <c r="C1338" s="5" t="inlineStr">
        <is>
          <t>Rematrícula</t>
        </is>
      </c>
      <c r="D1338" s="5" t="inlineStr">
        <is>
          <t>Semestral</t>
        </is>
      </c>
      <c r="E1338" s="5" t="inlineStr">
        <is>
          <t>Negativo</t>
        </is>
      </c>
      <c r="F1338" s="109" t="n">
        <v>45107</v>
      </c>
      <c r="G1338" s="5" t="n">
        <v>2023</v>
      </c>
      <c r="H1338" s="5" t="inlineStr">
        <is>
          <t>Junio</t>
        </is>
      </c>
      <c r="I1338" s="6" t="inlineStr">
        <is>
          <t>2023-1</t>
        </is>
      </c>
      <c r="J1338" s="5" t="n">
        <v>3</v>
      </c>
      <c r="K1338" s="5" t="n">
        <v>2.8</v>
      </c>
      <c r="L1338" s="14" t="n">
        <v>1.071428571428571</v>
      </c>
      <c r="M1338" s="14" t="n">
        <v>1.071428571428571</v>
      </c>
      <c r="N1338" s="5" t="inlineStr">
        <is>
          <t>DEC</t>
        </is>
      </c>
      <c r="O1338" s="5" t="inlineStr">
        <is>
          <t>DEC</t>
        </is>
      </c>
      <c r="P1338" s="5" t="n">
        <v>0</v>
      </c>
      <c r="Q1338" s="5" t="n">
        <v>1</v>
      </c>
      <c r="R1338" s="5" t="inlineStr">
        <is>
          <t>260-2023-06-30</t>
        </is>
      </c>
    </row>
    <row r="1339" hidden="1">
      <c r="A1339" s="21" t="n">
        <v>260</v>
      </c>
      <c r="B1339" s="5" t="inlineStr">
        <is>
          <t>CES- Costumer Effort Score del proceso de Rematrícula</t>
        </is>
      </c>
      <c r="C1339" s="5" t="inlineStr">
        <is>
          <t>Rematrícula</t>
        </is>
      </c>
      <c r="D1339" s="5" t="inlineStr">
        <is>
          <t>Semestral</t>
        </is>
      </c>
      <c r="E1339" s="5" t="inlineStr">
        <is>
          <t>Negativo</t>
        </is>
      </c>
      <c r="F1339" s="109" t="n">
        <v>45291</v>
      </c>
      <c r="G1339" s="5" t="n">
        <v>2023</v>
      </c>
      <c r="H1339" s="5" t="inlineStr">
        <is>
          <t>Diciembre</t>
        </is>
      </c>
      <c r="I1339" s="6" t="inlineStr">
        <is>
          <t>2023-2</t>
        </is>
      </c>
      <c r="J1339" s="5" t="n">
        <v>3</v>
      </c>
      <c r="K1339" s="10" t="n">
        <v>2.9</v>
      </c>
      <c r="L1339" s="14" t="n">
        <v>1.03448275862069</v>
      </c>
      <c r="M1339" s="14" t="n">
        <v>1.03448275862069</v>
      </c>
      <c r="N1339" s="5" t="inlineStr">
        <is>
          <t>DEC</t>
        </is>
      </c>
      <c r="O1339" s="5" t="inlineStr">
        <is>
          <t>DEC</t>
        </is>
      </c>
      <c r="P1339" s="15" t="n">
        <v>0</v>
      </c>
      <c r="Q1339" s="15" t="n">
        <v>1</v>
      </c>
      <c r="R1339" s="5" t="inlineStr">
        <is>
          <t>260-2023-12-31</t>
        </is>
      </c>
    </row>
    <row r="1340" hidden="1">
      <c r="A1340" s="21" t="n">
        <v>260</v>
      </c>
      <c r="B1340" s="5" t="inlineStr">
        <is>
          <t>CES- Costumer Effort Score del proceso de Rematrícula</t>
        </is>
      </c>
      <c r="C1340" s="5" t="inlineStr">
        <is>
          <t>Rematrícula</t>
        </is>
      </c>
      <c r="D1340" s="5" t="inlineStr">
        <is>
          <t>Semestral</t>
        </is>
      </c>
      <c r="E1340" s="5" t="inlineStr">
        <is>
          <t>Negativo</t>
        </is>
      </c>
      <c r="F1340" s="108" t="n">
        <v>45473</v>
      </c>
      <c r="G1340" s="5" t="n">
        <v>2024</v>
      </c>
      <c r="H1340" s="5" t="inlineStr">
        <is>
          <t>Junio</t>
        </is>
      </c>
      <c r="I1340" s="6" t="inlineStr">
        <is>
          <t>2024-1</t>
        </is>
      </c>
      <c r="J1340" s="5" t="n">
        <v>2.8</v>
      </c>
      <c r="K1340" s="9" t="n">
        <v>2.51</v>
      </c>
      <c r="L1340" s="14" t="n">
        <v>1.115537848605578</v>
      </c>
      <c r="M1340" s="14" t="n">
        <v>1.115537848605578</v>
      </c>
      <c r="N1340" s="5" t="inlineStr">
        <is>
          <t>DEC</t>
        </is>
      </c>
      <c r="O1340" s="5" t="inlineStr">
        <is>
          <t>DEC</t>
        </is>
      </c>
      <c r="P1340" s="15" t="n">
        <v>1</v>
      </c>
      <c r="Q1340" s="15" t="n">
        <v>1</v>
      </c>
      <c r="R1340" s="5" t="inlineStr">
        <is>
          <t>260-2024-06-30</t>
        </is>
      </c>
    </row>
    <row r="1341" hidden="1">
      <c r="A1341" s="26" t="n">
        <v>260</v>
      </c>
      <c r="B1341" s="5" t="inlineStr">
        <is>
          <t>CES- Costumer Effort Score del proceso de Rematrícula</t>
        </is>
      </c>
      <c r="C1341" s="5" t="inlineStr">
        <is>
          <t>Rematrícula</t>
        </is>
      </c>
      <c r="D1341" s="5" t="inlineStr">
        <is>
          <t>Semestral</t>
        </is>
      </c>
      <c r="E1341" s="5" t="inlineStr">
        <is>
          <t>Negativo</t>
        </is>
      </c>
      <c r="F1341" s="109" t="n">
        <v>45657</v>
      </c>
      <c r="G1341" s="5" t="n">
        <v>2024</v>
      </c>
      <c r="H1341" s="5" t="inlineStr">
        <is>
          <t>Diciembre</t>
        </is>
      </c>
      <c r="I1341" s="6" t="inlineStr">
        <is>
          <t>2024-2</t>
        </is>
      </c>
      <c r="J1341" s="5" t="n">
        <v>2.8</v>
      </c>
      <c r="K1341" s="9" t="n">
        <v>2.1</v>
      </c>
      <c r="L1341" s="14" t="n">
        <v>1.3</v>
      </c>
      <c r="M1341" s="14" t="n">
        <v>1.333333333333333</v>
      </c>
      <c r="N1341" s="5" t="inlineStr">
        <is>
          <t>DEC</t>
        </is>
      </c>
      <c r="O1341" s="5" t="inlineStr">
        <is>
          <t>DEC</t>
        </is>
      </c>
      <c r="P1341" s="15" t="n">
        <v>1</v>
      </c>
      <c r="Q1341" s="15" t="n">
        <v>1</v>
      </c>
      <c r="R1341" s="5" t="inlineStr">
        <is>
          <t>260-2024-12-31</t>
        </is>
      </c>
    </row>
    <row r="1342" hidden="1">
      <c r="A1342" s="5" t="n">
        <v>260</v>
      </c>
      <c r="B1342" s="5" t="inlineStr">
        <is>
          <t>CES- Costumer Effort Score del proceso de Rematrícula</t>
        </is>
      </c>
      <c r="C1342" s="5" t="inlineStr">
        <is>
          <t>Rematrícula</t>
        </is>
      </c>
      <c r="D1342" s="5" t="inlineStr">
        <is>
          <t>Semestral</t>
        </is>
      </c>
      <c r="E1342" s="5" t="inlineStr">
        <is>
          <t>Negativo</t>
        </is>
      </c>
      <c r="F1342" s="109" t="n">
        <v>45838</v>
      </c>
      <c r="G1342" s="5" t="n">
        <v>2025</v>
      </c>
      <c r="H1342" s="5" t="inlineStr">
        <is>
          <t>Junio</t>
        </is>
      </c>
      <c r="I1342" s="6" t="inlineStr">
        <is>
          <t>2025-1</t>
        </is>
      </c>
      <c r="J1342" s="5" t="n">
        <v>2.2</v>
      </c>
      <c r="K1342" s="5" t="n">
        <v>1.9</v>
      </c>
      <c r="L1342" s="14" t="n">
        <v>1.157894736842105</v>
      </c>
      <c r="M1342" s="14" t="n">
        <v>1.157894736842105</v>
      </c>
      <c r="N1342" s="5" t="inlineStr">
        <is>
          <t>DEC</t>
        </is>
      </c>
      <c r="O1342" s="5" t="inlineStr">
        <is>
          <t>DEC</t>
        </is>
      </c>
      <c r="P1342" s="5" t="n">
        <v>1</v>
      </c>
      <c r="Q1342" s="5" t="n">
        <v>1</v>
      </c>
      <c r="R1342" s="5" t="inlineStr">
        <is>
          <t>260-2025-06-30</t>
        </is>
      </c>
    </row>
    <row r="1343" hidden="1">
      <c r="A1343" s="21" t="n">
        <v>260</v>
      </c>
      <c r="B1343" s="5" t="inlineStr">
        <is>
          <t>CES- Costumer Effort Score del proceso de Rematrícula</t>
        </is>
      </c>
      <c r="C1343" s="5" t="inlineStr">
        <is>
          <t>Rematrícula</t>
        </is>
      </c>
      <c r="D1343" s="5" t="inlineStr">
        <is>
          <t>Trimestral</t>
        </is>
      </c>
      <c r="E1343" s="5" t="inlineStr">
        <is>
          <t>Negativo</t>
        </is>
      </c>
      <c r="F1343" s="109" t="n">
        <v>46022</v>
      </c>
      <c r="G1343" s="5" t="n">
        <v>2025</v>
      </c>
      <c r="H1343" s="5" t="inlineStr">
        <is>
          <t>Diciembre</t>
        </is>
      </c>
      <c r="I1343" s="6" t="inlineStr">
        <is>
          <t>2025-2</t>
        </is>
      </c>
      <c r="J1343" s="5" t="n">
        <v>2.1</v>
      </c>
      <c r="K1343" s="10" t="n">
        <v>1.9</v>
      </c>
      <c r="L1343" s="14" t="n">
        <v>1.105263157894737</v>
      </c>
      <c r="M1343" s="14" t="n">
        <v>1.105263157894737</v>
      </c>
      <c r="N1343" s="5" t="inlineStr">
        <is>
          <t>DEC</t>
        </is>
      </c>
      <c r="O1343" s="5" t="inlineStr">
        <is>
          <t>DEC</t>
        </is>
      </c>
      <c r="P1343" s="15" t="n">
        <v>1</v>
      </c>
      <c r="Q1343" s="15" t="n">
        <v>1</v>
      </c>
      <c r="R1343" s="5" t="inlineStr">
        <is>
          <t>260-2025-12-31</t>
        </is>
      </c>
    </row>
    <row r="1344" hidden="1">
      <c r="A1344" s="21" t="n">
        <v>261</v>
      </c>
      <c r="B1344" s="5" t="inlineStr">
        <is>
          <t>CES- Costumer Effort Score del proceso de Saber Pro</t>
        </is>
      </c>
      <c r="C1344" s="5" t="inlineStr">
        <is>
          <t>Servicio</t>
        </is>
      </c>
      <c r="D1344" s="5" t="inlineStr">
        <is>
          <t>Semestral</t>
        </is>
      </c>
      <c r="E1344" s="5" t="inlineStr">
        <is>
          <t>Negativo</t>
        </is>
      </c>
      <c r="F1344" s="108" t="n">
        <v>45107</v>
      </c>
      <c r="G1344" s="5" t="n">
        <v>2023</v>
      </c>
      <c r="H1344" s="5" t="inlineStr">
        <is>
          <t>Junio</t>
        </is>
      </c>
      <c r="I1344" s="6" t="inlineStr">
        <is>
          <t>2023-1</t>
        </is>
      </c>
      <c r="J1344" s="5" t="n">
        <v>3</v>
      </c>
      <c r="K1344" s="96" t="n">
        <v>1.98</v>
      </c>
      <c r="L1344" s="14" t="n">
        <v>1.3</v>
      </c>
      <c r="M1344" s="14" t="n">
        <v>1.515151515151515</v>
      </c>
      <c r="N1344" s="5" t="inlineStr">
        <is>
          <t>DEC</t>
        </is>
      </c>
      <c r="O1344" s="5" t="inlineStr">
        <is>
          <t>DEC</t>
        </is>
      </c>
      <c r="P1344" s="15" t="n">
        <v>2</v>
      </c>
      <c r="Q1344" s="15" t="n">
        <v>2</v>
      </c>
      <c r="R1344" s="5" t="inlineStr">
        <is>
          <t>261-2023-06-30</t>
        </is>
      </c>
    </row>
    <row r="1345" hidden="1">
      <c r="A1345" s="26" t="n">
        <v>261</v>
      </c>
      <c r="B1345" s="5" t="inlineStr">
        <is>
          <t>CES- Costumer Effort Score del proceso de Saber Pro</t>
        </is>
      </c>
      <c r="C1345" s="5" t="inlineStr">
        <is>
          <t>Servicio</t>
        </is>
      </c>
      <c r="D1345" s="5" t="inlineStr">
        <is>
          <t>Semestral</t>
        </is>
      </c>
      <c r="E1345" s="5" t="inlineStr">
        <is>
          <t>Negativo</t>
        </is>
      </c>
      <c r="F1345" s="109" t="n">
        <v>45291</v>
      </c>
      <c r="G1345" s="5" t="n">
        <v>2023</v>
      </c>
      <c r="H1345" s="5" t="inlineStr">
        <is>
          <t>Diciembre</t>
        </is>
      </c>
      <c r="I1345" s="6" t="inlineStr">
        <is>
          <t>2023-2</t>
        </is>
      </c>
      <c r="J1345" s="5" t="n">
        <v>3</v>
      </c>
      <c r="K1345" s="96" t="n">
        <v>2.06</v>
      </c>
      <c r="L1345" s="14" t="n">
        <v>1.3</v>
      </c>
      <c r="M1345" s="14" t="n">
        <v>1.456310679611651</v>
      </c>
      <c r="N1345" s="5" t="inlineStr">
        <is>
          <t>DEC</t>
        </is>
      </c>
      <c r="O1345" s="5" t="inlineStr">
        <is>
          <t>DEC</t>
        </is>
      </c>
      <c r="P1345" s="15" t="n">
        <v>0</v>
      </c>
      <c r="Q1345" s="15" t="n">
        <v>0</v>
      </c>
      <c r="R1345" s="5" t="inlineStr">
        <is>
          <t>261-2023-12-31</t>
        </is>
      </c>
    </row>
    <row r="1346" hidden="1">
      <c r="A1346" s="5" t="n">
        <v>261</v>
      </c>
      <c r="B1346" s="5" t="inlineStr">
        <is>
          <t>CES- Costumer Effort Score del proceso de Saber Pro</t>
        </is>
      </c>
      <c r="C1346" s="5" t="inlineStr">
        <is>
          <t>Servicio</t>
        </is>
      </c>
      <c r="D1346" s="5" t="inlineStr">
        <is>
          <t>Semestral</t>
        </is>
      </c>
      <c r="E1346" s="5" t="inlineStr">
        <is>
          <t>Negativo</t>
        </is>
      </c>
      <c r="F1346" s="109" t="n">
        <v>45473</v>
      </c>
      <c r="G1346" s="5" t="n">
        <v>2024</v>
      </c>
      <c r="H1346" s="5" t="inlineStr">
        <is>
          <t>Junio</t>
        </is>
      </c>
      <c r="I1346" s="6" t="inlineStr">
        <is>
          <t>2024-1</t>
        </is>
      </c>
      <c r="J1346" s="5" t="n">
        <v>3</v>
      </c>
      <c r="K1346" s="5" t="n">
        <v>2.2</v>
      </c>
      <c r="L1346" s="14" t="n">
        <v>1.3</v>
      </c>
      <c r="M1346" s="14" t="n">
        <v>1.363636363636364</v>
      </c>
      <c r="N1346" s="5" t="inlineStr">
        <is>
          <t>DEC</t>
        </is>
      </c>
      <c r="O1346" s="5" t="inlineStr">
        <is>
          <t>DEC</t>
        </is>
      </c>
      <c r="P1346" s="5" t="n">
        <v>1</v>
      </c>
      <c r="Q1346" s="5" t="n">
        <v>1</v>
      </c>
      <c r="R1346" s="5" t="inlineStr">
        <is>
          <t>261-2024-06-30</t>
        </is>
      </c>
    </row>
    <row r="1347" hidden="1">
      <c r="A1347" s="21" t="n">
        <v>261</v>
      </c>
      <c r="B1347" s="5" t="inlineStr">
        <is>
          <t>CES- Costumer Effort Score del proceso de Saber Pro</t>
        </is>
      </c>
      <c r="C1347" s="5" t="inlineStr">
        <is>
          <t>Servicio</t>
        </is>
      </c>
      <c r="D1347" s="5" t="inlineStr">
        <is>
          <t>Semestral</t>
        </is>
      </c>
      <c r="E1347" s="5" t="inlineStr">
        <is>
          <t>Negativo</t>
        </is>
      </c>
      <c r="F1347" s="109" t="n">
        <v>45657</v>
      </c>
      <c r="G1347" s="5" t="n">
        <v>2024</v>
      </c>
      <c r="H1347" s="5" t="inlineStr">
        <is>
          <t>Diciembre</t>
        </is>
      </c>
      <c r="I1347" s="6" t="inlineStr">
        <is>
          <t>2024-2</t>
        </is>
      </c>
      <c r="J1347" s="5" t="n">
        <v>3</v>
      </c>
      <c r="K1347" s="10" t="n">
        <v>2.2</v>
      </c>
      <c r="L1347" s="14" t="n">
        <v>1.3</v>
      </c>
      <c r="M1347" s="14" t="n">
        <v>1.363636363636364</v>
      </c>
      <c r="N1347" s="5" t="inlineStr">
        <is>
          <t>DEC</t>
        </is>
      </c>
      <c r="O1347" s="5" t="inlineStr">
        <is>
          <t>DEC</t>
        </is>
      </c>
      <c r="P1347" s="15" t="n">
        <v>1</v>
      </c>
      <c r="Q1347" s="15" t="n">
        <v>1</v>
      </c>
      <c r="R1347" s="5" t="inlineStr">
        <is>
          <t>261-2024-12-31</t>
        </is>
      </c>
    </row>
    <row r="1348" hidden="1">
      <c r="A1348" s="21" t="n">
        <v>261</v>
      </c>
      <c r="B1348" s="5" t="inlineStr">
        <is>
          <t>CES- Costumer Effort Score del proceso de Saber Pro</t>
        </is>
      </c>
      <c r="C1348" s="5" t="inlineStr">
        <is>
          <t>Servicio</t>
        </is>
      </c>
      <c r="D1348" s="5" t="inlineStr">
        <is>
          <t>Semestral</t>
        </is>
      </c>
      <c r="E1348" s="5" t="inlineStr">
        <is>
          <t>Negativo</t>
        </is>
      </c>
      <c r="F1348" s="108" t="n">
        <v>45838</v>
      </c>
      <c r="G1348" s="5" t="n">
        <v>2025</v>
      </c>
      <c r="H1348" s="5" t="inlineStr">
        <is>
          <t>Junio</t>
        </is>
      </c>
      <c r="I1348" s="6" t="inlineStr">
        <is>
          <t>2025-1</t>
        </is>
      </c>
      <c r="J1348" s="9" t="n">
        <v>3</v>
      </c>
      <c r="K1348" s="9" t="n">
        <v>2.3</v>
      </c>
      <c r="L1348" s="14" t="n">
        <v>1.3</v>
      </c>
      <c r="M1348" s="14" t="n">
        <v>1.304347826086957</v>
      </c>
      <c r="N1348" s="5" t="inlineStr">
        <is>
          <t>DEC</t>
        </is>
      </c>
      <c r="O1348" s="5" t="inlineStr">
        <is>
          <t>DEC</t>
        </is>
      </c>
      <c r="P1348" s="15" t="n">
        <v>1</v>
      </c>
      <c r="Q1348" s="15" t="n">
        <v>1</v>
      </c>
      <c r="R1348" s="5" t="inlineStr">
        <is>
          <t>261-2025-06-30</t>
        </is>
      </c>
    </row>
    <row r="1349" hidden="1">
      <c r="A1349" s="26" t="n">
        <v>261</v>
      </c>
      <c r="B1349" s="5" t="inlineStr">
        <is>
          <t>CES- Costumer Effort Score del proceso de Saber Pro</t>
        </is>
      </c>
      <c r="C1349" s="5" t="inlineStr">
        <is>
          <t>Servicio</t>
        </is>
      </c>
      <c r="D1349" s="5" t="inlineStr">
        <is>
          <t>Trimestral</t>
        </is>
      </c>
      <c r="E1349" s="5" t="inlineStr">
        <is>
          <t>Negativo</t>
        </is>
      </c>
      <c r="F1349" s="109" t="n">
        <v>46022</v>
      </c>
      <c r="G1349" s="5" t="n">
        <v>2025</v>
      </c>
      <c r="H1349" s="5" t="inlineStr">
        <is>
          <t>Diciembre</t>
        </is>
      </c>
      <c r="I1349" s="6" t="inlineStr">
        <is>
          <t>2025-2</t>
        </is>
      </c>
      <c r="J1349" s="9" t="n">
        <v>3</v>
      </c>
      <c r="K1349" s="9" t="n">
        <v>2.1</v>
      </c>
      <c r="L1349" s="14" t="n">
        <v>1.3</v>
      </c>
      <c r="M1349" s="14" t="n">
        <v>1.428571428571429</v>
      </c>
      <c r="N1349" s="5" t="inlineStr">
        <is>
          <t>ENT</t>
        </is>
      </c>
      <c r="O1349" s="5" t="inlineStr">
        <is>
          <t>DEC</t>
        </is>
      </c>
      <c r="P1349" s="15" t="n">
        <v>1</v>
      </c>
      <c r="Q1349" s="15" t="n">
        <v>1</v>
      </c>
      <c r="R1349" s="5" t="inlineStr">
        <is>
          <t>261-2025-12-31</t>
        </is>
      </c>
    </row>
    <row r="1350" hidden="1">
      <c r="A1350" s="26" t="n">
        <v>262</v>
      </c>
      <c r="B1350" s="5" t="inlineStr">
        <is>
          <t>Evitar erogación de dinero por multas asociadas en contra del POLI por los procesos en curso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Negativo</t>
        </is>
      </c>
      <c r="F1350" s="109" t="n">
        <v>45107</v>
      </c>
      <c r="G1350" s="5" t="n">
        <v>2023</v>
      </c>
      <c r="H1350" s="5" t="inlineStr">
        <is>
          <t>Junio</t>
        </is>
      </c>
      <c r="I1350" s="6" t="inlineStr">
        <is>
          <t>2023-1</t>
        </is>
      </c>
      <c r="J1350" s="9" t="n">
        <v>20</v>
      </c>
      <c r="K1350" s="96" t="n">
        <v>0</v>
      </c>
      <c r="L1350" s="14" t="n">
        <v>1</v>
      </c>
      <c r="M1350" s="14" t="n">
        <v>1</v>
      </c>
      <c r="N1350" s="5" t="inlineStr">
        <is>
          <t>%</t>
        </is>
      </c>
      <c r="O1350" s="5" t="inlineStr">
        <is>
          <t>%</t>
        </is>
      </c>
      <c r="P1350" s="15" t="n">
        <v>0</v>
      </c>
      <c r="Q1350" s="15" t="n">
        <v>0</v>
      </c>
      <c r="R1350" s="5" t="inlineStr">
        <is>
          <t>262-2023-06-30</t>
        </is>
      </c>
    </row>
    <row r="1351" hidden="1">
      <c r="A1351" s="21" t="n">
        <v>262</v>
      </c>
      <c r="B1351" s="5" t="inlineStr">
        <is>
          <t>Evitar erogación de dinero por multas asociadas en contra del POLI por los procesos en curso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Negativo</t>
        </is>
      </c>
      <c r="F1351" s="109" t="n">
        <v>45291</v>
      </c>
      <c r="G1351" s="5" t="n">
        <v>2023</v>
      </c>
      <c r="H1351" s="5" t="inlineStr">
        <is>
          <t>Diciembre</t>
        </is>
      </c>
      <c r="I1351" s="6" t="inlineStr">
        <is>
          <t>2023-2</t>
        </is>
      </c>
      <c r="J1351" s="5" t="n">
        <v>20</v>
      </c>
      <c r="K1351" s="10" t="n">
        <v>11.11</v>
      </c>
      <c r="L1351" s="14" t="n">
        <v>1.3</v>
      </c>
      <c r="M1351" s="14" t="n">
        <v>1.8001800180018</v>
      </c>
      <c r="N1351" s="5" t="inlineStr">
        <is>
          <t>%</t>
        </is>
      </c>
      <c r="O1351" s="5" t="inlineStr">
        <is>
          <t>%</t>
        </is>
      </c>
      <c r="P1351" s="15" t="n">
        <v>0</v>
      </c>
      <c r="Q1351" s="15" t="n">
        <v>0</v>
      </c>
      <c r="R1351" s="5" t="inlineStr">
        <is>
          <t>262-2023-12-31</t>
        </is>
      </c>
    </row>
    <row r="1352" hidden="1">
      <c r="A1352" s="21" t="n">
        <v>262</v>
      </c>
      <c r="B1352" s="5" t="inlineStr">
        <is>
          <t>Reducción de número de sentencias condenatorias en contra del Poli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Negativo</t>
        </is>
      </c>
      <c r="F1352" s="109" t="n">
        <v>45473</v>
      </c>
      <c r="G1352" s="5" t="n">
        <v>2024</v>
      </c>
      <c r="H1352" s="5" t="inlineStr">
        <is>
          <t>Junio</t>
        </is>
      </c>
      <c r="I1352" s="6" t="inlineStr">
        <is>
          <t>2024-1</t>
        </is>
      </c>
      <c r="J1352" s="5" t="n">
        <v>20</v>
      </c>
      <c r="K1352" s="9" t="n">
        <v>0</v>
      </c>
      <c r="L1352" s="14" t="n">
        <v>1</v>
      </c>
      <c r="M1352" s="14" t="n">
        <v>1</v>
      </c>
      <c r="N1352" s="5" t="inlineStr">
        <is>
          <t>%</t>
        </is>
      </c>
      <c r="O1352" s="5" t="inlineStr">
        <is>
          <t>%</t>
        </is>
      </c>
      <c r="P1352" s="15" t="n">
        <v>0</v>
      </c>
      <c r="Q1352" s="15" t="n">
        <v>0</v>
      </c>
      <c r="R1352" s="5" t="inlineStr">
        <is>
          <t>262-2024-06-30</t>
        </is>
      </c>
    </row>
    <row r="1353" hidden="1">
      <c r="A1353" s="26" t="n">
        <v>262</v>
      </c>
      <c r="B1353" s="5" t="inlineStr">
        <is>
          <t>Reducción de número de sentencias condenatorias en contra del Poli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Negativo</t>
        </is>
      </c>
      <c r="F1353" s="109" t="n">
        <v>45657</v>
      </c>
      <c r="G1353" s="5" t="n">
        <v>2024</v>
      </c>
      <c r="H1353" s="5" t="inlineStr">
        <is>
          <t>Diciembre</t>
        </is>
      </c>
      <c r="I1353" s="6" t="inlineStr">
        <is>
          <t>2024-2</t>
        </is>
      </c>
      <c r="J1353" s="5" t="n">
        <v>20</v>
      </c>
      <c r="K1353" s="9" t="n">
        <v>0</v>
      </c>
      <c r="L1353" s="14" t="n">
        <v>1</v>
      </c>
      <c r="M1353" s="14" t="n">
        <v>1</v>
      </c>
      <c r="N1353" s="5" t="inlineStr">
        <is>
          <t>%</t>
        </is>
      </c>
      <c r="O1353" s="5" t="inlineStr">
        <is>
          <t>%</t>
        </is>
      </c>
      <c r="P1353" s="15" t="n">
        <v>0</v>
      </c>
      <c r="Q1353" s="15" t="n">
        <v>0</v>
      </c>
      <c r="R1353" s="5" t="inlineStr">
        <is>
          <t>262-2024-12-31</t>
        </is>
      </c>
    </row>
    <row r="1354" hidden="1">
      <c r="A1354" s="21" t="n">
        <v>262</v>
      </c>
      <c r="B1354" s="5" t="inlineStr">
        <is>
          <t>Reducción de número de sentencias condenatorias en contra del Poli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Negativo</t>
        </is>
      </c>
      <c r="F1354" s="109" t="n">
        <v>45838</v>
      </c>
      <c r="G1354" s="5" t="n">
        <v>2025</v>
      </c>
      <c r="H1354" s="5" t="inlineStr">
        <is>
          <t>Junio</t>
        </is>
      </c>
      <c r="I1354" s="6" t="inlineStr">
        <is>
          <t>2025-1</t>
        </is>
      </c>
      <c r="J1354" s="5" t="n">
        <v>10</v>
      </c>
      <c r="K1354" s="10" t="n">
        <v>0</v>
      </c>
      <c r="L1354" s="14" t="n">
        <v>1</v>
      </c>
      <c r="M1354" s="14" t="n">
        <v>1</v>
      </c>
      <c r="N1354" s="5" t="inlineStr">
        <is>
          <t>%</t>
        </is>
      </c>
      <c r="O1354" s="5" t="inlineStr">
        <is>
          <t>%</t>
        </is>
      </c>
      <c r="P1354" s="15" t="n">
        <v>0</v>
      </c>
      <c r="Q1354" s="15" t="n">
        <v>0</v>
      </c>
      <c r="R1354" s="5" t="inlineStr">
        <is>
          <t>262-2025-06-30</t>
        </is>
      </c>
    </row>
    <row r="1355" hidden="1">
      <c r="A1355" s="5" t="n">
        <v>262</v>
      </c>
      <c r="B1355" s="5" t="inlineStr">
        <is>
          <t>Reducción de número de sentencias condenatorias en contra del Poli</t>
        </is>
      </c>
      <c r="C1355" s="5" t="inlineStr">
        <is>
          <t>GESTIÓN JURÍDICA Y NORMATIVA</t>
        </is>
      </c>
      <c r="D1355" s="5" t="inlineStr">
        <is>
          <t>Trimestral</t>
        </is>
      </c>
      <c r="E1355" s="5" t="inlineStr">
        <is>
          <t>Negativo</t>
        </is>
      </c>
      <c r="F1355" s="109" t="n">
        <v>46022</v>
      </c>
      <c r="G1355" s="5" t="n">
        <v>2025</v>
      </c>
      <c r="H1355" s="5" t="inlineStr">
        <is>
          <t>Diciembre</t>
        </is>
      </c>
      <c r="I1355" s="6" t="inlineStr">
        <is>
          <t>2025-2</t>
        </is>
      </c>
      <c r="J1355" s="5" t="n">
        <v>10</v>
      </c>
      <c r="K1355" s="5" t="n">
        <v>0</v>
      </c>
      <c r="L1355" s="14" t="n">
        <v>1</v>
      </c>
      <c r="M1355" s="14" t="n">
        <v>1</v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 t="inlineStr">
        <is>
          <t>262-2025-12-31</t>
        </is>
      </c>
    </row>
    <row r="1356" hidden="1">
      <c r="A1356" s="21" t="n">
        <v>263</v>
      </c>
      <c r="B1356" s="5" t="inlineStr">
        <is>
          <t>Oportunidad de respuesta de PQRS</t>
        </is>
      </c>
      <c r="C1356" s="5" t="inlineStr">
        <is>
          <t>GESTIÓN JURÍDICA Y NORMATIVA</t>
        </is>
      </c>
      <c r="D1356" s="5" t="inlineStr">
        <is>
          <t>Trimestral</t>
        </is>
      </c>
      <c r="E1356" s="5" t="inlineStr">
        <is>
          <t>Positivo</t>
        </is>
      </c>
      <c r="F1356" s="109" t="n">
        <v>45016</v>
      </c>
      <c r="G1356" s="5" t="n">
        <v>2023</v>
      </c>
      <c r="H1356" s="5" t="inlineStr">
        <is>
          <t>Marzo</t>
        </is>
      </c>
      <c r="I1356" s="6" t="inlineStr">
        <is>
          <t>2023-1</t>
        </is>
      </c>
      <c r="J1356" s="5" t="n">
        <v>100</v>
      </c>
      <c r="K1356" s="10" t="n">
        <v>100</v>
      </c>
      <c r="L1356" s="14" t="n">
        <v>1</v>
      </c>
      <c r="M1356" s="14" t="n">
        <v>1</v>
      </c>
      <c r="N1356" s="5" t="inlineStr">
        <is>
          <t>%</t>
        </is>
      </c>
      <c r="O1356" s="5" t="inlineStr">
        <is>
          <t>%</t>
        </is>
      </c>
      <c r="P1356" s="15" t="n">
        <v>0</v>
      </c>
      <c r="Q1356" s="15" t="n">
        <v>0</v>
      </c>
      <c r="R1356" s="5" t="inlineStr">
        <is>
          <t>263-2023-03-31</t>
        </is>
      </c>
    </row>
    <row r="1357" hidden="1">
      <c r="A1357" s="21" t="n">
        <v>263</v>
      </c>
      <c r="B1357" s="5" t="inlineStr">
        <is>
          <t>Oportunidad de respuesta de PQRS</t>
        </is>
      </c>
      <c r="C1357" s="5" t="inlineStr">
        <is>
          <t>GESTIÓN JURÍDICA Y NORMATIVA</t>
        </is>
      </c>
      <c r="D1357" s="5" t="inlineStr">
        <is>
          <t>Trimestral</t>
        </is>
      </c>
      <c r="E1357" s="5" t="inlineStr">
        <is>
          <t>Positivo</t>
        </is>
      </c>
      <c r="F1357" s="109" t="n">
        <v>45107</v>
      </c>
      <c r="G1357" s="5" t="n">
        <v>2023</v>
      </c>
      <c r="H1357" s="5" t="inlineStr">
        <is>
          <t>Junio</t>
        </is>
      </c>
      <c r="I1357" s="6" t="inlineStr">
        <is>
          <t>2023-1</t>
        </is>
      </c>
      <c r="J1357" s="5" t="n">
        <v>100</v>
      </c>
      <c r="K1357" s="10" t="n">
        <v>100</v>
      </c>
      <c r="L1357" s="14" t="n">
        <v>1</v>
      </c>
      <c r="M1357" s="14" t="n">
        <v>1</v>
      </c>
      <c r="N1357" s="5" t="inlineStr">
        <is>
          <t>%</t>
        </is>
      </c>
      <c r="O1357" s="5" t="inlineStr">
        <is>
          <t>%</t>
        </is>
      </c>
      <c r="P1357" s="15" t="n">
        <v>0</v>
      </c>
      <c r="Q1357" s="15" t="n">
        <v>0</v>
      </c>
      <c r="R1357" s="5" t="inlineStr">
        <is>
          <t>263-2023-06-30</t>
        </is>
      </c>
    </row>
    <row r="1358" hidden="1">
      <c r="A1358" s="21" t="n">
        <v>263</v>
      </c>
      <c r="B1358" s="5" t="inlineStr">
        <is>
          <t>Oportunidad de respuesta de PQRS</t>
        </is>
      </c>
      <c r="C1358" s="5" t="inlineStr">
        <is>
          <t>GESTIÓN JURÍDICA Y NORMATIVA</t>
        </is>
      </c>
      <c r="D1358" s="5" t="inlineStr">
        <is>
          <t>Trimestral</t>
        </is>
      </c>
      <c r="E1358" s="5" t="inlineStr">
        <is>
          <t>Positivo</t>
        </is>
      </c>
      <c r="F1358" s="109" t="n">
        <v>45199</v>
      </c>
      <c r="G1358" s="5" t="n">
        <v>2023</v>
      </c>
      <c r="H1358" s="5" t="inlineStr">
        <is>
          <t>Septiembre</t>
        </is>
      </c>
      <c r="I1358" s="6" t="inlineStr">
        <is>
          <t>2023-2</t>
        </is>
      </c>
      <c r="J1358" s="5" t="n">
        <v>100</v>
      </c>
      <c r="K1358" s="96" t="n">
        <v>100</v>
      </c>
      <c r="L1358" s="14" t="n">
        <v>1</v>
      </c>
      <c r="M1358" s="14" t="n">
        <v>1</v>
      </c>
      <c r="N1358" s="5" t="inlineStr">
        <is>
          <t>%</t>
        </is>
      </c>
      <c r="O1358" s="5" t="inlineStr">
        <is>
          <t>%</t>
        </is>
      </c>
      <c r="P1358" s="15" t="n">
        <v>0</v>
      </c>
      <c r="Q1358" s="15" t="n">
        <v>0</v>
      </c>
      <c r="R1358" s="5" t="inlineStr">
        <is>
          <t>263-2023-09-30</t>
        </is>
      </c>
    </row>
    <row r="1359" hidden="1">
      <c r="A1359" s="26" t="n">
        <v>263</v>
      </c>
      <c r="B1359" s="5" t="inlineStr">
        <is>
          <t>Oportunidad de respuesta de PQRS</t>
        </is>
      </c>
      <c r="C1359" s="5" t="inlineStr">
        <is>
          <t>GESTIÓN JURÍDICA Y NORMATIVA</t>
        </is>
      </c>
      <c r="D1359" s="5" t="inlineStr">
        <is>
          <t>Trimestral</t>
        </is>
      </c>
      <c r="E1359" s="5" t="inlineStr">
        <is>
          <t>Positivo</t>
        </is>
      </c>
      <c r="F1359" s="109" t="n">
        <v>45291</v>
      </c>
      <c r="G1359" s="5" t="n">
        <v>2023</v>
      </c>
      <c r="H1359" s="5" t="inlineStr">
        <is>
          <t>Diciembre</t>
        </is>
      </c>
      <c r="I1359" s="6" t="inlineStr">
        <is>
          <t>2023-2</t>
        </is>
      </c>
      <c r="J1359" s="5" t="n">
        <v>100</v>
      </c>
      <c r="K1359" s="96" t="n">
        <v>100</v>
      </c>
      <c r="L1359" s="14" t="n">
        <v>1</v>
      </c>
      <c r="M1359" s="14" t="n">
        <v>1</v>
      </c>
      <c r="N1359" s="5" t="inlineStr">
        <is>
          <t>%</t>
        </is>
      </c>
      <c r="O1359" s="5" t="inlineStr">
        <is>
          <t>%</t>
        </is>
      </c>
      <c r="P1359" s="15" t="n">
        <v>0</v>
      </c>
      <c r="Q1359" s="15" t="n">
        <v>0</v>
      </c>
      <c r="R1359" s="5" t="inlineStr">
        <is>
          <t>263-2023-12-31</t>
        </is>
      </c>
    </row>
    <row r="1360" hidden="1">
      <c r="A1360" s="5" t="n">
        <v>263</v>
      </c>
      <c r="B1360" s="5" t="inlineStr">
        <is>
          <t>Oportunidad de respuesta de PQRS</t>
        </is>
      </c>
      <c r="C1360" s="5" t="inlineStr">
        <is>
          <t>GESTIÓN JURÍDICA Y NORMATIVA</t>
        </is>
      </c>
      <c r="D1360" s="5" t="inlineStr">
        <is>
          <t>Trimestral</t>
        </is>
      </c>
      <c r="E1360" s="5" t="inlineStr">
        <is>
          <t>Positivo</t>
        </is>
      </c>
      <c r="F1360" s="109" t="n">
        <v>45382</v>
      </c>
      <c r="G1360" s="5" t="n">
        <v>2024</v>
      </c>
      <c r="H1360" s="5" t="inlineStr">
        <is>
          <t>Marzo</t>
        </is>
      </c>
      <c r="I1360" s="6" t="inlineStr">
        <is>
          <t>2024-1</t>
        </is>
      </c>
      <c r="J1360" s="5" t="n">
        <v>100</v>
      </c>
      <c r="K1360" s="5" t="n">
        <v>100</v>
      </c>
      <c r="L1360" s="14" t="n">
        <v>1</v>
      </c>
      <c r="M1360" s="14" t="n">
        <v>1</v>
      </c>
      <c r="N1360" s="5" t="inlineStr">
        <is>
          <t>%</t>
        </is>
      </c>
      <c r="O1360" s="5" t="inlineStr">
        <is>
          <t>%</t>
        </is>
      </c>
      <c r="P1360" s="5" t="n">
        <v>0</v>
      </c>
      <c r="Q1360" s="5" t="n">
        <v>0</v>
      </c>
      <c r="R1360" s="5" t="inlineStr">
        <is>
          <t>263-2024-03-31</t>
        </is>
      </c>
    </row>
    <row r="1361" hidden="1">
      <c r="A1361" s="21" t="n">
        <v>263</v>
      </c>
      <c r="B1361" s="5" t="inlineStr">
        <is>
          <t>Oportunidad de respuesta de PQRS</t>
        </is>
      </c>
      <c r="C1361" s="5" t="inlineStr">
        <is>
          <t>GESTIÓN JURÍDICA Y NORMATIVA</t>
        </is>
      </c>
      <c r="D1361" s="5" t="inlineStr">
        <is>
          <t>Trimestral</t>
        </is>
      </c>
      <c r="E1361" s="5" t="inlineStr">
        <is>
          <t>Positivo</t>
        </is>
      </c>
      <c r="F1361" s="109" t="n">
        <v>45473</v>
      </c>
      <c r="G1361" s="5" t="n">
        <v>2024</v>
      </c>
      <c r="H1361" s="5" t="inlineStr">
        <is>
          <t>Junio</t>
        </is>
      </c>
      <c r="I1361" s="6" t="inlineStr">
        <is>
          <t>2024-1</t>
        </is>
      </c>
      <c r="J1361" s="5" t="n">
        <v>100</v>
      </c>
      <c r="K1361" s="10" t="n">
        <v>100</v>
      </c>
      <c r="L1361" s="14" t="n">
        <v>1</v>
      </c>
      <c r="M1361" s="14" t="n">
        <v>1</v>
      </c>
      <c r="N1361" s="5" t="inlineStr">
        <is>
          <t>%</t>
        </is>
      </c>
      <c r="O1361" s="5" t="inlineStr">
        <is>
          <t>%</t>
        </is>
      </c>
      <c r="P1361" s="15" t="n">
        <v>0</v>
      </c>
      <c r="Q1361" s="15" t="n">
        <v>0</v>
      </c>
      <c r="R1361" s="5" t="inlineStr">
        <is>
          <t>263-2024-06-30</t>
        </is>
      </c>
    </row>
    <row r="1362" hidden="1">
      <c r="A1362" s="26" t="n">
        <v>263</v>
      </c>
      <c r="B1362" s="5" t="inlineStr">
        <is>
          <t>Oportunidad de respuesta de PQRS</t>
        </is>
      </c>
      <c r="C1362" s="5" t="inlineStr">
        <is>
          <t>GESTIÓN JURÍDICA Y NORMATIVA</t>
        </is>
      </c>
      <c r="D1362" s="5" t="inlineStr">
        <is>
          <t>Trimestral</t>
        </is>
      </c>
      <c r="E1362" s="5" t="inlineStr">
        <is>
          <t>Positivo</t>
        </is>
      </c>
      <c r="F1362" s="109" t="n">
        <v>45565</v>
      </c>
      <c r="G1362" s="5" t="n">
        <v>2024</v>
      </c>
      <c r="H1362" s="5" t="inlineStr">
        <is>
          <t>Septiembre</t>
        </is>
      </c>
      <c r="I1362" s="6" t="inlineStr">
        <is>
          <t>2024-2</t>
        </is>
      </c>
      <c r="J1362" s="5" t="n">
        <v>100</v>
      </c>
      <c r="K1362" s="9" t="n">
        <v>100</v>
      </c>
      <c r="L1362" s="14" t="n">
        <v>1</v>
      </c>
      <c r="M1362" s="14" t="n">
        <v>1</v>
      </c>
      <c r="N1362" s="5" t="inlineStr">
        <is>
          <t>%</t>
        </is>
      </c>
      <c r="O1362" s="5" t="inlineStr">
        <is>
          <t>%</t>
        </is>
      </c>
      <c r="P1362" s="15" t="n">
        <v>0</v>
      </c>
      <c r="Q1362" s="15" t="n">
        <v>0</v>
      </c>
      <c r="R1362" s="5" t="inlineStr">
        <is>
          <t>263-2024-09-30</t>
        </is>
      </c>
    </row>
    <row r="1363" hidden="1">
      <c r="A1363" s="26" t="n">
        <v>263</v>
      </c>
      <c r="B1363" s="5" t="inlineStr">
        <is>
          <t>Oportunidad de respuesta de PQRS</t>
        </is>
      </c>
      <c r="C1363" s="5" t="inlineStr">
        <is>
          <t>GESTIÓN JURÍDICA Y NORMATIVA</t>
        </is>
      </c>
      <c r="D1363" s="5" t="inlineStr">
        <is>
          <t>Trimestral</t>
        </is>
      </c>
      <c r="E1363" s="5" t="inlineStr">
        <is>
          <t>Positivo</t>
        </is>
      </c>
      <c r="F1363" s="109" t="n">
        <v>45657</v>
      </c>
      <c r="G1363" s="5" t="n">
        <v>2024</v>
      </c>
      <c r="H1363" s="5" t="inlineStr">
        <is>
          <t>Diciembre</t>
        </is>
      </c>
      <c r="I1363" s="6" t="inlineStr">
        <is>
          <t>2024-2</t>
        </is>
      </c>
      <c r="J1363" s="5" t="n">
        <v>100</v>
      </c>
      <c r="K1363" s="9" t="n">
        <v>100</v>
      </c>
      <c r="L1363" s="14" t="n">
        <v>1</v>
      </c>
      <c r="M1363" s="14" t="n">
        <v>1</v>
      </c>
      <c r="N1363" s="5" t="inlineStr">
        <is>
          <t>%</t>
        </is>
      </c>
      <c r="O1363" s="5" t="inlineStr">
        <is>
          <t>%</t>
        </is>
      </c>
      <c r="P1363" s="15" t="n">
        <v>0</v>
      </c>
      <c r="Q1363" s="15" t="n">
        <v>0</v>
      </c>
      <c r="R1363" s="5" t="inlineStr">
        <is>
          <t>263-2024-12-31</t>
        </is>
      </c>
    </row>
    <row r="1364" hidden="1">
      <c r="A1364" s="26" t="n">
        <v>263</v>
      </c>
      <c r="B1364" s="5" t="inlineStr">
        <is>
          <t>Oportunidad de respuesta de PQRS</t>
        </is>
      </c>
      <c r="C1364" s="5" t="inlineStr">
        <is>
          <t>GESTIÓN JURÍDICA Y NORMATIVA</t>
        </is>
      </c>
      <c r="D1364" s="5" t="inlineStr">
        <is>
          <t>Trimestral</t>
        </is>
      </c>
      <c r="E1364" s="5" t="inlineStr">
        <is>
          <t>Positivo</t>
        </is>
      </c>
      <c r="F1364" s="109" t="n">
        <v>45747</v>
      </c>
      <c r="G1364" s="5" t="n">
        <v>2025</v>
      </c>
      <c r="H1364" s="5" t="inlineStr">
        <is>
          <t>Marzo</t>
        </is>
      </c>
      <c r="I1364" s="6" t="inlineStr">
        <is>
          <t>2025-1</t>
        </is>
      </c>
      <c r="J1364" s="5" t="n">
        <v>100</v>
      </c>
      <c r="K1364" s="9" t="n">
        <v>100</v>
      </c>
      <c r="L1364" s="14" t="n">
        <v>1</v>
      </c>
      <c r="M1364" s="14" t="n">
        <v>1</v>
      </c>
      <c r="N1364" s="5" t="inlineStr">
        <is>
          <t>%</t>
        </is>
      </c>
      <c r="O1364" s="5" t="inlineStr">
        <is>
          <t>%</t>
        </is>
      </c>
      <c r="P1364" s="15" t="n">
        <v>0</v>
      </c>
      <c r="Q1364" s="15" t="n">
        <v>0</v>
      </c>
      <c r="R1364" s="5" t="inlineStr">
        <is>
          <t>263-2025-03-31</t>
        </is>
      </c>
    </row>
    <row r="1365" hidden="1">
      <c r="A1365" s="26" t="n">
        <v>263</v>
      </c>
      <c r="B1365" s="5" t="inlineStr">
        <is>
          <t>Oportunidad de respuesta de PQRS</t>
        </is>
      </c>
      <c r="C1365" s="5" t="inlineStr">
        <is>
          <t>GESTIÓN JURÍDICA Y NORMATIVA</t>
        </is>
      </c>
      <c r="D1365" s="5" t="inlineStr">
        <is>
          <t>Trimestral</t>
        </is>
      </c>
      <c r="E1365" s="5" t="inlineStr">
        <is>
          <t>Positivo</t>
        </is>
      </c>
      <c r="F1365" s="109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100</v>
      </c>
      <c r="K1365" s="9" t="n">
        <v>100</v>
      </c>
      <c r="L1365" s="14" t="n">
        <v>1</v>
      </c>
      <c r="M1365" s="14" t="n">
        <v>1</v>
      </c>
      <c r="N1365" s="5" t="inlineStr">
        <is>
          <t>%</t>
        </is>
      </c>
      <c r="O1365" s="5" t="inlineStr">
        <is>
          <t>%</t>
        </is>
      </c>
      <c r="P1365" s="15" t="n">
        <v>0</v>
      </c>
      <c r="Q1365" s="15" t="n">
        <v>0</v>
      </c>
      <c r="R1365" s="5" t="inlineStr">
        <is>
          <t>263-2025-06-30</t>
        </is>
      </c>
    </row>
    <row r="1366" hidden="1">
      <c r="A1366" s="21" t="n">
        <v>263</v>
      </c>
      <c r="B1366" s="5" t="inlineStr">
        <is>
          <t>Oportunidad de respuesta de PQRS</t>
        </is>
      </c>
      <c r="C1366" s="5" t="inlineStr">
        <is>
          <t>GESTIÓN JURÍDICA Y NORMATIVA</t>
        </is>
      </c>
      <c r="D1366" s="5" t="inlineStr">
        <is>
          <t>Semestral</t>
        </is>
      </c>
      <c r="E1366" s="5" t="inlineStr">
        <is>
          <t>Positivo</t>
        </is>
      </c>
      <c r="F1366" s="109" t="n">
        <v>45930</v>
      </c>
      <c r="G1366" s="5" t="n">
        <v>2025</v>
      </c>
      <c r="H1366" s="5" t="inlineStr">
        <is>
          <t>Septiembre</t>
        </is>
      </c>
      <c r="I1366" s="6" t="inlineStr">
        <is>
          <t>2025-2</t>
        </is>
      </c>
      <c r="J1366" s="5" t="n">
        <v>100</v>
      </c>
      <c r="K1366" s="10" t="n">
        <v>100</v>
      </c>
      <c r="L1366" s="14" t="n">
        <v>1</v>
      </c>
      <c r="M1366" s="14" t="n">
        <v>1</v>
      </c>
      <c r="N1366" s="5" t="inlineStr">
        <is>
          <t>%</t>
        </is>
      </c>
      <c r="O1366" s="5" t="inlineStr">
        <is>
          <t>%</t>
        </is>
      </c>
      <c r="P1366" s="15" t="n">
        <v>0</v>
      </c>
      <c r="Q1366" s="15" t="n">
        <v>0</v>
      </c>
      <c r="R1366" s="5" t="inlineStr">
        <is>
          <t>263-2025-09-30</t>
        </is>
      </c>
    </row>
    <row r="1367" hidden="1">
      <c r="A1367" s="21" t="n">
        <v>263</v>
      </c>
      <c r="B1367" s="5" t="inlineStr">
        <is>
          <t>Oportunidad de respuesta de PQRS</t>
        </is>
      </c>
      <c r="C1367" s="5" t="inlineStr">
        <is>
          <t>GESTIÓN JURÍDICA Y NORMATIVA</t>
        </is>
      </c>
      <c r="D1367" s="5" t="inlineStr">
        <is>
          <t>Semestral</t>
        </is>
      </c>
      <c r="E1367" s="5" t="inlineStr">
        <is>
          <t>Positivo</t>
        </is>
      </c>
      <c r="F1367" s="109" t="n">
        <v>46022</v>
      </c>
      <c r="G1367" s="5" t="n">
        <v>2025</v>
      </c>
      <c r="H1367" s="5" t="inlineStr">
        <is>
          <t>Diciembre</t>
        </is>
      </c>
      <c r="I1367" s="6" t="inlineStr">
        <is>
          <t>2025-2</t>
        </is>
      </c>
      <c r="J1367" s="5" t="n">
        <v>100</v>
      </c>
      <c r="K1367" s="10" t="n">
        <v>100</v>
      </c>
      <c r="L1367" s="14" t="n">
        <v>1</v>
      </c>
      <c r="M1367" s="14" t="n">
        <v>1</v>
      </c>
      <c r="N1367" s="5" t="inlineStr">
        <is>
          <t>%</t>
        </is>
      </c>
      <c r="O1367" s="5" t="inlineStr">
        <is>
          <t>%</t>
        </is>
      </c>
      <c r="P1367" s="15" t="n">
        <v>0</v>
      </c>
      <c r="Q1367" s="15" t="n">
        <v>0</v>
      </c>
      <c r="R1367" s="5" t="inlineStr">
        <is>
          <t>263-2025-12-31</t>
        </is>
      </c>
    </row>
    <row r="1368" hidden="1">
      <c r="A1368" s="21" t="n">
        <v>263</v>
      </c>
      <c r="B1368" s="5" t="inlineStr">
        <is>
          <t>Oportunidad de respuesta de PQRS</t>
        </is>
      </c>
      <c r="C1368" s="5" t="inlineStr">
        <is>
          <t>GESTIÓN JURÍDICA Y NORMATIVA</t>
        </is>
      </c>
      <c r="D1368" s="5" t="inlineStr">
        <is>
          <t>Semestral</t>
        </is>
      </c>
      <c r="E1368" s="5" t="inlineStr">
        <is>
          <t>Positivo</t>
        </is>
      </c>
      <c r="F1368" s="109" t="n">
        <v>46112</v>
      </c>
      <c r="G1368" s="5" t="n">
        <v>2026</v>
      </c>
      <c r="H1368" s="5" t="inlineStr">
        <is>
          <t>Marzo</t>
        </is>
      </c>
      <c r="I1368" s="6" t="inlineStr">
        <is>
          <t>2026-1</t>
        </is>
      </c>
      <c r="J1368" s="5" t="n">
        <v>100</v>
      </c>
      <c r="K1368" s="10" t="n">
        <v>100</v>
      </c>
      <c r="L1368" s="14" t="n">
        <v>1</v>
      </c>
      <c r="M1368" s="14" t="n">
        <v>1</v>
      </c>
      <c r="N1368" s="5" t="inlineStr">
        <is>
          <t>%</t>
        </is>
      </c>
      <c r="O1368" s="5" t="inlineStr">
        <is>
          <t>%</t>
        </is>
      </c>
      <c r="P1368" s="15" t="n">
        <v>0</v>
      </c>
      <c r="Q1368" s="15" t="n">
        <v>0</v>
      </c>
      <c r="R1368" s="5" t="inlineStr">
        <is>
          <t>263-2026-03-31</t>
        </is>
      </c>
    </row>
    <row r="1369" hidden="1">
      <c r="A1369" s="21" t="n">
        <v>264</v>
      </c>
      <c r="B1369" s="5" t="inlineStr">
        <is>
          <t>Emisión De Conceptos Jurídicos (Educación)</t>
        </is>
      </c>
      <c r="C1369" s="5" t="inlineStr">
        <is>
          <t>GESTIÓN JURÍDICA Y NORMATIVA</t>
        </is>
      </c>
      <c r="D1369" s="5" t="inlineStr">
        <is>
          <t>Semestral</t>
        </is>
      </c>
      <c r="E1369" s="5" t="inlineStr">
        <is>
          <t>Positivo</t>
        </is>
      </c>
      <c r="F1369" s="109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5" t="n">
        <v>100</v>
      </c>
      <c r="K1369" s="10" t="n">
        <v>100</v>
      </c>
      <c r="L1369" s="14" t="n">
        <v>1</v>
      </c>
      <c r="M1369" s="14" t="n">
        <v>1</v>
      </c>
      <c r="N1369" s="5" t="inlineStr">
        <is>
          <t>%</t>
        </is>
      </c>
      <c r="O1369" s="5" t="inlineStr">
        <is>
          <t>%</t>
        </is>
      </c>
      <c r="P1369" s="15" t="n">
        <v>0</v>
      </c>
      <c r="Q1369" s="15" t="n">
        <v>0</v>
      </c>
      <c r="R1369" s="5" t="inlineStr">
        <is>
          <t>264-2023-06-30</t>
        </is>
      </c>
    </row>
    <row r="1370" hidden="1">
      <c r="A1370" s="21" t="n">
        <v>264</v>
      </c>
      <c r="B1370" s="5" t="inlineStr">
        <is>
          <t>Emisión De Conceptos Jurídicos (Educación)</t>
        </is>
      </c>
      <c r="C1370" s="5" t="inlineStr">
        <is>
          <t>GESTIÓN JURÍDICA Y NORMATIVA</t>
        </is>
      </c>
      <c r="D1370" s="5" t="inlineStr">
        <is>
          <t>Semestral</t>
        </is>
      </c>
      <c r="E1370" s="5" t="inlineStr">
        <is>
          <t>Positivo</t>
        </is>
      </c>
      <c r="F1370" s="109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5" t="n">
        <v>100</v>
      </c>
      <c r="K1370" s="10" t="n">
        <v>100</v>
      </c>
      <c r="L1370" s="14" t="n">
        <v>1</v>
      </c>
      <c r="M1370" s="14" t="n">
        <v>1</v>
      </c>
      <c r="N1370" s="5" t="inlineStr">
        <is>
          <t>%</t>
        </is>
      </c>
      <c r="O1370" s="5" t="inlineStr">
        <is>
          <t>%</t>
        </is>
      </c>
      <c r="P1370" s="15" t="n">
        <v>0</v>
      </c>
      <c r="Q1370" s="15" t="n">
        <v>0</v>
      </c>
      <c r="R1370" s="5" t="inlineStr">
        <is>
          <t>264-2023-12-31</t>
        </is>
      </c>
    </row>
    <row r="1371" hidden="1">
      <c r="A1371" s="5" t="n">
        <v>264</v>
      </c>
      <c r="B1371" s="5" t="inlineStr">
        <is>
          <t>Eficiencia Emisión De Conceptos Jurídicos (Educación)</t>
        </is>
      </c>
      <c r="C1371" s="5" t="inlineStr">
        <is>
          <t>GESTIÓN JURÍDICA Y NORMATIVA</t>
        </is>
      </c>
      <c r="D1371" s="5" t="inlineStr">
        <is>
          <t>Semestral</t>
        </is>
      </c>
      <c r="E1371" s="5" t="inlineStr">
        <is>
          <t>Positivo</t>
        </is>
      </c>
      <c r="F1371" s="109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5" t="n">
        <v>100</v>
      </c>
      <c r="K1371" s="5" t="n">
        <v>100</v>
      </c>
      <c r="L1371" s="14" t="n">
        <v>1</v>
      </c>
      <c r="M1371" s="14" t="n">
        <v>1</v>
      </c>
      <c r="N1371" s="5" t="inlineStr">
        <is>
          <t>%</t>
        </is>
      </c>
      <c r="O1371" s="5" t="inlineStr">
        <is>
          <t>%</t>
        </is>
      </c>
      <c r="P1371" s="15" t="n">
        <v>0</v>
      </c>
      <c r="Q1371" s="15" t="n">
        <v>0</v>
      </c>
      <c r="R1371" s="5" t="inlineStr">
        <is>
          <t>264-2024-06-30</t>
        </is>
      </c>
    </row>
    <row r="1372" hidden="1">
      <c r="A1372" s="21" t="n">
        <v>264</v>
      </c>
      <c r="B1372" s="5" t="inlineStr">
        <is>
          <t>Eficiencia Emisión De Conceptos Jurídicos (Educación)</t>
        </is>
      </c>
      <c r="C1372" s="5" t="inlineStr">
        <is>
          <t>GESTIÓN JURÍDICA Y NORMATIVA</t>
        </is>
      </c>
      <c r="D1372" s="5" t="inlineStr">
        <is>
          <t>Semestral</t>
        </is>
      </c>
      <c r="E1372" s="5" t="inlineStr">
        <is>
          <t>Positivo</t>
        </is>
      </c>
      <c r="F1372" s="109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n">
        <v>100</v>
      </c>
      <c r="K1372" s="10" t="n">
        <v>100</v>
      </c>
      <c r="L1372" s="14" t="n">
        <v>1</v>
      </c>
      <c r="M1372" s="14" t="n">
        <v>1</v>
      </c>
      <c r="N1372" s="5" t="inlineStr">
        <is>
          <t>%</t>
        </is>
      </c>
      <c r="O1372" s="5" t="inlineStr">
        <is>
          <t>%</t>
        </is>
      </c>
      <c r="P1372" s="15" t="n">
        <v>0</v>
      </c>
      <c r="Q1372" s="15" t="n">
        <v>0</v>
      </c>
      <c r="R1372" s="5" t="inlineStr">
        <is>
          <t>264-2024-12-31</t>
        </is>
      </c>
    </row>
    <row r="1373" hidden="1">
      <c r="A1373" s="21" t="n">
        <v>265</v>
      </c>
      <c r="B1373" s="5" t="inlineStr">
        <is>
          <t>Emisión De Conceptos Jurídicos (Jurídicos)</t>
        </is>
      </c>
      <c r="C1373" s="5" t="inlineStr">
        <is>
          <t>GESTIÓN JURÍDICA Y NORMATIVA</t>
        </is>
      </c>
      <c r="D1373" s="5" t="inlineStr">
        <is>
          <t>Semestral</t>
        </is>
      </c>
      <c r="E1373" s="5" t="inlineStr">
        <is>
          <t>Positivo</t>
        </is>
      </c>
      <c r="F1373" s="109" t="n">
        <v>45107</v>
      </c>
      <c r="G1373" s="5" t="n">
        <v>2023</v>
      </c>
      <c r="H1373" s="5" t="inlineStr">
        <is>
          <t>Junio</t>
        </is>
      </c>
      <c r="I1373" s="6" t="inlineStr">
        <is>
          <t>2023-1</t>
        </is>
      </c>
      <c r="J1373" s="5" t="n">
        <v>100</v>
      </c>
      <c r="K1373" s="10" t="n">
        <v>80</v>
      </c>
      <c r="L1373" s="14" t="n">
        <v>0.8</v>
      </c>
      <c r="M1373" s="14" t="n">
        <v>0.8</v>
      </c>
      <c r="N1373" s="5" t="inlineStr">
        <is>
          <t>%</t>
        </is>
      </c>
      <c r="O1373" s="5" t="inlineStr">
        <is>
          <t>%</t>
        </is>
      </c>
      <c r="P1373" s="15" t="n">
        <v>0</v>
      </c>
      <c r="Q1373" s="15" t="n">
        <v>0</v>
      </c>
      <c r="R1373" s="5" t="inlineStr">
        <is>
          <t>265-2023-06-30</t>
        </is>
      </c>
    </row>
    <row r="1374" hidden="1">
      <c r="A1374" s="21" t="n">
        <v>265</v>
      </c>
      <c r="B1374" s="5" t="inlineStr">
        <is>
          <t>Emisión De Conceptos Jurídicos (Jurídicos)</t>
        </is>
      </c>
      <c r="C1374" s="5" t="inlineStr">
        <is>
          <t>GESTIÓN JURÍDICA Y NORMATIVA</t>
        </is>
      </c>
      <c r="D1374" s="5" t="inlineStr">
        <is>
          <t>Semestral</t>
        </is>
      </c>
      <c r="E1374" s="5" t="inlineStr">
        <is>
          <t>Positivo</t>
        </is>
      </c>
      <c r="F1374" s="109" t="n">
        <v>45291</v>
      </c>
      <c r="G1374" s="5" t="n">
        <v>2023</v>
      </c>
      <c r="H1374" s="5" t="inlineStr">
        <is>
          <t>Diciembre</t>
        </is>
      </c>
      <c r="I1374" s="6" t="inlineStr">
        <is>
          <t>2023-2</t>
        </is>
      </c>
      <c r="J1374" s="5" t="n">
        <v>100</v>
      </c>
      <c r="K1374" s="10" t="n">
        <v>97.13</v>
      </c>
      <c r="L1374" s="14" t="n">
        <v>0.9712999999999999</v>
      </c>
      <c r="M1374" s="14" t="n">
        <v>0.9712999999999999</v>
      </c>
      <c r="N1374" s="5" t="inlineStr">
        <is>
          <t>%</t>
        </is>
      </c>
      <c r="O1374" s="5" t="inlineStr">
        <is>
          <t>%</t>
        </is>
      </c>
      <c r="P1374" s="15" t="n">
        <v>0</v>
      </c>
      <c r="Q1374" s="15" t="n">
        <v>0</v>
      </c>
      <c r="R1374" s="5" t="inlineStr">
        <is>
          <t>265-2023-12-31</t>
        </is>
      </c>
    </row>
    <row r="1375" hidden="1">
      <c r="A1375" s="21" t="n">
        <v>265</v>
      </c>
      <c r="B1375" s="5" t="inlineStr">
        <is>
          <t>Eficiencia Emisión De Conceptos Jurídicos (Jurídicos)</t>
        </is>
      </c>
      <c r="C1375" s="5" t="inlineStr">
        <is>
          <t>GESTIÓN JURÍDICA Y NORMATIVA</t>
        </is>
      </c>
      <c r="D1375" s="5" t="inlineStr">
        <is>
          <t>Semestral</t>
        </is>
      </c>
      <c r="E1375" s="5" t="inlineStr">
        <is>
          <t>Positivo</t>
        </is>
      </c>
      <c r="F1375" s="109" t="n">
        <v>45473</v>
      </c>
      <c r="G1375" s="5" t="n">
        <v>2024</v>
      </c>
      <c r="H1375" s="5" t="inlineStr">
        <is>
          <t>Junio</t>
        </is>
      </c>
      <c r="I1375" s="6" t="inlineStr">
        <is>
          <t>2024-1</t>
        </is>
      </c>
      <c r="J1375" s="5" t="n">
        <v>95</v>
      </c>
      <c r="K1375" s="10" t="n">
        <v>100</v>
      </c>
      <c r="L1375" s="14" t="n">
        <v>1.052631578947368</v>
      </c>
      <c r="M1375" s="14" t="n">
        <v>1.052631578947368</v>
      </c>
      <c r="N1375" s="5" t="inlineStr">
        <is>
          <t>%</t>
        </is>
      </c>
      <c r="O1375" s="5" t="inlineStr">
        <is>
          <t>%</t>
        </is>
      </c>
      <c r="P1375" s="15" t="n">
        <v>0</v>
      </c>
      <c r="Q1375" s="15" t="n">
        <v>0</v>
      </c>
      <c r="R1375" s="5" t="inlineStr">
        <is>
          <t>265-2024-06-30</t>
        </is>
      </c>
    </row>
    <row r="1376" hidden="1">
      <c r="A1376" s="21" t="n">
        <v>265</v>
      </c>
      <c r="B1376" s="5" t="inlineStr">
        <is>
          <t>Eficiencia Emisión De Conceptos Jurídicos (Jurídicos)</t>
        </is>
      </c>
      <c r="C1376" s="5" t="inlineStr">
        <is>
          <t>GESTIÓN JURÍDICA Y NORMATIVA</t>
        </is>
      </c>
      <c r="D1376" s="5" t="inlineStr">
        <is>
          <t>Semestral</t>
        </is>
      </c>
      <c r="E1376" s="5" t="inlineStr">
        <is>
          <t>Positivo</t>
        </is>
      </c>
      <c r="F1376" s="109" t="n">
        <v>45657</v>
      </c>
      <c r="G1376" s="5" t="n">
        <v>2024</v>
      </c>
      <c r="H1376" s="5" t="inlineStr">
        <is>
          <t>Diciembre</t>
        </is>
      </c>
      <c r="I1376" s="6" t="inlineStr">
        <is>
          <t>2024-2</t>
        </is>
      </c>
      <c r="J1376" s="5" t="n">
        <v>95</v>
      </c>
      <c r="K1376" s="10" t="n">
        <v>100</v>
      </c>
      <c r="L1376" s="14" t="n">
        <v>1.052631578947368</v>
      </c>
      <c r="M1376" s="14" t="n">
        <v>1.052631578947368</v>
      </c>
      <c r="N1376" s="5" t="inlineStr">
        <is>
          <t>%</t>
        </is>
      </c>
      <c r="O1376" s="5" t="inlineStr">
        <is>
          <t>%</t>
        </is>
      </c>
      <c r="P1376" s="15" t="n">
        <v>0</v>
      </c>
      <c r="Q1376" s="15" t="n">
        <v>0</v>
      </c>
      <c r="R1376" s="5" t="inlineStr">
        <is>
          <t>265-2024-12-31</t>
        </is>
      </c>
    </row>
    <row r="1377" hidden="1">
      <c r="A1377" s="21" t="n">
        <v>265</v>
      </c>
      <c r="B1377" s="5" t="inlineStr">
        <is>
          <t>Eficiencia Emisión De Conceptos Jurídicos (Jurídicos)</t>
        </is>
      </c>
      <c r="C1377" s="5" t="inlineStr">
        <is>
          <t>GESTIÓN JURÍDICA Y NORMATIVA</t>
        </is>
      </c>
      <c r="D1377" s="5" t="inlineStr">
        <is>
          <t>Semestral</t>
        </is>
      </c>
      <c r="E1377" s="5" t="inlineStr">
        <is>
          <t>Positivo</t>
        </is>
      </c>
      <c r="F1377" s="109" t="n">
        <v>45838</v>
      </c>
      <c r="G1377" s="5" t="n">
        <v>2025</v>
      </c>
      <c r="H1377" s="5" t="inlineStr">
        <is>
          <t>Junio</t>
        </is>
      </c>
      <c r="I1377" s="6" t="inlineStr">
        <is>
          <t>2025-1</t>
        </is>
      </c>
      <c r="J1377" s="5" t="n">
        <v>95</v>
      </c>
      <c r="K1377" s="10" t="n">
        <v>100</v>
      </c>
      <c r="L1377" s="14" t="n">
        <v>1.052631578947368</v>
      </c>
      <c r="M1377" s="14" t="n">
        <v>1.052631578947368</v>
      </c>
      <c r="N1377" s="5" t="inlineStr">
        <is>
          <t>%</t>
        </is>
      </c>
      <c r="O1377" s="5" t="inlineStr">
        <is>
          <t>%</t>
        </is>
      </c>
      <c r="P1377" s="15" t="n">
        <v>0</v>
      </c>
      <c r="Q1377" s="15" t="n">
        <v>0</v>
      </c>
      <c r="R1377" s="5" t="inlineStr">
        <is>
          <t>265-2025-06-30</t>
        </is>
      </c>
    </row>
    <row r="1378" hidden="1">
      <c r="A1378" s="5" t="n">
        <v>265</v>
      </c>
      <c r="B1378" s="5" t="inlineStr">
        <is>
          <t>Eficiencia Emisión De Conceptos Jurídicos (Jurídicos)</t>
        </is>
      </c>
      <c r="C1378" s="5" t="inlineStr">
        <is>
          <t>GESTIÓN JURÍDICA Y NORMATIVA</t>
        </is>
      </c>
      <c r="D1378" s="5" t="inlineStr">
        <is>
          <t>Semestral</t>
        </is>
      </c>
      <c r="E1378" s="5" t="inlineStr">
        <is>
          <t>Positivo</t>
        </is>
      </c>
      <c r="F1378" s="109" t="n">
        <v>45930</v>
      </c>
      <c r="G1378" s="5" t="n">
        <v>2025</v>
      </c>
      <c r="H1378" s="5" t="inlineStr">
        <is>
          <t>Septiembre</t>
        </is>
      </c>
      <c r="I1378" s="6" t="inlineStr">
        <is>
          <t>2025-2</t>
        </is>
      </c>
      <c r="J1378" s="5" t="n">
        <v>95</v>
      </c>
      <c r="K1378" s="5" t="n">
        <v>100</v>
      </c>
      <c r="L1378" s="14" t="n">
        <v>1.052631578947368</v>
      </c>
      <c r="M1378" s="14" t="n">
        <v>1.052631578947368</v>
      </c>
      <c r="N1378" s="5" t="inlineStr">
        <is>
          <t>%</t>
        </is>
      </c>
      <c r="O1378" s="5" t="inlineStr">
        <is>
          <t>%</t>
        </is>
      </c>
      <c r="P1378" s="5" t="n">
        <v>0</v>
      </c>
      <c r="Q1378" s="5" t="n">
        <v>0</v>
      </c>
      <c r="R1378" s="5" t="inlineStr">
        <is>
          <t>265-2025-09-30</t>
        </is>
      </c>
    </row>
    <row r="1379" hidden="1">
      <c r="A1379" s="21" t="n">
        <v>265</v>
      </c>
      <c r="B1379" s="5" t="inlineStr">
        <is>
          <t>Eficiencia Emisión De Conceptos Jurídicos (Jurídicos)</t>
        </is>
      </c>
      <c r="C1379" s="5" t="inlineStr">
        <is>
          <t>GESTIÓN JURÍDICA Y NORMATIVA</t>
        </is>
      </c>
      <c r="D1379" s="5" t="inlineStr">
        <is>
          <t>Semestral</t>
        </is>
      </c>
      <c r="E1379" s="5" t="inlineStr">
        <is>
          <t>Positivo</t>
        </is>
      </c>
      <c r="F1379" s="109" t="n">
        <v>46022</v>
      </c>
      <c r="G1379" s="5" t="n">
        <v>2025</v>
      </c>
      <c r="H1379" s="5" t="inlineStr">
        <is>
          <t>Diciembre</t>
        </is>
      </c>
      <c r="I1379" s="6" t="inlineStr">
        <is>
          <t>2025-2</t>
        </is>
      </c>
      <c r="J1379" s="5" t="n">
        <v>95</v>
      </c>
      <c r="K1379" s="10" t="n">
        <v>100</v>
      </c>
      <c r="L1379" s="14" t="n">
        <v>1.052631578947368</v>
      </c>
      <c r="M1379" s="14" t="n">
        <v>1.052631578947368</v>
      </c>
      <c r="N1379" s="5" t="inlineStr">
        <is>
          <t>%</t>
        </is>
      </c>
      <c r="O1379" s="5" t="inlineStr">
        <is>
          <t>%</t>
        </is>
      </c>
      <c r="P1379" s="15" t="n">
        <v>0</v>
      </c>
      <c r="Q1379" s="15" t="n">
        <v>0</v>
      </c>
      <c r="R1379" s="5" t="inlineStr">
        <is>
          <t>265-2025-12-31</t>
        </is>
      </c>
    </row>
    <row r="1380" hidden="1">
      <c r="A1380" s="26" t="n">
        <v>265</v>
      </c>
      <c r="B1380" s="5" t="inlineStr">
        <is>
          <t>Eficiencia Emisión De Conceptos Jurídicos (Jurídicos)</t>
        </is>
      </c>
      <c r="C1380" s="5" t="inlineStr">
        <is>
          <t>GESTIÓN JURÍDICA Y NORMATIVA</t>
        </is>
      </c>
      <c r="D1380" s="5" t="inlineStr">
        <is>
          <t>Semestral</t>
        </is>
      </c>
      <c r="E1380" s="5" t="inlineStr">
        <is>
          <t>Positivo</t>
        </is>
      </c>
      <c r="F1380" s="109" t="n">
        <v>46112</v>
      </c>
      <c r="G1380" s="5" t="n">
        <v>2026</v>
      </c>
      <c r="H1380" s="5" t="inlineStr">
        <is>
          <t>Marzo</t>
        </is>
      </c>
      <c r="I1380" s="6" t="inlineStr">
        <is>
          <t>2026-1</t>
        </is>
      </c>
      <c r="J1380" s="5" t="n">
        <v>95</v>
      </c>
      <c r="K1380" s="96" t="n">
        <v>100</v>
      </c>
      <c r="L1380" s="14" t="n">
        <v>1.052631578947368</v>
      </c>
      <c r="M1380" s="14" t="n">
        <v>1.052631578947368</v>
      </c>
      <c r="N1380" s="5" t="inlineStr">
        <is>
          <t>%</t>
        </is>
      </c>
      <c r="O1380" s="5" t="inlineStr">
        <is>
          <t>%</t>
        </is>
      </c>
      <c r="P1380" s="15" t="n">
        <v>0</v>
      </c>
      <c r="Q1380" s="15" t="n">
        <v>0</v>
      </c>
      <c r="R1380" s="5" t="inlineStr">
        <is>
          <t>265-2026-03-31</t>
        </is>
      </c>
    </row>
    <row r="1381" hidden="1">
      <c r="A1381" s="26" t="n">
        <v>266</v>
      </c>
      <c r="B1381" s="5" t="inlineStr">
        <is>
          <t>Oportunidad en la elaboración de contratos</t>
        </is>
      </c>
      <c r="C1381" s="5" t="inlineStr">
        <is>
          <t>GESTIÓN JURÍDICA Y NORMATIVA</t>
        </is>
      </c>
      <c r="D1381" s="5" t="inlineStr">
        <is>
          <t>Semestral</t>
        </is>
      </c>
      <c r="E1381" s="5" t="inlineStr">
        <is>
          <t>Positivo</t>
        </is>
      </c>
      <c r="F1381" s="109" t="n">
        <v>45107</v>
      </c>
      <c r="G1381" s="5" t="n">
        <v>2023</v>
      </c>
      <c r="H1381" s="5" t="inlineStr">
        <is>
          <t>Junio</t>
        </is>
      </c>
      <c r="I1381" s="6" t="inlineStr">
        <is>
          <t>2023-1</t>
        </is>
      </c>
      <c r="J1381" s="5" t="n">
        <v>95</v>
      </c>
      <c r="K1381" s="96" t="n">
        <v>89.907038512616</v>
      </c>
      <c r="L1381" s="14" t="n">
        <v>0.9463898790801684</v>
      </c>
      <c r="M1381" s="14" t="n">
        <v>0.9463898790801684</v>
      </c>
      <c r="N1381" s="5" t="inlineStr">
        <is>
          <t>%</t>
        </is>
      </c>
      <c r="O1381" s="5" t="inlineStr">
        <is>
          <t>%</t>
        </is>
      </c>
      <c r="P1381" s="15" t="n">
        <v>0</v>
      </c>
      <c r="Q1381" s="15" t="n">
        <v>0</v>
      </c>
      <c r="R1381" s="5" t="inlineStr">
        <is>
          <t>266-2023-06-30</t>
        </is>
      </c>
    </row>
    <row r="1382" hidden="1">
      <c r="A1382" s="26" t="n">
        <v>266</v>
      </c>
      <c r="B1382" s="5" t="inlineStr">
        <is>
          <t>Oportunidad en la elaboración de contratos</t>
        </is>
      </c>
      <c r="C1382" s="5" t="inlineStr">
        <is>
          <t>GESTIÓN JURÍDICA Y NORMATIVA</t>
        </is>
      </c>
      <c r="D1382" s="5" t="inlineStr">
        <is>
          <t>Semestral</t>
        </is>
      </c>
      <c r="E1382" s="5" t="inlineStr">
        <is>
          <t>Positivo</t>
        </is>
      </c>
      <c r="F1382" s="109" t="n">
        <v>45291</v>
      </c>
      <c r="G1382" s="5" t="n">
        <v>2023</v>
      </c>
      <c r="H1382" s="5" t="inlineStr">
        <is>
          <t>Diciembre</t>
        </is>
      </c>
      <c r="I1382" s="6" t="inlineStr">
        <is>
          <t>2023-2</t>
        </is>
      </c>
      <c r="J1382" s="5" t="n">
        <v>95</v>
      </c>
      <c r="K1382" s="96" t="n">
        <v>97.06999999999999</v>
      </c>
      <c r="L1382" s="14" t="n">
        <v>1.02178947368421</v>
      </c>
      <c r="M1382" s="14" t="n">
        <v>1.02178947368421</v>
      </c>
      <c r="N1382" s="5" t="inlineStr">
        <is>
          <t>%</t>
        </is>
      </c>
      <c r="O1382" s="5" t="inlineStr">
        <is>
          <t>%</t>
        </is>
      </c>
      <c r="P1382" s="15" t="n">
        <v>0</v>
      </c>
      <c r="Q1382" s="15" t="n">
        <v>0</v>
      </c>
      <c r="R1382" s="5" t="inlineStr">
        <is>
          <t>266-2023-12-31</t>
        </is>
      </c>
    </row>
    <row r="1383" hidden="1">
      <c r="A1383" s="26" t="n">
        <v>266</v>
      </c>
      <c r="B1383" s="5" t="inlineStr">
        <is>
          <t>Oportunidad en la elaboración de contratos</t>
        </is>
      </c>
      <c r="C1383" s="5" t="inlineStr">
        <is>
          <t>GESTIÓN JURÍDICA Y NORMATIVA</t>
        </is>
      </c>
      <c r="D1383" s="5" t="inlineStr">
        <is>
          <t>Semestral</t>
        </is>
      </c>
      <c r="E1383" s="5" t="inlineStr">
        <is>
          <t>Positivo</t>
        </is>
      </c>
      <c r="F1383" s="109" t="n">
        <v>45473</v>
      </c>
      <c r="G1383" s="5" t="n">
        <v>2024</v>
      </c>
      <c r="H1383" s="5" t="inlineStr">
        <is>
          <t>Junio</t>
        </is>
      </c>
      <c r="I1383" s="6" t="inlineStr">
        <is>
          <t>2024-1</t>
        </is>
      </c>
      <c r="J1383" s="5" t="n">
        <v>95</v>
      </c>
      <c r="K1383" s="96" t="n">
        <v>95.02</v>
      </c>
      <c r="L1383" s="14" t="n">
        <v>1.000210526315789</v>
      </c>
      <c r="M1383" s="14" t="n">
        <v>1.000210526315789</v>
      </c>
      <c r="N1383" s="5" t="inlineStr">
        <is>
          <t>%</t>
        </is>
      </c>
      <c r="O1383" s="5" t="inlineStr">
        <is>
          <t>%</t>
        </is>
      </c>
      <c r="P1383" s="15" t="n">
        <v>0</v>
      </c>
      <c r="Q1383" s="15" t="n">
        <v>0</v>
      </c>
      <c r="R1383" s="5" t="inlineStr">
        <is>
          <t>266-2024-06-30</t>
        </is>
      </c>
    </row>
    <row r="1384" hidden="1">
      <c r="A1384" s="26" t="n">
        <v>266</v>
      </c>
      <c r="B1384" s="5" t="inlineStr">
        <is>
          <t>Oportunidad en la elaboración de contratos</t>
        </is>
      </c>
      <c r="C1384" s="5" t="inlineStr">
        <is>
          <t>GESTIÓN JURÍDICA Y NORMATIVA</t>
        </is>
      </c>
      <c r="D1384" s="5" t="inlineStr">
        <is>
          <t>Semestral</t>
        </is>
      </c>
      <c r="E1384" s="5" t="inlineStr">
        <is>
          <t>Positivo</t>
        </is>
      </c>
      <c r="F1384" s="109" t="n">
        <v>45657</v>
      </c>
      <c r="G1384" s="5" t="n">
        <v>2024</v>
      </c>
      <c r="H1384" s="5" t="inlineStr">
        <is>
          <t>Diciembre</t>
        </is>
      </c>
      <c r="I1384" s="6" t="inlineStr">
        <is>
          <t>2024-2</t>
        </is>
      </c>
      <c r="J1384" s="5" t="n">
        <v>95</v>
      </c>
      <c r="K1384" s="96" t="n">
        <v>81.93000000000001</v>
      </c>
      <c r="L1384" s="14" t="n">
        <v>0.862421052631579</v>
      </c>
      <c r="M1384" s="14" t="n">
        <v>0.862421052631579</v>
      </c>
      <c r="N1384" s="5" t="inlineStr">
        <is>
          <t>%</t>
        </is>
      </c>
      <c r="O1384" s="5" t="inlineStr">
        <is>
          <t>%</t>
        </is>
      </c>
      <c r="P1384" s="15" t="n">
        <v>0</v>
      </c>
      <c r="Q1384" s="15" t="n">
        <v>0</v>
      </c>
      <c r="R1384" s="5" t="inlineStr">
        <is>
          <t>266-2024-12-31</t>
        </is>
      </c>
    </row>
    <row r="1385" hidden="1">
      <c r="A1385" s="26" t="n">
        <v>266</v>
      </c>
      <c r="B1385" s="5" t="inlineStr">
        <is>
          <t>Oportunidad en la elaboración de contratos</t>
        </is>
      </c>
      <c r="C1385" s="5" t="inlineStr">
        <is>
          <t>GESTIÓN JURÍDICA Y NORMATIVA</t>
        </is>
      </c>
      <c r="D1385" s="5" t="inlineStr">
        <is>
          <t>Semestral</t>
        </is>
      </c>
      <c r="E1385" s="5" t="inlineStr">
        <is>
          <t>Positivo</t>
        </is>
      </c>
      <c r="F1385" s="109" t="n">
        <v>45838</v>
      </c>
      <c r="G1385" s="5" t="n">
        <v>2025</v>
      </c>
      <c r="H1385" s="5" t="inlineStr">
        <is>
          <t>Junio</t>
        </is>
      </c>
      <c r="I1385" s="6" t="inlineStr">
        <is>
          <t>2025-1</t>
        </is>
      </c>
      <c r="J1385" s="5" t="n">
        <v>95</v>
      </c>
      <c r="K1385" s="96" t="n">
        <v>53.15</v>
      </c>
      <c r="L1385" s="14" t="n">
        <v>0.5594736842105263</v>
      </c>
      <c r="M1385" s="14" t="n">
        <v>0.5594736842105263</v>
      </c>
      <c r="N1385" s="5" t="inlineStr">
        <is>
          <t>%</t>
        </is>
      </c>
      <c r="O1385" s="5" t="inlineStr">
        <is>
          <t>%</t>
        </is>
      </c>
      <c r="P1385" s="15" t="n">
        <v>0</v>
      </c>
      <c r="Q1385" s="15" t="n">
        <v>0</v>
      </c>
      <c r="R1385" s="5" t="inlineStr">
        <is>
          <t>266-2025-06-30</t>
        </is>
      </c>
    </row>
    <row r="1386" hidden="1">
      <c r="A1386" s="21" t="n">
        <v>266</v>
      </c>
      <c r="B1386" s="5" t="inlineStr">
        <is>
          <t>Oportunidad en la elaboración de contratos</t>
        </is>
      </c>
      <c r="C1386" s="5" t="inlineStr">
        <is>
          <t>GESTIÓN JURÍDICA Y NORMATIVA</t>
        </is>
      </c>
      <c r="D1386" s="5" t="inlineStr">
        <is>
          <t>Semestral</t>
        </is>
      </c>
      <c r="E1386" s="5" t="inlineStr">
        <is>
          <t>Positivo</t>
        </is>
      </c>
      <c r="F1386" s="109" t="n">
        <v>45930</v>
      </c>
      <c r="G1386" s="5" t="n">
        <v>2025</v>
      </c>
      <c r="H1386" s="5" t="inlineStr">
        <is>
          <t>Septiembre</t>
        </is>
      </c>
      <c r="I1386" s="6" t="inlineStr">
        <is>
          <t>2025-2</t>
        </is>
      </c>
      <c r="J1386" s="5" t="n">
        <v>95</v>
      </c>
      <c r="K1386" s="10" t="n">
        <v>80</v>
      </c>
      <c r="L1386" s="14" t="n">
        <v>0.8421052631578947</v>
      </c>
      <c r="M1386" s="14" t="n">
        <v>0.8421052631578947</v>
      </c>
      <c r="N1386" s="5" t="inlineStr">
        <is>
          <t>%</t>
        </is>
      </c>
      <c r="O1386" s="5" t="inlineStr">
        <is>
          <t>%</t>
        </is>
      </c>
      <c r="P1386" s="15" t="n">
        <v>0</v>
      </c>
      <c r="Q1386" s="15" t="n">
        <v>0</v>
      </c>
      <c r="R1386" s="5" t="inlineStr">
        <is>
          <t>266-2025-09-30</t>
        </is>
      </c>
    </row>
    <row r="1387" hidden="1">
      <c r="A1387" s="21" t="n">
        <v>266</v>
      </c>
      <c r="B1387" s="5" t="inlineStr">
        <is>
          <t>Oportunidad en la elaboración de contratos</t>
        </is>
      </c>
      <c r="C1387" s="5" t="inlineStr">
        <is>
          <t>GESTIÓN JURÍDICA Y NORMATIVA</t>
        </is>
      </c>
      <c r="D1387" s="5" t="inlineStr">
        <is>
          <t>Semestral</t>
        </is>
      </c>
      <c r="E1387" s="5" t="inlineStr">
        <is>
          <t>Positivo</t>
        </is>
      </c>
      <c r="F1387" s="109" t="n">
        <v>46022</v>
      </c>
      <c r="G1387" s="5" t="n">
        <v>2025</v>
      </c>
      <c r="H1387" s="5" t="inlineStr">
        <is>
          <t>Diciembre</t>
        </is>
      </c>
      <c r="I1387" s="6" t="inlineStr">
        <is>
          <t>2025-2</t>
        </is>
      </c>
      <c r="J1387" s="5" t="n">
        <v>95</v>
      </c>
      <c r="K1387" s="10" t="n">
        <v>96.2</v>
      </c>
      <c r="L1387" s="14" t="n">
        <v>1.012631578947369</v>
      </c>
      <c r="M1387" s="14" t="n">
        <v>1.012631578947369</v>
      </c>
      <c r="N1387" s="5" t="inlineStr">
        <is>
          <t>%</t>
        </is>
      </c>
      <c r="O1387" s="5" t="inlineStr">
        <is>
          <t>%</t>
        </is>
      </c>
      <c r="P1387" s="15" t="n">
        <v>0</v>
      </c>
      <c r="Q1387" s="15" t="n">
        <v>0</v>
      </c>
      <c r="R1387" s="5" t="inlineStr">
        <is>
          <t>266-2025-12-31</t>
        </is>
      </c>
    </row>
    <row r="1388" hidden="1">
      <c r="A1388" s="21" t="n">
        <v>266</v>
      </c>
      <c r="B1388" s="5" t="inlineStr">
        <is>
          <t>Oportunidad en la elaboración de contratos</t>
        </is>
      </c>
      <c r="C1388" s="5" t="inlineStr">
        <is>
          <t>GESTIÓN JURÍDICA Y NORMATIVA</t>
        </is>
      </c>
      <c r="D1388" s="5" t="inlineStr">
        <is>
          <t>Semestral</t>
        </is>
      </c>
      <c r="E1388" s="5" t="inlineStr">
        <is>
          <t>Positivo</t>
        </is>
      </c>
      <c r="F1388" s="109" t="n">
        <v>46112</v>
      </c>
      <c r="G1388" s="5" t="n">
        <v>2026</v>
      </c>
      <c r="H1388" s="5" t="inlineStr">
        <is>
          <t>Marzo</t>
        </is>
      </c>
      <c r="I1388" s="6" t="inlineStr">
        <is>
          <t>2026-1</t>
        </is>
      </c>
      <c r="J1388" s="5" t="n">
        <v>95</v>
      </c>
      <c r="K1388" s="10" t="n">
        <v>54.26</v>
      </c>
      <c r="L1388" s="14" t="n">
        <v>0.5711578947368421</v>
      </c>
      <c r="M1388" s="14" t="n">
        <v>0.5711578947368421</v>
      </c>
      <c r="N1388" s="5" t="inlineStr">
        <is>
          <t>%</t>
        </is>
      </c>
      <c r="O1388" s="5" t="inlineStr">
        <is>
          <t>%</t>
        </is>
      </c>
      <c r="P1388" s="15" t="n">
        <v>0</v>
      </c>
      <c r="Q1388" s="15" t="n">
        <v>0</v>
      </c>
      <c r="R1388" s="5" t="inlineStr">
        <is>
          <t>266-2026-03-31</t>
        </is>
      </c>
    </row>
    <row r="1389" hidden="1">
      <c r="A1389" s="21" t="n">
        <v>268</v>
      </c>
      <c r="B1389" s="5" t="inlineStr">
        <is>
          <t>Cantidad de usuarios</t>
        </is>
      </c>
      <c r="C1389" s="5" t="inlineStr">
        <is>
          <t>Centro de Medios Audiovisuales</t>
        </is>
      </c>
      <c r="D1389" s="5" t="inlineStr">
        <is>
          <t>Semestral</t>
        </is>
      </c>
      <c r="E1389" s="5" t="inlineStr">
        <is>
          <t>Positivo</t>
        </is>
      </c>
      <c r="F1389" s="109" t="n">
        <v>45107</v>
      </c>
      <c r="G1389" s="5" t="n">
        <v>2023</v>
      </c>
      <c r="H1389" s="5" t="inlineStr">
        <is>
          <t>Junio</t>
        </is>
      </c>
      <c r="I1389" s="6" t="inlineStr">
        <is>
          <t>2023-1</t>
        </is>
      </c>
      <c r="J1389" s="5" t="n">
        <v>0</v>
      </c>
      <c r="K1389" s="10" t="n">
        <v>661</v>
      </c>
      <c r="L1389" s="14" t="n"/>
      <c r="M1389" s="14" t="n"/>
      <c r="N1389" s="5" t="n"/>
      <c r="O1389" s="5" t="inlineStr">
        <is>
          <t>ENT</t>
        </is>
      </c>
      <c r="P1389" s="15" t="n">
        <v>0</v>
      </c>
      <c r="Q1389" s="15" t="n">
        <v>0</v>
      </c>
      <c r="R1389" s="5" t="inlineStr">
        <is>
          <t>268-2023-06-30</t>
        </is>
      </c>
    </row>
    <row r="1390" hidden="1">
      <c r="A1390" s="21" t="n">
        <v>268</v>
      </c>
      <c r="B1390" s="5" t="inlineStr">
        <is>
          <t>Cantidad de usuarios</t>
        </is>
      </c>
      <c r="C1390" s="5" t="inlineStr">
        <is>
          <t>Centro de Medios Audiovisuales</t>
        </is>
      </c>
      <c r="D1390" s="5" t="inlineStr">
        <is>
          <t>Semestral</t>
        </is>
      </c>
      <c r="E1390" s="5" t="inlineStr">
        <is>
          <t>Positivo</t>
        </is>
      </c>
      <c r="F1390" s="109" t="n">
        <v>45291</v>
      </c>
      <c r="G1390" s="5" t="n">
        <v>2023</v>
      </c>
      <c r="H1390" s="5" t="inlineStr">
        <is>
          <t>Diciembre</t>
        </is>
      </c>
      <c r="I1390" s="6" t="inlineStr">
        <is>
          <t>2023-2</t>
        </is>
      </c>
      <c r="J1390" s="5" t="n">
        <v>0</v>
      </c>
      <c r="K1390" s="10" t="n">
        <v>727</v>
      </c>
      <c r="L1390" s="14" t="n"/>
      <c r="M1390" s="14" t="n"/>
      <c r="N1390" s="5" t="n"/>
      <c r="O1390" s="5" t="inlineStr">
        <is>
          <t>ENT</t>
        </is>
      </c>
      <c r="P1390" s="15" t="n">
        <v>0</v>
      </c>
      <c r="Q1390" s="15" t="n">
        <v>0</v>
      </c>
      <c r="R1390" s="5" t="inlineStr">
        <is>
          <t>268-2023-12-31</t>
        </is>
      </c>
    </row>
    <row r="1391" hidden="1">
      <c r="A1391" s="5" t="n">
        <v>268</v>
      </c>
      <c r="B1391" s="5" t="inlineStr">
        <is>
          <t>Cantidad de usuarios</t>
        </is>
      </c>
      <c r="C1391" s="5" t="inlineStr">
        <is>
          <t>Centro de Medios Audiovisuales</t>
        </is>
      </c>
      <c r="D1391" s="5" t="inlineStr">
        <is>
          <t>Semestral</t>
        </is>
      </c>
      <c r="E1391" s="5" t="inlineStr">
        <is>
          <t>Positivo</t>
        </is>
      </c>
      <c r="F1391" s="109" t="n">
        <v>45473</v>
      </c>
      <c r="G1391" s="5" t="n">
        <v>2024</v>
      </c>
      <c r="H1391" s="5" t="inlineStr">
        <is>
          <t>Junio</t>
        </is>
      </c>
      <c r="I1391" s="6" t="inlineStr">
        <is>
          <t>2024-1</t>
        </is>
      </c>
      <c r="J1391" s="5" t="n">
        <v>0</v>
      </c>
      <c r="K1391" s="5" t="n">
        <v>743</v>
      </c>
      <c r="L1391" s="14" t="n"/>
      <c r="M1391" s="14" t="n"/>
      <c r="N1391" s="5" t="n"/>
      <c r="O1391" s="5" t="inlineStr">
        <is>
          <t>ENT</t>
        </is>
      </c>
      <c r="P1391" s="15" t="n">
        <v>0</v>
      </c>
      <c r="Q1391" s="15" t="n">
        <v>0</v>
      </c>
      <c r="R1391" s="5" t="inlineStr">
        <is>
          <t>268-2024-06-30</t>
        </is>
      </c>
    </row>
    <row r="1392" hidden="1">
      <c r="A1392" s="21" t="n">
        <v>268</v>
      </c>
      <c r="B1392" s="5" t="inlineStr">
        <is>
          <t>Cantidad de usuarios</t>
        </is>
      </c>
      <c r="C1392" s="5" t="inlineStr">
        <is>
          <t>Centro de Medios Audiovisuales</t>
        </is>
      </c>
      <c r="D1392" s="5" t="inlineStr">
        <is>
          <t>Semestral</t>
        </is>
      </c>
      <c r="E1392" s="5" t="inlineStr">
        <is>
          <t>Positivo</t>
        </is>
      </c>
      <c r="F1392" s="109" t="n">
        <v>45657</v>
      </c>
      <c r="G1392" s="5" t="n">
        <v>2024</v>
      </c>
      <c r="H1392" s="5" t="inlineStr">
        <is>
          <t>Diciembre</t>
        </is>
      </c>
      <c r="I1392" s="6" t="inlineStr">
        <is>
          <t>2024-2</t>
        </is>
      </c>
      <c r="J1392" s="5" t="n">
        <v>0</v>
      </c>
      <c r="K1392" s="10" t="n">
        <v>732</v>
      </c>
      <c r="L1392" s="14" t="n"/>
      <c r="M1392" s="14" t="n"/>
      <c r="N1392" s="5" t="n"/>
      <c r="O1392" s="5" t="inlineStr">
        <is>
          <t>ENT</t>
        </is>
      </c>
      <c r="P1392" s="15" t="n">
        <v>0</v>
      </c>
      <c r="Q1392" s="15" t="n">
        <v>0</v>
      </c>
      <c r="R1392" s="5" t="inlineStr">
        <is>
          <t>268-2024-12-31</t>
        </is>
      </c>
    </row>
    <row r="1393" hidden="1">
      <c r="A1393" s="21" t="n">
        <v>268</v>
      </c>
      <c r="B1393" s="5" t="inlineStr">
        <is>
          <t>Cantidad de usuarios - (Metrica)</t>
        </is>
      </c>
      <c r="C1393" s="5" t="inlineStr">
        <is>
          <t>Centro de Medios Audiovisuales</t>
        </is>
      </c>
      <c r="D1393" s="5" t="inlineStr">
        <is>
          <t>Trimestral</t>
        </is>
      </c>
      <c r="E1393" s="5" t="inlineStr">
        <is>
          <t>Positivo</t>
        </is>
      </c>
      <c r="F1393" s="109" t="n">
        <v>45838</v>
      </c>
      <c r="G1393" s="5" t="n">
        <v>2025</v>
      </c>
      <c r="H1393" s="5" t="inlineStr">
        <is>
          <t>Junio</t>
        </is>
      </c>
      <c r="I1393" s="6" t="inlineStr">
        <is>
          <t>2025-1</t>
        </is>
      </c>
      <c r="J1393" s="5" t="n"/>
      <c r="K1393" s="10" t="n">
        <v>765</v>
      </c>
      <c r="L1393" s="14" t="n"/>
      <c r="M1393" s="14" t="n"/>
      <c r="N1393" s="5" t="inlineStr">
        <is>
          <t>%</t>
        </is>
      </c>
      <c r="O1393" s="5" t="inlineStr">
        <is>
          <t>ENT</t>
        </is>
      </c>
      <c r="P1393" s="15" t="n">
        <v>0</v>
      </c>
      <c r="Q1393" s="15" t="n">
        <v>0</v>
      </c>
      <c r="R1393" s="5" t="inlineStr">
        <is>
          <t>268-2025-06-30</t>
        </is>
      </c>
      <c r="S1393" t="inlineStr">
        <is>
          <t>Metrica</t>
        </is>
      </c>
    </row>
    <row r="1394" hidden="1">
      <c r="A1394" s="21" t="n">
        <v>268</v>
      </c>
      <c r="B1394" s="5" t="inlineStr">
        <is>
          <t>Cantidad de usuarios - (Metrica)</t>
        </is>
      </c>
      <c r="C1394" s="5" t="inlineStr">
        <is>
          <t>Centro de Medios Audiovisuales</t>
        </is>
      </c>
      <c r="D1394" s="5" t="inlineStr">
        <is>
          <t>Trimestral</t>
        </is>
      </c>
      <c r="E1394" s="5" t="inlineStr">
        <is>
          <t>Positivo</t>
        </is>
      </c>
      <c r="F1394" s="109" t="n">
        <v>46022</v>
      </c>
      <c r="G1394" s="5" t="n">
        <v>2025</v>
      </c>
      <c r="H1394" s="5" t="inlineStr">
        <is>
          <t>Diciembre</t>
        </is>
      </c>
      <c r="I1394" s="6" t="inlineStr">
        <is>
          <t>2025-2</t>
        </is>
      </c>
      <c r="J1394" s="5" t="n"/>
      <c r="K1394" s="10" t="n">
        <v>877</v>
      </c>
      <c r="L1394" s="14" t="n"/>
      <c r="M1394" s="14" t="n"/>
      <c r="N1394" s="5" t="inlineStr">
        <is>
          <t>%</t>
        </is>
      </c>
      <c r="O1394" s="5" t="inlineStr">
        <is>
          <t>ENT</t>
        </is>
      </c>
      <c r="P1394" s="15" t="n">
        <v>0</v>
      </c>
      <c r="Q1394" s="15" t="n">
        <v>0</v>
      </c>
      <c r="R1394" s="5" t="inlineStr">
        <is>
          <t>268-2025-12-31</t>
        </is>
      </c>
      <c r="S1394" t="inlineStr">
        <is>
          <t>Metrica</t>
        </is>
      </c>
    </row>
    <row r="1395" hidden="1">
      <c r="A1395" s="21" t="n">
        <v>269</v>
      </c>
      <c r="B1395" s="5" t="inlineStr">
        <is>
          <t>N de personas promedio por evento</t>
        </is>
      </c>
      <c r="C1395" s="5" t="inlineStr">
        <is>
          <t>Centro de Medios Audiovisuales</t>
        </is>
      </c>
      <c r="D1395" s="5" t="inlineStr">
        <is>
          <t>Semestral</t>
        </is>
      </c>
      <c r="E1395" s="5" t="inlineStr">
        <is>
          <t>Positivo</t>
        </is>
      </c>
      <c r="F1395" s="109" t="n">
        <v>45107</v>
      </c>
      <c r="G1395" s="5" t="n">
        <v>2023</v>
      </c>
      <c r="H1395" s="5" t="inlineStr">
        <is>
          <t>Junio</t>
        </is>
      </c>
      <c r="I1395" s="6" t="inlineStr">
        <is>
          <t>2023-1</t>
        </is>
      </c>
      <c r="J1395" s="5" t="n"/>
      <c r="K1395" s="10" t="n">
        <v>0.4</v>
      </c>
      <c r="L1395" s="14" t="n"/>
      <c r="M1395" s="14" t="n"/>
      <c r="N1395" s="5" t="n"/>
      <c r="O1395" s="5" t="inlineStr">
        <is>
          <t>DEC</t>
        </is>
      </c>
      <c r="P1395" s="15" t="n">
        <v>2</v>
      </c>
      <c r="Q1395" s="15" t="n">
        <v>2</v>
      </c>
      <c r="R1395" s="5" t="inlineStr">
        <is>
          <t>269-2023-06-30</t>
        </is>
      </c>
    </row>
    <row r="1396" hidden="1">
      <c r="A1396" s="21" t="n">
        <v>269</v>
      </c>
      <c r="B1396" s="5" t="inlineStr">
        <is>
          <t>N de personas promedio por evento</t>
        </is>
      </c>
      <c r="C1396" s="5" t="inlineStr">
        <is>
          <t>Centro de Medios Audiovisuales</t>
        </is>
      </c>
      <c r="D1396" s="5" t="inlineStr">
        <is>
          <t>Semestral</t>
        </is>
      </c>
      <c r="E1396" s="5" t="inlineStr">
        <is>
          <t>Positivo</t>
        </is>
      </c>
      <c r="F1396" s="109" t="n">
        <v>45291</v>
      </c>
      <c r="G1396" s="5" t="n">
        <v>2023</v>
      </c>
      <c r="H1396" s="5" t="inlineStr">
        <is>
          <t>Diciembre</t>
        </is>
      </c>
      <c r="I1396" s="6" t="inlineStr">
        <is>
          <t>2023-2</t>
        </is>
      </c>
      <c r="J1396" s="5" t="n"/>
      <c r="K1396" s="10" t="n">
        <v>1.276978417266187</v>
      </c>
      <c r="L1396" s="14" t="n"/>
      <c r="M1396" s="14" t="n"/>
      <c r="N1396" s="5" t="n"/>
      <c r="O1396" s="5" t="inlineStr">
        <is>
          <t>DEC</t>
        </is>
      </c>
      <c r="P1396" s="15" t="n">
        <v>0</v>
      </c>
      <c r="Q1396" s="15" t="n">
        <v>0</v>
      </c>
      <c r="R1396" s="5" t="inlineStr">
        <is>
          <t>269-2023-12-31</t>
        </is>
      </c>
    </row>
    <row r="1397" hidden="1">
      <c r="A1397" s="21" t="n">
        <v>269</v>
      </c>
      <c r="B1397" s="5" t="inlineStr">
        <is>
          <t>N de personas promedio por evento</t>
        </is>
      </c>
      <c r="C1397" s="5" t="inlineStr">
        <is>
          <t>Centro de Medios Audiovisuales</t>
        </is>
      </c>
      <c r="D1397" s="5" t="inlineStr">
        <is>
          <t>Semestral</t>
        </is>
      </c>
      <c r="E1397" s="5" t="inlineStr">
        <is>
          <t>Positivo</t>
        </is>
      </c>
      <c r="F1397" s="109" t="n">
        <v>45473</v>
      </c>
      <c r="G1397" s="5" t="n">
        <v>2024</v>
      </c>
      <c r="H1397" s="5" t="inlineStr">
        <is>
          <t>Junio</t>
        </is>
      </c>
      <c r="I1397" s="6" t="inlineStr">
        <is>
          <t>2024-1</t>
        </is>
      </c>
      <c r="J1397" s="5" t="n"/>
      <c r="K1397" s="10" t="n">
        <v>3</v>
      </c>
      <c r="L1397" s="14" t="n"/>
      <c r="M1397" s="14" t="n"/>
      <c r="N1397" s="5" t="n"/>
      <c r="O1397" s="5" t="inlineStr">
        <is>
          <t>DEC</t>
        </is>
      </c>
      <c r="P1397" s="15" t="n">
        <v>2</v>
      </c>
      <c r="Q1397" s="15" t="n">
        <v>2</v>
      </c>
      <c r="R1397" s="5" t="inlineStr">
        <is>
          <t>269-2024-06-30</t>
        </is>
      </c>
    </row>
    <row r="1398" hidden="1">
      <c r="A1398" s="21" t="n">
        <v>269</v>
      </c>
      <c r="B1398" s="5" t="inlineStr">
        <is>
          <t>N de personas promedio por evento</t>
        </is>
      </c>
      <c r="C1398" s="5" t="inlineStr">
        <is>
          <t>Centro de Medios Audiovisuales</t>
        </is>
      </c>
      <c r="D1398" s="5" t="inlineStr">
        <is>
          <t>Semestral</t>
        </is>
      </c>
      <c r="E1398" s="5" t="inlineStr">
        <is>
          <t>Positivo</t>
        </is>
      </c>
      <c r="F1398" s="109" t="n">
        <v>45657</v>
      </c>
      <c r="G1398" s="5" t="n">
        <v>2024</v>
      </c>
      <c r="H1398" s="5" t="inlineStr">
        <is>
          <t>Diciembre</t>
        </is>
      </c>
      <c r="I1398" s="6" t="inlineStr">
        <is>
          <t>2024-2</t>
        </is>
      </c>
      <c r="J1398" s="5" t="n"/>
      <c r="K1398" s="9" t="n">
        <v>1.28</v>
      </c>
      <c r="L1398" s="14" t="n"/>
      <c r="M1398" s="14" t="n"/>
      <c r="N1398" s="5" t="n"/>
      <c r="O1398" s="5" t="inlineStr">
        <is>
          <t>DEC</t>
        </is>
      </c>
      <c r="P1398" s="15" t="n">
        <v>2</v>
      </c>
      <c r="Q1398" s="15" t="n">
        <v>2</v>
      </c>
      <c r="R1398" s="5" t="inlineStr">
        <is>
          <t>269-2024-12-31</t>
        </is>
      </c>
    </row>
    <row r="1399" hidden="1">
      <c r="A1399" s="5" t="n">
        <v>269</v>
      </c>
      <c r="B1399" s="5" t="inlineStr">
        <is>
          <t>N de personas promedio por evento - (Metrica)</t>
        </is>
      </c>
      <c r="C1399" s="5" t="inlineStr">
        <is>
          <t>Centro de Medios Audiovisuales</t>
        </is>
      </c>
      <c r="D1399" s="5" t="inlineStr">
        <is>
          <t>Trimestral</t>
        </is>
      </c>
      <c r="E1399" s="5" t="inlineStr">
        <is>
          <t>Positivo</t>
        </is>
      </c>
      <c r="F1399" s="109" t="n">
        <v>45838</v>
      </c>
      <c r="G1399" s="5" t="n">
        <v>2025</v>
      </c>
      <c r="H1399" s="5" t="inlineStr">
        <is>
          <t>Junio</t>
        </is>
      </c>
      <c r="I1399" s="6" t="inlineStr">
        <is>
          <t>2025-1</t>
        </is>
      </c>
      <c r="J1399" s="5" t="n">
        <v>368</v>
      </c>
      <c r="K1399" s="5" t="n">
        <v>1.83</v>
      </c>
      <c r="L1399" s="14" t="n">
        <v>0.004972826086956522</v>
      </c>
      <c r="M1399" s="14" t="n">
        <v>0.004972826086956522</v>
      </c>
      <c r="N1399" s="5" t="inlineStr">
        <is>
          <t>DEC</t>
        </is>
      </c>
      <c r="O1399" s="5" t="inlineStr">
        <is>
          <t>DEC</t>
        </is>
      </c>
      <c r="P1399" s="5" t="n">
        <v>2</v>
      </c>
      <c r="Q1399" s="5" t="n">
        <v>2</v>
      </c>
      <c r="R1399" s="5" t="inlineStr">
        <is>
          <t>269-2025-06-30</t>
        </is>
      </c>
      <c r="S1399" t="inlineStr">
        <is>
          <t>Metrica</t>
        </is>
      </c>
    </row>
    <row r="1400" hidden="1">
      <c r="A1400" s="21" t="n">
        <v>269</v>
      </c>
      <c r="B1400" s="5" t="inlineStr">
        <is>
          <t>N de personas promedio por evento - (Metrica)</t>
        </is>
      </c>
      <c r="C1400" s="5" t="inlineStr">
        <is>
          <t>Centro de Medios Audiovisuales</t>
        </is>
      </c>
      <c r="D1400" s="5" t="inlineStr">
        <is>
          <t>Trimestral</t>
        </is>
      </c>
      <c r="E1400" s="5" t="inlineStr">
        <is>
          <t>Positivo</t>
        </is>
      </c>
      <c r="F1400" s="109" t="n">
        <v>46022</v>
      </c>
      <c r="G1400" s="5" t="n">
        <v>2025</v>
      </c>
      <c r="H1400" s="5" t="inlineStr">
        <is>
          <t>Diciembre</t>
        </is>
      </c>
      <c r="I1400" s="6" t="inlineStr">
        <is>
          <t>2025-2</t>
        </is>
      </c>
      <c r="J1400" s="5" t="n">
        <v>545</v>
      </c>
      <c r="K1400" s="10" t="n">
        <v>1.65</v>
      </c>
      <c r="L1400" s="14" t="n">
        <v>0.003027522935779816</v>
      </c>
      <c r="M1400" s="14" t="n">
        <v>0.003027522935779816</v>
      </c>
      <c r="N1400" s="5" t="inlineStr">
        <is>
          <t>DEC</t>
        </is>
      </c>
      <c r="O1400" s="5" t="inlineStr">
        <is>
          <t>DEC</t>
        </is>
      </c>
      <c r="P1400" s="15" t="n">
        <v>2</v>
      </c>
      <c r="Q1400" s="15" t="n">
        <v>2</v>
      </c>
      <c r="R1400" s="5" t="inlineStr">
        <is>
          <t>269-2025-12-31</t>
        </is>
      </c>
      <c r="S1400" t="inlineStr">
        <is>
          <t>Metrica</t>
        </is>
      </c>
    </row>
    <row r="1401" hidden="1">
      <c r="A1401" s="26" t="n">
        <v>270</v>
      </c>
      <c r="B1401" s="5" t="inlineStr">
        <is>
          <t>N de horas promedio por evento</t>
        </is>
      </c>
      <c r="C1401" s="5" t="inlineStr">
        <is>
          <t>Centro de Medios Audiovisuales</t>
        </is>
      </c>
      <c r="D1401" s="5" t="inlineStr">
        <is>
          <t>Semestral</t>
        </is>
      </c>
      <c r="E1401" s="5" t="inlineStr">
        <is>
          <t>Positivo</t>
        </is>
      </c>
      <c r="F1401" s="109" t="n">
        <v>45107</v>
      </c>
      <c r="G1401" s="5" t="n">
        <v>2023</v>
      </c>
      <c r="H1401" s="5" t="inlineStr">
        <is>
          <t>Junio</t>
        </is>
      </c>
      <c r="I1401" s="6" t="inlineStr">
        <is>
          <t>2023-1</t>
        </is>
      </c>
      <c r="J1401" s="5" t="n">
        <v>0</v>
      </c>
      <c r="K1401" s="9" t="n">
        <v>6.55</v>
      </c>
      <c r="L1401" s="14" t="n"/>
      <c r="M1401" s="14" t="n"/>
      <c r="N1401" s="5" t="inlineStr">
        <is>
          <t>DEC</t>
        </is>
      </c>
      <c r="O1401" s="5" t="inlineStr">
        <is>
          <t>DEC</t>
        </is>
      </c>
      <c r="P1401" s="15" t="n">
        <v>0</v>
      </c>
      <c r="Q1401" s="15" t="n">
        <v>0</v>
      </c>
      <c r="R1401" s="5" t="inlineStr">
        <is>
          <t>270-2023-06-30</t>
        </is>
      </c>
    </row>
    <row r="1402" hidden="1">
      <c r="A1402" s="26" t="n">
        <v>270</v>
      </c>
      <c r="B1402" s="5" t="inlineStr">
        <is>
          <t>N de horas promedio por evento</t>
        </is>
      </c>
      <c r="C1402" s="5" t="inlineStr">
        <is>
          <t>Centro de Medios Audiovisuales</t>
        </is>
      </c>
      <c r="D1402" s="5" t="inlineStr">
        <is>
          <t>Semestral</t>
        </is>
      </c>
      <c r="E1402" s="5" t="inlineStr">
        <is>
          <t>Positivo</t>
        </is>
      </c>
      <c r="F1402" s="109" t="n">
        <v>45291</v>
      </c>
      <c r="G1402" s="5" t="n">
        <v>2023</v>
      </c>
      <c r="H1402" s="5" t="inlineStr">
        <is>
          <t>Diciembre</t>
        </is>
      </c>
      <c r="I1402" s="6" t="inlineStr">
        <is>
          <t>2023-2</t>
        </is>
      </c>
      <c r="J1402" s="5" t="n">
        <v>0</v>
      </c>
      <c r="K1402" s="9" t="n">
        <v>3.83</v>
      </c>
      <c r="L1402" s="14" t="n"/>
      <c r="M1402" s="14" t="n"/>
      <c r="N1402" s="5" t="inlineStr">
        <is>
          <t>DEC</t>
        </is>
      </c>
      <c r="O1402" s="5" t="inlineStr">
        <is>
          <t>DEC</t>
        </is>
      </c>
      <c r="P1402" s="15" t="n">
        <v>0</v>
      </c>
      <c r="Q1402" s="15" t="n">
        <v>0</v>
      </c>
      <c r="R1402" s="5" t="inlineStr">
        <is>
          <t>270-2023-12-31</t>
        </is>
      </c>
    </row>
    <row r="1403" hidden="1">
      <c r="A1403" s="5" t="n">
        <v>270</v>
      </c>
      <c r="B1403" s="5" t="inlineStr">
        <is>
          <t>N de horas promedio por evento</t>
        </is>
      </c>
      <c r="C1403" s="5" t="inlineStr">
        <is>
          <t>Centro de Medios Audiovisuales</t>
        </is>
      </c>
      <c r="D1403" s="5" t="inlineStr">
        <is>
          <t>Semestral</t>
        </is>
      </c>
      <c r="E1403" s="5" t="inlineStr">
        <is>
          <t>Positivo</t>
        </is>
      </c>
      <c r="F1403" s="109" t="n">
        <v>45473</v>
      </c>
      <c r="G1403" s="5" t="n">
        <v>2024</v>
      </c>
      <c r="H1403" s="5" t="inlineStr">
        <is>
          <t>Junio</t>
        </is>
      </c>
      <c r="I1403" s="6" t="inlineStr">
        <is>
          <t>2024-1</t>
        </is>
      </c>
      <c r="J1403" s="5" t="n">
        <v>0</v>
      </c>
      <c r="K1403" s="5" t="n">
        <v>4.88</v>
      </c>
      <c r="L1403" s="14" t="n"/>
      <c r="M1403" s="14" t="n"/>
      <c r="N1403" s="5" t="n">
        <v>0</v>
      </c>
      <c r="O1403" s="5" t="inlineStr">
        <is>
          <t>ENT</t>
        </is>
      </c>
      <c r="P1403" s="15" t="n">
        <v>1</v>
      </c>
      <c r="Q1403" s="5" t="n">
        <v>1</v>
      </c>
      <c r="R1403" s="5" t="inlineStr">
        <is>
          <t>270-2024-06-30</t>
        </is>
      </c>
    </row>
    <row r="1404" hidden="1">
      <c r="A1404" s="21" t="n">
        <v>270</v>
      </c>
      <c r="B1404" s="5" t="inlineStr">
        <is>
          <t>N de horas promedio por evento</t>
        </is>
      </c>
      <c r="C1404" s="5" t="inlineStr">
        <is>
          <t>Centro de Medios Audiovisuales</t>
        </is>
      </c>
      <c r="D1404" s="5" t="inlineStr">
        <is>
          <t>Semestral</t>
        </is>
      </c>
      <c r="E1404" s="5" t="inlineStr">
        <is>
          <t>Positivo</t>
        </is>
      </c>
      <c r="F1404" s="109" t="n">
        <v>45657</v>
      </c>
      <c r="G1404" s="5" t="n">
        <v>2024</v>
      </c>
      <c r="H1404" s="5" t="inlineStr">
        <is>
          <t>Diciembre</t>
        </is>
      </c>
      <c r="I1404" s="6" t="inlineStr">
        <is>
          <t>2024-2</t>
        </is>
      </c>
      <c r="J1404" s="5" t="n">
        <v>0</v>
      </c>
      <c r="K1404" s="10" t="n">
        <v>4.57</v>
      </c>
      <c r="L1404" s="14" t="n"/>
      <c r="M1404" s="14" t="n"/>
      <c r="N1404" s="5" t="n">
        <v>0</v>
      </c>
      <c r="O1404" s="5" t="inlineStr">
        <is>
          <t>ENT</t>
        </is>
      </c>
      <c r="P1404" s="15" t="n">
        <v>1</v>
      </c>
      <c r="Q1404" s="15" t="n">
        <v>1</v>
      </c>
      <c r="R1404" s="5" t="inlineStr">
        <is>
          <t>270-2024-12-31</t>
        </is>
      </c>
    </row>
    <row r="1405" hidden="1">
      <c r="A1405" s="26" t="n">
        <v>270</v>
      </c>
      <c r="B1405" s="5" t="inlineStr">
        <is>
          <t>N de horas promedio por evento - (Metrica)</t>
        </is>
      </c>
      <c r="C1405" s="5" t="inlineStr">
        <is>
          <t>Centro de Medios Audiovisuales</t>
        </is>
      </c>
      <c r="D1405" s="5" t="inlineStr">
        <is>
          <t>Trimestral</t>
        </is>
      </c>
      <c r="E1405" s="5" t="inlineStr">
        <is>
          <t>Positivo</t>
        </is>
      </c>
      <c r="F1405" s="109" t="n">
        <v>45838</v>
      </c>
      <c r="G1405" s="5" t="n">
        <v>2025</v>
      </c>
      <c r="H1405" s="5" t="inlineStr">
        <is>
          <t>Junio</t>
        </is>
      </c>
      <c r="I1405" s="6" t="inlineStr">
        <is>
          <t>2025-1</t>
        </is>
      </c>
      <c r="J1405" s="5" t="n">
        <v>368</v>
      </c>
      <c r="K1405" s="9" t="n">
        <v>4.17</v>
      </c>
      <c r="L1405" s="14" t="n">
        <v>0.01133152173913043</v>
      </c>
      <c r="M1405" s="14" t="n">
        <v>0.01133152173913043</v>
      </c>
      <c r="N1405" s="5" t="inlineStr">
        <is>
          <t>DEC</t>
        </is>
      </c>
      <c r="O1405" s="5" t="inlineStr">
        <is>
          <t>ENT</t>
        </is>
      </c>
      <c r="P1405" s="15" t="n">
        <v>0</v>
      </c>
      <c r="Q1405" s="15" t="n">
        <v>0</v>
      </c>
      <c r="R1405" s="5" t="inlineStr">
        <is>
          <t>270-2025-06-30</t>
        </is>
      </c>
      <c r="S1405" t="inlineStr">
        <is>
          <t>Metrica</t>
        </is>
      </c>
    </row>
    <row r="1406" hidden="1">
      <c r="A1406" s="5" t="n">
        <v>270</v>
      </c>
      <c r="B1406" s="5" t="inlineStr">
        <is>
          <t>N de horas promedio por evento - (Metrica)</t>
        </is>
      </c>
      <c r="C1406" s="5" t="inlineStr">
        <is>
          <t>Centro de Medios Audiovisuales</t>
        </is>
      </c>
      <c r="D1406" s="5" t="inlineStr">
        <is>
          <t>Trimestral</t>
        </is>
      </c>
      <c r="E1406" s="5" t="inlineStr">
        <is>
          <t>Positivo</t>
        </is>
      </c>
      <c r="F1406" s="109" t="n">
        <v>46022</v>
      </c>
      <c r="G1406" s="5" t="n">
        <v>2025</v>
      </c>
      <c r="H1406" s="5" t="inlineStr">
        <is>
          <t>Diciembre</t>
        </is>
      </c>
      <c r="I1406" s="6" t="inlineStr">
        <is>
          <t>2025-2</t>
        </is>
      </c>
      <c r="J1406" s="5" t="n">
        <v>545</v>
      </c>
      <c r="K1406" s="5" t="n">
        <v>4.3</v>
      </c>
      <c r="L1406" s="14" t="n">
        <v>0.007889908256880733</v>
      </c>
      <c r="M1406" s="14" t="n">
        <v>0.007889908256880733</v>
      </c>
      <c r="N1406" s="5" t="inlineStr">
        <is>
          <t>DEC</t>
        </is>
      </c>
      <c r="O1406" s="5" t="inlineStr">
        <is>
          <t>ENT</t>
        </is>
      </c>
      <c r="P1406" s="15" t="n">
        <v>0</v>
      </c>
      <c r="Q1406" s="5" t="n">
        <v>0</v>
      </c>
      <c r="R1406" s="5" t="inlineStr">
        <is>
          <t>270-2025-12-31</t>
        </is>
      </c>
      <c r="S1406" t="inlineStr">
        <is>
          <t>Metrica</t>
        </is>
      </c>
    </row>
    <row r="1407" hidden="1">
      <c r="A1407" s="21" t="n">
        <v>271</v>
      </c>
      <c r="B1407" s="5" t="inlineStr">
        <is>
          <t>N de horas por solicitud</t>
        </is>
      </c>
      <c r="C1407" s="5" t="inlineStr">
        <is>
          <t>Centro de Medios Audiovisuales</t>
        </is>
      </c>
      <c r="D1407" s="5" t="inlineStr">
        <is>
          <t>Semestral</t>
        </is>
      </c>
      <c r="E1407" s="5" t="inlineStr">
        <is>
          <t>Positivo</t>
        </is>
      </c>
      <c r="F1407" s="109" t="n">
        <v>45107</v>
      </c>
      <c r="G1407" s="5" t="n">
        <v>2023</v>
      </c>
      <c r="H1407" s="5" t="inlineStr">
        <is>
          <t>Junio</t>
        </is>
      </c>
      <c r="I1407" s="6" t="inlineStr">
        <is>
          <t>2023-1</t>
        </is>
      </c>
      <c r="J1407" s="5" t="n">
        <v>0</v>
      </c>
      <c r="K1407" s="10" t="n">
        <v>63.29113924050633</v>
      </c>
      <c r="L1407" s="14" t="n"/>
      <c r="M1407" s="14" t="n"/>
      <c r="N1407" s="5" t="n">
        <v>0</v>
      </c>
      <c r="O1407" s="5" t="inlineStr">
        <is>
          <t>ENT</t>
        </is>
      </c>
      <c r="P1407" s="15" t="n">
        <v>0</v>
      </c>
      <c r="Q1407" s="15" t="n">
        <v>0</v>
      </c>
      <c r="R1407" s="5" t="inlineStr">
        <is>
          <t>271-2023-06-30</t>
        </is>
      </c>
    </row>
    <row r="1408" hidden="1">
      <c r="A1408" s="21" t="n">
        <v>271</v>
      </c>
      <c r="B1408" s="5" t="inlineStr">
        <is>
          <t>N de horas por solicitud</t>
        </is>
      </c>
      <c r="C1408" s="5" t="inlineStr">
        <is>
          <t>Centro de Medios Audiovisuales</t>
        </is>
      </c>
      <c r="D1408" s="5" t="inlineStr">
        <is>
          <t>Semestral</t>
        </is>
      </c>
      <c r="E1408" s="5" t="inlineStr">
        <is>
          <t>Positivo</t>
        </is>
      </c>
      <c r="F1408" s="109" t="n">
        <v>45291</v>
      </c>
      <c r="G1408" s="5" t="n">
        <v>2023</v>
      </c>
      <c r="H1408" s="5" t="inlineStr">
        <is>
          <t>Diciembre</t>
        </is>
      </c>
      <c r="I1408" s="6" t="inlineStr">
        <is>
          <t>2023-2</t>
        </is>
      </c>
      <c r="J1408" s="5" t="n">
        <v>0</v>
      </c>
      <c r="K1408" s="10" t="n">
        <v>16.17233646643447</v>
      </c>
      <c r="L1408" s="14" t="n"/>
      <c r="M1408" s="14" t="n"/>
      <c r="N1408" s="5" t="n">
        <v>0</v>
      </c>
      <c r="O1408" s="11" t="inlineStr">
        <is>
          <t>ENT</t>
        </is>
      </c>
      <c r="P1408" s="15" t="n">
        <v>0</v>
      </c>
      <c r="Q1408" s="15" t="n">
        <v>0</v>
      </c>
      <c r="R1408" s="5" t="inlineStr">
        <is>
          <t>271-2023-12-31</t>
        </is>
      </c>
    </row>
    <row r="1409" hidden="1">
      <c r="A1409" s="21" t="n">
        <v>271</v>
      </c>
      <c r="B1409" s="5" t="inlineStr">
        <is>
          <t>N de horas por solicitud</t>
        </is>
      </c>
      <c r="C1409" s="5" t="inlineStr">
        <is>
          <t>Centro de Medios Audiovisuales</t>
        </is>
      </c>
      <c r="D1409" s="5" t="inlineStr">
        <is>
          <t>Semestral</t>
        </is>
      </c>
      <c r="E1409" s="5" t="inlineStr">
        <is>
          <t>Positivo</t>
        </is>
      </c>
      <c r="F1409" s="109" t="n">
        <v>45473</v>
      </c>
      <c r="G1409" s="5" t="n">
        <v>2024</v>
      </c>
      <c r="H1409" s="5" t="inlineStr">
        <is>
          <t>Junio</t>
        </is>
      </c>
      <c r="I1409" s="6" t="inlineStr">
        <is>
          <t>2024-1</t>
        </is>
      </c>
      <c r="J1409" s="5" t="n">
        <v>0</v>
      </c>
      <c r="K1409" s="10" t="n">
        <v>19.39471652327377</v>
      </c>
      <c r="L1409" s="14" t="n"/>
      <c r="M1409" s="14" t="n"/>
      <c r="N1409" s="5" t="n">
        <v>0</v>
      </c>
      <c r="O1409" s="11" t="inlineStr">
        <is>
          <t>ENT</t>
        </is>
      </c>
      <c r="P1409" s="15" t="n">
        <v>1</v>
      </c>
      <c r="Q1409" s="15" t="n">
        <v>1</v>
      </c>
      <c r="R1409" s="5" t="inlineStr">
        <is>
          <t>271-2024-06-30</t>
        </is>
      </c>
    </row>
    <row r="1410" hidden="1">
      <c r="A1410" s="21" t="n">
        <v>271</v>
      </c>
      <c r="B1410" s="5" t="inlineStr">
        <is>
          <t>N de horas por solicitud - (Metrica)</t>
        </is>
      </c>
      <c r="C1410" s="5" t="inlineStr">
        <is>
          <t>Centro de Medios Audiovisuales</t>
        </is>
      </c>
      <c r="D1410" s="5" t="inlineStr">
        <is>
          <t>Trimestral</t>
        </is>
      </c>
      <c r="E1410" s="5" t="inlineStr">
        <is>
          <t>Positivo</t>
        </is>
      </c>
      <c r="F1410" s="109" t="n">
        <v>45657</v>
      </c>
      <c r="G1410" s="5" t="n">
        <v>2024</v>
      </c>
      <c r="H1410" s="5" t="inlineStr">
        <is>
          <t>Diciembre</t>
        </is>
      </c>
      <c r="I1410" s="6" t="inlineStr">
        <is>
          <t>2024-2</t>
        </is>
      </c>
      <c r="J1410" s="5" t="n">
        <v>18811</v>
      </c>
      <c r="K1410" s="10" t="n">
        <v>16.86</v>
      </c>
      <c r="L1410" s="14" t="n">
        <v>0.000896284089096805</v>
      </c>
      <c r="M1410" s="14" t="n">
        <v>0.000896284089096805</v>
      </c>
      <c r="N1410" s="5" t="n">
        <v>0</v>
      </c>
      <c r="O1410" s="11" t="inlineStr">
        <is>
          <t>ENT</t>
        </is>
      </c>
      <c r="P1410" s="15" t="n">
        <v>0</v>
      </c>
      <c r="Q1410" s="15" t="n">
        <v>0</v>
      </c>
      <c r="R1410" s="5" t="inlineStr">
        <is>
          <t>271-2024-12-31</t>
        </is>
      </c>
      <c r="S1410" t="inlineStr">
        <is>
          <t>Metrica</t>
        </is>
      </c>
    </row>
    <row r="1411" hidden="1">
      <c r="A1411" s="21" t="n">
        <v>271</v>
      </c>
      <c r="B1411" s="5" t="inlineStr">
        <is>
          <t>N de horas por solicitud - (Metrica)</t>
        </is>
      </c>
      <c r="C1411" s="5" t="inlineStr">
        <is>
          <t>Centro de Medios Audiovisuales</t>
        </is>
      </c>
      <c r="D1411" s="5" t="inlineStr">
        <is>
          <t>Trimestral</t>
        </is>
      </c>
      <c r="E1411" s="5" t="inlineStr">
        <is>
          <t>Positivo</t>
        </is>
      </c>
      <c r="F1411" s="109" t="n">
        <v>45838</v>
      </c>
      <c r="G1411" s="5" t="n">
        <v>2025</v>
      </c>
      <c r="H1411" s="5" t="inlineStr">
        <is>
          <t>Junio</t>
        </is>
      </c>
      <c r="I1411" s="6" t="inlineStr">
        <is>
          <t>2025-1</t>
        </is>
      </c>
      <c r="J1411" s="5" t="n">
        <v>21346</v>
      </c>
      <c r="K1411" s="10" t="n">
        <v>23.85</v>
      </c>
      <c r="L1411" s="14" t="n">
        <v>0.001117305349948468</v>
      </c>
      <c r="M1411" s="14" t="n">
        <v>0.001117305349948468</v>
      </c>
      <c r="N1411" s="5" t="n">
        <v>0</v>
      </c>
      <c r="O1411" s="11" t="inlineStr">
        <is>
          <t>ENT</t>
        </is>
      </c>
      <c r="P1411" s="15" t="n">
        <v>0</v>
      </c>
      <c r="Q1411" s="15" t="n">
        <v>0</v>
      </c>
      <c r="R1411" s="5" t="inlineStr">
        <is>
          <t>271-2025-06-30</t>
        </is>
      </c>
      <c r="S1411" t="inlineStr">
        <is>
          <t>Metrica</t>
        </is>
      </c>
    </row>
    <row r="1412" hidden="1">
      <c r="A1412" s="21" t="n">
        <v>271</v>
      </c>
      <c r="B1412" s="5" t="inlineStr">
        <is>
          <t>N de horas por solicitud - (Metrica)</t>
        </is>
      </c>
      <c r="C1412" s="5" t="inlineStr">
        <is>
          <t>Centro de Medios Audiovisuales</t>
        </is>
      </c>
      <c r="D1412" s="5" t="inlineStr">
        <is>
          <t>Trimestral</t>
        </is>
      </c>
      <c r="E1412" s="5" t="inlineStr">
        <is>
          <t>Positivo</t>
        </is>
      </c>
      <c r="F1412" s="109" t="n">
        <v>46022</v>
      </c>
      <c r="G1412" s="5" t="n">
        <v>2025</v>
      </c>
      <c r="H1412" s="5" t="inlineStr">
        <is>
          <t>Diciembre</t>
        </is>
      </c>
      <c r="I1412" s="6" t="inlineStr">
        <is>
          <t>2025-2</t>
        </is>
      </c>
      <c r="J1412" s="5" t="n">
        <v>30907</v>
      </c>
      <c r="K1412" s="10" t="n">
        <v>19.93</v>
      </c>
      <c r="L1412" s="14" t="n">
        <v>0.0006448377390235222</v>
      </c>
      <c r="M1412" s="14" t="n">
        <v>0.0006448377390235222</v>
      </c>
      <c r="N1412" s="5" t="n">
        <v>0</v>
      </c>
      <c r="O1412" s="11" t="inlineStr">
        <is>
          <t>ENT</t>
        </is>
      </c>
      <c r="P1412" s="15" t="n">
        <v>0</v>
      </c>
      <c r="Q1412" s="15" t="n">
        <v>0</v>
      </c>
      <c r="R1412" s="5" t="inlineStr">
        <is>
          <t>271-2025-12-31</t>
        </is>
      </c>
      <c r="S1412" t="inlineStr">
        <is>
          <t>Metrica</t>
        </is>
      </c>
    </row>
    <row r="1413" hidden="1">
      <c r="A1413" s="5" t="n">
        <v>272</v>
      </c>
      <c r="B1413" s="5" t="inlineStr">
        <is>
          <t>Proporción de accidentes de trabajo mortales</t>
        </is>
      </c>
      <c r="C1413" s="5" t="inlineStr">
        <is>
          <t>GESTIÓN DE SEGURIDAD Y SALUD EN EL TRABAJO</t>
        </is>
      </c>
      <c r="D1413" s="5" t="inlineStr">
        <is>
          <t>Anual</t>
        </is>
      </c>
      <c r="E1413" s="5" t="inlineStr">
        <is>
          <t>Negativo</t>
        </is>
      </c>
      <c r="F1413" s="109" t="n">
        <v>45291</v>
      </c>
      <c r="G1413" s="5" t="n">
        <v>2023</v>
      </c>
      <c r="H1413" s="5" t="inlineStr">
        <is>
          <t>Diciembre</t>
        </is>
      </c>
      <c r="I1413" s="6" t="inlineStr">
        <is>
          <t>2023-2</t>
        </is>
      </c>
      <c r="J1413" s="5" t="n">
        <v>0</v>
      </c>
      <c r="K1413" s="5" t="n">
        <v>0</v>
      </c>
      <c r="L1413" s="14" t="n">
        <v>1</v>
      </c>
      <c r="M1413" s="14" t="n">
        <v>1</v>
      </c>
      <c r="N1413" s="5" t="n">
        <v>0</v>
      </c>
      <c r="O1413" s="11" t="inlineStr">
        <is>
          <t>ENT</t>
        </is>
      </c>
      <c r="P1413" s="5" t="n">
        <v>0</v>
      </c>
      <c r="Q1413" s="5" t="n">
        <v>0</v>
      </c>
      <c r="R1413" s="5" t="inlineStr">
        <is>
          <t>272-2023-12-31</t>
        </is>
      </c>
    </row>
    <row r="1414" hidden="1">
      <c r="A1414" s="21" t="n">
        <v>272</v>
      </c>
      <c r="B1414" s="5" t="inlineStr">
        <is>
          <t>Proporción de accidentes de trabajo mortales</t>
        </is>
      </c>
      <c r="C1414" s="5" t="inlineStr">
        <is>
          <t>GESTIÓN DE SEGURIDAD Y SALUD EN EL TRABAJO</t>
        </is>
      </c>
      <c r="D1414" s="5" t="inlineStr">
        <is>
          <t>Anual</t>
        </is>
      </c>
      <c r="E1414" s="5" t="inlineStr">
        <is>
          <t>Negativo</t>
        </is>
      </c>
      <c r="F1414" s="109" t="n">
        <v>45657</v>
      </c>
      <c r="G1414" s="5" t="n">
        <v>2024</v>
      </c>
      <c r="H1414" s="5" t="inlineStr">
        <is>
          <t>Diciembre</t>
        </is>
      </c>
      <c r="I1414" s="6" t="inlineStr">
        <is>
          <t>2024-2</t>
        </is>
      </c>
      <c r="J1414" s="5" t="n">
        <v>0</v>
      </c>
      <c r="K1414" s="10" t="n">
        <v>0</v>
      </c>
      <c r="L1414" s="14" t="n">
        <v>1</v>
      </c>
      <c r="M1414" s="14" t="n">
        <v>1</v>
      </c>
      <c r="N1414" s="5" t="n"/>
      <c r="O1414" s="11" t="n"/>
      <c r="P1414" s="15" t="n">
        <v>0</v>
      </c>
      <c r="Q1414" s="15" t="n">
        <v>0</v>
      </c>
      <c r="R1414" s="5" t="inlineStr">
        <is>
          <t>272-2024-12-31</t>
        </is>
      </c>
    </row>
    <row r="1415" hidden="1">
      <c r="A1415" s="21" t="n">
        <v>272</v>
      </c>
      <c r="B1415" s="5" t="inlineStr">
        <is>
          <t>Proporción de accidentes de trabajo mortales</t>
        </is>
      </c>
      <c r="C1415" s="5" t="inlineStr">
        <is>
          <t>GESTIÓN DE SEGURIDAD Y SALUD EN EL TRABAJO</t>
        </is>
      </c>
      <c r="D1415" s="5" t="inlineStr">
        <is>
          <t>Anual</t>
        </is>
      </c>
      <c r="E1415" s="5" t="inlineStr">
        <is>
          <t>Negativo</t>
        </is>
      </c>
      <c r="F1415" s="109" t="n">
        <v>46022</v>
      </c>
      <c r="G1415" s="5" t="n">
        <v>2025</v>
      </c>
      <c r="H1415" s="5" t="inlineStr">
        <is>
          <t>Diciembre</t>
        </is>
      </c>
      <c r="I1415" s="6" t="inlineStr">
        <is>
          <t>2025-2</t>
        </is>
      </c>
      <c r="J1415" s="5" t="n">
        <v>0</v>
      </c>
      <c r="K1415" s="10" t="n">
        <v>0</v>
      </c>
      <c r="L1415" s="14" t="n">
        <v>1</v>
      </c>
      <c r="M1415" s="14" t="n">
        <v>1</v>
      </c>
      <c r="N1415" s="5" t="n">
        <v>0</v>
      </c>
      <c r="O1415" s="11" t="inlineStr">
        <is>
          <t>ENT</t>
        </is>
      </c>
      <c r="P1415" s="15" t="n">
        <v>0</v>
      </c>
      <c r="Q1415" s="15" t="n">
        <v>0</v>
      </c>
      <c r="R1415" s="5" t="inlineStr">
        <is>
          <t>272-2025-12-31</t>
        </is>
      </c>
    </row>
    <row r="1416" hidden="1">
      <c r="A1416" s="21" t="n">
        <v>273</v>
      </c>
      <c r="B1416" s="5" t="inlineStr">
        <is>
          <t>Número de programas con condiciones iniciales elaboradas y analizadas institucionalmente</t>
        </is>
      </c>
      <c r="C1416" s="5" t="inlineStr">
        <is>
          <t>Autoevaluación de programas académicos</t>
        </is>
      </c>
      <c r="D1416" s="5" t="inlineStr">
        <is>
          <t>Semestral</t>
        </is>
      </c>
      <c r="E1416" s="5" t="inlineStr">
        <is>
          <t>Positivo</t>
        </is>
      </c>
      <c r="F1416" s="109" t="n">
        <v>45107</v>
      </c>
      <c r="G1416" s="5" t="n">
        <v>2023</v>
      </c>
      <c r="H1416" s="5" t="inlineStr">
        <is>
          <t>Junio</t>
        </is>
      </c>
      <c r="I1416" s="6" t="inlineStr">
        <is>
          <t>2023-1</t>
        </is>
      </c>
      <c r="J1416" s="5" t="n">
        <v>100</v>
      </c>
      <c r="K1416" s="10" t="n">
        <v>100</v>
      </c>
      <c r="L1416" s="14" t="n">
        <v>1</v>
      </c>
      <c r="M1416" s="14" t="n">
        <v>1</v>
      </c>
      <c r="N1416" s="5" t="inlineStr">
        <is>
          <t>ENT</t>
        </is>
      </c>
      <c r="O1416" s="11" t="inlineStr">
        <is>
          <t>ENT</t>
        </is>
      </c>
      <c r="P1416" s="15" t="n">
        <v>0</v>
      </c>
      <c r="Q1416" s="15" t="n">
        <v>0</v>
      </c>
      <c r="R1416" s="5" t="inlineStr">
        <is>
          <t>273-2023-06-30</t>
        </is>
      </c>
    </row>
    <row r="1417" hidden="1">
      <c r="A1417" s="21" t="n">
        <v>273</v>
      </c>
      <c r="B1417" s="5" t="inlineStr">
        <is>
          <t>Número de programas con condiciones iniciales elaboradas y analizadas institucionalmente</t>
        </is>
      </c>
      <c r="C1417" s="5" t="inlineStr">
        <is>
          <t>Autoevaluación de programas académicos</t>
        </is>
      </c>
      <c r="D1417" s="5" t="inlineStr">
        <is>
          <t>Semestral</t>
        </is>
      </c>
      <c r="E1417" s="5" t="inlineStr">
        <is>
          <t>Positivo</t>
        </is>
      </c>
      <c r="F1417" s="109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100</v>
      </c>
      <c r="K1417" s="10" t="n">
        <v>100</v>
      </c>
      <c r="L1417" s="14" t="n">
        <v>1</v>
      </c>
      <c r="M1417" s="14" t="n">
        <v>1</v>
      </c>
      <c r="N1417" s="5" t="inlineStr">
        <is>
          <t>ENT</t>
        </is>
      </c>
      <c r="O1417" s="11" t="inlineStr">
        <is>
          <t>ENT</t>
        </is>
      </c>
      <c r="P1417" s="15" t="n">
        <v>0</v>
      </c>
      <c r="Q1417" s="15" t="n">
        <v>0</v>
      </c>
      <c r="R1417" s="5" t="inlineStr">
        <is>
          <t>273-2023-12-31</t>
        </is>
      </c>
    </row>
    <row r="1418" hidden="1">
      <c r="A1418" s="21" t="n">
        <v>273</v>
      </c>
      <c r="B1418" s="5" t="inlineStr">
        <is>
          <t>Número de programas con condiciones iniciales elaboradas y analizadas institucionalmente</t>
        </is>
      </c>
      <c r="C1418" s="5" t="inlineStr">
        <is>
          <t>Autoevaluación de programas académicos</t>
        </is>
      </c>
      <c r="D1418" s="5" t="inlineStr">
        <is>
          <t>Semestral</t>
        </is>
      </c>
      <c r="E1418" s="5" t="inlineStr">
        <is>
          <t>Positivo</t>
        </is>
      </c>
      <c r="F1418" s="109" t="n">
        <v>45473</v>
      </c>
      <c r="G1418" s="5" t="n">
        <v>2024</v>
      </c>
      <c r="H1418" s="5" t="inlineStr">
        <is>
          <t>Junio</t>
        </is>
      </c>
      <c r="I1418" s="6" t="inlineStr">
        <is>
          <t>2024-1</t>
        </is>
      </c>
      <c r="J1418" s="5" t="n">
        <v>100</v>
      </c>
      <c r="K1418" s="10" t="n">
        <v>100</v>
      </c>
      <c r="L1418" s="14" t="n">
        <v>1</v>
      </c>
      <c r="M1418" s="14" t="n">
        <v>1</v>
      </c>
      <c r="N1418" s="5" t="inlineStr">
        <is>
          <t>ENT</t>
        </is>
      </c>
      <c r="O1418" s="11" t="inlineStr">
        <is>
          <t>ENT</t>
        </is>
      </c>
      <c r="P1418" s="15" t="n">
        <v>0</v>
      </c>
      <c r="Q1418" s="15" t="n">
        <v>0</v>
      </c>
      <c r="R1418" s="5" t="inlineStr">
        <is>
          <t>273-2024-06-30</t>
        </is>
      </c>
    </row>
    <row r="1419" hidden="1">
      <c r="A1419" s="21" t="n">
        <v>273</v>
      </c>
      <c r="B1419" s="5" t="inlineStr">
        <is>
          <t>Número de programas con condiciones iniciales elaboradas y analizadas institucionalmente</t>
        </is>
      </c>
      <c r="C1419" s="5" t="inlineStr">
        <is>
          <t>Autoevaluación de programas académicos</t>
        </is>
      </c>
      <c r="D1419" s="5" t="inlineStr">
        <is>
          <t>Semestral</t>
        </is>
      </c>
      <c r="E1419" s="5" t="inlineStr">
        <is>
          <t>Positivo</t>
        </is>
      </c>
      <c r="F1419" s="109" t="n">
        <v>45657</v>
      </c>
      <c r="G1419" s="5" t="n">
        <v>2024</v>
      </c>
      <c r="H1419" s="5" t="inlineStr">
        <is>
          <t>Diciembre</t>
        </is>
      </c>
      <c r="I1419" s="6" t="inlineStr">
        <is>
          <t>2024-2</t>
        </is>
      </c>
      <c r="J1419" s="5" t="n">
        <v>100</v>
      </c>
      <c r="K1419" s="10" t="n">
        <v>100</v>
      </c>
      <c r="L1419" s="14" t="n">
        <v>1</v>
      </c>
      <c r="M1419" s="14" t="n">
        <v>1</v>
      </c>
      <c r="N1419" s="5" t="inlineStr">
        <is>
          <t>ENT</t>
        </is>
      </c>
      <c r="O1419" s="11" t="inlineStr">
        <is>
          <t>ENT</t>
        </is>
      </c>
      <c r="P1419" s="15" t="n">
        <v>0</v>
      </c>
      <c r="Q1419" s="15" t="n">
        <v>0</v>
      </c>
      <c r="R1419" s="5" t="inlineStr">
        <is>
          <t>273-2024-12-31</t>
        </is>
      </c>
    </row>
    <row r="1420" hidden="1">
      <c r="A1420" s="5" t="n">
        <v>273</v>
      </c>
      <c r="B1420" s="5" t="inlineStr">
        <is>
          <t>Número de programas con condiciones iniciales elaboradas y analizadas institucionalmente</t>
        </is>
      </c>
      <c r="C1420" s="5" t="inlineStr">
        <is>
          <t>Autoevaluación de programas académicos</t>
        </is>
      </c>
      <c r="D1420" s="5" t="inlineStr">
        <is>
          <t>Semestral</t>
        </is>
      </c>
      <c r="E1420" s="5" t="inlineStr">
        <is>
          <t>Positivo</t>
        </is>
      </c>
      <c r="F1420" s="109" t="n">
        <v>45838</v>
      </c>
      <c r="G1420" s="5" t="n">
        <v>2025</v>
      </c>
      <c r="H1420" s="5" t="inlineStr">
        <is>
          <t>Junio</t>
        </is>
      </c>
      <c r="I1420" s="6" t="inlineStr">
        <is>
          <t>2025-1</t>
        </is>
      </c>
      <c r="J1420" s="5" t="n">
        <v>100</v>
      </c>
      <c r="K1420" s="5" t="n">
        <v>150</v>
      </c>
      <c r="L1420" s="14" t="n">
        <v>1.3</v>
      </c>
      <c r="M1420" s="14" t="n">
        <v>1.5</v>
      </c>
      <c r="N1420" s="5" t="inlineStr">
        <is>
          <t>ENT</t>
        </is>
      </c>
      <c r="O1420" s="5" t="inlineStr">
        <is>
          <t>ENT</t>
        </is>
      </c>
      <c r="P1420" s="5" t="n">
        <v>0</v>
      </c>
      <c r="Q1420" s="5" t="n">
        <v>0</v>
      </c>
      <c r="R1420" s="5" t="inlineStr">
        <is>
          <t>273-2025-06-30</t>
        </is>
      </c>
    </row>
    <row r="1421" hidden="1">
      <c r="A1421" s="21" t="n">
        <v>273</v>
      </c>
      <c r="B1421" s="5" t="inlineStr">
        <is>
          <t>Número de programas con condiciones iniciales elaboradas y analizadas institucionalmente</t>
        </is>
      </c>
      <c r="C1421" s="5" t="inlineStr">
        <is>
          <t>Autoevaluación de programas académicos</t>
        </is>
      </c>
      <c r="D1421" s="5" t="inlineStr">
        <is>
          <t>Trimestral</t>
        </is>
      </c>
      <c r="E1421" s="5" t="inlineStr">
        <is>
          <t>Positivo</t>
        </is>
      </c>
      <c r="F1421" s="109" t="n">
        <v>46022</v>
      </c>
      <c r="G1421" s="5" t="n">
        <v>2025</v>
      </c>
      <c r="H1421" s="5" t="inlineStr">
        <is>
          <t>Diciembre</t>
        </is>
      </c>
      <c r="I1421" s="6" t="inlineStr">
        <is>
          <t>2025-2</t>
        </is>
      </c>
      <c r="J1421" s="5" t="n">
        <v>100</v>
      </c>
      <c r="K1421" s="10" t="n">
        <v>100</v>
      </c>
      <c r="L1421" s="14" t="n">
        <v>1</v>
      </c>
      <c r="M1421" s="14" t="n">
        <v>1</v>
      </c>
      <c r="N1421" s="5" t="inlineStr">
        <is>
          <t>ENT</t>
        </is>
      </c>
      <c r="O1421" s="5" t="inlineStr">
        <is>
          <t>ENT</t>
        </is>
      </c>
      <c r="P1421" s="15" t="n">
        <v>0</v>
      </c>
      <c r="Q1421" s="15" t="n">
        <v>0</v>
      </c>
      <c r="R1421" s="5" t="inlineStr">
        <is>
          <t>273-2025-12-31</t>
        </is>
      </c>
    </row>
    <row r="1422" hidden="1">
      <c r="A1422" s="5" t="n">
        <v>274</v>
      </c>
      <c r="B1422" s="5" t="inlineStr">
        <is>
          <t>Cumplimiento total estudiantes antiguos</t>
        </is>
      </c>
      <c r="C1422" s="5" t="inlineStr">
        <is>
          <t>Rematrícula</t>
        </is>
      </c>
      <c r="D1422" s="5" t="inlineStr">
        <is>
          <t>Semestral</t>
        </is>
      </c>
      <c r="E1422" s="5" t="inlineStr">
        <is>
          <t>Positivo</t>
        </is>
      </c>
      <c r="F1422" s="109" t="n">
        <v>45107</v>
      </c>
      <c r="G1422" s="5" t="n">
        <v>2023</v>
      </c>
      <c r="H1422" s="5" t="inlineStr">
        <is>
          <t>Junio</t>
        </is>
      </c>
      <c r="I1422" s="6" t="inlineStr">
        <is>
          <t>2023-1</t>
        </is>
      </c>
      <c r="J1422" s="5" t="n">
        <v>100</v>
      </c>
      <c r="K1422" s="5" t="n">
        <v>97.85502035108701</v>
      </c>
      <c r="L1422" s="14" t="n">
        <v>0.9785502035108701</v>
      </c>
      <c r="M1422" s="14" t="n">
        <v>0.9785502035108701</v>
      </c>
      <c r="N1422" s="5" t="inlineStr">
        <is>
          <t>ENT</t>
        </is>
      </c>
      <c r="O1422" s="5" t="inlineStr">
        <is>
          <t>ENT</t>
        </is>
      </c>
      <c r="P1422" s="5" t="n">
        <v>0</v>
      </c>
      <c r="Q1422" s="5" t="n">
        <v>0</v>
      </c>
      <c r="R1422" s="5" t="inlineStr">
        <is>
          <t>274-2023-06-30</t>
        </is>
      </c>
    </row>
    <row r="1423" hidden="1">
      <c r="A1423" s="21" t="n">
        <v>274</v>
      </c>
      <c r="B1423" s="5" t="inlineStr">
        <is>
          <t>Cumplimiento total estudiantes antiguos</t>
        </is>
      </c>
      <c r="C1423" s="5" t="inlineStr">
        <is>
          <t>Rematrícula</t>
        </is>
      </c>
      <c r="D1423" s="5" t="inlineStr">
        <is>
          <t>Semestral</t>
        </is>
      </c>
      <c r="E1423" s="5" t="inlineStr">
        <is>
          <t>Positivo</t>
        </is>
      </c>
      <c r="F1423" s="109" t="n">
        <v>45291</v>
      </c>
      <c r="G1423" s="5" t="n">
        <v>2023</v>
      </c>
      <c r="H1423" s="5" t="inlineStr">
        <is>
          <t>Diciembre</t>
        </is>
      </c>
      <c r="I1423" s="6" t="inlineStr">
        <is>
          <t>2023-2</t>
        </is>
      </c>
      <c r="J1423" s="5" t="n">
        <v>100</v>
      </c>
      <c r="K1423" s="10" t="n">
        <v>97.50550081316401</v>
      </c>
      <c r="L1423" s="14" t="n">
        <v>0.97505500813164</v>
      </c>
      <c r="M1423" s="14" t="n">
        <v>0.97505500813164</v>
      </c>
      <c r="N1423" s="5" t="inlineStr">
        <is>
          <t>ENT</t>
        </is>
      </c>
      <c r="O1423" s="5" t="inlineStr">
        <is>
          <t>ENT</t>
        </is>
      </c>
      <c r="P1423" s="15" t="n">
        <v>0</v>
      </c>
      <c r="Q1423" s="15" t="n">
        <v>0</v>
      </c>
      <c r="R1423" s="5" t="inlineStr">
        <is>
          <t>274-2023-12-31</t>
        </is>
      </c>
    </row>
    <row r="1424" hidden="1">
      <c r="A1424" s="21" t="n">
        <v>274</v>
      </c>
      <c r="B1424" s="5" t="inlineStr">
        <is>
          <t>Cumplimiento total estudiantes antiguos</t>
        </is>
      </c>
      <c r="C1424" s="5" t="inlineStr">
        <is>
          <t>Rematrícula</t>
        </is>
      </c>
      <c r="D1424" s="5" t="inlineStr">
        <is>
          <t>Semestral</t>
        </is>
      </c>
      <c r="E1424" s="5" t="inlineStr">
        <is>
          <t>Positivo</t>
        </is>
      </c>
      <c r="F1424" s="109" t="n">
        <v>45473</v>
      </c>
      <c r="G1424" s="5" t="n">
        <v>2024</v>
      </c>
      <c r="H1424" s="5" t="inlineStr">
        <is>
          <t>Junio</t>
        </is>
      </c>
      <c r="I1424" s="6" t="inlineStr">
        <is>
          <t>2024-1</t>
        </is>
      </c>
      <c r="J1424" s="5" t="n">
        <v>100</v>
      </c>
      <c r="K1424" s="10" t="n">
        <v>102.33930181631</v>
      </c>
      <c r="L1424" s="14" t="n">
        <v>1.0233930181631</v>
      </c>
      <c r="M1424" s="14" t="n">
        <v>1.0233930181631</v>
      </c>
      <c r="N1424" s="5" t="inlineStr">
        <is>
          <t>ENT</t>
        </is>
      </c>
      <c r="O1424" s="5" t="inlineStr">
        <is>
          <t>ENT</t>
        </is>
      </c>
      <c r="P1424" s="15" t="n">
        <v>0</v>
      </c>
      <c r="Q1424" s="15" t="n">
        <v>0</v>
      </c>
      <c r="R1424" s="5" t="inlineStr">
        <is>
          <t>274-2024-06-30</t>
        </is>
      </c>
    </row>
    <row r="1425" hidden="1">
      <c r="A1425" s="5" t="n">
        <v>274</v>
      </c>
      <c r="B1425" s="5" t="inlineStr">
        <is>
          <t>Cumplimiento total estudiantes antiguos</t>
        </is>
      </c>
      <c r="C1425" s="5" t="inlineStr">
        <is>
          <t>Rematrícula</t>
        </is>
      </c>
      <c r="D1425" s="5" t="inlineStr">
        <is>
          <t>Semestral</t>
        </is>
      </c>
      <c r="E1425" s="5" t="inlineStr">
        <is>
          <t>Positivo</t>
        </is>
      </c>
      <c r="F1425" s="109" t="n">
        <v>45657</v>
      </c>
      <c r="G1425" s="5" t="n">
        <v>2024</v>
      </c>
      <c r="H1425" s="5" t="inlineStr">
        <is>
          <t>Diciembre</t>
        </is>
      </c>
      <c r="I1425" s="6" t="inlineStr">
        <is>
          <t>2024-2</t>
        </is>
      </c>
      <c r="J1425" s="5" t="n">
        <v>100</v>
      </c>
      <c r="K1425" s="5" t="n">
        <v>101.6087500306545</v>
      </c>
      <c r="L1425" s="14" t="n">
        <v>1.016087500306545</v>
      </c>
      <c r="M1425" s="14" t="n">
        <v>1.016087500306545</v>
      </c>
      <c r="N1425" s="5" t="inlineStr">
        <is>
          <t>ENT</t>
        </is>
      </c>
      <c r="O1425" s="5" t="inlineStr">
        <is>
          <t>ENT</t>
        </is>
      </c>
      <c r="P1425" s="5" t="n">
        <v>0</v>
      </c>
      <c r="Q1425" s="5" t="n">
        <v>0</v>
      </c>
      <c r="R1425" s="5" t="inlineStr">
        <is>
          <t>274-2024-12-31</t>
        </is>
      </c>
    </row>
    <row r="1426" hidden="1">
      <c r="A1426" s="21" t="n">
        <v>274</v>
      </c>
      <c r="B1426" s="5" t="inlineStr">
        <is>
          <t>Cumplimiento total estudiantes antiguos</t>
        </is>
      </c>
      <c r="C1426" s="5" t="inlineStr">
        <is>
          <t>Rematrícula</t>
        </is>
      </c>
      <c r="D1426" s="5" t="inlineStr">
        <is>
          <t>Semestral</t>
        </is>
      </c>
      <c r="E1426" s="5" t="inlineStr">
        <is>
          <t>Positivo</t>
        </is>
      </c>
      <c r="F1426" s="109" t="n">
        <v>45838</v>
      </c>
      <c r="G1426" s="5" t="n">
        <v>2025</v>
      </c>
      <c r="H1426" s="5" t="inlineStr">
        <is>
          <t>Junio</t>
        </is>
      </c>
      <c r="I1426" s="6" t="inlineStr">
        <is>
          <t>2025-1</t>
        </is>
      </c>
      <c r="J1426" s="5" t="n">
        <v>100</v>
      </c>
      <c r="K1426" s="10" t="n">
        <v>105.8</v>
      </c>
      <c r="L1426" s="14" t="n">
        <v>1.058</v>
      </c>
      <c r="M1426" s="14" t="n">
        <v>1.058</v>
      </c>
      <c r="N1426" s="5" t="inlineStr">
        <is>
          <t>ENT</t>
        </is>
      </c>
      <c r="O1426" s="5" t="inlineStr">
        <is>
          <t>ENT</t>
        </is>
      </c>
      <c r="P1426" s="15" t="n">
        <v>0</v>
      </c>
      <c r="Q1426" s="15" t="n">
        <v>0</v>
      </c>
      <c r="R1426" s="5" t="inlineStr">
        <is>
          <t>274-2025-06-30</t>
        </is>
      </c>
    </row>
    <row r="1427" hidden="1">
      <c r="A1427" s="5" t="n">
        <v>274</v>
      </c>
      <c r="B1427" s="5" t="inlineStr">
        <is>
          <t>Cumplimiento total estudiantes antiguos</t>
        </is>
      </c>
      <c r="C1427" s="5" t="inlineStr">
        <is>
          <t>Rematrícula</t>
        </is>
      </c>
      <c r="D1427" s="5" t="inlineStr">
        <is>
          <t>Semestral</t>
        </is>
      </c>
      <c r="E1427" s="5" t="inlineStr">
        <is>
          <t>Positivo</t>
        </is>
      </c>
      <c r="F1427" s="109" t="n">
        <v>46022</v>
      </c>
      <c r="G1427" s="5" t="n">
        <v>2025</v>
      </c>
      <c r="H1427" s="5" t="inlineStr">
        <is>
          <t>Diciembre</t>
        </is>
      </c>
      <c r="I1427" s="6" t="inlineStr">
        <is>
          <t>2025-2</t>
        </is>
      </c>
      <c r="J1427" s="5" t="n">
        <v>100</v>
      </c>
      <c r="K1427" s="5" t="n">
        <v>102.03</v>
      </c>
      <c r="L1427" s="14" t="n">
        <v>1.0203</v>
      </c>
      <c r="M1427" s="14" t="n">
        <v>1.0203</v>
      </c>
      <c r="N1427" s="5" t="inlineStr">
        <is>
          <t>ENT</t>
        </is>
      </c>
      <c r="O1427" s="5" t="inlineStr">
        <is>
          <t>ENT</t>
        </is>
      </c>
      <c r="P1427" s="5" t="n">
        <v>0</v>
      </c>
      <c r="Q1427" s="5" t="n">
        <v>0</v>
      </c>
      <c r="R1427" s="5" t="inlineStr">
        <is>
          <t>274-2025-12-31</t>
        </is>
      </c>
    </row>
    <row r="1428" hidden="1">
      <c r="A1428" s="21" t="n">
        <v>275</v>
      </c>
      <c r="B1428" s="5" t="inlineStr">
        <is>
          <t>Satisfacción Institucional por grupo de interes</t>
        </is>
      </c>
      <c r="C1428" s="5" t="inlineStr">
        <is>
          <t>EXPERIENCIA INSTITUCIONAL</t>
        </is>
      </c>
      <c r="D1428" s="5" t="inlineStr">
        <is>
          <t>Trimestral</t>
        </is>
      </c>
      <c r="E1428" s="5" t="inlineStr">
        <is>
          <t>Positivo</t>
        </is>
      </c>
      <c r="F1428" s="109" t="n">
        <v>45016</v>
      </c>
      <c r="G1428" s="5" t="n">
        <v>2023</v>
      </c>
      <c r="H1428" s="5" t="inlineStr">
        <is>
          <t>Marzo</t>
        </is>
      </c>
      <c r="I1428" s="6" t="inlineStr">
        <is>
          <t>2023-1</t>
        </is>
      </c>
      <c r="J1428" s="5" t="n">
        <v>80</v>
      </c>
      <c r="K1428" s="10" t="n"/>
      <c r="L1428" s="14" t="n"/>
      <c r="M1428" s="14" t="n"/>
      <c r="N1428" s="5" t="inlineStr">
        <is>
          <t>%</t>
        </is>
      </c>
      <c r="O1428" s="5" t="inlineStr">
        <is>
          <t>No Aplica</t>
        </is>
      </c>
      <c r="P1428" s="15" t="n">
        <v>0</v>
      </c>
      <c r="Q1428" s="15" t="n">
        <v>0</v>
      </c>
      <c r="R1428" s="5" t="inlineStr">
        <is>
          <t>275-2023-03-31</t>
        </is>
      </c>
      <c r="S1428" t="inlineStr">
        <is>
          <t>No Aplica</t>
        </is>
      </c>
    </row>
    <row r="1429" hidden="1">
      <c r="A1429" s="5" t="n">
        <v>275</v>
      </c>
      <c r="B1429" s="5" t="inlineStr">
        <is>
          <t>Satisfacción Institucional por grupo de interes</t>
        </is>
      </c>
      <c r="C1429" s="5" t="inlineStr">
        <is>
          <t>EXPERIENCIA INSTITUCIONAL</t>
        </is>
      </c>
      <c r="D1429" s="5" t="inlineStr">
        <is>
          <t>Trimestral</t>
        </is>
      </c>
      <c r="E1429" s="5" t="inlineStr">
        <is>
          <t>Positivo</t>
        </is>
      </c>
      <c r="F1429" s="109" t="n">
        <v>45107</v>
      </c>
      <c r="G1429" s="5" t="n">
        <v>2023</v>
      </c>
      <c r="H1429" s="5" t="inlineStr">
        <is>
          <t>Junio</t>
        </is>
      </c>
      <c r="I1429" s="6" t="inlineStr">
        <is>
          <t>2023-1</t>
        </is>
      </c>
      <c r="J1429" s="5" t="n">
        <v>80</v>
      </c>
      <c r="K1429" s="5" t="n"/>
      <c r="L1429" s="14" t="n"/>
      <c r="M1429" s="14" t="n"/>
      <c r="N1429" s="5" t="inlineStr">
        <is>
          <t>%</t>
        </is>
      </c>
      <c r="O1429" s="5" t="inlineStr">
        <is>
          <t>No Aplica</t>
        </is>
      </c>
      <c r="P1429" s="5" t="n">
        <v>0</v>
      </c>
      <c r="Q1429" s="5" t="n">
        <v>0</v>
      </c>
      <c r="R1429" s="5" t="inlineStr">
        <is>
          <t>275-2023-06-30</t>
        </is>
      </c>
      <c r="S1429" t="inlineStr">
        <is>
          <t>No Aplica</t>
        </is>
      </c>
    </row>
    <row r="1430" hidden="1">
      <c r="A1430" s="21" t="n">
        <v>275</v>
      </c>
      <c r="B1430" s="5" t="inlineStr">
        <is>
          <t>Satisfacción Institucional por grupo de interes</t>
        </is>
      </c>
      <c r="C1430" s="5" t="inlineStr">
        <is>
          <t>EXPERIENCIA INSTITUCIONAL</t>
        </is>
      </c>
      <c r="D1430" s="5" t="inlineStr">
        <is>
          <t>Trimestral</t>
        </is>
      </c>
      <c r="E1430" s="5" t="inlineStr">
        <is>
          <t>Positivo</t>
        </is>
      </c>
      <c r="F1430" s="109" t="n">
        <v>45199</v>
      </c>
      <c r="G1430" s="5" t="n">
        <v>2023</v>
      </c>
      <c r="H1430" s="5" t="inlineStr">
        <is>
          <t>Septiembre</t>
        </is>
      </c>
      <c r="I1430" s="6" t="inlineStr">
        <is>
          <t>2023-2</t>
        </is>
      </c>
      <c r="J1430" s="5" t="n">
        <v>80</v>
      </c>
      <c r="K1430" s="10" t="n"/>
      <c r="L1430" s="14" t="n"/>
      <c r="M1430" s="14" t="n"/>
      <c r="N1430" s="5" t="inlineStr">
        <is>
          <t>%</t>
        </is>
      </c>
      <c r="O1430" s="5" t="inlineStr">
        <is>
          <t>No Aplica</t>
        </is>
      </c>
      <c r="P1430" s="15" t="n">
        <v>0</v>
      </c>
      <c r="Q1430" s="15" t="n">
        <v>0</v>
      </c>
      <c r="R1430" s="5" t="inlineStr">
        <is>
          <t>275-2023-09-30</t>
        </is>
      </c>
      <c r="S1430" t="inlineStr">
        <is>
          <t>No Aplica</t>
        </is>
      </c>
    </row>
    <row r="1431" hidden="1">
      <c r="A1431" s="21" t="n">
        <v>275</v>
      </c>
      <c r="B1431" s="5" t="inlineStr">
        <is>
          <t>Satisfacción Institucional por grupo de interes</t>
        </is>
      </c>
      <c r="C1431" s="5" t="inlineStr">
        <is>
          <t>EXPERIENCIA INSTITUCIONAL</t>
        </is>
      </c>
      <c r="D1431" s="5" t="inlineStr">
        <is>
          <t>Trimestral</t>
        </is>
      </c>
      <c r="E1431" s="5" t="inlineStr">
        <is>
          <t>Positivo</t>
        </is>
      </c>
      <c r="F1431" s="109" t="n">
        <v>45291</v>
      </c>
      <c r="G1431" s="5" t="n">
        <v>2023</v>
      </c>
      <c r="H1431" s="5" t="inlineStr">
        <is>
          <t>Diciembre</t>
        </is>
      </c>
      <c r="I1431" s="6" t="inlineStr">
        <is>
          <t>2023-2</t>
        </is>
      </c>
      <c r="J1431" s="5" t="n">
        <v>80</v>
      </c>
      <c r="K1431" s="10" t="n">
        <v>0</v>
      </c>
      <c r="L1431" s="14" t="n">
        <v>0</v>
      </c>
      <c r="M1431" s="14" t="n">
        <v>0</v>
      </c>
      <c r="N1431" s="5" t="inlineStr">
        <is>
          <t>%</t>
        </is>
      </c>
      <c r="O1431" s="5" t="inlineStr">
        <is>
          <t>%</t>
        </is>
      </c>
      <c r="P1431" s="15" t="n">
        <v>0</v>
      </c>
      <c r="Q1431" s="15" t="n">
        <v>0</v>
      </c>
      <c r="R1431" s="5" t="inlineStr">
        <is>
          <t>275-2023-12-31</t>
        </is>
      </c>
    </row>
    <row r="1432" hidden="1">
      <c r="A1432" s="21" t="n">
        <v>275</v>
      </c>
      <c r="B1432" s="5" t="inlineStr">
        <is>
          <t>Satisfacción Institucional por grupo de interes</t>
        </is>
      </c>
      <c r="C1432" s="5" t="inlineStr">
        <is>
          <t>EXPERIENCIA INSTITUCIONAL</t>
        </is>
      </c>
      <c r="D1432" s="5" t="inlineStr">
        <is>
          <t>Semestral</t>
        </is>
      </c>
      <c r="E1432" s="5" t="inlineStr">
        <is>
          <t>Positivo</t>
        </is>
      </c>
      <c r="F1432" s="109" t="n">
        <v>45473</v>
      </c>
      <c r="G1432" s="5" t="n">
        <v>2024</v>
      </c>
      <c r="H1432" s="5" t="inlineStr">
        <is>
          <t>Junio</t>
        </is>
      </c>
      <c r="I1432" s="6" t="inlineStr">
        <is>
          <t>2024-1</t>
        </is>
      </c>
      <c r="J1432" s="5" t="n">
        <v>80</v>
      </c>
      <c r="K1432" s="10" t="n">
        <v>103.75</v>
      </c>
      <c r="L1432" s="14" t="n">
        <v>1.296875</v>
      </c>
      <c r="M1432" s="14" t="n">
        <v>1.296875</v>
      </c>
      <c r="N1432" s="5" t="inlineStr">
        <is>
          <t>%</t>
        </is>
      </c>
      <c r="O1432" s="5" t="inlineStr">
        <is>
          <t>%</t>
        </is>
      </c>
      <c r="P1432" s="15" t="n">
        <v>0</v>
      </c>
      <c r="Q1432" s="15" t="n">
        <v>0</v>
      </c>
      <c r="R1432" s="5" t="inlineStr">
        <is>
          <t>275-2024-06-30</t>
        </is>
      </c>
    </row>
    <row r="1433" hidden="1">
      <c r="A1433" s="21" t="n">
        <v>275</v>
      </c>
      <c r="B1433" s="5" t="inlineStr">
        <is>
          <t>Satisfacción Institucional por grupo de interes</t>
        </is>
      </c>
      <c r="C1433" s="5" t="inlineStr">
        <is>
          <t>EXPERIENCIA INSTITUCIONAL</t>
        </is>
      </c>
      <c r="D1433" s="5" t="inlineStr">
        <is>
          <t>Semestral</t>
        </is>
      </c>
      <c r="E1433" s="5" t="inlineStr">
        <is>
          <t>Positivo</t>
        </is>
      </c>
      <c r="F1433" s="109" t="n">
        <v>45657</v>
      </c>
      <c r="G1433" s="5" t="n">
        <v>2024</v>
      </c>
      <c r="H1433" s="5" t="inlineStr">
        <is>
          <t>Diciembre</t>
        </is>
      </c>
      <c r="I1433" s="6" t="inlineStr">
        <is>
          <t>2024-2</t>
        </is>
      </c>
      <c r="J1433" s="5" t="n">
        <v>80</v>
      </c>
      <c r="K1433" s="10" t="n">
        <v>109.58</v>
      </c>
      <c r="L1433" s="14" t="n">
        <v>1.3</v>
      </c>
      <c r="M1433" s="14" t="n">
        <v>1.36975</v>
      </c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275-2024-12-31</t>
        </is>
      </c>
    </row>
    <row r="1434" hidden="1">
      <c r="A1434" s="5" t="n">
        <v>275</v>
      </c>
      <c r="B1434" s="5" t="inlineStr">
        <is>
          <t>Satisfacción Institucional por grupo de interes</t>
        </is>
      </c>
      <c r="C1434" s="5" t="inlineStr">
        <is>
          <t>EXPERIENCIA INSTITUCIONAL</t>
        </is>
      </c>
      <c r="D1434" s="5" t="inlineStr">
        <is>
          <t>Semestral</t>
        </is>
      </c>
      <c r="E1434" s="5" t="inlineStr">
        <is>
          <t>Positivo</t>
        </is>
      </c>
      <c r="F1434" s="109" t="n">
        <v>45838</v>
      </c>
      <c r="G1434" s="5" t="n">
        <v>2025</v>
      </c>
      <c r="H1434" s="5" t="inlineStr">
        <is>
          <t>Junio</t>
        </is>
      </c>
      <c r="I1434" s="6" t="inlineStr">
        <is>
          <t>2025-1</t>
        </is>
      </c>
      <c r="J1434" s="5" t="n">
        <v>80</v>
      </c>
      <c r="K1434" s="5" t="n">
        <v>90</v>
      </c>
      <c r="L1434" s="14" t="n">
        <v>1.125</v>
      </c>
      <c r="M1434" s="14" t="n">
        <v>1.125</v>
      </c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 t="inlineStr">
        <is>
          <t>275-2025-06-30</t>
        </is>
      </c>
    </row>
    <row r="1435" hidden="1">
      <c r="A1435" s="21" t="n">
        <v>275</v>
      </c>
      <c r="B1435" s="5" t="inlineStr">
        <is>
          <t>Satisfacción Institucional por grupo de interes</t>
        </is>
      </c>
      <c r="C1435" s="5" t="inlineStr">
        <is>
          <t>EXPERIENCIA INSTITUCIONAL</t>
        </is>
      </c>
      <c r="D1435" s="5" t="inlineStr">
        <is>
          <t>Trimestral</t>
        </is>
      </c>
      <c r="E1435" s="5" t="inlineStr">
        <is>
          <t>Positivo</t>
        </is>
      </c>
      <c r="F1435" s="109" t="n">
        <v>46022</v>
      </c>
      <c r="G1435" s="5" t="n">
        <v>2025</v>
      </c>
      <c r="H1435" s="5" t="inlineStr">
        <is>
          <t>Diciembre</t>
        </is>
      </c>
      <c r="I1435" s="6" t="inlineStr">
        <is>
          <t>2025-2</t>
        </is>
      </c>
      <c r="J1435" s="5" t="n">
        <v>80</v>
      </c>
      <c r="K1435" s="10" t="n">
        <v>91.67</v>
      </c>
      <c r="L1435" s="14" t="n">
        <v>1.145875</v>
      </c>
      <c r="M1435" s="14" t="n">
        <v>1.145875</v>
      </c>
      <c r="N1435" s="5" t="inlineStr">
        <is>
          <t>%</t>
        </is>
      </c>
      <c r="O1435" s="5" t="inlineStr">
        <is>
          <t>%</t>
        </is>
      </c>
      <c r="P1435" s="15" t="n">
        <v>0</v>
      </c>
      <c r="Q1435" s="15" t="n">
        <v>0</v>
      </c>
      <c r="R1435" s="5" t="inlineStr">
        <is>
          <t>275-2025-12-31</t>
        </is>
      </c>
    </row>
    <row r="1436" hidden="1">
      <c r="A1436" s="21" t="n">
        <v>276</v>
      </c>
      <c r="B1436" s="5" t="inlineStr">
        <is>
          <t>Relación Estudiante-Docente Tiempo completo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Negativo</t>
        </is>
      </c>
      <c r="F1436" s="109" t="n">
        <v>45107</v>
      </c>
      <c r="G1436" s="5" t="n">
        <v>2023</v>
      </c>
      <c r="H1436" s="5" t="inlineStr">
        <is>
          <t>Junio</t>
        </is>
      </c>
      <c r="I1436" s="6" t="inlineStr">
        <is>
          <t>2023-1</t>
        </is>
      </c>
      <c r="J1436" s="5" t="n">
        <v>85</v>
      </c>
      <c r="K1436" s="10" t="n">
        <v>89.98999999999999</v>
      </c>
      <c r="L1436" s="14" t="n">
        <v>0.944549394377153</v>
      </c>
      <c r="M1436" s="14" t="n">
        <v>0.944549394377153</v>
      </c>
      <c r="N1436" s="5" t="n"/>
      <c r="O1436" s="5" t="n"/>
      <c r="P1436" s="15" t="n">
        <v>0</v>
      </c>
      <c r="Q1436" s="15" t="n">
        <v>0</v>
      </c>
      <c r="R1436" s="5" t="inlineStr">
        <is>
          <t>276-2023-06-30</t>
        </is>
      </c>
    </row>
    <row r="1437" hidden="1">
      <c r="A1437" s="21" t="n">
        <v>276</v>
      </c>
      <c r="B1437" s="5" t="inlineStr">
        <is>
          <t>Relación Estudiante-Docente Tiempo completo</t>
        </is>
      </c>
      <c r="C1437" s="5" t="inlineStr">
        <is>
          <t>Gestión Docente</t>
        </is>
      </c>
      <c r="D1437" s="5" t="inlineStr">
        <is>
          <t>Semestral</t>
        </is>
      </c>
      <c r="E1437" s="5" t="inlineStr">
        <is>
          <t>Negativo</t>
        </is>
      </c>
      <c r="F1437" s="109" t="n">
        <v>45291</v>
      </c>
      <c r="G1437" s="5" t="n">
        <v>2023</v>
      </c>
      <c r="H1437" s="5" t="inlineStr">
        <is>
          <t>Diciembre</t>
        </is>
      </c>
      <c r="I1437" s="6" t="inlineStr">
        <is>
          <t>2023-2</t>
        </is>
      </c>
      <c r="J1437" s="5" t="n">
        <v>85</v>
      </c>
      <c r="K1437" s="10" t="n">
        <v>84.5</v>
      </c>
      <c r="L1437" s="14" t="n">
        <v>1.005917159763314</v>
      </c>
      <c r="M1437" s="14" t="n">
        <v>1.005917159763314</v>
      </c>
      <c r="N1437" s="5" t="n"/>
      <c r="O1437" s="5" t="n"/>
      <c r="P1437" s="15" t="n">
        <v>1</v>
      </c>
      <c r="Q1437" s="15" t="n">
        <v>1</v>
      </c>
      <c r="R1437" s="5" t="inlineStr">
        <is>
          <t>276-2023-12-31</t>
        </is>
      </c>
    </row>
    <row r="1438" hidden="1">
      <c r="A1438" s="5" t="n">
        <v>276</v>
      </c>
      <c r="B1438" s="5" t="inlineStr">
        <is>
          <t>Relación Estudiante-Docente Tiempo completo</t>
        </is>
      </c>
      <c r="C1438" s="5" t="inlineStr">
        <is>
          <t>Gestión Docente</t>
        </is>
      </c>
      <c r="D1438" s="5" t="inlineStr">
        <is>
          <t>Semestral</t>
        </is>
      </c>
      <c r="E1438" s="5" t="inlineStr">
        <is>
          <t>Negativo</t>
        </is>
      </c>
      <c r="F1438" s="109" t="n">
        <v>45473</v>
      </c>
      <c r="G1438" s="5" t="n">
        <v>2024</v>
      </c>
      <c r="H1438" s="5" t="inlineStr">
        <is>
          <t>Junio</t>
        </is>
      </c>
      <c r="I1438" s="6" t="inlineStr">
        <is>
          <t>2024-1</t>
        </is>
      </c>
      <c r="J1438" s="5" t="n">
        <v>75</v>
      </c>
      <c r="K1438" s="5" t="n">
        <v>83.65000000000001</v>
      </c>
      <c r="L1438" s="14" t="n">
        <v>0.8965929468021517</v>
      </c>
      <c r="M1438" s="14" t="n">
        <v>0.8965929468021517</v>
      </c>
      <c r="N1438" s="5" t="inlineStr">
        <is>
          <t>DEC</t>
        </is>
      </c>
      <c r="O1438" s="5" t="inlineStr">
        <is>
          <t>DEC</t>
        </is>
      </c>
      <c r="P1438" s="5" t="n">
        <v>0</v>
      </c>
      <c r="Q1438" s="5" t="n">
        <v>0</v>
      </c>
      <c r="R1438" s="5" t="inlineStr">
        <is>
          <t>276-2024-06-30</t>
        </is>
      </c>
    </row>
    <row r="1439" hidden="1">
      <c r="A1439" s="21" t="n">
        <v>276</v>
      </c>
      <c r="B1439" s="5" t="inlineStr">
        <is>
          <t>Relación Estudiante-Docente Tiempo completo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Negativo</t>
        </is>
      </c>
      <c r="F1439" s="109" t="n">
        <v>45657</v>
      </c>
      <c r="G1439" s="5" t="n">
        <v>2024</v>
      </c>
      <c r="H1439" s="5" t="inlineStr">
        <is>
          <t>Diciembre</t>
        </is>
      </c>
      <c r="I1439" s="6" t="inlineStr">
        <is>
          <t>2024-2</t>
        </is>
      </c>
      <c r="J1439" s="5" t="n">
        <v>75</v>
      </c>
      <c r="K1439" s="10" t="n">
        <v>82.68000000000001</v>
      </c>
      <c r="L1439" s="14" t="n">
        <v>0.9071117561683598</v>
      </c>
      <c r="M1439" s="14" t="n">
        <v>0.9071117561683598</v>
      </c>
      <c r="N1439" s="5" t="inlineStr">
        <is>
          <t>DEC</t>
        </is>
      </c>
      <c r="O1439" s="5" t="inlineStr">
        <is>
          <t>DEC</t>
        </is>
      </c>
      <c r="P1439" s="15" t="n">
        <v>0</v>
      </c>
      <c r="Q1439" s="15" t="n">
        <v>0</v>
      </c>
      <c r="R1439" s="5" t="inlineStr">
        <is>
          <t>276-2024-12-31</t>
        </is>
      </c>
    </row>
    <row r="1440" hidden="1">
      <c r="A1440" s="21" t="n">
        <v>276</v>
      </c>
      <c r="B1440" s="5" t="inlineStr">
        <is>
          <t>Relación Estudiante-Docente Tiempo completo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Negativo</t>
        </is>
      </c>
      <c r="F1440" s="109" t="n">
        <v>45838</v>
      </c>
      <c r="G1440" s="5" t="n">
        <v>2025</v>
      </c>
      <c r="H1440" s="5" t="inlineStr">
        <is>
          <t>Junio</t>
        </is>
      </c>
      <c r="I1440" s="6" t="inlineStr">
        <is>
          <t>2025-1</t>
        </is>
      </c>
      <c r="J1440" s="5" t="n">
        <v>81</v>
      </c>
      <c r="K1440" s="10" t="n">
        <v>84.18000000000001</v>
      </c>
      <c r="L1440" s="14" t="n">
        <v>0.9622238061297219</v>
      </c>
      <c r="M1440" s="14" t="n">
        <v>0.9622238061297219</v>
      </c>
      <c r="N1440" s="5" t="inlineStr">
        <is>
          <t>ENT</t>
        </is>
      </c>
      <c r="O1440" s="5" t="inlineStr">
        <is>
          <t>DEC</t>
        </is>
      </c>
      <c r="P1440" s="15" t="n">
        <v>0</v>
      </c>
      <c r="Q1440" s="15" t="n">
        <v>1</v>
      </c>
      <c r="R1440" s="5" t="inlineStr">
        <is>
          <t>276-2025-06-30</t>
        </is>
      </c>
    </row>
    <row r="1441" hidden="1">
      <c r="A1441" s="21" t="n">
        <v>276</v>
      </c>
      <c r="B1441" s="5" t="inlineStr">
        <is>
          <t>Relación Estudiante-Docente Tiempo completo</t>
        </is>
      </c>
      <c r="C1441" s="5" t="inlineStr">
        <is>
          <t>Gestión Docente</t>
        </is>
      </c>
      <c r="D1441" s="5" t="inlineStr">
        <is>
          <t>Trimestral</t>
        </is>
      </c>
      <c r="E1441" s="5" t="inlineStr">
        <is>
          <t>Negativo</t>
        </is>
      </c>
      <c r="F1441" s="109" t="n">
        <v>46022</v>
      </c>
      <c r="G1441" s="5" t="n">
        <v>2025</v>
      </c>
      <c r="H1441" s="5" t="inlineStr">
        <is>
          <t>Diciembre</t>
        </is>
      </c>
      <c r="I1441" s="6" t="inlineStr">
        <is>
          <t>2025-2</t>
        </is>
      </c>
      <c r="J1441" s="5" t="n">
        <v>81</v>
      </c>
      <c r="K1441" s="10" t="n">
        <v>82.81</v>
      </c>
      <c r="L1441" s="14" t="n">
        <v>0.9781427363844946</v>
      </c>
      <c r="M1441" s="14" t="n">
        <v>0.9781427363844946</v>
      </c>
      <c r="N1441" s="5" t="inlineStr">
        <is>
          <t>ENT</t>
        </is>
      </c>
      <c r="O1441" s="5" t="inlineStr">
        <is>
          <t>DEC</t>
        </is>
      </c>
      <c r="P1441" s="15" t="n">
        <v>0</v>
      </c>
      <c r="Q1441" s="15" t="n">
        <v>1</v>
      </c>
      <c r="R1441" s="5" t="inlineStr">
        <is>
          <t>276-2025-12-31</t>
        </is>
      </c>
    </row>
    <row r="1442" hidden="1">
      <c r="A1442" s="21" t="n">
        <v>277</v>
      </c>
      <c r="B1442" s="5" t="inlineStr">
        <is>
          <t>Relación estudiante docente Tiempo Completo Equivalente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Negativo</t>
        </is>
      </c>
      <c r="F1442" s="109" t="n">
        <v>45107</v>
      </c>
      <c r="G1442" s="5" t="n">
        <v>2023</v>
      </c>
      <c r="H1442" s="5" t="inlineStr">
        <is>
          <t>Junio</t>
        </is>
      </c>
      <c r="I1442" s="6" t="inlineStr">
        <is>
          <t>2023-1</t>
        </is>
      </c>
      <c r="J1442" s="5" t="n">
        <v>85</v>
      </c>
      <c r="K1442" s="10" t="n">
        <v>76.48</v>
      </c>
      <c r="L1442" s="14" t="n">
        <v>1.111401673640167</v>
      </c>
      <c r="M1442" s="14" t="n">
        <v>1.111401673640167</v>
      </c>
      <c r="N1442" s="5" t="inlineStr">
        <is>
          <t>DEC</t>
        </is>
      </c>
      <c r="O1442" s="5" t="inlineStr">
        <is>
          <t>DEC</t>
        </is>
      </c>
      <c r="P1442" s="15" t="n">
        <v>0</v>
      </c>
      <c r="Q1442" s="15" t="n">
        <v>0</v>
      </c>
      <c r="R1442" s="5" t="inlineStr">
        <is>
          <t>277-2023-06-30</t>
        </is>
      </c>
    </row>
    <row r="1443" hidden="1">
      <c r="A1443" s="21" t="n">
        <v>277</v>
      </c>
      <c r="B1443" s="5" t="inlineStr">
        <is>
          <t>Relación estudiante docente Tiempo Completo Equivalente</t>
        </is>
      </c>
      <c r="C1443" s="5" t="inlineStr">
        <is>
          <t>Gestión Docente</t>
        </is>
      </c>
      <c r="D1443" s="5" t="inlineStr">
        <is>
          <t>Semestral</t>
        </is>
      </c>
      <c r="E1443" s="5" t="inlineStr">
        <is>
          <t>Negativo</t>
        </is>
      </c>
      <c r="F1443" s="109" t="n">
        <v>45291</v>
      </c>
      <c r="G1443" s="5" t="n">
        <v>2023</v>
      </c>
      <c r="H1443" s="5" t="inlineStr">
        <is>
          <t>Diciembre</t>
        </is>
      </c>
      <c r="I1443" s="6" t="inlineStr">
        <is>
          <t>2023-2</t>
        </is>
      </c>
      <c r="J1443" s="5" t="n">
        <v>85</v>
      </c>
      <c r="K1443" s="10" t="n">
        <v>73.29000000000001</v>
      </c>
      <c r="L1443" s="14" t="n">
        <v>1.159776231409469</v>
      </c>
      <c r="M1443" s="14" t="n">
        <v>1.159776231409469</v>
      </c>
      <c r="N1443" s="5" t="inlineStr">
        <is>
          <t>DEC</t>
        </is>
      </c>
      <c r="O1443" s="5" t="inlineStr">
        <is>
          <t>DEC</t>
        </is>
      </c>
      <c r="P1443" s="15" t="n">
        <v>0</v>
      </c>
      <c r="Q1443" s="15" t="n">
        <v>0</v>
      </c>
      <c r="R1443" s="5" t="inlineStr">
        <is>
          <t>277-2023-12-31</t>
        </is>
      </c>
    </row>
    <row r="1444" hidden="1">
      <c r="A1444" s="21" t="n">
        <v>277</v>
      </c>
      <c r="B1444" s="5" t="inlineStr">
        <is>
          <t>Relación estudiante docente Tiempo Completo Equivalente</t>
        </is>
      </c>
      <c r="C1444" s="5" t="inlineStr">
        <is>
          <t>Gestión Docente</t>
        </is>
      </c>
      <c r="D1444" s="5" t="inlineStr">
        <is>
          <t>Semestral</t>
        </is>
      </c>
      <c r="E1444" s="5" t="inlineStr">
        <is>
          <t>Negativo</t>
        </is>
      </c>
      <c r="F1444" s="109" t="n">
        <v>45473</v>
      </c>
      <c r="G1444" s="5" t="n">
        <v>2024</v>
      </c>
      <c r="H1444" s="5" t="inlineStr">
        <is>
          <t>Junio</t>
        </is>
      </c>
      <c r="I1444" s="6" t="inlineStr">
        <is>
          <t>2024-1</t>
        </is>
      </c>
      <c r="J1444" s="5" t="n">
        <v>73</v>
      </c>
      <c r="K1444" s="10" t="n">
        <v>71.18000000000001</v>
      </c>
      <c r="L1444" s="14" t="n">
        <v>1.025568980050576</v>
      </c>
      <c r="M1444" s="14" t="n">
        <v>1.025568980050576</v>
      </c>
      <c r="N1444" s="5" t="inlineStr">
        <is>
          <t>DEC</t>
        </is>
      </c>
      <c r="O1444" s="5" t="inlineStr">
        <is>
          <t>DEC</t>
        </is>
      </c>
      <c r="P1444" s="15" t="n">
        <v>0</v>
      </c>
      <c r="Q1444" s="15" t="n">
        <v>0</v>
      </c>
      <c r="R1444" s="5" t="inlineStr">
        <is>
          <t>277-2024-06-30</t>
        </is>
      </c>
    </row>
    <row r="1445" hidden="1">
      <c r="A1445" s="5" t="n">
        <v>277</v>
      </c>
      <c r="B1445" s="5" t="inlineStr">
        <is>
          <t>Relación estudiante docente Tiempo Completo Equivalente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Negativo</t>
        </is>
      </c>
      <c r="F1445" s="109" t="n">
        <v>45657</v>
      </c>
      <c r="G1445" s="5" t="n">
        <v>2024</v>
      </c>
      <c r="H1445" s="5" t="inlineStr">
        <is>
          <t>Diciembre</t>
        </is>
      </c>
      <c r="I1445" s="6" t="inlineStr">
        <is>
          <t>2024-2</t>
        </is>
      </c>
      <c r="J1445" s="5" t="n">
        <v>73</v>
      </c>
      <c r="K1445" s="5" t="n">
        <v>71.23999999999999</v>
      </c>
      <c r="L1445" s="14" t="n">
        <v>1.024705221785514</v>
      </c>
      <c r="M1445" s="14" t="n">
        <v>1.024705221785514</v>
      </c>
      <c r="N1445" s="5" t="inlineStr">
        <is>
          <t>DEC</t>
        </is>
      </c>
      <c r="O1445" s="5" t="inlineStr">
        <is>
          <t>DEC</t>
        </is>
      </c>
      <c r="P1445" s="5" t="n">
        <v>0</v>
      </c>
      <c r="Q1445" s="5" t="n">
        <v>0</v>
      </c>
      <c r="R1445" s="5" t="inlineStr">
        <is>
          <t>277-2024-12-31</t>
        </is>
      </c>
    </row>
    <row r="1446" hidden="1">
      <c r="A1446" s="21" t="n">
        <v>277</v>
      </c>
      <c r="B1446" s="5" t="inlineStr">
        <is>
          <t>Relación estudiante docente Tiempo Completo Equivalente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Negativo</t>
        </is>
      </c>
      <c r="F1446" s="109" t="n">
        <v>45838</v>
      </c>
      <c r="G1446" s="5" t="n">
        <v>2025</v>
      </c>
      <c r="H1446" s="5" t="inlineStr">
        <is>
          <t>Junio</t>
        </is>
      </c>
      <c r="I1446" s="6" t="inlineStr">
        <is>
          <t>2025-1</t>
        </is>
      </c>
      <c r="J1446" s="5" t="n">
        <v>71</v>
      </c>
      <c r="K1446" s="10" t="n">
        <v>69.39</v>
      </c>
      <c r="L1446" s="14" t="n">
        <v>1.023202190517366</v>
      </c>
      <c r="M1446" s="14" t="n">
        <v>1.023202190517366</v>
      </c>
      <c r="N1446" s="5" t="inlineStr">
        <is>
          <t>DEC</t>
        </is>
      </c>
      <c r="O1446" s="5" t="inlineStr">
        <is>
          <t>DEC</t>
        </is>
      </c>
      <c r="P1446" s="15" t="n">
        <v>0</v>
      </c>
      <c r="Q1446" s="15" t="n">
        <v>0</v>
      </c>
      <c r="R1446" s="5" t="inlineStr">
        <is>
          <t>277-2025-06-30</t>
        </is>
      </c>
    </row>
    <row r="1447" hidden="1">
      <c r="A1447" s="5" t="n">
        <v>277</v>
      </c>
      <c r="B1447" s="5" t="inlineStr">
        <is>
          <t>Relación estudiante docente TCE (Tiempo Completo Equivalente)</t>
        </is>
      </c>
      <c r="C1447" s="5" t="inlineStr">
        <is>
          <t>Gestión Docente</t>
        </is>
      </c>
      <c r="D1447" s="5" t="inlineStr">
        <is>
          <t>Trimestral</t>
        </is>
      </c>
      <c r="E1447" s="5" t="inlineStr">
        <is>
          <t>Negativo</t>
        </is>
      </c>
      <c r="F1447" s="109" t="n">
        <v>46022</v>
      </c>
      <c r="G1447" s="5" t="n">
        <v>2025</v>
      </c>
      <c r="H1447" s="5" t="inlineStr">
        <is>
          <t>Diciembre</t>
        </is>
      </c>
      <c r="I1447" s="6" t="inlineStr">
        <is>
          <t>2025-2</t>
        </is>
      </c>
      <c r="J1447" s="5" t="n">
        <v>71</v>
      </c>
      <c r="K1447" s="5" t="n">
        <v>68.40000000000001</v>
      </c>
      <c r="L1447" s="14" t="n">
        <v>1.038011695906433</v>
      </c>
      <c r="M1447" s="14" t="n">
        <v>1.038011695906433</v>
      </c>
      <c r="N1447" s="5" t="inlineStr">
        <is>
          <t>ENT</t>
        </is>
      </c>
      <c r="O1447" s="5" t="inlineStr">
        <is>
          <t>DEC</t>
        </is>
      </c>
      <c r="P1447" s="5" t="n">
        <v>1</v>
      </c>
      <c r="Q1447" s="5" t="n">
        <v>1</v>
      </c>
      <c r="R1447" s="5" t="inlineStr">
        <is>
          <t>277-2025-12-31</t>
        </is>
      </c>
    </row>
    <row r="1448" hidden="1">
      <c r="A1448" s="21" t="n">
        <v>278</v>
      </c>
      <c r="B1448" s="5" t="inlineStr">
        <is>
          <t>Docentes contratados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09" t="n">
        <v>45107</v>
      </c>
      <c r="G1448" s="5" t="n">
        <v>2023</v>
      </c>
      <c r="H1448" s="5" t="inlineStr">
        <is>
          <t>Junio</t>
        </is>
      </c>
      <c r="I1448" s="6" t="inlineStr">
        <is>
          <t>2023-1</t>
        </is>
      </c>
      <c r="J1448" s="5" t="n"/>
      <c r="K1448" s="10" t="n">
        <v>1015</v>
      </c>
      <c r="L1448" s="14" t="n"/>
      <c r="M1448" s="14" t="n"/>
      <c r="N1448" s="5" t="inlineStr">
        <is>
          <t>DEC</t>
        </is>
      </c>
      <c r="O1448" s="5" t="inlineStr">
        <is>
          <t>DEC</t>
        </is>
      </c>
      <c r="P1448" s="15" t="n">
        <v>0</v>
      </c>
      <c r="Q1448" s="15" t="n">
        <v>0</v>
      </c>
      <c r="R1448" s="5" t="inlineStr">
        <is>
          <t>278-2023-06-30</t>
        </is>
      </c>
    </row>
    <row r="1449" hidden="1">
      <c r="A1449" s="5" t="n">
        <v>278</v>
      </c>
      <c r="B1449" s="5" t="inlineStr">
        <is>
          <t>Docentes contratados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09" t="n">
        <v>45291</v>
      </c>
      <c r="G1449" s="5" t="n">
        <v>2023</v>
      </c>
      <c r="H1449" s="5" t="inlineStr">
        <is>
          <t>Diciembre</t>
        </is>
      </c>
      <c r="I1449" s="6" t="inlineStr">
        <is>
          <t>2023-2</t>
        </is>
      </c>
      <c r="J1449" s="5" t="n">
        <v>0</v>
      </c>
      <c r="K1449" s="5" t="n">
        <v>1017</v>
      </c>
      <c r="L1449" s="14" t="n"/>
      <c r="M1449" s="14" t="n"/>
      <c r="N1449" s="5" t="inlineStr">
        <is>
          <t>DEC</t>
        </is>
      </c>
      <c r="O1449" s="5" t="inlineStr">
        <is>
          <t>DEC</t>
        </is>
      </c>
      <c r="P1449" s="5" t="n">
        <v>0</v>
      </c>
      <c r="Q1449" s="5" t="n">
        <v>0</v>
      </c>
      <c r="R1449" s="5" t="inlineStr">
        <is>
          <t>278-2023-12-31</t>
        </is>
      </c>
    </row>
    <row r="1450" hidden="1">
      <c r="A1450" s="21" t="n">
        <v>278</v>
      </c>
      <c r="B1450" s="5" t="inlineStr">
        <is>
          <t>Docentes contratados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09" t="n">
        <v>45473</v>
      </c>
      <c r="G1450" s="5" t="n">
        <v>2024</v>
      </c>
      <c r="H1450" s="5" t="inlineStr">
        <is>
          <t>Junio</t>
        </is>
      </c>
      <c r="I1450" s="6" t="inlineStr">
        <is>
          <t>2024-1</t>
        </is>
      </c>
      <c r="J1450" s="5" t="n">
        <v>0</v>
      </c>
      <c r="K1450" s="10" t="n">
        <v>1080</v>
      </c>
      <c r="L1450" s="14" t="n"/>
      <c r="M1450" s="14" t="n"/>
      <c r="N1450" s="5" t="n">
        <v>0</v>
      </c>
      <c r="O1450" s="5" t="inlineStr">
        <is>
          <t>ENT</t>
        </is>
      </c>
      <c r="P1450" s="15" t="n">
        <v>0</v>
      </c>
      <c r="Q1450" s="15" t="n">
        <v>0</v>
      </c>
      <c r="R1450" s="5" t="inlineStr">
        <is>
          <t>278-2024-06-30</t>
        </is>
      </c>
    </row>
    <row r="1451" hidden="1">
      <c r="A1451" s="21" t="n">
        <v>278</v>
      </c>
      <c r="B1451" s="5" t="inlineStr">
        <is>
          <t>Docentes contratados</t>
        </is>
      </c>
      <c r="C1451" s="5" t="inlineStr">
        <is>
          <t>Gestión Docente</t>
        </is>
      </c>
      <c r="D1451" s="5" t="inlineStr">
        <is>
          <t>Semestral</t>
        </is>
      </c>
      <c r="E1451" s="5" t="inlineStr">
        <is>
          <t>Positivo</t>
        </is>
      </c>
      <c r="F1451" s="109" t="n">
        <v>45657</v>
      </c>
      <c r="G1451" s="5" t="n">
        <v>2024</v>
      </c>
      <c r="H1451" s="5" t="inlineStr">
        <is>
          <t>Diciembre</t>
        </is>
      </c>
      <c r="I1451" s="6" t="inlineStr">
        <is>
          <t>2024-2</t>
        </is>
      </c>
      <c r="J1451" s="5" t="n">
        <v>0</v>
      </c>
      <c r="K1451" s="10" t="n">
        <v>1018</v>
      </c>
      <c r="L1451" s="14" t="n"/>
      <c r="M1451" s="14" t="n"/>
      <c r="N1451" s="5" t="n">
        <v>0</v>
      </c>
      <c r="O1451" s="5" t="inlineStr">
        <is>
          <t>ENT</t>
        </is>
      </c>
      <c r="P1451" s="15" t="n">
        <v>0</v>
      </c>
      <c r="Q1451" s="15" t="n">
        <v>0</v>
      </c>
      <c r="R1451" s="5" t="inlineStr">
        <is>
          <t>278-2024-12-31</t>
        </is>
      </c>
    </row>
    <row r="1452" hidden="1">
      <c r="A1452" s="5" t="n">
        <v>278</v>
      </c>
      <c r="B1452" s="5" t="inlineStr">
        <is>
          <t>Docentes contratados - Metrica</t>
        </is>
      </c>
      <c r="C1452" s="5" t="inlineStr">
        <is>
          <t>Gestión Docente</t>
        </is>
      </c>
      <c r="D1452" s="5" t="inlineStr">
        <is>
          <t>Trimestral</t>
        </is>
      </c>
      <c r="E1452" s="5" t="inlineStr">
        <is>
          <t>Positivo</t>
        </is>
      </c>
      <c r="F1452" s="109" t="n">
        <v>45838</v>
      </c>
      <c r="G1452" s="5" t="n">
        <v>2025</v>
      </c>
      <c r="H1452" s="5" t="inlineStr">
        <is>
          <t>Junio</t>
        </is>
      </c>
      <c r="I1452" s="6" t="inlineStr">
        <is>
          <t>2025-1</t>
        </is>
      </c>
      <c r="J1452" s="5" t="n"/>
      <c r="K1452" s="5" t="n">
        <v>1099</v>
      </c>
      <c r="L1452" s="14" t="n"/>
      <c r="M1452" s="14" t="n"/>
      <c r="N1452" s="5" t="inlineStr">
        <is>
          <t>Metrica</t>
        </is>
      </c>
      <c r="O1452" s="5" t="inlineStr">
        <is>
          <t>Metrica</t>
        </is>
      </c>
      <c r="P1452" s="5" t="n">
        <v>0</v>
      </c>
      <c r="Q1452" s="5" t="n">
        <v>0</v>
      </c>
      <c r="R1452" s="5" t="inlineStr">
        <is>
          <t>278-2025-06-30</t>
        </is>
      </c>
      <c r="S1452" t="inlineStr">
        <is>
          <t>Metrica</t>
        </is>
      </c>
    </row>
    <row r="1453" hidden="1">
      <c r="A1453" s="21" t="n">
        <v>278</v>
      </c>
      <c r="B1453" s="5" t="inlineStr">
        <is>
          <t>Docentes contratados - Metrica</t>
        </is>
      </c>
      <c r="C1453" s="5" t="inlineStr">
        <is>
          <t>Gestión Docente</t>
        </is>
      </c>
      <c r="D1453" s="5" t="inlineStr">
        <is>
          <t>Trimestral</t>
        </is>
      </c>
      <c r="E1453" s="5" t="inlineStr">
        <is>
          <t>Positivo</t>
        </is>
      </c>
      <c r="F1453" s="109" t="n">
        <v>46022</v>
      </c>
      <c r="G1453" s="5" t="n">
        <v>2025</v>
      </c>
      <c r="H1453" s="5" t="inlineStr">
        <is>
          <t>Diciembre</t>
        </is>
      </c>
      <c r="I1453" s="6" t="inlineStr">
        <is>
          <t>2025-2</t>
        </is>
      </c>
      <c r="J1453" s="5" t="n"/>
      <c r="K1453" s="10" t="n">
        <v>1071</v>
      </c>
      <c r="L1453" s="14" t="n"/>
      <c r="M1453" s="14" t="n"/>
      <c r="N1453" s="5" t="inlineStr">
        <is>
          <t>Metrica</t>
        </is>
      </c>
      <c r="O1453" s="5" t="inlineStr">
        <is>
          <t>Metrica</t>
        </is>
      </c>
      <c r="P1453" s="15" t="n">
        <v>0</v>
      </c>
      <c r="Q1453" s="15" t="n">
        <v>0</v>
      </c>
      <c r="R1453" s="5" t="inlineStr">
        <is>
          <t>278-2025-12-31</t>
        </is>
      </c>
      <c r="S1453" t="inlineStr">
        <is>
          <t>Metrica</t>
        </is>
      </c>
    </row>
    <row r="1454" hidden="1">
      <c r="A1454" s="5" t="n">
        <v>279</v>
      </c>
      <c r="B1454" s="5" t="inlineStr">
        <is>
          <t>Docentes tiempo completo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09" t="n">
        <v>45107</v>
      </c>
      <c r="G1454" s="5" t="n">
        <v>2023</v>
      </c>
      <c r="H1454" s="5" t="inlineStr">
        <is>
          <t>Junio</t>
        </is>
      </c>
      <c r="I1454" s="6" t="inlineStr">
        <is>
          <t>2023-1</t>
        </is>
      </c>
      <c r="J1454" s="5" t="n"/>
      <c r="K1454" s="5" t="n">
        <v>572</v>
      </c>
      <c r="L1454" s="14" t="n"/>
      <c r="M1454" s="14" t="n"/>
      <c r="N1454" s="5" t="n"/>
      <c r="O1454" s="5" t="n"/>
      <c r="P1454" s="5" t="n">
        <v>0</v>
      </c>
      <c r="Q1454" s="5" t="n">
        <v>0</v>
      </c>
      <c r="R1454" s="5" t="inlineStr">
        <is>
          <t>279-2023-06-30</t>
        </is>
      </c>
    </row>
    <row r="1455" hidden="1">
      <c r="A1455" s="21" t="n">
        <v>280</v>
      </c>
      <c r="B1455" s="5" t="inlineStr">
        <is>
          <t>Docentes medio tiempo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09" t="n">
        <v>45107</v>
      </c>
      <c r="G1455" s="5" t="n">
        <v>2023</v>
      </c>
      <c r="H1455" s="5" t="inlineStr">
        <is>
          <t>Junio</t>
        </is>
      </c>
      <c r="I1455" s="6" t="inlineStr">
        <is>
          <t>2023-1</t>
        </is>
      </c>
      <c r="J1455" s="5" t="n"/>
      <c r="K1455" s="10" t="n">
        <v>203</v>
      </c>
      <c r="L1455" s="14" t="n"/>
      <c r="M1455" s="14" t="n"/>
      <c r="N1455" s="5" t="n"/>
      <c r="O1455" s="5" t="n"/>
      <c r="P1455" s="15" t="n">
        <v>0</v>
      </c>
      <c r="Q1455" s="15" t="n">
        <v>0</v>
      </c>
      <c r="R1455" s="5" t="inlineStr">
        <is>
          <t>280-2023-06-30</t>
        </is>
      </c>
    </row>
    <row r="1456" hidden="1">
      <c r="A1456" s="5" t="n">
        <v>280</v>
      </c>
      <c r="B1456" s="5" t="inlineStr">
        <is>
          <t>Docentes medio tiempo</t>
        </is>
      </c>
      <c r="C1456" s="5" t="inlineStr">
        <is>
          <t>Gestión Docente</t>
        </is>
      </c>
      <c r="D1456" s="5" t="inlineStr">
        <is>
          <t>Semestral</t>
        </is>
      </c>
      <c r="E1456" s="5" t="inlineStr">
        <is>
          <t>Positivo</t>
        </is>
      </c>
      <c r="F1456" s="109" t="n">
        <v>45291</v>
      </c>
      <c r="G1456" s="5" t="n">
        <v>2023</v>
      </c>
      <c r="H1456" s="5" t="inlineStr">
        <is>
          <t>Diciembre</t>
        </is>
      </c>
      <c r="I1456" s="6" t="inlineStr">
        <is>
          <t>2023-2</t>
        </is>
      </c>
      <c r="J1456" s="5" t="n">
        <v>0</v>
      </c>
      <c r="K1456" s="5" t="n">
        <v>186</v>
      </c>
      <c r="L1456" s="14" t="n"/>
      <c r="M1456" s="14" t="n"/>
      <c r="N1456" s="5" t="n"/>
      <c r="O1456" s="5" t="n"/>
      <c r="P1456" s="5" t="n">
        <v>0</v>
      </c>
      <c r="Q1456" s="5" t="n">
        <v>0</v>
      </c>
      <c r="R1456" s="5" t="inlineStr">
        <is>
          <t>280-2023-12-31</t>
        </is>
      </c>
    </row>
    <row r="1457" hidden="1">
      <c r="A1457" s="21" t="n">
        <v>281</v>
      </c>
      <c r="B1457" s="5" t="inlineStr">
        <is>
          <t>Docentes cátedra</t>
        </is>
      </c>
      <c r="C1457" s="5" t="inlineStr">
        <is>
          <t>Gestión Docente</t>
        </is>
      </c>
      <c r="D1457" s="5" t="inlineStr">
        <is>
          <t>Semestral</t>
        </is>
      </c>
      <c r="E1457" s="5" t="inlineStr">
        <is>
          <t>Positivo</t>
        </is>
      </c>
      <c r="F1457" s="109" t="n">
        <v>45107</v>
      </c>
      <c r="G1457" s="5" t="n">
        <v>2023</v>
      </c>
      <c r="H1457" s="5" t="inlineStr">
        <is>
          <t>Junio</t>
        </is>
      </c>
      <c r="I1457" s="6" t="inlineStr">
        <is>
          <t>2023-1</t>
        </is>
      </c>
      <c r="J1457" s="5" t="n"/>
      <c r="K1457" s="10" t="n">
        <v>240</v>
      </c>
      <c r="L1457" s="14" t="n"/>
      <c r="M1457" s="14" t="n"/>
      <c r="N1457" s="5" t="n"/>
      <c r="O1457" s="5" t="n"/>
      <c r="P1457" s="15" t="n">
        <v>0</v>
      </c>
      <c r="Q1457" s="15" t="n">
        <v>0</v>
      </c>
      <c r="R1457" s="5" t="inlineStr">
        <is>
          <t>281-2023-06-30</t>
        </is>
      </c>
    </row>
    <row r="1458" hidden="1">
      <c r="A1458" s="5" t="n">
        <v>281</v>
      </c>
      <c r="B1458" s="5" t="inlineStr">
        <is>
          <t>Docentes cátedra</t>
        </is>
      </c>
      <c r="C1458" s="5" t="inlineStr">
        <is>
          <t>Gestión Docente</t>
        </is>
      </c>
      <c r="D1458" s="5" t="inlineStr">
        <is>
          <t>Semestral</t>
        </is>
      </c>
      <c r="E1458" s="5" t="inlineStr">
        <is>
          <t>Positivo</t>
        </is>
      </c>
      <c r="F1458" s="109" t="n">
        <v>45291</v>
      </c>
      <c r="G1458" s="5" t="n">
        <v>2023</v>
      </c>
      <c r="H1458" s="5" t="inlineStr">
        <is>
          <t>Diciembre</t>
        </is>
      </c>
      <c r="I1458" s="6" t="inlineStr">
        <is>
          <t>2023-2</t>
        </is>
      </c>
      <c r="J1458" s="5" t="n"/>
      <c r="K1458" s="5" t="n">
        <v>223</v>
      </c>
      <c r="L1458" s="14" t="n"/>
      <c r="M1458" s="14" t="n"/>
      <c r="N1458" s="5" t="n"/>
      <c r="O1458" s="5" t="n"/>
      <c r="P1458" s="5" t="n">
        <v>0</v>
      </c>
      <c r="Q1458" s="5" t="n">
        <v>0</v>
      </c>
      <c r="R1458" s="5" t="inlineStr">
        <is>
          <t>281-2023-12-31</t>
        </is>
      </c>
    </row>
    <row r="1459" hidden="1">
      <c r="A1459" s="21" t="n">
        <v>282</v>
      </c>
      <c r="B1459" s="5" t="inlineStr">
        <is>
          <t>Docentes evaluados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09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96</v>
      </c>
      <c r="K1459" s="10" t="n">
        <v>97.02</v>
      </c>
      <c r="L1459" s="14" t="n">
        <v>1.010625</v>
      </c>
      <c r="M1459" s="14" t="n">
        <v>1.010625</v>
      </c>
      <c r="N1459" s="5" t="inlineStr">
        <is>
          <t>%</t>
        </is>
      </c>
      <c r="O1459" s="5" t="inlineStr">
        <is>
          <t>%</t>
        </is>
      </c>
      <c r="P1459" s="15" t="n">
        <v>0</v>
      </c>
      <c r="Q1459" s="15" t="n">
        <v>0</v>
      </c>
      <c r="R1459" s="5" t="inlineStr">
        <is>
          <t>282-2023-06-30</t>
        </is>
      </c>
    </row>
    <row r="1460" hidden="1">
      <c r="A1460" s="5" t="n">
        <v>282</v>
      </c>
      <c r="B1460" s="5" t="inlineStr">
        <is>
          <t>Docentes evaluados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09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96</v>
      </c>
      <c r="K1460" s="5" t="n">
        <v>97.34</v>
      </c>
      <c r="L1460" s="14" t="n">
        <v>1.013958333333333</v>
      </c>
      <c r="M1460" s="14" t="n">
        <v>1.013958333333333</v>
      </c>
      <c r="N1460" s="5" t="inlineStr">
        <is>
          <t>%</t>
        </is>
      </c>
      <c r="O1460" s="5" t="inlineStr">
        <is>
          <t>%</t>
        </is>
      </c>
      <c r="P1460" s="5" t="n">
        <v>0</v>
      </c>
      <c r="Q1460" s="5" t="n">
        <v>0</v>
      </c>
      <c r="R1460" s="5" t="inlineStr">
        <is>
          <t>282-2023-12-31</t>
        </is>
      </c>
    </row>
    <row r="1461" hidden="1">
      <c r="A1461" s="21" t="n">
        <v>282</v>
      </c>
      <c r="B1461" s="5" t="inlineStr">
        <is>
          <t>Docentes evaluados</t>
        </is>
      </c>
      <c r="C1461" s="5" t="inlineStr">
        <is>
          <t>Gestión Docente</t>
        </is>
      </c>
      <c r="D1461" s="5" t="inlineStr">
        <is>
          <t>Semestral</t>
        </is>
      </c>
      <c r="E1461" s="5" t="inlineStr">
        <is>
          <t>Positivo</t>
        </is>
      </c>
      <c r="F1461" s="109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97</v>
      </c>
      <c r="K1461" s="10" t="n">
        <v>97.02</v>
      </c>
      <c r="L1461" s="14" t="n">
        <v>1.00020618556701</v>
      </c>
      <c r="M1461" s="14" t="n">
        <v>1.00020618556701</v>
      </c>
      <c r="N1461" s="5" t="inlineStr">
        <is>
          <t>%</t>
        </is>
      </c>
      <c r="O1461" s="5" t="inlineStr">
        <is>
          <t>%</t>
        </is>
      </c>
      <c r="P1461" s="15" t="n">
        <v>0</v>
      </c>
      <c r="Q1461" s="15" t="n">
        <v>0</v>
      </c>
      <c r="R1461" s="5" t="inlineStr">
        <is>
          <t>282-2024-06-30</t>
        </is>
      </c>
    </row>
    <row r="1462" hidden="1">
      <c r="A1462" s="5" t="n">
        <v>282</v>
      </c>
      <c r="B1462" s="5" t="inlineStr">
        <is>
          <t>Docentes evaluados</t>
        </is>
      </c>
      <c r="C1462" s="5" t="inlineStr">
        <is>
          <t>Gestión Docente</t>
        </is>
      </c>
      <c r="D1462" s="5" t="inlineStr">
        <is>
          <t>Semestral</t>
        </is>
      </c>
      <c r="E1462" s="5" t="inlineStr">
        <is>
          <t>Positivo</t>
        </is>
      </c>
      <c r="F1462" s="109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97</v>
      </c>
      <c r="K1462" s="5" t="n">
        <v>96.84</v>
      </c>
      <c r="L1462" s="14" t="n">
        <v>0.9983505154639175</v>
      </c>
      <c r="M1462" s="14" t="n">
        <v>0.9983505154639175</v>
      </c>
      <c r="N1462" s="5" t="inlineStr">
        <is>
          <t>%</t>
        </is>
      </c>
      <c r="O1462" s="5" t="inlineStr">
        <is>
          <t>%</t>
        </is>
      </c>
      <c r="P1462" s="5" t="n">
        <v>0</v>
      </c>
      <c r="Q1462" s="5" t="n">
        <v>0</v>
      </c>
      <c r="R1462" s="5" t="inlineStr">
        <is>
          <t>282-2024-12-31</t>
        </is>
      </c>
    </row>
    <row r="1463" hidden="1">
      <c r="A1463" s="21" t="n">
        <v>282</v>
      </c>
      <c r="B1463" s="5" t="inlineStr">
        <is>
          <t>Docentes evaluados</t>
        </is>
      </c>
      <c r="C1463" s="5" t="inlineStr">
        <is>
          <t>Gestión Docente</t>
        </is>
      </c>
      <c r="D1463" s="5" t="inlineStr">
        <is>
          <t>Semestral</t>
        </is>
      </c>
      <c r="E1463" s="5" t="inlineStr">
        <is>
          <t>Positivo</t>
        </is>
      </c>
      <c r="F1463" s="109" t="n">
        <v>45838</v>
      </c>
      <c r="G1463" s="5" t="n">
        <v>2025</v>
      </c>
      <c r="H1463" s="5" t="inlineStr">
        <is>
          <t>Junio</t>
        </is>
      </c>
      <c r="I1463" s="6" t="inlineStr">
        <is>
          <t>2025-1</t>
        </is>
      </c>
      <c r="J1463" s="5" t="n">
        <v>97</v>
      </c>
      <c r="K1463" s="10" t="n">
        <v>97.41</v>
      </c>
      <c r="L1463" s="14" t="n">
        <v>1.004226804123711</v>
      </c>
      <c r="M1463" s="14" t="n">
        <v>1.004226804123711</v>
      </c>
      <c r="N1463" s="5" t="inlineStr">
        <is>
          <t>%</t>
        </is>
      </c>
      <c r="O1463" s="5" t="inlineStr">
        <is>
          <t>%</t>
        </is>
      </c>
      <c r="P1463" s="15" t="n">
        <v>0</v>
      </c>
      <c r="Q1463" s="15" t="n">
        <v>0</v>
      </c>
      <c r="R1463" s="5" t="inlineStr">
        <is>
          <t>282-2025-06-30</t>
        </is>
      </c>
    </row>
    <row r="1464" hidden="1">
      <c r="A1464" s="21" t="n">
        <v>282</v>
      </c>
      <c r="B1464" s="5" t="inlineStr">
        <is>
          <t>Docentes evaluados</t>
        </is>
      </c>
      <c r="C1464" s="5" t="inlineStr">
        <is>
          <t>Gestión Docente</t>
        </is>
      </c>
      <c r="D1464" s="5" t="inlineStr">
        <is>
          <t>Trimestral</t>
        </is>
      </c>
      <c r="E1464" s="5" t="inlineStr">
        <is>
          <t>Positivo</t>
        </is>
      </c>
      <c r="F1464" s="109" t="n">
        <v>46022</v>
      </c>
      <c r="G1464" s="5" t="n">
        <v>2025</v>
      </c>
      <c r="H1464" s="5" t="inlineStr">
        <is>
          <t>Diciembre</t>
        </is>
      </c>
      <c r="I1464" s="6" t="inlineStr">
        <is>
          <t>2025-2</t>
        </is>
      </c>
      <c r="J1464" s="5" t="n">
        <v>97</v>
      </c>
      <c r="K1464" s="10" t="n">
        <v>97.56</v>
      </c>
      <c r="L1464" s="14" t="n">
        <v>1.005773195876289</v>
      </c>
      <c r="M1464" s="14" t="n">
        <v>1.005773195876289</v>
      </c>
      <c r="N1464" s="5" t="inlineStr">
        <is>
          <t>%</t>
        </is>
      </c>
      <c r="O1464" s="5" t="inlineStr">
        <is>
          <t>%</t>
        </is>
      </c>
      <c r="P1464" s="15" t="n">
        <v>0</v>
      </c>
      <c r="Q1464" s="15" t="n">
        <v>0</v>
      </c>
      <c r="R1464" s="5" t="inlineStr">
        <is>
          <t>282-2025-12-31</t>
        </is>
      </c>
    </row>
    <row r="1465" hidden="1">
      <c r="A1465" s="5" t="n">
        <v>283</v>
      </c>
      <c r="B1465" s="5" t="inlineStr">
        <is>
          <t>Resultado evaluación docente</t>
        </is>
      </c>
      <c r="C1465" s="5" t="inlineStr">
        <is>
          <t>Gestión Docente</t>
        </is>
      </c>
      <c r="D1465" s="5" t="inlineStr">
        <is>
          <t>Semestral</t>
        </is>
      </c>
      <c r="E1465" s="5" t="inlineStr">
        <is>
          <t>Positivo</t>
        </is>
      </c>
      <c r="F1465" s="109" t="n">
        <v>45107</v>
      </c>
      <c r="G1465" s="5" t="n">
        <v>2023</v>
      </c>
      <c r="H1465" s="5" t="inlineStr">
        <is>
          <t>Junio</t>
        </is>
      </c>
      <c r="I1465" s="6" t="inlineStr">
        <is>
          <t>2023-1</t>
        </is>
      </c>
      <c r="J1465" s="5" t="n">
        <v>4.5</v>
      </c>
      <c r="K1465" s="5" t="n">
        <v>4.6</v>
      </c>
      <c r="L1465" s="14" t="n">
        <v>1.022222222222222</v>
      </c>
      <c r="M1465" s="14" t="n">
        <v>1.022222222222222</v>
      </c>
      <c r="N1465" s="5" t="inlineStr">
        <is>
          <t>%</t>
        </is>
      </c>
      <c r="O1465" s="5" t="inlineStr">
        <is>
          <t>%</t>
        </is>
      </c>
      <c r="P1465" s="5" t="n">
        <v>2</v>
      </c>
      <c r="Q1465" s="5" t="n">
        <v>2</v>
      </c>
      <c r="R1465" s="5" t="inlineStr">
        <is>
          <t>283-2023-06-30</t>
        </is>
      </c>
    </row>
    <row r="1466" hidden="1">
      <c r="A1466" s="21" t="n">
        <v>283</v>
      </c>
      <c r="B1466" s="5" t="inlineStr">
        <is>
          <t>Resultado evaluación docente</t>
        </is>
      </c>
      <c r="C1466" s="5" t="inlineStr">
        <is>
          <t>Gestión Docente</t>
        </is>
      </c>
      <c r="D1466" s="5" t="inlineStr">
        <is>
          <t>Semestral</t>
        </is>
      </c>
      <c r="E1466" s="5" t="inlineStr">
        <is>
          <t>Positivo</t>
        </is>
      </c>
      <c r="F1466" s="109" t="n">
        <v>45291</v>
      </c>
      <c r="G1466" s="5" t="n">
        <v>2023</v>
      </c>
      <c r="H1466" s="5" t="inlineStr">
        <is>
          <t>Diciembre</t>
        </is>
      </c>
      <c r="I1466" s="6" t="inlineStr">
        <is>
          <t>2023-2</t>
        </is>
      </c>
      <c r="J1466" s="5" t="n">
        <v>4.5</v>
      </c>
      <c r="K1466" s="10" t="n">
        <v>4.55</v>
      </c>
      <c r="L1466" s="14" t="n">
        <v>1.011111111111111</v>
      </c>
      <c r="M1466" s="14" t="n">
        <v>1.011111111111111</v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283-2023-12-31</t>
        </is>
      </c>
    </row>
    <row r="1467" hidden="1">
      <c r="A1467" s="21" t="n">
        <v>283</v>
      </c>
      <c r="B1467" s="5" t="inlineStr">
        <is>
          <t>Resultado evaluación docente</t>
        </is>
      </c>
      <c r="C1467" s="5" t="inlineStr">
        <is>
          <t>Gestión Docente</t>
        </is>
      </c>
      <c r="D1467" s="5" t="inlineStr">
        <is>
          <t>Semestral</t>
        </is>
      </c>
      <c r="E1467" s="5" t="inlineStr">
        <is>
          <t>Positivo</t>
        </is>
      </c>
      <c r="F1467" s="109" t="n">
        <v>45473</v>
      </c>
      <c r="G1467" s="5" t="n">
        <v>2024</v>
      </c>
      <c r="H1467" s="5" t="inlineStr">
        <is>
          <t>Junio</t>
        </is>
      </c>
      <c r="I1467" s="6" t="inlineStr">
        <is>
          <t>2024-1</t>
        </is>
      </c>
      <c r="J1467" s="5" t="n">
        <v>4.5</v>
      </c>
      <c r="K1467" s="10" t="n">
        <v>4.57</v>
      </c>
      <c r="L1467" s="14" t="n">
        <v>1.015555555555556</v>
      </c>
      <c r="M1467" s="14" t="n">
        <v>1.015555555555556</v>
      </c>
      <c r="N1467" s="5" t="inlineStr">
        <is>
          <t>DEC</t>
        </is>
      </c>
      <c r="O1467" s="5" t="inlineStr">
        <is>
          <t>DEC</t>
        </is>
      </c>
      <c r="P1467" s="15" t="n">
        <v>2</v>
      </c>
      <c r="Q1467" s="15" t="n">
        <v>2</v>
      </c>
      <c r="R1467" s="5" t="inlineStr">
        <is>
          <t>283-2024-06-30</t>
        </is>
      </c>
    </row>
    <row r="1468" hidden="1">
      <c r="A1468" s="21" t="n">
        <v>283</v>
      </c>
      <c r="B1468" s="5" t="inlineStr">
        <is>
          <t>Resultado evaluación docente</t>
        </is>
      </c>
      <c r="C1468" s="5" t="inlineStr">
        <is>
          <t>Gestión Docente</t>
        </is>
      </c>
      <c r="D1468" s="5" t="inlineStr">
        <is>
          <t>Semestral</t>
        </is>
      </c>
      <c r="E1468" s="5" t="inlineStr">
        <is>
          <t>Positivo</t>
        </is>
      </c>
      <c r="F1468" s="109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4.5</v>
      </c>
      <c r="K1468" s="10" t="n">
        <v>4.64</v>
      </c>
      <c r="L1468" s="14" t="n">
        <v>1.031111111111111</v>
      </c>
      <c r="M1468" s="14" t="n">
        <v>1.031111111111111</v>
      </c>
      <c r="N1468" s="5" t="inlineStr">
        <is>
          <t>DEC</t>
        </is>
      </c>
      <c r="O1468" s="5" t="inlineStr">
        <is>
          <t>DEC</t>
        </is>
      </c>
      <c r="P1468" s="15" t="n">
        <v>2</v>
      </c>
      <c r="Q1468" s="15" t="n">
        <v>2</v>
      </c>
      <c r="R1468" s="5" t="inlineStr">
        <is>
          <t>283-2024-12-31</t>
        </is>
      </c>
    </row>
    <row r="1469" hidden="1">
      <c r="A1469" s="5" t="n">
        <v>283</v>
      </c>
      <c r="B1469" s="5" t="inlineStr">
        <is>
          <t>Resultado evaluación docente</t>
        </is>
      </c>
      <c r="C1469" s="5" t="inlineStr">
        <is>
          <t>Gestión Docente</t>
        </is>
      </c>
      <c r="D1469" s="5" t="inlineStr">
        <is>
          <t>Semestral</t>
        </is>
      </c>
      <c r="E1469" s="5" t="inlineStr">
        <is>
          <t>Positivo</t>
        </is>
      </c>
      <c r="F1469" s="109" t="n">
        <v>45838</v>
      </c>
      <c r="G1469" s="5" t="n">
        <v>2025</v>
      </c>
      <c r="H1469" s="5" t="inlineStr">
        <is>
          <t>Junio</t>
        </is>
      </c>
      <c r="I1469" s="6" t="inlineStr">
        <is>
          <t>2025-1</t>
        </is>
      </c>
      <c r="J1469" s="5" t="n">
        <v>4.6</v>
      </c>
      <c r="K1469" s="5" t="n">
        <v>4.66</v>
      </c>
      <c r="L1469" s="14" t="n">
        <v>1.01304347826087</v>
      </c>
      <c r="M1469" s="14" t="n">
        <v>1.01304347826087</v>
      </c>
      <c r="N1469" s="5" t="inlineStr">
        <is>
          <t>DEC</t>
        </is>
      </c>
      <c r="O1469" s="5" t="inlineStr">
        <is>
          <t>DEC</t>
        </is>
      </c>
      <c r="P1469" s="5" t="n">
        <v>1</v>
      </c>
      <c r="Q1469" s="5" t="n">
        <v>2</v>
      </c>
      <c r="R1469" s="5" t="inlineStr">
        <is>
          <t>283-2025-06-30</t>
        </is>
      </c>
    </row>
    <row r="1470" hidden="1">
      <c r="A1470" s="21" t="n">
        <v>283</v>
      </c>
      <c r="B1470" s="5" t="inlineStr">
        <is>
          <t>Resultado evaluación docente</t>
        </is>
      </c>
      <c r="C1470" s="5" t="inlineStr">
        <is>
          <t>Gestión Docente</t>
        </is>
      </c>
      <c r="D1470" s="5" t="inlineStr">
        <is>
          <t>Trimestral</t>
        </is>
      </c>
      <c r="E1470" s="5" t="inlineStr">
        <is>
          <t>Positivo</t>
        </is>
      </c>
      <c r="F1470" s="109" t="n">
        <v>46022</v>
      </c>
      <c r="G1470" s="5" t="n">
        <v>2025</v>
      </c>
      <c r="H1470" s="5" t="inlineStr">
        <is>
          <t>Diciembre</t>
        </is>
      </c>
      <c r="I1470" s="6" t="inlineStr">
        <is>
          <t>2025-2</t>
        </is>
      </c>
      <c r="J1470" s="5" t="n">
        <v>4.6</v>
      </c>
      <c r="K1470" s="10" t="n">
        <v>4.67</v>
      </c>
      <c r="L1470" s="14" t="n">
        <v>1.015217391304348</v>
      </c>
      <c r="M1470" s="14" t="n">
        <v>1.015217391304348</v>
      </c>
      <c r="N1470" s="5" t="inlineStr">
        <is>
          <t>DEC</t>
        </is>
      </c>
      <c r="O1470" s="5" t="inlineStr">
        <is>
          <t>DEC</t>
        </is>
      </c>
      <c r="P1470" s="15" t="n">
        <v>1</v>
      </c>
      <c r="Q1470" s="15" t="n">
        <v>2</v>
      </c>
      <c r="R1470" s="5" t="inlineStr">
        <is>
          <t>283-2025-12-31</t>
        </is>
      </c>
    </row>
    <row r="1471" hidden="1">
      <c r="A1471" s="21" t="n">
        <v>284</v>
      </c>
      <c r="B1471" s="5" t="inlineStr">
        <is>
          <t>Número Horas semanales docentes</t>
        </is>
      </c>
      <c r="C1471" s="5" t="inlineStr">
        <is>
          <t>Gestión Docente</t>
        </is>
      </c>
      <c r="D1471" s="5" t="inlineStr">
        <is>
          <t>Semestral</t>
        </is>
      </c>
      <c r="E1471" s="5" t="inlineStr">
        <is>
          <t>Positivo</t>
        </is>
      </c>
      <c r="F1471" s="109" t="n">
        <v>45107</v>
      </c>
      <c r="G1471" s="5" t="n">
        <v>2023</v>
      </c>
      <c r="H1471" s="5" t="inlineStr">
        <is>
          <t>Junio</t>
        </is>
      </c>
      <c r="I1471" s="6" t="inlineStr">
        <is>
          <t>2023-1</t>
        </is>
      </c>
      <c r="J1471" s="5" t="n"/>
      <c r="K1471" s="10" t="n">
        <v>15047</v>
      </c>
      <c r="L1471" s="14" t="n"/>
      <c r="M1471" s="14" t="n"/>
      <c r="N1471" s="5" t="inlineStr">
        <is>
          <t>DEC</t>
        </is>
      </c>
      <c r="O1471" s="5" t="inlineStr">
        <is>
          <t>DEC</t>
        </is>
      </c>
      <c r="P1471" s="15" t="n">
        <v>0</v>
      </c>
      <c r="Q1471" s="15" t="n">
        <v>0</v>
      </c>
      <c r="R1471" s="5" t="inlineStr">
        <is>
          <t>284-2023-06-30</t>
        </is>
      </c>
    </row>
    <row r="1472" hidden="1">
      <c r="A1472" s="21" t="n">
        <v>284</v>
      </c>
      <c r="B1472" s="5" t="inlineStr">
        <is>
          <t>Número Horas semanales docentes</t>
        </is>
      </c>
      <c r="C1472" s="5" t="inlineStr">
        <is>
          <t>Gestión Docente</t>
        </is>
      </c>
      <c r="D1472" s="5" t="inlineStr">
        <is>
          <t>Semestral</t>
        </is>
      </c>
      <c r="E1472" s="5" t="inlineStr">
        <is>
          <t>Positivo</t>
        </is>
      </c>
      <c r="F1472" s="109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/>
      <c r="K1472" s="10" t="n">
        <v>16281</v>
      </c>
      <c r="L1472" s="14" t="n"/>
      <c r="M1472" s="14" t="n"/>
      <c r="N1472" s="5" t="inlineStr">
        <is>
          <t>DEC</t>
        </is>
      </c>
      <c r="O1472" s="5" t="inlineStr">
        <is>
          <t>DEC</t>
        </is>
      </c>
      <c r="P1472" s="15" t="n">
        <v>0</v>
      </c>
      <c r="Q1472" s="15" t="n">
        <v>0</v>
      </c>
      <c r="R1472" s="5" t="inlineStr">
        <is>
          <t>284-2023-12-31</t>
        </is>
      </c>
    </row>
    <row r="1473" hidden="1">
      <c r="A1473" s="5" t="n">
        <v>285</v>
      </c>
      <c r="B1473" s="5" t="inlineStr">
        <is>
          <t>Docentes con plan de trabajo asignado</t>
        </is>
      </c>
      <c r="C1473" s="5" t="inlineStr">
        <is>
          <t>Gestión Docente</t>
        </is>
      </c>
      <c r="D1473" s="5" t="inlineStr">
        <is>
          <t>Semestral</t>
        </is>
      </c>
      <c r="E1473" s="5" t="inlineStr">
        <is>
          <t>Positivo</t>
        </is>
      </c>
      <c r="F1473" s="109" t="n">
        <v>45107</v>
      </c>
      <c r="G1473" s="5" t="n">
        <v>2023</v>
      </c>
      <c r="H1473" s="5" t="inlineStr">
        <is>
          <t>Junio</t>
        </is>
      </c>
      <c r="I1473" s="6" t="inlineStr">
        <is>
          <t>2023-1</t>
        </is>
      </c>
      <c r="J1473" s="5" t="n">
        <v>100</v>
      </c>
      <c r="K1473" s="5" t="n">
        <v>100</v>
      </c>
      <c r="L1473" s="14" t="n">
        <v>1</v>
      </c>
      <c r="M1473" s="14" t="n">
        <v>1</v>
      </c>
      <c r="N1473" s="5" t="inlineStr">
        <is>
          <t>%</t>
        </is>
      </c>
      <c r="O1473" s="5" t="inlineStr">
        <is>
          <t>%</t>
        </is>
      </c>
      <c r="P1473" s="5" t="n">
        <v>0</v>
      </c>
      <c r="Q1473" s="5" t="n">
        <v>0</v>
      </c>
      <c r="R1473" s="5" t="inlineStr">
        <is>
          <t>285-2023-06-30</t>
        </is>
      </c>
    </row>
    <row r="1474" hidden="1">
      <c r="A1474" s="21" t="n">
        <v>285</v>
      </c>
      <c r="B1474" s="5" t="inlineStr">
        <is>
          <t>Docentes con plan de trabajo asignado</t>
        </is>
      </c>
      <c r="C1474" s="5" t="inlineStr">
        <is>
          <t>Gestión Docente</t>
        </is>
      </c>
      <c r="D1474" s="5" t="inlineStr">
        <is>
          <t>Semestral</t>
        </is>
      </c>
      <c r="E1474" s="5" t="inlineStr">
        <is>
          <t>Positivo</t>
        </is>
      </c>
      <c r="F1474" s="109" t="n">
        <v>45291</v>
      </c>
      <c r="G1474" s="5" t="n">
        <v>2023</v>
      </c>
      <c r="H1474" s="5" t="inlineStr">
        <is>
          <t>Diciembre</t>
        </is>
      </c>
      <c r="I1474" s="6" t="inlineStr">
        <is>
          <t>2023-2</t>
        </is>
      </c>
      <c r="J1474" s="5" t="n">
        <v>100</v>
      </c>
      <c r="K1474" s="10" t="n">
        <v>100</v>
      </c>
      <c r="L1474" s="14" t="n">
        <v>1</v>
      </c>
      <c r="M1474" s="14" t="n">
        <v>1</v>
      </c>
      <c r="N1474" s="5" t="inlineStr">
        <is>
          <t>%</t>
        </is>
      </c>
      <c r="O1474" s="5" t="inlineStr">
        <is>
          <t>%</t>
        </is>
      </c>
      <c r="P1474" s="15" t="n">
        <v>0</v>
      </c>
      <c r="Q1474" s="15" t="n">
        <v>0</v>
      </c>
      <c r="R1474" s="5" t="inlineStr">
        <is>
          <t>285-2023-12-31</t>
        </is>
      </c>
    </row>
    <row r="1475" hidden="1">
      <c r="A1475" s="21" t="n">
        <v>285</v>
      </c>
      <c r="B1475" s="5" t="inlineStr">
        <is>
          <t>Docentes con plan de trabajo asignado</t>
        </is>
      </c>
      <c r="C1475" s="5" t="inlineStr">
        <is>
          <t>Gestión Docente</t>
        </is>
      </c>
      <c r="D1475" s="5" t="inlineStr">
        <is>
          <t>Semestral</t>
        </is>
      </c>
      <c r="E1475" s="5" t="inlineStr">
        <is>
          <t>Positivo</t>
        </is>
      </c>
      <c r="F1475" s="109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100</v>
      </c>
      <c r="K1475" s="10" t="n">
        <v>100</v>
      </c>
      <c r="L1475" s="14" t="n">
        <v>1</v>
      </c>
      <c r="M1475" s="14" t="n">
        <v>1</v>
      </c>
      <c r="N1475" s="5" t="inlineStr">
        <is>
          <t>%</t>
        </is>
      </c>
      <c r="O1475" s="5" t="inlineStr">
        <is>
          <t>%</t>
        </is>
      </c>
      <c r="P1475" s="15" t="n">
        <v>0</v>
      </c>
      <c r="Q1475" s="15" t="n">
        <v>0</v>
      </c>
      <c r="R1475" s="5" t="inlineStr">
        <is>
          <t>285-2024-06-30</t>
        </is>
      </c>
    </row>
    <row r="1476" hidden="1">
      <c r="A1476" s="5" t="n">
        <v>285</v>
      </c>
      <c r="B1476" s="5" t="inlineStr">
        <is>
          <t>Docentes con plan de trabajo asignado</t>
        </is>
      </c>
      <c r="C1476" s="5" t="inlineStr">
        <is>
          <t>Gestión Docente</t>
        </is>
      </c>
      <c r="D1476" s="5" t="inlineStr">
        <is>
          <t>Semestral</t>
        </is>
      </c>
      <c r="E1476" s="5" t="inlineStr">
        <is>
          <t>Positivo</t>
        </is>
      </c>
      <c r="F1476" s="109" t="n">
        <v>45657</v>
      </c>
      <c r="G1476" s="5" t="n">
        <v>2024</v>
      </c>
      <c r="H1476" s="5" t="inlineStr">
        <is>
          <t>Diciembre</t>
        </is>
      </c>
      <c r="I1476" s="6" t="inlineStr">
        <is>
          <t>2024-2</t>
        </is>
      </c>
      <c r="J1476" s="5" t="n">
        <v>100</v>
      </c>
      <c r="K1476" s="5" t="n">
        <v>100</v>
      </c>
      <c r="L1476" s="14" t="n">
        <v>1</v>
      </c>
      <c r="M1476" s="14" t="n">
        <v>1</v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285-2024-12-31</t>
        </is>
      </c>
    </row>
    <row r="1477" hidden="1">
      <c r="A1477" s="21" t="n">
        <v>285</v>
      </c>
      <c r="B1477" s="5" t="inlineStr">
        <is>
          <t>Docentes con plan de trabajo asignado</t>
        </is>
      </c>
      <c r="C1477" s="5" t="inlineStr">
        <is>
          <t>Gestión Docente</t>
        </is>
      </c>
      <c r="D1477" s="5" t="inlineStr">
        <is>
          <t>Semestral</t>
        </is>
      </c>
      <c r="E1477" s="5" t="inlineStr">
        <is>
          <t>Positivo</t>
        </is>
      </c>
      <c r="F1477" s="109" t="n">
        <v>45838</v>
      </c>
      <c r="G1477" s="5" t="n">
        <v>2025</v>
      </c>
      <c r="H1477" s="5" t="inlineStr">
        <is>
          <t>Junio</t>
        </is>
      </c>
      <c r="I1477" s="6" t="inlineStr">
        <is>
          <t>2025-1</t>
        </is>
      </c>
      <c r="J1477" s="5" t="n">
        <v>100</v>
      </c>
      <c r="K1477" s="10" t="n">
        <v>100</v>
      </c>
      <c r="L1477" s="14" t="n">
        <v>1</v>
      </c>
      <c r="M1477" s="14" t="n">
        <v>1</v>
      </c>
      <c r="N1477" s="5" t="inlineStr">
        <is>
          <t>%</t>
        </is>
      </c>
      <c r="O1477" s="5" t="inlineStr">
        <is>
          <t>%</t>
        </is>
      </c>
      <c r="P1477" s="15" t="n">
        <v>0</v>
      </c>
      <c r="Q1477" s="15" t="n">
        <v>0</v>
      </c>
      <c r="R1477" s="5" t="inlineStr">
        <is>
          <t>285-2025-06-30</t>
        </is>
      </c>
    </row>
    <row r="1478" hidden="1">
      <c r="A1478" s="21" t="n">
        <v>285</v>
      </c>
      <c r="B1478" s="20" t="inlineStr">
        <is>
          <t>Docentes con plan de trabajo asignado</t>
        </is>
      </c>
      <c r="C1478" s="5" t="inlineStr">
        <is>
          <t>Gestión Docente</t>
        </is>
      </c>
      <c r="D1478" s="5" t="inlineStr">
        <is>
          <t>Trimestral</t>
        </is>
      </c>
      <c r="E1478" s="5" t="inlineStr">
        <is>
          <t>Positivo</t>
        </is>
      </c>
      <c r="F1478" s="109" t="n">
        <v>46022</v>
      </c>
      <c r="G1478" s="5" t="n">
        <v>2025</v>
      </c>
      <c r="H1478" s="5" t="inlineStr">
        <is>
          <t>Diciembre</t>
        </is>
      </c>
      <c r="I1478" s="6" t="inlineStr">
        <is>
          <t>2025-2</t>
        </is>
      </c>
      <c r="J1478" s="5" t="n">
        <v>100</v>
      </c>
      <c r="K1478" s="52" t="n">
        <v>100</v>
      </c>
      <c r="L1478" s="14" t="n">
        <v>1</v>
      </c>
      <c r="M1478" s="14" t="n">
        <v>1</v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285-2025-12-31</t>
        </is>
      </c>
    </row>
    <row r="1479" hidden="1">
      <c r="A1479" s="21" t="n">
        <v>286</v>
      </c>
      <c r="B1479" s="5" t="inlineStr">
        <is>
          <t>Total docentes por nivel de estudios</t>
        </is>
      </c>
      <c r="C1479" s="5" t="inlineStr">
        <is>
          <t>Gestión Docente</t>
        </is>
      </c>
      <c r="D1479" s="5" t="inlineStr">
        <is>
          <t>Semestral</t>
        </is>
      </c>
      <c r="E1479" s="5" t="inlineStr">
        <is>
          <t>Positivo</t>
        </is>
      </c>
      <c r="F1479" s="109" t="n">
        <v>45107</v>
      </c>
      <c r="G1479" s="5" t="n">
        <v>2023</v>
      </c>
      <c r="H1479" s="5" t="inlineStr">
        <is>
          <t>Junio</t>
        </is>
      </c>
      <c r="I1479" s="6" t="inlineStr">
        <is>
          <t>2023-1</t>
        </is>
      </c>
      <c r="J1479" s="5" t="n"/>
      <c r="K1479" s="15" t="n">
        <v>1015</v>
      </c>
      <c r="L1479" s="14" t="n"/>
      <c r="M1479" s="14" t="n"/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286-2023-06-30</t>
        </is>
      </c>
    </row>
    <row r="1480" hidden="1">
      <c r="A1480" s="21" t="n">
        <v>286</v>
      </c>
      <c r="B1480" s="20" t="inlineStr">
        <is>
          <t>Total docentes por nivel de estudios</t>
        </is>
      </c>
      <c r="C1480" s="5" t="inlineStr">
        <is>
          <t>Gestión Docente</t>
        </is>
      </c>
      <c r="D1480" s="5" t="inlineStr">
        <is>
          <t>Semestral</t>
        </is>
      </c>
      <c r="E1480" s="5" t="inlineStr">
        <is>
          <t>Positivo</t>
        </is>
      </c>
      <c r="F1480" s="109" t="n">
        <v>45291</v>
      </c>
      <c r="G1480" s="5" t="n">
        <v>2023</v>
      </c>
      <c r="H1480" s="5" t="inlineStr">
        <is>
          <t>Diciembre</t>
        </is>
      </c>
      <c r="I1480" s="6" t="inlineStr">
        <is>
          <t>2023-2</t>
        </is>
      </c>
      <c r="J1480" s="5" t="n"/>
      <c r="K1480" s="5" t="n">
        <v>1017</v>
      </c>
      <c r="L1480" s="14" t="n"/>
      <c r="M1480" s="14" t="n"/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286-2023-12-31</t>
        </is>
      </c>
    </row>
    <row r="1481" hidden="1">
      <c r="A1481" s="21" t="n">
        <v>286</v>
      </c>
      <c r="B1481" s="5" t="inlineStr">
        <is>
          <t>Total docentes por nivel de estudios</t>
        </is>
      </c>
      <c r="C1481" s="5" t="inlineStr">
        <is>
          <t>Gestión Docente</t>
        </is>
      </c>
      <c r="D1481" s="5" t="inlineStr">
        <is>
          <t>Semestral</t>
        </is>
      </c>
      <c r="E1481" s="5" t="inlineStr">
        <is>
          <t>Positivo</t>
        </is>
      </c>
      <c r="F1481" s="109" t="n">
        <v>45473</v>
      </c>
      <c r="G1481" s="5" t="n">
        <v>2024</v>
      </c>
      <c r="H1481" s="5" t="inlineStr">
        <is>
          <t>Junio</t>
        </is>
      </c>
      <c r="I1481" s="6" t="inlineStr">
        <is>
          <t>2024-1</t>
        </is>
      </c>
      <c r="J1481" s="5" t="n">
        <v>0</v>
      </c>
      <c r="K1481" s="10" t="n">
        <v>1080</v>
      </c>
      <c r="L1481" s="14" t="n"/>
      <c r="M1481" s="14" t="n"/>
      <c r="N1481" s="5" t="n">
        <v>0</v>
      </c>
      <c r="O1481" s="5" t="inlineStr">
        <is>
          <t>ENT</t>
        </is>
      </c>
      <c r="P1481" s="15" t="n">
        <v>0</v>
      </c>
      <c r="Q1481" s="15" t="n">
        <v>0</v>
      </c>
      <c r="R1481" s="5" t="inlineStr">
        <is>
          <t>286-2024-06-30</t>
        </is>
      </c>
    </row>
    <row r="1482" hidden="1">
      <c r="A1482" s="21" t="n">
        <v>286</v>
      </c>
      <c r="B1482" s="5" t="inlineStr">
        <is>
          <t>Total docentes por nivel de estudios</t>
        </is>
      </c>
      <c r="C1482" s="5" t="inlineStr">
        <is>
          <t>Gestión Docente</t>
        </is>
      </c>
      <c r="D1482" s="5" t="inlineStr">
        <is>
          <t>Semestral</t>
        </is>
      </c>
      <c r="E1482" s="5" t="inlineStr">
        <is>
          <t>Positivo</t>
        </is>
      </c>
      <c r="F1482" s="109" t="n">
        <v>45657</v>
      </c>
      <c r="G1482" s="5" t="n">
        <v>2024</v>
      </c>
      <c r="H1482" s="5" t="inlineStr">
        <is>
          <t>Diciembre</t>
        </is>
      </c>
      <c r="I1482" s="6" t="inlineStr">
        <is>
          <t>2024-2</t>
        </is>
      </c>
      <c r="J1482" s="5" t="n">
        <v>0</v>
      </c>
      <c r="K1482" s="10" t="n">
        <v>1018</v>
      </c>
      <c r="L1482" s="14" t="n"/>
      <c r="M1482" s="14" t="n"/>
      <c r="N1482" s="5" t="n">
        <v>0</v>
      </c>
      <c r="O1482" s="5" t="inlineStr">
        <is>
          <t>ENT</t>
        </is>
      </c>
      <c r="P1482" s="15" t="n">
        <v>0</v>
      </c>
      <c r="Q1482" s="15" t="n">
        <v>0</v>
      </c>
      <c r="R1482" s="5" t="inlineStr">
        <is>
          <t>286-2024-12-31</t>
        </is>
      </c>
    </row>
    <row r="1483" hidden="1">
      <c r="A1483" s="21" t="n">
        <v>286</v>
      </c>
      <c r="B1483" s="5" t="inlineStr">
        <is>
          <t>Total docentes por nivel de estudios - Metrica</t>
        </is>
      </c>
      <c r="C1483" s="5" t="inlineStr">
        <is>
          <t>Gestión Docente</t>
        </is>
      </c>
      <c r="D1483" s="5" t="inlineStr">
        <is>
          <t>Trimestral</t>
        </is>
      </c>
      <c r="E1483" s="5" t="inlineStr">
        <is>
          <t>Positivo</t>
        </is>
      </c>
      <c r="F1483" s="109" t="n">
        <v>45838</v>
      </c>
      <c r="G1483" s="5" t="n">
        <v>2025</v>
      </c>
      <c r="H1483" s="5" t="inlineStr">
        <is>
          <t>Junio</t>
        </is>
      </c>
      <c r="I1483" s="6" t="inlineStr">
        <is>
          <t>2025-1</t>
        </is>
      </c>
      <c r="J1483" s="5" t="n"/>
      <c r="K1483" s="10" t="n">
        <v>1099</v>
      </c>
      <c r="L1483" s="14" t="n"/>
      <c r="M1483" s="14" t="n"/>
      <c r="N1483" s="5" t="inlineStr">
        <is>
          <t>Metrica</t>
        </is>
      </c>
      <c r="O1483" s="5" t="inlineStr">
        <is>
          <t>Metrica</t>
        </is>
      </c>
      <c r="P1483" s="15" t="n">
        <v>0</v>
      </c>
      <c r="Q1483" s="15" t="n">
        <v>0</v>
      </c>
      <c r="R1483" s="5" t="inlineStr">
        <is>
          <t>286-2025-06-30</t>
        </is>
      </c>
      <c r="S1483" t="inlineStr">
        <is>
          <t>Metrica</t>
        </is>
      </c>
    </row>
    <row r="1484" hidden="1">
      <c r="A1484" s="21" t="n">
        <v>286</v>
      </c>
      <c r="B1484" s="5" t="inlineStr">
        <is>
          <t>Total docentes por nivel de estudios - Metrica</t>
        </is>
      </c>
      <c r="C1484" s="5" t="inlineStr">
        <is>
          <t>Gestión Docente</t>
        </is>
      </c>
      <c r="D1484" s="5" t="inlineStr">
        <is>
          <t>Trimestral</t>
        </is>
      </c>
      <c r="E1484" s="5" t="inlineStr">
        <is>
          <t>Positivo</t>
        </is>
      </c>
      <c r="F1484" s="109" t="n">
        <v>46022</v>
      </c>
      <c r="G1484" s="5" t="n">
        <v>2025</v>
      </c>
      <c r="H1484" s="5" t="inlineStr">
        <is>
          <t>Diciembre</t>
        </is>
      </c>
      <c r="I1484" s="6" t="inlineStr">
        <is>
          <t>2025-2</t>
        </is>
      </c>
      <c r="J1484" s="5" t="n"/>
      <c r="K1484" s="10" t="n">
        <v>1071</v>
      </c>
      <c r="L1484" s="14" t="n"/>
      <c r="M1484" s="14" t="n"/>
      <c r="N1484" s="5" t="inlineStr">
        <is>
          <t>Metrica</t>
        </is>
      </c>
      <c r="O1484" s="5" t="inlineStr">
        <is>
          <t>Metrica</t>
        </is>
      </c>
      <c r="P1484" s="15" t="n">
        <v>0</v>
      </c>
      <c r="Q1484" s="15" t="n">
        <v>0</v>
      </c>
      <c r="R1484" s="5" t="inlineStr">
        <is>
          <t>286-2025-12-31</t>
        </is>
      </c>
      <c r="S1484" t="inlineStr">
        <is>
          <t>Metrica</t>
        </is>
      </c>
    </row>
    <row r="1485" hidden="1">
      <c r="A1485" s="21" t="n">
        <v>288</v>
      </c>
      <c r="B1485" s="5" t="inlineStr">
        <is>
          <t>Número docentes escalafonados presentados en convocatoria</t>
        </is>
      </c>
      <c r="C1485" s="5" t="inlineStr">
        <is>
          <t>Gestión Docente</t>
        </is>
      </c>
      <c r="D1485" s="5" t="inlineStr">
        <is>
          <t>Semestral</t>
        </is>
      </c>
      <c r="E1485" s="5" t="inlineStr">
        <is>
          <t>Positivo</t>
        </is>
      </c>
      <c r="F1485" s="109" t="n">
        <v>45107</v>
      </c>
      <c r="G1485" s="5" t="n">
        <v>2023</v>
      </c>
      <c r="H1485" s="5" t="inlineStr">
        <is>
          <t>Junio</t>
        </is>
      </c>
      <c r="I1485" s="6" t="inlineStr">
        <is>
          <t>2023-1</t>
        </is>
      </c>
      <c r="J1485" s="5" t="n">
        <v>85</v>
      </c>
      <c r="K1485" s="10" t="n">
        <v>112.5</v>
      </c>
      <c r="L1485" s="14" t="n">
        <v>1.3</v>
      </c>
      <c r="M1485" s="14" t="n">
        <v>1.323529411764706</v>
      </c>
      <c r="N1485" s="5" t="n">
        <v>0</v>
      </c>
      <c r="O1485" s="5" t="inlineStr">
        <is>
          <t>ENT</t>
        </is>
      </c>
      <c r="P1485" s="15" t="n">
        <v>0</v>
      </c>
      <c r="Q1485" s="15" t="n">
        <v>0</v>
      </c>
      <c r="R1485" s="5" t="inlineStr">
        <is>
          <t>288-2023-06-30</t>
        </is>
      </c>
    </row>
    <row r="1486" hidden="1">
      <c r="A1486" s="21" t="n">
        <v>288</v>
      </c>
      <c r="B1486" s="5" t="inlineStr">
        <is>
          <t>Número docentes escalafonados presentados en convocatoria</t>
        </is>
      </c>
      <c r="C1486" s="5" t="inlineStr">
        <is>
          <t>Gestión Docente</t>
        </is>
      </c>
      <c r="D1486" s="5" t="inlineStr">
        <is>
          <t>Semestral</t>
        </is>
      </c>
      <c r="E1486" s="5" t="inlineStr">
        <is>
          <t>Positivo</t>
        </is>
      </c>
      <c r="F1486" s="109" t="n">
        <v>45291</v>
      </c>
      <c r="G1486" s="5" t="n">
        <v>2023</v>
      </c>
      <c r="H1486" s="5" t="inlineStr">
        <is>
          <t>Diciembre</t>
        </is>
      </c>
      <c r="I1486" s="6" t="inlineStr">
        <is>
          <t>2023-2</t>
        </is>
      </c>
      <c r="J1486" s="5" t="n">
        <v>85</v>
      </c>
      <c r="K1486" s="10" t="n">
        <v>112.5</v>
      </c>
      <c r="L1486" s="14" t="n">
        <v>1.3</v>
      </c>
      <c r="M1486" s="14" t="n">
        <v>1.323529411764706</v>
      </c>
      <c r="N1486" s="5" t="n">
        <v>0</v>
      </c>
      <c r="O1486" s="5" t="inlineStr">
        <is>
          <t>ENT</t>
        </is>
      </c>
      <c r="P1486" s="15" t="n">
        <v>0</v>
      </c>
      <c r="Q1486" s="15" t="n">
        <v>0</v>
      </c>
      <c r="R1486" s="5" t="inlineStr">
        <is>
          <t>288-2023-12-31</t>
        </is>
      </c>
    </row>
    <row r="1487" hidden="1">
      <c r="A1487" s="21" t="n">
        <v>288</v>
      </c>
      <c r="B1487" s="5" t="inlineStr">
        <is>
          <t>Número docentes escalafonados presentados en convocatoria</t>
        </is>
      </c>
      <c r="C1487" s="5" t="inlineStr">
        <is>
          <t>Gestión Docente</t>
        </is>
      </c>
      <c r="D1487" s="5" t="inlineStr">
        <is>
          <t>Semestral</t>
        </is>
      </c>
      <c r="E1487" s="5" t="inlineStr">
        <is>
          <t>Positivo</t>
        </is>
      </c>
      <c r="F1487" s="109" t="n">
        <v>45473</v>
      </c>
      <c r="G1487" s="5" t="n">
        <v>2024</v>
      </c>
      <c r="H1487" s="5" t="inlineStr">
        <is>
          <t>Junio</t>
        </is>
      </c>
      <c r="I1487" s="6" t="inlineStr">
        <is>
          <t>2024-1</t>
        </is>
      </c>
      <c r="J1487" s="5" t="n">
        <v>85</v>
      </c>
      <c r="K1487" s="10" t="n">
        <v>185.71428571429</v>
      </c>
      <c r="L1487" s="14" t="n">
        <v>1.3</v>
      </c>
      <c r="M1487" s="14" t="n">
        <v>2.184873949579882</v>
      </c>
      <c r="N1487" s="5" t="inlineStr">
        <is>
          <t>ENT</t>
        </is>
      </c>
      <c r="O1487" s="5" t="inlineStr">
        <is>
          <t>ENT</t>
        </is>
      </c>
      <c r="P1487" s="15" t="n">
        <v>0</v>
      </c>
      <c r="Q1487" s="15" t="n">
        <v>0</v>
      </c>
      <c r="R1487" s="5" t="inlineStr">
        <is>
          <t>288-2024-06-30</t>
        </is>
      </c>
    </row>
    <row r="1488" hidden="1">
      <c r="A1488" s="21" t="n">
        <v>288</v>
      </c>
      <c r="B1488" s="5" t="inlineStr">
        <is>
          <t>Número docentes escalafonados presentados en convocatoria</t>
        </is>
      </c>
      <c r="C1488" s="5" t="inlineStr">
        <is>
          <t>Gestión Docente</t>
        </is>
      </c>
      <c r="D1488" s="5" t="inlineStr">
        <is>
          <t>Anual</t>
        </is>
      </c>
      <c r="E1488" s="5" t="inlineStr">
        <is>
          <t>Positivo</t>
        </is>
      </c>
      <c r="F1488" s="109" t="n">
        <v>45657</v>
      </c>
      <c r="G1488" s="5" t="n">
        <v>2024</v>
      </c>
      <c r="H1488" s="5" t="inlineStr">
        <is>
          <t>Diciembre</t>
        </is>
      </c>
      <c r="I1488" s="6" t="inlineStr">
        <is>
          <t>2024-2</t>
        </is>
      </c>
      <c r="J1488" s="5" t="n">
        <v>85</v>
      </c>
      <c r="K1488" s="10" t="n">
        <v>0</v>
      </c>
      <c r="L1488" s="14" t="n">
        <v>0</v>
      </c>
      <c r="M1488" s="14" t="n">
        <v>0</v>
      </c>
      <c r="N1488" s="5" t="inlineStr">
        <is>
          <t>ENT</t>
        </is>
      </c>
      <c r="O1488" s="5" t="inlineStr">
        <is>
          <t>ENT</t>
        </is>
      </c>
      <c r="P1488" s="15" t="n">
        <v>0</v>
      </c>
      <c r="Q1488" s="15" t="n">
        <v>0</v>
      </c>
      <c r="R1488" s="5" t="inlineStr">
        <is>
          <t>288-2024-12-31</t>
        </is>
      </c>
    </row>
    <row r="1489" hidden="1">
      <c r="A1489" s="21" t="n">
        <v>288</v>
      </c>
      <c r="B1489" s="5" t="inlineStr">
        <is>
          <t>Número docentes escalafonados presentados en convocatoria</t>
        </is>
      </c>
      <c r="C1489" s="5" t="inlineStr">
        <is>
          <t>Gestión Docente</t>
        </is>
      </c>
      <c r="D1489" s="5" t="inlineStr">
        <is>
          <t>Anual</t>
        </is>
      </c>
      <c r="E1489" s="5" t="inlineStr">
        <is>
          <t>Positivo</t>
        </is>
      </c>
      <c r="F1489" s="109" t="n">
        <v>45838</v>
      </c>
      <c r="G1489" s="5" t="n">
        <v>2025</v>
      </c>
      <c r="H1489" s="5" t="inlineStr">
        <is>
          <t>Junio</t>
        </is>
      </c>
      <c r="I1489" s="6" t="inlineStr">
        <is>
          <t>2025-1</t>
        </is>
      </c>
      <c r="J1489" s="5" t="n">
        <v>100</v>
      </c>
      <c r="K1489" s="10" t="n">
        <v>100</v>
      </c>
      <c r="L1489" s="14" t="n">
        <v>1</v>
      </c>
      <c r="M1489" s="14" t="n">
        <v>1</v>
      </c>
      <c r="N1489" s="5" t="inlineStr">
        <is>
          <t>ENT</t>
        </is>
      </c>
      <c r="O1489" s="5" t="inlineStr">
        <is>
          <t>ENT</t>
        </is>
      </c>
      <c r="P1489" s="15" t="n">
        <v>0</v>
      </c>
      <c r="Q1489" s="15" t="n">
        <v>0</v>
      </c>
      <c r="R1489" s="5" t="inlineStr">
        <is>
          <t>288-2025-06-30</t>
        </is>
      </c>
    </row>
    <row r="1490" hidden="1">
      <c r="A1490" s="21" t="n">
        <v>289</v>
      </c>
      <c r="B1490" s="5" t="inlineStr">
        <is>
          <t>Cumplimiento plan de comunicaciones SGC</t>
        </is>
      </c>
      <c r="C1490" s="5" t="inlineStr">
        <is>
          <t>Gestión de calidad</t>
        </is>
      </c>
      <c r="D1490" s="5" t="inlineStr">
        <is>
          <t>Trimestral</t>
        </is>
      </c>
      <c r="E1490" s="5" t="inlineStr">
        <is>
          <t>Positivo</t>
        </is>
      </c>
      <c r="F1490" s="109" t="n">
        <v>45107</v>
      </c>
      <c r="G1490" s="5" t="n">
        <v>2023</v>
      </c>
      <c r="H1490" s="5" t="inlineStr">
        <is>
          <t>Junio</t>
        </is>
      </c>
      <c r="I1490" s="6" t="inlineStr">
        <is>
          <t>2023-1</t>
        </is>
      </c>
      <c r="J1490" s="5" t="n">
        <v>95</v>
      </c>
      <c r="K1490" s="10" t="n">
        <v>85.71428571428601</v>
      </c>
      <c r="L1490" s="14" t="n">
        <v>0.9022556390977474</v>
      </c>
      <c r="M1490" s="14" t="n">
        <v>0.9022556390977474</v>
      </c>
      <c r="N1490" s="5" t="inlineStr">
        <is>
          <t>%</t>
        </is>
      </c>
      <c r="O1490" s="5" t="inlineStr">
        <is>
          <t>%</t>
        </is>
      </c>
      <c r="P1490" s="15" t="n">
        <v>1</v>
      </c>
      <c r="Q1490" s="15" t="n">
        <v>1</v>
      </c>
      <c r="R1490" s="5" t="inlineStr">
        <is>
          <t>289-2023-06-30</t>
        </is>
      </c>
    </row>
    <row r="1491" hidden="1">
      <c r="A1491" s="21" t="n">
        <v>289</v>
      </c>
      <c r="B1491" s="5" t="inlineStr">
        <is>
          <t>Cumplimiento plan de comunicaciones SGC</t>
        </is>
      </c>
      <c r="C1491" s="5" t="inlineStr">
        <is>
          <t>Gestión de calidad</t>
        </is>
      </c>
      <c r="D1491" s="5" t="inlineStr">
        <is>
          <t>Trimestral</t>
        </is>
      </c>
      <c r="E1491" s="5" t="inlineStr">
        <is>
          <t>Positivo</t>
        </is>
      </c>
      <c r="F1491" s="109" t="n">
        <v>45199</v>
      </c>
      <c r="G1491" s="5" t="n">
        <v>2023</v>
      </c>
      <c r="H1491" s="5" t="inlineStr">
        <is>
          <t>Septiembre</t>
        </is>
      </c>
      <c r="I1491" s="6" t="inlineStr">
        <is>
          <t>2023-2</t>
        </is>
      </c>
      <c r="J1491" s="5" t="n">
        <v>95</v>
      </c>
      <c r="K1491" s="10" t="n">
        <v>87.5</v>
      </c>
      <c r="L1491" s="14" t="n">
        <v>0.9210526315789473</v>
      </c>
      <c r="M1491" s="14" t="n">
        <v>0.9210526315789473</v>
      </c>
      <c r="N1491" s="5" t="inlineStr">
        <is>
          <t>%</t>
        </is>
      </c>
      <c r="O1491" s="5" t="inlineStr">
        <is>
          <t>%</t>
        </is>
      </c>
      <c r="P1491" s="15" t="n">
        <v>1</v>
      </c>
      <c r="Q1491" s="15" t="n">
        <v>1</v>
      </c>
      <c r="R1491" s="5" t="inlineStr">
        <is>
          <t>289-2023-09-30</t>
        </is>
      </c>
    </row>
    <row r="1492" hidden="1">
      <c r="A1492" s="21" t="n">
        <v>289</v>
      </c>
      <c r="B1492" s="5" t="inlineStr">
        <is>
          <t>Cumplimiento plan de comunicaciones SGC</t>
        </is>
      </c>
      <c r="C1492" s="5" t="inlineStr">
        <is>
          <t>Gestión de calidad</t>
        </is>
      </c>
      <c r="D1492" s="5" t="inlineStr">
        <is>
          <t>Trimestral</t>
        </is>
      </c>
      <c r="E1492" s="5" t="inlineStr">
        <is>
          <t>Positivo</t>
        </is>
      </c>
      <c r="F1492" s="109" t="n">
        <v>45473</v>
      </c>
      <c r="G1492" s="5" t="n">
        <v>2024</v>
      </c>
      <c r="H1492" s="5" t="inlineStr">
        <is>
          <t>Junio</t>
        </is>
      </c>
      <c r="I1492" s="6" t="inlineStr">
        <is>
          <t>2024-1</t>
        </is>
      </c>
      <c r="J1492" s="5" t="n">
        <v>95</v>
      </c>
      <c r="K1492" s="10" t="n">
        <v>100</v>
      </c>
      <c r="L1492" s="14" t="n">
        <v>1.052631578947368</v>
      </c>
      <c r="M1492" s="14" t="n">
        <v>1.052631578947368</v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289-2024-06-30</t>
        </is>
      </c>
    </row>
    <row r="1493" hidden="1">
      <c r="A1493" s="21" t="n">
        <v>289</v>
      </c>
      <c r="B1493" s="5" t="inlineStr">
        <is>
          <t>Cumplimiento plan de comunicaciones SGC</t>
        </is>
      </c>
      <c r="C1493" s="5" t="inlineStr">
        <is>
          <t>Gestión de calidad</t>
        </is>
      </c>
      <c r="D1493" s="5" t="inlineStr">
        <is>
          <t>Trimestral</t>
        </is>
      </c>
      <c r="E1493" s="5" t="inlineStr">
        <is>
          <t>Positivo</t>
        </is>
      </c>
      <c r="F1493" s="109" t="n">
        <v>45565</v>
      </c>
      <c r="G1493" s="5" t="n">
        <v>2024</v>
      </c>
      <c r="H1493" s="5" t="inlineStr">
        <is>
          <t>Septiembre</t>
        </is>
      </c>
      <c r="I1493" s="6" t="inlineStr">
        <is>
          <t>2024-2</t>
        </is>
      </c>
      <c r="J1493" s="5" t="n">
        <v>95</v>
      </c>
      <c r="K1493" s="10" t="n">
        <v>80</v>
      </c>
      <c r="L1493" s="14" t="n">
        <v>0.8421052631578947</v>
      </c>
      <c r="M1493" s="14" t="n">
        <v>0.8421052631578947</v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289-2024-09-30</t>
        </is>
      </c>
    </row>
    <row r="1494" hidden="1">
      <c r="A1494" s="5" t="n">
        <v>289</v>
      </c>
      <c r="B1494" s="5" t="inlineStr">
        <is>
          <t>Cumplimiento plan de comunicaciones SGC</t>
        </is>
      </c>
      <c r="C1494" s="5" t="inlineStr">
        <is>
          <t>Gestión de calidad</t>
        </is>
      </c>
      <c r="D1494" s="5" t="inlineStr">
        <is>
          <t>Trimestral</t>
        </is>
      </c>
      <c r="E1494" s="5" t="inlineStr">
        <is>
          <t>Positivo</t>
        </is>
      </c>
      <c r="F1494" s="109" t="n">
        <v>45657</v>
      </c>
      <c r="G1494" s="5" t="n">
        <v>2024</v>
      </c>
      <c r="H1494" s="5" t="inlineStr">
        <is>
          <t>Diciembre</t>
        </is>
      </c>
      <c r="I1494" s="6" t="inlineStr">
        <is>
          <t>2024-2</t>
        </is>
      </c>
      <c r="J1494" s="5" t="n">
        <v>95</v>
      </c>
      <c r="K1494" s="5" t="n">
        <v>100</v>
      </c>
      <c r="L1494" s="14" t="n">
        <v>1.052631578947368</v>
      </c>
      <c r="M1494" s="14" t="n">
        <v>1.052631578947368</v>
      </c>
      <c r="N1494" s="5" t="inlineStr">
        <is>
          <t>%</t>
        </is>
      </c>
      <c r="O1494" s="5" t="inlineStr">
        <is>
          <t>%</t>
        </is>
      </c>
      <c r="P1494" s="5" t="n">
        <v>0</v>
      </c>
      <c r="Q1494" s="5" t="n">
        <v>0</v>
      </c>
      <c r="R1494" s="5" t="inlineStr">
        <is>
          <t>289-2024-12-31</t>
        </is>
      </c>
    </row>
    <row r="1495" hidden="1">
      <c r="A1495" s="21" t="n">
        <v>290</v>
      </c>
      <c r="B1495" s="5" t="inlineStr">
        <is>
          <t>Cierre eficaz de las oportunidades de mejora</t>
        </is>
      </c>
      <c r="C1495" s="5" t="inlineStr">
        <is>
          <t>Planificación POLISIGS</t>
        </is>
      </c>
      <c r="D1495" s="5" t="inlineStr">
        <is>
          <t>Bimestral</t>
        </is>
      </c>
      <c r="E1495" s="5" t="inlineStr">
        <is>
          <t>Positivo</t>
        </is>
      </c>
      <c r="F1495" s="109" t="n">
        <v>45107</v>
      </c>
      <c r="G1495" s="5" t="n">
        <v>2023</v>
      </c>
      <c r="H1495" s="5" t="inlineStr">
        <is>
          <t>Junio</t>
        </is>
      </c>
      <c r="I1495" s="6" t="inlineStr">
        <is>
          <t>2023-1</t>
        </is>
      </c>
      <c r="J1495" s="5" t="n">
        <v>90</v>
      </c>
      <c r="K1495" s="10" t="n">
        <v>100</v>
      </c>
      <c r="L1495" s="14" t="n">
        <v>1.111111111111111</v>
      </c>
      <c r="M1495" s="14" t="n">
        <v>1.111111111111111</v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290-2023-06-30</t>
        </is>
      </c>
    </row>
    <row r="1496" hidden="1">
      <c r="A1496" s="21" t="n">
        <v>290</v>
      </c>
      <c r="B1496" s="5" t="inlineStr">
        <is>
          <t>Cierre eficaz de las oportunidades de mejora</t>
        </is>
      </c>
      <c r="C1496" s="5" t="inlineStr">
        <is>
          <t>Planificación POLISIGS</t>
        </is>
      </c>
      <c r="D1496" s="5" t="inlineStr">
        <is>
          <t>Bimestral</t>
        </is>
      </c>
      <c r="E1496" s="5" t="inlineStr">
        <is>
          <t>Positivo</t>
        </is>
      </c>
      <c r="F1496" s="109" t="n">
        <v>45168</v>
      </c>
      <c r="G1496" s="5" t="n">
        <v>2023</v>
      </c>
      <c r="H1496" s="5" t="inlineStr">
        <is>
          <t>Agosto</t>
        </is>
      </c>
      <c r="I1496" s="6" t="inlineStr">
        <is>
          <t>2023-2</t>
        </is>
      </c>
      <c r="J1496" s="5" t="n">
        <v>90</v>
      </c>
      <c r="K1496" s="10" t="n">
        <v>81.81999999999999</v>
      </c>
      <c r="L1496" s="14" t="n">
        <v>0.909111111111111</v>
      </c>
      <c r="M1496" s="14" t="n">
        <v>0.909111111111111</v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290-2023-08-30</t>
        </is>
      </c>
    </row>
    <row r="1497" hidden="1">
      <c r="A1497" s="21" t="n">
        <v>290</v>
      </c>
      <c r="B1497" s="5" t="inlineStr">
        <is>
          <t>Cierre eficaz de las oportunidades de mejora</t>
        </is>
      </c>
      <c r="C1497" s="5" t="inlineStr">
        <is>
          <t>Planificación POLISIGS</t>
        </is>
      </c>
      <c r="D1497" s="5" t="inlineStr">
        <is>
          <t>Bimestral</t>
        </is>
      </c>
      <c r="E1497" s="5" t="inlineStr">
        <is>
          <t>Positivo</t>
        </is>
      </c>
      <c r="F1497" s="109" t="n">
        <v>45230</v>
      </c>
      <c r="G1497" s="5" t="n">
        <v>2023</v>
      </c>
      <c r="H1497" s="5" t="inlineStr">
        <is>
          <t>Octubre</t>
        </is>
      </c>
      <c r="I1497" s="6" t="inlineStr">
        <is>
          <t>2023-2</t>
        </is>
      </c>
      <c r="J1497" s="5" t="n">
        <v>90</v>
      </c>
      <c r="K1497" s="10" t="n">
        <v>90.91</v>
      </c>
      <c r="L1497" s="14" t="n">
        <v>1.010111111111111</v>
      </c>
      <c r="M1497" s="14" t="n">
        <v>1.010111111111111</v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290-2023-10-31</t>
        </is>
      </c>
    </row>
    <row r="1498" hidden="1">
      <c r="A1498" s="21" t="n">
        <v>290</v>
      </c>
      <c r="B1498" s="5" t="inlineStr">
        <is>
          <t>Cierre eficaz de las oportunidades de mejora</t>
        </is>
      </c>
      <c r="C1498" s="5" t="inlineStr">
        <is>
          <t>Planificación POLISIGS</t>
        </is>
      </c>
      <c r="D1498" s="5" t="inlineStr">
        <is>
          <t>Bimestral</t>
        </is>
      </c>
      <c r="E1498" s="5" t="inlineStr">
        <is>
          <t>Positivo</t>
        </is>
      </c>
      <c r="F1498" s="109" t="n">
        <v>45291</v>
      </c>
      <c r="G1498" s="5" t="n">
        <v>2023</v>
      </c>
      <c r="H1498" s="5" t="inlineStr">
        <is>
          <t>Diciembre</t>
        </is>
      </c>
      <c r="I1498" s="6" t="inlineStr">
        <is>
          <t>2023-2</t>
        </is>
      </c>
      <c r="J1498" s="5" t="n">
        <v>90</v>
      </c>
      <c r="K1498" s="10" t="n">
        <v>80</v>
      </c>
      <c r="L1498" s="14" t="n">
        <v>0.8888888888888888</v>
      </c>
      <c r="M1498" s="14" t="n">
        <v>0.8888888888888888</v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290-2023-12-31</t>
        </is>
      </c>
    </row>
    <row r="1499" hidden="1">
      <c r="A1499" s="21" t="n">
        <v>290</v>
      </c>
      <c r="B1499" s="5" t="inlineStr">
        <is>
          <t>Cierre eficaz de las oportunidades de mejora</t>
        </is>
      </c>
      <c r="C1499" s="5" t="inlineStr">
        <is>
          <t>Planificación POLISIGS</t>
        </is>
      </c>
      <c r="D1499" s="5" t="inlineStr">
        <is>
          <t>Bimestral</t>
        </is>
      </c>
      <c r="E1499" s="5" t="inlineStr">
        <is>
          <t>Positivo</t>
        </is>
      </c>
      <c r="F1499" s="109" t="n">
        <v>45351</v>
      </c>
      <c r="G1499" s="5" t="n">
        <v>2024</v>
      </c>
      <c r="H1499" s="5" t="inlineStr">
        <is>
          <t>Febrero</t>
        </is>
      </c>
      <c r="I1499" s="6" t="inlineStr">
        <is>
          <t>2024-1</t>
        </is>
      </c>
      <c r="J1499" s="5" t="n">
        <v>90</v>
      </c>
      <c r="K1499" s="10" t="n">
        <v>91.666666666667</v>
      </c>
      <c r="L1499" s="14" t="n">
        <v>1.018518518518522</v>
      </c>
      <c r="M1499" s="14" t="n">
        <v>1.018518518518522</v>
      </c>
      <c r="N1499" s="5" t="n"/>
      <c r="O1499" s="5" t="n"/>
      <c r="P1499" s="15" t="n">
        <v>0</v>
      </c>
      <c r="Q1499" s="15" t="n">
        <v>0</v>
      </c>
      <c r="R1499" s="5" t="inlineStr">
        <is>
          <t>290-2024-02-29</t>
        </is>
      </c>
    </row>
    <row r="1500" hidden="1">
      <c r="A1500" s="21" t="n">
        <v>290</v>
      </c>
      <c r="B1500" s="5" t="inlineStr">
        <is>
          <t>Cierre eficaz de las oportunidades de mejora</t>
        </is>
      </c>
      <c r="C1500" s="5" t="inlineStr">
        <is>
          <t>Planificación POLISIGS</t>
        </is>
      </c>
      <c r="D1500" s="5" t="inlineStr">
        <is>
          <t>Bimestral</t>
        </is>
      </c>
      <c r="E1500" s="5" t="inlineStr">
        <is>
          <t>Positivo</t>
        </is>
      </c>
      <c r="F1500" s="109" t="n">
        <v>45412</v>
      </c>
      <c r="G1500" s="5" t="n">
        <v>2024</v>
      </c>
      <c r="H1500" s="5" t="inlineStr">
        <is>
          <t>Abril</t>
        </is>
      </c>
      <c r="I1500" s="6" t="inlineStr">
        <is>
          <t>2024-1</t>
        </is>
      </c>
      <c r="J1500" s="5" t="n">
        <v>90</v>
      </c>
      <c r="K1500" s="10" t="n">
        <v>100</v>
      </c>
      <c r="L1500" s="14" t="n">
        <v>1.111111111111111</v>
      </c>
      <c r="M1500" s="14" t="n">
        <v>1.111111111111111</v>
      </c>
      <c r="N1500" s="5" t="n"/>
      <c r="O1500" s="5" t="n"/>
      <c r="P1500" s="15" t="n">
        <v>0</v>
      </c>
      <c r="Q1500" s="15" t="n">
        <v>0</v>
      </c>
      <c r="R1500" s="5" t="inlineStr">
        <is>
          <t>290-2024-04-30</t>
        </is>
      </c>
    </row>
    <row r="1501" hidden="1">
      <c r="A1501" s="21" t="n">
        <v>290</v>
      </c>
      <c r="B1501" s="5" t="inlineStr">
        <is>
          <t>Cierre eficaz de las oportunidades de mejora</t>
        </is>
      </c>
      <c r="C1501" s="5" t="inlineStr">
        <is>
          <t>Planificación POLISIGS</t>
        </is>
      </c>
      <c r="D1501" s="5" t="inlineStr">
        <is>
          <t>Bimestral</t>
        </is>
      </c>
      <c r="E1501" s="5" t="inlineStr">
        <is>
          <t>Positivo</t>
        </is>
      </c>
      <c r="F1501" s="109" t="n">
        <v>45473</v>
      </c>
      <c r="G1501" s="5" t="n">
        <v>2024</v>
      </c>
      <c r="H1501" s="5" t="inlineStr">
        <is>
          <t>Junio</t>
        </is>
      </c>
      <c r="I1501" s="6" t="inlineStr">
        <is>
          <t>2024-1</t>
        </is>
      </c>
      <c r="J1501" s="5" t="n">
        <v>90</v>
      </c>
      <c r="K1501" s="10" t="n">
        <v>100</v>
      </c>
      <c r="L1501" s="14" t="n">
        <v>1.111111111111111</v>
      </c>
      <c r="M1501" s="14" t="n">
        <v>1.111111111111111</v>
      </c>
      <c r="N1501" s="5" t="n"/>
      <c r="O1501" s="5" t="n"/>
      <c r="P1501" s="15" t="n">
        <v>0</v>
      </c>
      <c r="Q1501" s="15" t="n">
        <v>0</v>
      </c>
      <c r="R1501" s="5" t="inlineStr">
        <is>
          <t>290-2024-06-30</t>
        </is>
      </c>
    </row>
    <row r="1502" hidden="1">
      <c r="A1502" s="21" t="n">
        <v>290</v>
      </c>
      <c r="B1502" s="5" t="inlineStr">
        <is>
          <t>Cierre eficaz de las oportunidades de mejora</t>
        </is>
      </c>
      <c r="C1502" s="5" t="inlineStr">
        <is>
          <t>Planificación POLISIGS</t>
        </is>
      </c>
      <c r="D1502" s="5" t="inlineStr">
        <is>
          <t>Bimestral</t>
        </is>
      </c>
      <c r="E1502" s="5" t="inlineStr">
        <is>
          <t>Positivo</t>
        </is>
      </c>
      <c r="F1502" s="109" t="n">
        <v>45535</v>
      </c>
      <c r="G1502" s="5" t="n">
        <v>2024</v>
      </c>
      <c r="H1502" s="5" t="inlineStr">
        <is>
          <t>Agosto</t>
        </is>
      </c>
      <c r="I1502" s="6" t="inlineStr">
        <is>
          <t>2024-2</t>
        </is>
      </c>
      <c r="J1502" s="5" t="n">
        <v>90</v>
      </c>
      <c r="K1502" s="10" t="n">
        <v>100</v>
      </c>
      <c r="L1502" s="14" t="n">
        <v>1.111111111111111</v>
      </c>
      <c r="M1502" s="14" t="n">
        <v>1.111111111111111</v>
      </c>
      <c r="N1502" s="5" t="n"/>
      <c r="O1502" s="5" t="n"/>
      <c r="P1502" s="15" t="n">
        <v>0</v>
      </c>
      <c r="Q1502" s="15" t="n">
        <v>0</v>
      </c>
      <c r="R1502" s="5" t="inlineStr">
        <is>
          <t>290-2024-08-31</t>
        </is>
      </c>
    </row>
    <row r="1503" hidden="1">
      <c r="A1503" s="21" t="n">
        <v>290</v>
      </c>
      <c r="B1503" s="5" t="inlineStr">
        <is>
          <t>Cierre eficaz de las oportunidades de mejora</t>
        </is>
      </c>
      <c r="C1503" s="5" t="inlineStr">
        <is>
          <t>Planificación POLISIGS</t>
        </is>
      </c>
      <c r="D1503" s="5" t="inlineStr">
        <is>
          <t>Bimestral</t>
        </is>
      </c>
      <c r="E1503" s="5" t="inlineStr">
        <is>
          <t>Positivo</t>
        </is>
      </c>
      <c r="F1503" s="109" t="n">
        <v>45596</v>
      </c>
      <c r="G1503" s="5" t="n">
        <v>2024</v>
      </c>
      <c r="H1503" s="5" t="inlineStr">
        <is>
          <t>Octubre</t>
        </is>
      </c>
      <c r="I1503" s="6" t="inlineStr">
        <is>
          <t>2024-2</t>
        </is>
      </c>
      <c r="J1503" s="5" t="n">
        <v>90</v>
      </c>
      <c r="K1503" s="10" t="n">
        <v>100</v>
      </c>
      <c r="L1503" s="14" t="n">
        <v>1.111111111111111</v>
      </c>
      <c r="M1503" s="14" t="n">
        <v>1.111111111111111</v>
      </c>
      <c r="N1503" s="5" t="n"/>
      <c r="O1503" s="5" t="n"/>
      <c r="P1503" s="15" t="n">
        <v>0</v>
      </c>
      <c r="Q1503" s="15" t="n">
        <v>0</v>
      </c>
      <c r="R1503" s="5" t="inlineStr">
        <is>
          <t>290-2024-10-31</t>
        </is>
      </c>
    </row>
    <row r="1504" hidden="1">
      <c r="A1504" s="21" t="n">
        <v>290</v>
      </c>
      <c r="B1504" s="5" t="inlineStr">
        <is>
          <t>Cierre eficaz de las oportunidades de mejora</t>
        </is>
      </c>
      <c r="C1504" s="5" t="inlineStr">
        <is>
          <t>Planificación POLISIGS</t>
        </is>
      </c>
      <c r="D1504" s="5" t="inlineStr">
        <is>
          <t>Bimestral</t>
        </is>
      </c>
      <c r="E1504" s="5" t="inlineStr">
        <is>
          <t>Positivo</t>
        </is>
      </c>
      <c r="F1504" s="109" t="n">
        <v>45657</v>
      </c>
      <c r="G1504" s="5" t="n">
        <v>2024</v>
      </c>
      <c r="H1504" s="5" t="inlineStr">
        <is>
          <t>Diciembre</t>
        </is>
      </c>
      <c r="I1504" s="6" t="inlineStr">
        <is>
          <t>2024-2</t>
        </is>
      </c>
      <c r="J1504" s="5" t="n">
        <v>90</v>
      </c>
      <c r="K1504" s="10" t="n">
        <v>100</v>
      </c>
      <c r="L1504" s="14" t="n">
        <v>1.111111111111111</v>
      </c>
      <c r="M1504" s="14" t="n">
        <v>1.111111111111111</v>
      </c>
      <c r="N1504" s="5" t="n"/>
      <c r="O1504" s="5" t="n"/>
      <c r="P1504" s="15" t="n">
        <v>0</v>
      </c>
      <c r="Q1504" s="15" t="n">
        <v>0</v>
      </c>
      <c r="R1504" s="5" t="inlineStr">
        <is>
          <t>290-2024-12-31</t>
        </is>
      </c>
    </row>
    <row r="1505" hidden="1">
      <c r="A1505" s="21" t="n">
        <v>290</v>
      </c>
      <c r="B1505" s="5" t="inlineStr">
        <is>
          <t>Cierre eficaz de las oportunidades de mejora</t>
        </is>
      </c>
      <c r="C1505" s="5" t="inlineStr">
        <is>
          <t>Planificación POLISIGS</t>
        </is>
      </c>
      <c r="D1505" s="5" t="inlineStr">
        <is>
          <t>Bimestral</t>
        </is>
      </c>
      <c r="E1505" s="5" t="inlineStr">
        <is>
          <t>Positivo</t>
        </is>
      </c>
      <c r="F1505" s="109" t="n">
        <v>45716</v>
      </c>
      <c r="G1505" s="5" t="n">
        <v>2025</v>
      </c>
      <c r="H1505" s="5" t="inlineStr">
        <is>
          <t>Febrero</t>
        </is>
      </c>
      <c r="I1505" s="6" t="inlineStr">
        <is>
          <t>2025-1</t>
        </is>
      </c>
      <c r="J1505" s="5" t="n">
        <v>90</v>
      </c>
      <c r="K1505" s="10" t="n">
        <v>80</v>
      </c>
      <c r="L1505" s="14" t="n">
        <v>0.8888888888888888</v>
      </c>
      <c r="M1505" s="14" t="n">
        <v>0.8888888888888888</v>
      </c>
      <c r="N1505" s="5" t="inlineStr">
        <is>
          <t>%</t>
        </is>
      </c>
      <c r="O1505" s="5" t="inlineStr">
        <is>
          <t>%</t>
        </is>
      </c>
      <c r="P1505" s="15" t="n">
        <v>0</v>
      </c>
      <c r="Q1505" s="15" t="n">
        <v>0</v>
      </c>
      <c r="R1505" s="5" t="inlineStr">
        <is>
          <t>290-2025-02-28</t>
        </is>
      </c>
    </row>
    <row r="1506" hidden="1">
      <c r="A1506" s="21" t="n">
        <v>290</v>
      </c>
      <c r="B1506" s="5" t="inlineStr">
        <is>
          <t>Cierre eficaz de las oportunidades de mejora</t>
        </is>
      </c>
      <c r="C1506" s="5" t="inlineStr">
        <is>
          <t>Planificación POLISIGS</t>
        </is>
      </c>
      <c r="D1506" s="5" t="inlineStr">
        <is>
          <t>Bimestral</t>
        </is>
      </c>
      <c r="E1506" s="5" t="inlineStr">
        <is>
          <t>Positivo</t>
        </is>
      </c>
      <c r="F1506" s="109" t="n">
        <v>45777</v>
      </c>
      <c r="G1506" s="5" t="n">
        <v>2025</v>
      </c>
      <c r="H1506" s="5" t="inlineStr">
        <is>
          <t>Abril</t>
        </is>
      </c>
      <c r="I1506" s="6" t="inlineStr">
        <is>
          <t>2025-1</t>
        </is>
      </c>
      <c r="J1506" s="5" t="n">
        <v>90</v>
      </c>
      <c r="K1506" s="10" t="n">
        <v>100</v>
      </c>
      <c r="L1506" s="14" t="n">
        <v>1.111111111111111</v>
      </c>
      <c r="M1506" s="14" t="n">
        <v>1.111111111111111</v>
      </c>
      <c r="N1506" s="5" t="inlineStr">
        <is>
          <t>%</t>
        </is>
      </c>
      <c r="O1506" s="5" t="inlineStr">
        <is>
          <t>%</t>
        </is>
      </c>
      <c r="P1506" s="15" t="n">
        <v>0</v>
      </c>
      <c r="Q1506" s="15" t="n">
        <v>0</v>
      </c>
      <c r="R1506" s="5" t="inlineStr">
        <is>
          <t>290-2025-04-30</t>
        </is>
      </c>
    </row>
    <row r="1507" hidden="1">
      <c r="A1507" s="21" t="n">
        <v>290</v>
      </c>
      <c r="B1507" s="5" t="inlineStr">
        <is>
          <t>Cierre eficaz de las oportunidades de mejora</t>
        </is>
      </c>
      <c r="C1507" s="5" t="inlineStr">
        <is>
          <t>Planificación POLISIGS</t>
        </is>
      </c>
      <c r="D1507" s="5" t="inlineStr">
        <is>
          <t>Bimestral</t>
        </is>
      </c>
      <c r="E1507" s="5" t="inlineStr">
        <is>
          <t>Positivo</t>
        </is>
      </c>
      <c r="F1507" s="109" t="n">
        <v>45838</v>
      </c>
      <c r="G1507" s="5" t="n">
        <v>2025</v>
      </c>
      <c r="H1507" s="5" t="inlineStr">
        <is>
          <t>Junio</t>
        </is>
      </c>
      <c r="I1507" s="6" t="inlineStr">
        <is>
          <t>2025-1</t>
        </is>
      </c>
      <c r="J1507" s="5" t="n">
        <v>90</v>
      </c>
      <c r="K1507" s="10" t="n">
        <v>100</v>
      </c>
      <c r="L1507" s="14" t="n">
        <v>1.111111111111111</v>
      </c>
      <c r="M1507" s="14" t="n">
        <v>1.111111111111111</v>
      </c>
      <c r="N1507" s="5" t="inlineStr">
        <is>
          <t>%</t>
        </is>
      </c>
      <c r="O1507" s="5" t="inlineStr">
        <is>
          <t>%</t>
        </is>
      </c>
      <c r="P1507" s="15" t="n">
        <v>0</v>
      </c>
      <c r="Q1507" s="15" t="n">
        <v>0</v>
      </c>
      <c r="R1507" s="5" t="inlineStr">
        <is>
          <t>290-2025-06-30</t>
        </is>
      </c>
    </row>
    <row r="1508" hidden="1">
      <c r="A1508" s="21" t="n">
        <v>291</v>
      </c>
      <c r="B1508" s="5" t="inlineStr">
        <is>
          <t>Cumplimiento del cronograma de actividades deportivas</t>
        </is>
      </c>
      <c r="C1508" s="5" t="inlineStr">
        <is>
          <t>Cultura y Deporte</t>
        </is>
      </c>
      <c r="D1508" s="5" t="inlineStr">
        <is>
          <t>Semestral</t>
        </is>
      </c>
      <c r="E1508" s="5" t="inlineStr">
        <is>
          <t>Positivo</t>
        </is>
      </c>
      <c r="F1508" s="109" t="n">
        <v>45107</v>
      </c>
      <c r="G1508" s="5" t="n">
        <v>2023</v>
      </c>
      <c r="H1508" s="5" t="inlineStr">
        <is>
          <t>Junio</t>
        </is>
      </c>
      <c r="I1508" s="6" t="inlineStr">
        <is>
          <t>2023-1</t>
        </is>
      </c>
      <c r="J1508" s="5" t="n">
        <v>100</v>
      </c>
      <c r="K1508" s="10" t="n">
        <v>100</v>
      </c>
      <c r="L1508" s="14" t="n">
        <v>1</v>
      </c>
      <c r="M1508" s="14" t="n">
        <v>1</v>
      </c>
      <c r="N1508" s="5" t="inlineStr">
        <is>
          <t>%</t>
        </is>
      </c>
      <c r="O1508" s="5" t="inlineStr">
        <is>
          <t>%</t>
        </is>
      </c>
      <c r="P1508" s="15" t="n">
        <v>0</v>
      </c>
      <c r="Q1508" s="15" t="n">
        <v>0</v>
      </c>
      <c r="R1508" s="5" t="inlineStr">
        <is>
          <t>291-2023-06-30</t>
        </is>
      </c>
    </row>
    <row r="1509" hidden="1">
      <c r="A1509" s="21" t="n">
        <v>291</v>
      </c>
      <c r="B1509" s="5" t="inlineStr">
        <is>
          <t>Cumplimiento del cronograma de actividades deportivas</t>
        </is>
      </c>
      <c r="C1509" s="5" t="inlineStr">
        <is>
          <t>Cultura y Deporte</t>
        </is>
      </c>
      <c r="D1509" s="5" t="inlineStr">
        <is>
          <t>Semestral</t>
        </is>
      </c>
      <c r="E1509" s="5" t="inlineStr">
        <is>
          <t>Positivo</t>
        </is>
      </c>
      <c r="F1509" s="109" t="n">
        <v>45291</v>
      </c>
      <c r="G1509" s="5" t="n">
        <v>2023</v>
      </c>
      <c r="H1509" s="5" t="inlineStr">
        <is>
          <t>Diciembre</t>
        </is>
      </c>
      <c r="I1509" s="6" t="inlineStr">
        <is>
          <t>2023-2</t>
        </is>
      </c>
      <c r="J1509" s="5" t="n">
        <v>100</v>
      </c>
      <c r="K1509" s="10" t="n">
        <v>100</v>
      </c>
      <c r="L1509" s="14" t="n">
        <v>1</v>
      </c>
      <c r="M1509" s="14" t="n">
        <v>1</v>
      </c>
      <c r="N1509" s="5" t="inlineStr">
        <is>
          <t>%</t>
        </is>
      </c>
      <c r="O1509" s="5" t="inlineStr">
        <is>
          <t>%</t>
        </is>
      </c>
      <c r="P1509" s="15" t="n">
        <v>0</v>
      </c>
      <c r="Q1509" s="15" t="n">
        <v>0</v>
      </c>
      <c r="R1509" s="5" t="inlineStr">
        <is>
          <t>291-2023-12-31</t>
        </is>
      </c>
    </row>
    <row r="1510" hidden="1">
      <c r="A1510" s="21" t="n">
        <v>291</v>
      </c>
      <c r="B1510" s="5" t="inlineStr">
        <is>
          <t>Cumplimiento del cronograma de actividades deportivas</t>
        </is>
      </c>
      <c r="C1510" s="5" t="inlineStr">
        <is>
          <t>Cultura y Deporte</t>
        </is>
      </c>
      <c r="D1510" s="5" t="inlineStr">
        <is>
          <t>Semestral</t>
        </is>
      </c>
      <c r="E1510" s="5" t="inlineStr">
        <is>
          <t>Positivo</t>
        </is>
      </c>
      <c r="F1510" s="109" t="n">
        <v>45473</v>
      </c>
      <c r="G1510" s="5" t="n">
        <v>2024</v>
      </c>
      <c r="H1510" s="5" t="inlineStr">
        <is>
          <t>Junio</t>
        </is>
      </c>
      <c r="I1510" s="6" t="inlineStr">
        <is>
          <t>2024-1</t>
        </is>
      </c>
      <c r="J1510" s="5" t="n">
        <v>100</v>
      </c>
      <c r="K1510" s="10" t="n">
        <v>100</v>
      </c>
      <c r="L1510" s="14" t="n">
        <v>1</v>
      </c>
      <c r="M1510" s="14" t="n">
        <v>1</v>
      </c>
      <c r="N1510" s="5" t="inlineStr">
        <is>
          <t>%</t>
        </is>
      </c>
      <c r="O1510" s="5" t="inlineStr">
        <is>
          <t>%</t>
        </is>
      </c>
      <c r="P1510" s="15" t="n">
        <v>0</v>
      </c>
      <c r="Q1510" s="15" t="n">
        <v>0</v>
      </c>
      <c r="R1510" s="5" t="inlineStr">
        <is>
          <t>291-2024-06-30</t>
        </is>
      </c>
    </row>
    <row r="1511" hidden="1">
      <c r="A1511" s="21" t="n">
        <v>291</v>
      </c>
      <c r="B1511" s="5" t="inlineStr">
        <is>
          <t>Cumplimiento del cronograma de actividades deportivas</t>
        </is>
      </c>
      <c r="C1511" s="5" t="inlineStr">
        <is>
          <t>Cultura y Deporte</t>
        </is>
      </c>
      <c r="D1511" s="5" t="inlineStr">
        <is>
          <t>Semestral</t>
        </is>
      </c>
      <c r="E1511" s="5" t="inlineStr">
        <is>
          <t>Positivo</t>
        </is>
      </c>
      <c r="F1511" s="109" t="n">
        <v>45657</v>
      </c>
      <c r="G1511" s="5" t="n">
        <v>2024</v>
      </c>
      <c r="H1511" s="5" t="inlineStr">
        <is>
          <t>Diciembre</t>
        </is>
      </c>
      <c r="I1511" s="6" t="inlineStr">
        <is>
          <t>2024-2</t>
        </is>
      </c>
      <c r="J1511" s="5" t="n">
        <v>100</v>
      </c>
      <c r="K1511" s="10" t="n">
        <v>100</v>
      </c>
      <c r="L1511" s="14" t="n">
        <v>1</v>
      </c>
      <c r="M1511" s="14" t="n">
        <v>1</v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291-2024-12-31</t>
        </is>
      </c>
    </row>
    <row r="1512" hidden="1">
      <c r="A1512" s="21" t="n">
        <v>292</v>
      </c>
      <c r="B1512" s="5" t="inlineStr">
        <is>
          <t>Participación en Actividades deportivas</t>
        </is>
      </c>
      <c r="C1512" s="5" t="inlineStr">
        <is>
          <t>Cultura y Deporte</t>
        </is>
      </c>
      <c r="D1512" s="5" t="inlineStr">
        <is>
          <t>Semestral</t>
        </is>
      </c>
      <c r="E1512" s="5" t="inlineStr">
        <is>
          <t>Positivo</t>
        </is>
      </c>
      <c r="F1512" s="109" t="n">
        <v>45107</v>
      </c>
      <c r="G1512" s="5" t="n">
        <v>2023</v>
      </c>
      <c r="H1512" s="5" t="inlineStr">
        <is>
          <t>Junio</t>
        </is>
      </c>
      <c r="I1512" s="6" t="inlineStr">
        <is>
          <t>2023-1</t>
        </is>
      </c>
      <c r="J1512" s="5" t="n">
        <v>3</v>
      </c>
      <c r="K1512" s="10" t="n">
        <v>10.990099009901</v>
      </c>
      <c r="L1512" s="14" t="n">
        <v>1.3</v>
      </c>
      <c r="M1512" s="14" t="n">
        <v>3.663366336633667</v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292-2023-06-30</t>
        </is>
      </c>
    </row>
    <row r="1513" hidden="1">
      <c r="A1513" s="21" t="n">
        <v>292</v>
      </c>
      <c r="B1513" s="5" t="inlineStr">
        <is>
          <t>Participación en Actividades deportivas</t>
        </is>
      </c>
      <c r="C1513" s="5" t="inlineStr">
        <is>
          <t>Cultura y Deporte</t>
        </is>
      </c>
      <c r="D1513" s="5" t="inlineStr">
        <is>
          <t>Semestral</t>
        </is>
      </c>
      <c r="E1513" s="5" t="inlineStr">
        <is>
          <t>Positivo</t>
        </is>
      </c>
      <c r="F1513" s="109" t="n">
        <v>45291</v>
      </c>
      <c r="G1513" s="5" t="n">
        <v>2023</v>
      </c>
      <c r="H1513" s="5" t="inlineStr">
        <is>
          <t>Diciembre</t>
        </is>
      </c>
      <c r="I1513" s="6" t="inlineStr">
        <is>
          <t>2023-2</t>
        </is>
      </c>
      <c r="J1513" s="5" t="n">
        <v>3</v>
      </c>
      <c r="K1513" s="10" t="n">
        <v>27.659574468085</v>
      </c>
      <c r="L1513" s="14" t="n">
        <v>1.3</v>
      </c>
      <c r="M1513" s="14" t="n">
        <v>9.219858156028334</v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292-2023-12-31</t>
        </is>
      </c>
    </row>
    <row r="1514" hidden="1">
      <c r="A1514" s="21" t="n">
        <v>292</v>
      </c>
      <c r="B1514" s="5" t="inlineStr">
        <is>
          <t>Participación en Actividades deportivas</t>
        </is>
      </c>
      <c r="C1514" s="5" t="inlineStr">
        <is>
          <t>Cultura y Deporte</t>
        </is>
      </c>
      <c r="D1514" s="5" t="inlineStr">
        <is>
          <t>Semestral</t>
        </is>
      </c>
      <c r="E1514" s="5" t="inlineStr">
        <is>
          <t>Positivo</t>
        </is>
      </c>
      <c r="F1514" s="109" t="n">
        <v>45473</v>
      </c>
      <c r="G1514" s="5" t="n">
        <v>2024</v>
      </c>
      <c r="H1514" s="5" t="inlineStr">
        <is>
          <t>Junio</t>
        </is>
      </c>
      <c r="I1514" s="6" t="inlineStr">
        <is>
          <t>2024-1</t>
        </is>
      </c>
      <c r="J1514" s="5" t="n">
        <v>3</v>
      </c>
      <c r="K1514" s="10" t="n">
        <v>23.31390507910074</v>
      </c>
      <c r="L1514" s="14" t="n">
        <v>1.3</v>
      </c>
      <c r="M1514" s="14" t="n">
        <v>7.771301693033579</v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292-2024-06-30</t>
        </is>
      </c>
    </row>
    <row r="1515" hidden="1">
      <c r="A1515" s="21" t="n">
        <v>292</v>
      </c>
      <c r="B1515" s="5" t="inlineStr">
        <is>
          <t>Participación en Actividades deportivas</t>
        </is>
      </c>
      <c r="C1515" s="5" t="inlineStr">
        <is>
          <t>Cultura y Deporte</t>
        </is>
      </c>
      <c r="D1515" s="5" t="inlineStr">
        <is>
          <t>Semestral</t>
        </is>
      </c>
      <c r="E1515" s="5" t="inlineStr">
        <is>
          <t>Positivo</t>
        </is>
      </c>
      <c r="F1515" s="109" t="n">
        <v>45657</v>
      </c>
      <c r="G1515" s="5" t="n">
        <v>2024</v>
      </c>
      <c r="H1515" s="5" t="inlineStr">
        <is>
          <t>Diciembre</t>
        </is>
      </c>
      <c r="I1515" s="6" t="inlineStr">
        <is>
          <t>2024-2</t>
        </is>
      </c>
      <c r="J1515" s="5" t="n">
        <v>3</v>
      </c>
      <c r="K1515" s="10" t="n">
        <v>14.26386233269599</v>
      </c>
      <c r="L1515" s="14" t="n">
        <v>1.3</v>
      </c>
      <c r="M1515" s="14" t="n">
        <v>4.75462077756533</v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292-2024-12-31</t>
        </is>
      </c>
    </row>
    <row r="1516" hidden="1">
      <c r="A1516" s="21" t="n">
        <v>292</v>
      </c>
      <c r="B1516" s="5" t="inlineStr">
        <is>
          <t>Participación en Actividades deportivas</t>
        </is>
      </c>
      <c r="C1516" s="5" t="inlineStr">
        <is>
          <t>Cultura y Deporte</t>
        </is>
      </c>
      <c r="D1516" s="5" t="inlineStr">
        <is>
          <t>Semestral</t>
        </is>
      </c>
      <c r="E1516" s="5" t="inlineStr">
        <is>
          <t>Positivo</t>
        </is>
      </c>
      <c r="F1516" s="109" t="n">
        <v>45838</v>
      </c>
      <c r="G1516" s="5" t="n">
        <v>2025</v>
      </c>
      <c r="H1516" s="5" t="inlineStr">
        <is>
          <t>Junio</t>
        </is>
      </c>
      <c r="I1516" s="6" t="inlineStr">
        <is>
          <t>2025-1</t>
        </is>
      </c>
      <c r="J1516" s="5" t="n">
        <v>8</v>
      </c>
      <c r="K1516" s="10" t="n">
        <v>9.789999999999999</v>
      </c>
      <c r="L1516" s="14" t="n">
        <v>1.22375</v>
      </c>
      <c r="M1516" s="14" t="n">
        <v>1.22375</v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292-2025-06-30</t>
        </is>
      </c>
    </row>
    <row r="1517" hidden="1">
      <c r="A1517" s="21" t="n">
        <v>292</v>
      </c>
      <c r="B1517" s="5" t="inlineStr">
        <is>
          <t>Participación en Actividades deportivas</t>
        </is>
      </c>
      <c r="C1517" s="5" t="inlineStr">
        <is>
          <t>Cultura y Deporte</t>
        </is>
      </c>
      <c r="D1517" s="5" t="inlineStr">
        <is>
          <t>Trimestral</t>
        </is>
      </c>
      <c r="E1517" s="5" t="inlineStr">
        <is>
          <t>Positivo</t>
        </is>
      </c>
      <c r="F1517" s="109" t="n">
        <v>46022</v>
      </c>
      <c r="G1517" s="5" t="n">
        <v>2025</v>
      </c>
      <c r="H1517" s="5" t="inlineStr">
        <is>
          <t>Diciembre</t>
        </is>
      </c>
      <c r="I1517" s="6" t="inlineStr">
        <is>
          <t>2025-2</t>
        </is>
      </c>
      <c r="J1517" s="5" t="n">
        <v>8</v>
      </c>
      <c r="K1517" s="10" t="n">
        <v>11.21</v>
      </c>
      <c r="L1517" s="14" t="n">
        <v>1.3</v>
      </c>
      <c r="M1517" s="14" t="n">
        <v>1.40125</v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292-2025-12-31</t>
        </is>
      </c>
    </row>
    <row r="1518" hidden="1">
      <c r="A1518" s="21" t="n">
        <v>293</v>
      </c>
      <c r="B1518" s="5" t="inlineStr">
        <is>
          <t>Cumplimiento del cronograma de actividades culturales</t>
        </is>
      </c>
      <c r="C1518" s="5" t="inlineStr">
        <is>
          <t>Cultura y Deporte</t>
        </is>
      </c>
      <c r="D1518" s="5" t="inlineStr">
        <is>
          <t>Semestral</t>
        </is>
      </c>
      <c r="E1518" s="5" t="inlineStr">
        <is>
          <t>Positivo</t>
        </is>
      </c>
      <c r="F1518" s="109" t="n">
        <v>45107</v>
      </c>
      <c r="G1518" s="5" t="n">
        <v>2023</v>
      </c>
      <c r="H1518" s="5" t="inlineStr">
        <is>
          <t>Junio</t>
        </is>
      </c>
      <c r="I1518" s="6" t="inlineStr">
        <is>
          <t>2023-1</t>
        </is>
      </c>
      <c r="J1518" s="5" t="n">
        <v>100</v>
      </c>
      <c r="K1518" s="10" t="n">
        <v>100</v>
      </c>
      <c r="L1518" s="14" t="n">
        <v>1</v>
      </c>
      <c r="M1518" s="14" t="n">
        <v>1</v>
      </c>
      <c r="N1518" s="5" t="inlineStr">
        <is>
          <t>%</t>
        </is>
      </c>
      <c r="O1518" s="5" t="inlineStr">
        <is>
          <t>%</t>
        </is>
      </c>
      <c r="P1518" s="15" t="n">
        <v>0</v>
      </c>
      <c r="Q1518" s="15" t="n">
        <v>0</v>
      </c>
      <c r="R1518" s="5" t="inlineStr">
        <is>
          <t>293-2023-06-30</t>
        </is>
      </c>
    </row>
    <row r="1519" hidden="1">
      <c r="A1519" s="21" t="n">
        <v>293</v>
      </c>
      <c r="B1519" s="5" t="inlineStr">
        <is>
          <t>Cumplimiento del cronograma de actividades culturales</t>
        </is>
      </c>
      <c r="C1519" s="5" t="inlineStr">
        <is>
          <t>Cultura y Deporte</t>
        </is>
      </c>
      <c r="D1519" s="5" t="inlineStr">
        <is>
          <t>Semestral</t>
        </is>
      </c>
      <c r="E1519" s="5" t="inlineStr">
        <is>
          <t>Positivo</t>
        </is>
      </c>
      <c r="F1519" s="109" t="n">
        <v>45291</v>
      </c>
      <c r="G1519" s="5" t="n">
        <v>2023</v>
      </c>
      <c r="H1519" s="5" t="inlineStr">
        <is>
          <t>Diciembre</t>
        </is>
      </c>
      <c r="I1519" s="6" t="inlineStr">
        <is>
          <t>2023-2</t>
        </is>
      </c>
      <c r="J1519" s="5" t="n">
        <v>100</v>
      </c>
      <c r="K1519" s="10" t="n">
        <v>100</v>
      </c>
      <c r="L1519" s="14" t="n">
        <v>1</v>
      </c>
      <c r="M1519" s="14" t="n">
        <v>1</v>
      </c>
      <c r="N1519" s="5" t="inlineStr">
        <is>
          <t>%</t>
        </is>
      </c>
      <c r="O1519" s="5" t="inlineStr">
        <is>
          <t>%</t>
        </is>
      </c>
      <c r="P1519" s="15" t="n">
        <v>0</v>
      </c>
      <c r="Q1519" s="15" t="n">
        <v>0</v>
      </c>
      <c r="R1519" s="5" t="inlineStr">
        <is>
          <t>293-2023-12-31</t>
        </is>
      </c>
    </row>
    <row r="1520" hidden="1">
      <c r="A1520" s="21" t="n">
        <v>293</v>
      </c>
      <c r="B1520" s="5" t="inlineStr">
        <is>
          <t>Cumplimiento del cronograma de actividades culturales</t>
        </is>
      </c>
      <c r="C1520" s="5" t="inlineStr">
        <is>
          <t>Cultura y Deporte</t>
        </is>
      </c>
      <c r="D1520" s="5" t="inlineStr">
        <is>
          <t>Semestral</t>
        </is>
      </c>
      <c r="E1520" s="5" t="inlineStr">
        <is>
          <t>Positivo</t>
        </is>
      </c>
      <c r="F1520" s="109" t="n">
        <v>45473</v>
      </c>
      <c r="G1520" s="5" t="n">
        <v>2024</v>
      </c>
      <c r="H1520" s="5" t="inlineStr">
        <is>
          <t>Junio</t>
        </is>
      </c>
      <c r="I1520" s="6" t="inlineStr">
        <is>
          <t>2024-1</t>
        </is>
      </c>
      <c r="J1520" s="5" t="n">
        <v>100</v>
      </c>
      <c r="K1520" s="10" t="n">
        <v>100</v>
      </c>
      <c r="L1520" s="14" t="n">
        <v>1</v>
      </c>
      <c r="M1520" s="14" t="n">
        <v>1</v>
      </c>
      <c r="N1520" s="5" t="inlineStr">
        <is>
          <t>%</t>
        </is>
      </c>
      <c r="O1520" s="5" t="inlineStr">
        <is>
          <t>%</t>
        </is>
      </c>
      <c r="P1520" s="15" t="n">
        <v>0</v>
      </c>
      <c r="Q1520" s="15" t="n">
        <v>0</v>
      </c>
      <c r="R1520" s="5" t="inlineStr">
        <is>
          <t>293-2024-06-30</t>
        </is>
      </c>
    </row>
    <row r="1521" hidden="1">
      <c r="A1521" s="21" t="n">
        <v>293</v>
      </c>
      <c r="B1521" s="5" t="inlineStr">
        <is>
          <t>Cumplimiento del cronograma de actividades culturales</t>
        </is>
      </c>
      <c r="C1521" s="5" t="inlineStr">
        <is>
          <t>Cultura y Deporte</t>
        </is>
      </c>
      <c r="D1521" s="5" t="inlineStr">
        <is>
          <t>Semestral</t>
        </is>
      </c>
      <c r="E1521" s="5" t="inlineStr">
        <is>
          <t>Positivo</t>
        </is>
      </c>
      <c r="F1521" s="109" t="n">
        <v>45657</v>
      </c>
      <c r="G1521" s="5" t="n">
        <v>2024</v>
      </c>
      <c r="H1521" s="5" t="inlineStr">
        <is>
          <t>Diciembre</t>
        </is>
      </c>
      <c r="I1521" s="6" t="inlineStr">
        <is>
          <t>2024-2</t>
        </is>
      </c>
      <c r="J1521" s="5" t="n">
        <v>100</v>
      </c>
      <c r="K1521" s="10" t="n">
        <v>100</v>
      </c>
      <c r="L1521" s="14" t="n">
        <v>1</v>
      </c>
      <c r="M1521" s="14" t="n">
        <v>1</v>
      </c>
      <c r="N1521" s="5" t="inlineStr">
        <is>
          <t>%</t>
        </is>
      </c>
      <c r="O1521" s="5" t="inlineStr">
        <is>
          <t>%</t>
        </is>
      </c>
      <c r="P1521" s="15" t="n">
        <v>0</v>
      </c>
      <c r="Q1521" s="15" t="n">
        <v>0</v>
      </c>
      <c r="R1521" s="5" t="inlineStr">
        <is>
          <t>293-2024-12-31</t>
        </is>
      </c>
    </row>
    <row r="1522" hidden="1">
      <c r="A1522" s="21" t="n">
        <v>294</v>
      </c>
      <c r="B1522" s="5" t="inlineStr">
        <is>
          <t>Participación en actividades culturales presenciales</t>
        </is>
      </c>
      <c r="C1522" s="5" t="inlineStr">
        <is>
          <t>Cultura y Deporte</t>
        </is>
      </c>
      <c r="D1522" s="5" t="inlineStr">
        <is>
          <t>Semestral</t>
        </is>
      </c>
      <c r="E1522" s="5" t="inlineStr">
        <is>
          <t>Positivo</t>
        </is>
      </c>
      <c r="F1522" s="109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3</v>
      </c>
      <c r="K1522" s="10" t="n">
        <v>30.15873015873</v>
      </c>
      <c r="L1522" s="14" t="n">
        <v>1.3</v>
      </c>
      <c r="M1522" s="14" t="n">
        <v>10.05291005291</v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294-2023-06-30</t>
        </is>
      </c>
    </row>
    <row r="1523" hidden="1">
      <c r="A1523" s="21" t="n">
        <v>294</v>
      </c>
      <c r="B1523" s="5" t="inlineStr">
        <is>
          <t>Participación en actividades culturales presenciales</t>
        </is>
      </c>
      <c r="C1523" s="5" t="inlineStr">
        <is>
          <t>Cultura y Deporte</t>
        </is>
      </c>
      <c r="D1523" s="5" t="inlineStr">
        <is>
          <t>Semestral</t>
        </is>
      </c>
      <c r="E1523" s="5" t="inlineStr">
        <is>
          <t>Positivo</t>
        </is>
      </c>
      <c r="F1523" s="109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3</v>
      </c>
      <c r="K1523" s="10" t="n">
        <v>41.986754966887</v>
      </c>
      <c r="L1523" s="14" t="n">
        <v>1.3</v>
      </c>
      <c r="M1523" s="14" t="n">
        <v>13.99558498896233</v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294-2023-12-31</t>
        </is>
      </c>
    </row>
    <row r="1524" hidden="1">
      <c r="A1524" s="21" t="n">
        <v>294</v>
      </c>
      <c r="B1524" s="5" t="inlineStr">
        <is>
          <t>Participación en actividades culturales presenciales</t>
        </is>
      </c>
      <c r="C1524" s="5" t="inlineStr">
        <is>
          <t>Cultura y Deporte</t>
        </is>
      </c>
      <c r="D1524" s="5" t="inlineStr">
        <is>
          <t>Semestral</t>
        </is>
      </c>
      <c r="E1524" s="5" t="inlineStr">
        <is>
          <t>Positivo</t>
        </is>
      </c>
      <c r="F1524" s="109" t="n">
        <v>45473</v>
      </c>
      <c r="G1524" s="5" t="n">
        <v>2024</v>
      </c>
      <c r="H1524" s="5" t="inlineStr">
        <is>
          <t>Junio</t>
        </is>
      </c>
      <c r="I1524" s="6" t="inlineStr">
        <is>
          <t>2024-1</t>
        </is>
      </c>
      <c r="J1524" s="5" t="n">
        <v>3</v>
      </c>
      <c r="K1524" s="10" t="n">
        <v>26.27669452181987</v>
      </c>
      <c r="L1524" s="14" t="n">
        <v>1.3</v>
      </c>
      <c r="M1524" s="14" t="n">
        <v>8.758898173939956</v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294-2024-06-30</t>
        </is>
      </c>
    </row>
    <row r="1525" hidden="1">
      <c r="A1525" s="21" t="n">
        <v>294</v>
      </c>
      <c r="B1525" s="5" t="inlineStr">
        <is>
          <t>Participación en actividades culturales</t>
        </is>
      </c>
      <c r="C1525" s="5" t="inlineStr">
        <is>
          <t>Cultura y Deporte</t>
        </is>
      </c>
      <c r="D1525" s="5" t="inlineStr">
        <is>
          <t>Semestral</t>
        </is>
      </c>
      <c r="E1525" s="5" t="inlineStr">
        <is>
          <t>Positivo</t>
        </is>
      </c>
      <c r="F1525" s="109" t="n">
        <v>45657</v>
      </c>
      <c r="G1525" s="5" t="n">
        <v>2024</v>
      </c>
      <c r="H1525" s="5" t="inlineStr">
        <is>
          <t>Diciembre</t>
        </is>
      </c>
      <c r="I1525" s="6" t="inlineStr">
        <is>
          <t>2024-2</t>
        </is>
      </c>
      <c r="J1525" s="5" t="n">
        <v>3</v>
      </c>
      <c r="K1525" s="10" t="n">
        <v>5.5</v>
      </c>
      <c r="L1525" s="14" t="n">
        <v>1.3</v>
      </c>
      <c r="M1525" s="14" t="n">
        <v>1.833333333333333</v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294-2024-12-31</t>
        </is>
      </c>
    </row>
    <row r="1526" hidden="1">
      <c r="A1526" s="21" t="n">
        <v>294</v>
      </c>
      <c r="B1526" s="5" t="inlineStr">
        <is>
          <t>Participación en actividades culturales</t>
        </is>
      </c>
      <c r="C1526" s="5" t="inlineStr">
        <is>
          <t>Cultura y Deporte</t>
        </is>
      </c>
      <c r="D1526" s="5" t="inlineStr">
        <is>
          <t>Semestral</t>
        </is>
      </c>
      <c r="E1526" s="5" t="inlineStr">
        <is>
          <t>Positivo</t>
        </is>
      </c>
      <c r="F1526" s="109" t="n">
        <v>45838</v>
      </c>
      <c r="G1526" s="5" t="n">
        <v>2025</v>
      </c>
      <c r="H1526" s="5" t="inlineStr">
        <is>
          <t>Junio</t>
        </is>
      </c>
      <c r="I1526" s="6" t="inlineStr">
        <is>
          <t>2025-1</t>
        </is>
      </c>
      <c r="J1526" s="5" t="n">
        <v>8</v>
      </c>
      <c r="K1526" s="10" t="n">
        <v>-9.19</v>
      </c>
      <c r="L1526" s="14" t="n">
        <v>0</v>
      </c>
      <c r="M1526" s="14" t="n">
        <v>0</v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294-2025-06-30</t>
        </is>
      </c>
    </row>
    <row r="1527" hidden="1">
      <c r="A1527" s="21" t="n">
        <v>294</v>
      </c>
      <c r="B1527" s="5" t="inlineStr">
        <is>
          <t>Participación en actividades culturales</t>
        </is>
      </c>
      <c r="C1527" s="5" t="inlineStr">
        <is>
          <t>Cultura y Deporte</t>
        </is>
      </c>
      <c r="D1527" s="5" t="inlineStr">
        <is>
          <t>Trimestral</t>
        </is>
      </c>
      <c r="E1527" s="5" t="inlineStr">
        <is>
          <t>Positivo</t>
        </is>
      </c>
      <c r="F1527" s="109" t="n">
        <v>46022</v>
      </c>
      <c r="G1527" s="5" t="n">
        <v>2025</v>
      </c>
      <c r="H1527" s="5" t="inlineStr">
        <is>
          <t>Diciembre</t>
        </is>
      </c>
      <c r="I1527" s="6" t="inlineStr">
        <is>
          <t>2025-2</t>
        </is>
      </c>
      <c r="J1527" s="5" t="n">
        <v>8</v>
      </c>
      <c r="K1527" s="10" t="n">
        <v>54.02</v>
      </c>
      <c r="L1527" s="14" t="n">
        <v>1.3</v>
      </c>
      <c r="M1527" s="14" t="n">
        <v>6.7525</v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294-2025-12-31</t>
        </is>
      </c>
    </row>
    <row r="1528" hidden="1">
      <c r="A1528" s="21" t="n">
        <v>295</v>
      </c>
      <c r="B1528" s="5" t="inlineStr">
        <is>
          <t>Cumplimiento Del Cierre De Oportunidades De Mejora De Auditoria</t>
        </is>
      </c>
      <c r="C1528" s="5" t="inlineStr">
        <is>
          <t>AUDITORÍA INTERNA</t>
        </is>
      </c>
      <c r="D1528" s="5" t="inlineStr">
        <is>
          <t>Semestral</t>
        </is>
      </c>
      <c r="E1528" s="5" t="inlineStr">
        <is>
          <t>Positivo</t>
        </is>
      </c>
      <c r="F1528" s="109" t="n">
        <v>45107</v>
      </c>
      <c r="G1528" s="5" t="n">
        <v>2023</v>
      </c>
      <c r="H1528" s="5" t="inlineStr">
        <is>
          <t>Junio</t>
        </is>
      </c>
      <c r="I1528" s="6" t="inlineStr">
        <is>
          <t>2023-1</t>
        </is>
      </c>
      <c r="J1528" s="5" t="n">
        <v>11</v>
      </c>
      <c r="K1528" s="10" t="n">
        <v>5</v>
      </c>
      <c r="L1528" s="14" t="n">
        <v>0.4545454545454545</v>
      </c>
      <c r="M1528" s="14" t="n">
        <v>0.4545454545454545</v>
      </c>
      <c r="N1528" s="5" t="inlineStr">
        <is>
          <t>%</t>
        </is>
      </c>
      <c r="O1528" s="5" t="inlineStr">
        <is>
          <t>%</t>
        </is>
      </c>
      <c r="P1528" s="15" t="n">
        <v>0</v>
      </c>
      <c r="Q1528" s="15" t="n">
        <v>0</v>
      </c>
      <c r="R1528" s="5" t="inlineStr">
        <is>
          <t>295-2023-06-30</t>
        </is>
      </c>
    </row>
    <row r="1529" hidden="1">
      <c r="A1529" s="21" t="n">
        <v>295</v>
      </c>
      <c r="B1529" s="5" t="inlineStr">
        <is>
          <t>Cumplimiento Del Cierre De Oportunidades De Mejora De Auditoria</t>
        </is>
      </c>
      <c r="C1529" s="5" t="inlineStr">
        <is>
          <t>AUDITORÍA INTERNA</t>
        </is>
      </c>
      <c r="D1529" s="5" t="inlineStr">
        <is>
          <t>Semestral</t>
        </is>
      </c>
      <c r="E1529" s="5" t="inlineStr">
        <is>
          <t>Positivo</t>
        </is>
      </c>
      <c r="F1529" s="109" t="n">
        <v>45291</v>
      </c>
      <c r="G1529" s="5" t="n">
        <v>2023</v>
      </c>
      <c r="H1529" s="5" t="inlineStr">
        <is>
          <t>Diciembre</t>
        </is>
      </c>
      <c r="I1529" s="6" t="inlineStr">
        <is>
          <t>2023-2</t>
        </is>
      </c>
      <c r="J1529" s="5" t="n">
        <v>21</v>
      </c>
      <c r="K1529" s="9" t="n">
        <v>9</v>
      </c>
      <c r="L1529" s="14" t="n">
        <v>0.4285714285714285</v>
      </c>
      <c r="M1529" s="14" t="n">
        <v>0.4285714285714285</v>
      </c>
      <c r="N1529" s="5" t="inlineStr">
        <is>
          <t>%</t>
        </is>
      </c>
      <c r="O1529" s="5" t="inlineStr">
        <is>
          <t>%</t>
        </is>
      </c>
      <c r="P1529" s="15" t="n">
        <v>0</v>
      </c>
      <c r="Q1529" s="15" t="n">
        <v>0</v>
      </c>
      <c r="R1529" s="5" t="inlineStr">
        <is>
          <t>295-2023-12-31</t>
        </is>
      </c>
    </row>
    <row r="1530" hidden="1">
      <c r="A1530" s="21" t="n">
        <v>295</v>
      </c>
      <c r="B1530" s="5" t="inlineStr">
        <is>
          <t>Cumplimiento Del Cierre De Oportunidades De Mejora De Auditoria</t>
        </is>
      </c>
      <c r="C1530" s="5" t="inlineStr">
        <is>
          <t>AUDITORÍA INTERNA</t>
        </is>
      </c>
      <c r="D1530" s="5" t="inlineStr">
        <is>
          <t>Semestral</t>
        </is>
      </c>
      <c r="E1530" s="5" t="inlineStr">
        <is>
          <t>Positivo</t>
        </is>
      </c>
      <c r="F1530" s="109" t="n">
        <v>45473</v>
      </c>
      <c r="G1530" s="5" t="n">
        <v>2024</v>
      </c>
      <c r="H1530" s="5" t="inlineStr">
        <is>
          <t>Junio</t>
        </is>
      </c>
      <c r="I1530" s="6" t="inlineStr">
        <is>
          <t>2024-1</t>
        </is>
      </c>
      <c r="J1530" s="5" t="n">
        <v>60</v>
      </c>
      <c r="K1530" s="103" t="n">
        <v>52.38</v>
      </c>
      <c r="L1530" s="14" t="n">
        <v>0.873</v>
      </c>
      <c r="M1530" s="14" t="n">
        <v>0.873</v>
      </c>
      <c r="N1530" s="5" t="inlineStr">
        <is>
          <t>ENT</t>
        </is>
      </c>
      <c r="O1530" s="5" t="inlineStr">
        <is>
          <t>ENT</t>
        </is>
      </c>
      <c r="P1530" s="15" t="n">
        <v>0</v>
      </c>
      <c r="Q1530" s="15" t="n">
        <v>0</v>
      </c>
      <c r="R1530" s="5" t="inlineStr">
        <is>
          <t>295-2024-06-30</t>
        </is>
      </c>
    </row>
    <row r="1531" hidden="1">
      <c r="A1531" s="21" t="n">
        <v>296</v>
      </c>
      <c r="B1531" s="5" t="inlineStr">
        <is>
          <t>Gestión de riesgos por subprocesos</t>
        </is>
      </c>
      <c r="C1531" s="5" t="inlineStr">
        <is>
          <t>GESTIÓN DE RIESGOS</t>
        </is>
      </c>
      <c r="D1531" s="5" t="inlineStr">
        <is>
          <t>Bimestral</t>
        </is>
      </c>
      <c r="E1531" s="5" t="inlineStr">
        <is>
          <t>Positivo</t>
        </is>
      </c>
      <c r="F1531" s="109" t="n">
        <v>45169</v>
      </c>
      <c r="G1531" s="5" t="n">
        <v>2023</v>
      </c>
      <c r="H1531" s="5" t="inlineStr">
        <is>
          <t>Agosto</t>
        </is>
      </c>
      <c r="I1531" s="6" t="inlineStr">
        <is>
          <t>2023-2</t>
        </is>
      </c>
      <c r="J1531" s="5" t="n">
        <v>70</v>
      </c>
      <c r="K1531" s="104" t="n">
        <v>70.91</v>
      </c>
      <c r="L1531" s="14" t="n">
        <v>1.013</v>
      </c>
      <c r="M1531" s="14" t="n">
        <v>1.013</v>
      </c>
      <c r="N1531" s="5" t="inlineStr">
        <is>
          <t>ENT</t>
        </is>
      </c>
      <c r="O1531" s="5" t="inlineStr">
        <is>
          <t>ENT</t>
        </is>
      </c>
      <c r="P1531" s="15" t="n">
        <v>0</v>
      </c>
      <c r="Q1531" s="15" t="n">
        <v>0</v>
      </c>
      <c r="R1531" s="5" t="inlineStr">
        <is>
          <t>296-2023-08-31</t>
        </is>
      </c>
    </row>
    <row r="1532" hidden="1">
      <c r="A1532" s="21" t="n">
        <v>296</v>
      </c>
      <c r="B1532" s="5" t="inlineStr">
        <is>
          <t>Gestión de riesgos por subprocesos</t>
        </is>
      </c>
      <c r="C1532" s="5" t="inlineStr">
        <is>
          <t>GESTIÓN DE RIESGOS</t>
        </is>
      </c>
      <c r="D1532" s="5" t="inlineStr">
        <is>
          <t>Bimestral</t>
        </is>
      </c>
      <c r="E1532" s="5" t="inlineStr">
        <is>
          <t>Positivo</t>
        </is>
      </c>
      <c r="F1532" s="109" t="n">
        <v>45230</v>
      </c>
      <c r="G1532" s="5" t="n">
        <v>2023</v>
      </c>
      <c r="H1532" s="5" t="inlineStr">
        <is>
          <t>Octubre</t>
        </is>
      </c>
      <c r="I1532" s="6" t="inlineStr">
        <is>
          <t>2023-2</t>
        </is>
      </c>
      <c r="J1532" s="5" t="n">
        <v>80</v>
      </c>
      <c r="K1532" s="103" t="n">
        <v>80</v>
      </c>
      <c r="L1532" s="14" t="n">
        <v>1</v>
      </c>
      <c r="M1532" s="14" t="n">
        <v>1</v>
      </c>
      <c r="N1532" s="5" t="inlineStr">
        <is>
          <t>ENT</t>
        </is>
      </c>
      <c r="O1532" s="5" t="inlineStr">
        <is>
          <t>ENT</t>
        </is>
      </c>
      <c r="P1532" s="15" t="n">
        <v>0</v>
      </c>
      <c r="Q1532" s="15" t="n">
        <v>0</v>
      </c>
      <c r="R1532" s="5" t="inlineStr">
        <is>
          <t>296-2023-10-31</t>
        </is>
      </c>
    </row>
    <row r="1533" hidden="1">
      <c r="A1533" s="21" t="n">
        <v>296</v>
      </c>
      <c r="B1533" s="5" t="inlineStr">
        <is>
          <t>Gestión de riesgos por subprocesos</t>
        </is>
      </c>
      <c r="C1533" s="5" t="inlineStr">
        <is>
          <t>GESTIÓN DE RIESGOS</t>
        </is>
      </c>
      <c r="D1533" s="5" t="inlineStr">
        <is>
          <t>Bimestral</t>
        </is>
      </c>
      <c r="E1533" s="5" t="inlineStr">
        <is>
          <t>Positivo</t>
        </is>
      </c>
      <c r="F1533" s="109" t="n">
        <v>45291</v>
      </c>
      <c r="G1533" s="5" t="n">
        <v>2023</v>
      </c>
      <c r="H1533" s="5" t="inlineStr">
        <is>
          <t>Diciembre</t>
        </is>
      </c>
      <c r="I1533" s="6" t="inlineStr">
        <is>
          <t>2023-2</t>
        </is>
      </c>
      <c r="J1533" s="5" t="n">
        <v>100</v>
      </c>
      <c r="K1533" s="103" t="n">
        <v>85.45</v>
      </c>
      <c r="L1533" s="14" t="n">
        <v>0.8545</v>
      </c>
      <c r="M1533" s="14" t="n">
        <v>0.8545</v>
      </c>
      <c r="N1533" s="5" t="inlineStr">
        <is>
          <t>ENT</t>
        </is>
      </c>
      <c r="O1533" s="5" t="inlineStr">
        <is>
          <t>ENT</t>
        </is>
      </c>
      <c r="P1533" s="15" t="n">
        <v>0</v>
      </c>
      <c r="Q1533" s="15" t="n">
        <v>0</v>
      </c>
      <c r="R1533" s="5" t="inlineStr">
        <is>
          <t>296-2023-12-31</t>
        </is>
      </c>
    </row>
    <row r="1534" hidden="1">
      <c r="A1534" s="21" t="n">
        <v>297</v>
      </c>
      <c r="B1534" s="5" t="inlineStr">
        <is>
          <t>N de riesgos operacionales intervenidos</t>
        </is>
      </c>
      <c r="C1534" s="5" t="inlineStr">
        <is>
          <t>GESTIÓN DE RIESGOS</t>
        </is>
      </c>
      <c r="D1534" s="5" t="inlineStr">
        <is>
          <t>Bimestral</t>
        </is>
      </c>
      <c r="E1534" s="5" t="inlineStr">
        <is>
          <t>Negativo</t>
        </is>
      </c>
      <c r="F1534" s="109" t="n">
        <v>45169</v>
      </c>
      <c r="G1534" s="5" t="n">
        <v>2023</v>
      </c>
      <c r="H1534" s="5" t="inlineStr">
        <is>
          <t>Agosto</t>
        </is>
      </c>
      <c r="I1534" s="6" t="inlineStr">
        <is>
          <t>2023-2</t>
        </is>
      </c>
      <c r="J1534" s="5" t="n">
        <v>20</v>
      </c>
      <c r="K1534" s="103" t="n">
        <v>0</v>
      </c>
      <c r="L1534" s="14" t="n">
        <v>1</v>
      </c>
      <c r="M1534" s="14" t="n">
        <v>1</v>
      </c>
      <c r="N1534" s="5" t="inlineStr">
        <is>
          <t>ENT</t>
        </is>
      </c>
      <c r="O1534" s="5" t="inlineStr">
        <is>
          <t>ENT</t>
        </is>
      </c>
      <c r="P1534" s="15" t="n">
        <v>0</v>
      </c>
      <c r="Q1534" s="15" t="n">
        <v>0</v>
      </c>
      <c r="R1534" s="5" t="inlineStr">
        <is>
          <t>297-2023-08-31</t>
        </is>
      </c>
    </row>
    <row r="1535" hidden="1">
      <c r="A1535" s="21" t="n">
        <v>297</v>
      </c>
      <c r="B1535" s="5" t="inlineStr">
        <is>
          <t>N de riesgos operacionales intervenidos</t>
        </is>
      </c>
      <c r="C1535" s="5" t="inlineStr">
        <is>
          <t>GESTIÓN DE RIESGOS</t>
        </is>
      </c>
      <c r="D1535" s="5" t="inlineStr">
        <is>
          <t>Bimestral</t>
        </is>
      </c>
      <c r="E1535" s="5" t="inlineStr">
        <is>
          <t>Negativo</t>
        </is>
      </c>
      <c r="F1535" s="109" t="n">
        <v>45230</v>
      </c>
      <c r="G1535" s="5" t="n">
        <v>2023</v>
      </c>
      <c r="H1535" s="5" t="inlineStr">
        <is>
          <t>Octubre</t>
        </is>
      </c>
      <c r="I1535" s="6" t="inlineStr">
        <is>
          <t>2023-2</t>
        </is>
      </c>
      <c r="J1535" s="5" t="n">
        <v>20</v>
      </c>
      <c r="K1535" s="103" t="n">
        <v>1.19</v>
      </c>
      <c r="L1535" s="14" t="n">
        <v>1.3</v>
      </c>
      <c r="M1535" s="14" t="n">
        <v>16.80672268907563</v>
      </c>
      <c r="N1535" s="5" t="inlineStr">
        <is>
          <t>ENT</t>
        </is>
      </c>
      <c r="O1535" s="5" t="inlineStr">
        <is>
          <t>DEC</t>
        </is>
      </c>
      <c r="P1535" s="15" t="n">
        <v>2</v>
      </c>
      <c r="Q1535" s="15" t="n">
        <v>2</v>
      </c>
      <c r="R1535" s="5" t="inlineStr">
        <is>
          <t>297-2023-10-31</t>
        </is>
      </c>
    </row>
    <row r="1536" hidden="1">
      <c r="A1536" s="21" t="n">
        <v>297</v>
      </c>
      <c r="B1536" s="5" t="inlineStr">
        <is>
          <t>N de riesgos operacionales intervenidos</t>
        </is>
      </c>
      <c r="C1536" s="5" t="inlineStr">
        <is>
          <t>GESTIÓN DE RIESGOS</t>
        </is>
      </c>
      <c r="D1536" s="5" t="inlineStr">
        <is>
          <t>Bimestral</t>
        </is>
      </c>
      <c r="E1536" s="5" t="inlineStr">
        <is>
          <t>Negativo</t>
        </is>
      </c>
      <c r="F1536" s="109" t="n">
        <v>45291</v>
      </c>
      <c r="G1536" s="5" t="n">
        <v>2023</v>
      </c>
      <c r="H1536" s="5" t="inlineStr">
        <is>
          <t>Diciembre</t>
        </is>
      </c>
      <c r="I1536" s="6" t="inlineStr">
        <is>
          <t>2023-2</t>
        </is>
      </c>
      <c r="J1536" s="5" t="n">
        <v>20</v>
      </c>
      <c r="K1536" s="10" t="n">
        <v>0.93</v>
      </c>
      <c r="L1536" s="14" t="n">
        <v>1.3</v>
      </c>
      <c r="M1536" s="14" t="n">
        <v>21.50537634408602</v>
      </c>
      <c r="N1536" s="5" t="inlineStr">
        <is>
          <t>ENT</t>
        </is>
      </c>
      <c r="O1536" s="5" t="inlineStr">
        <is>
          <t>DEC</t>
        </is>
      </c>
      <c r="P1536" s="15" t="n">
        <v>0</v>
      </c>
      <c r="Q1536" s="15" t="n">
        <v>0</v>
      </c>
      <c r="R1536" s="5" t="inlineStr">
        <is>
          <t>297-2023-12-31</t>
        </is>
      </c>
    </row>
    <row r="1537" hidden="1">
      <c r="A1537" s="21" t="n">
        <v>298</v>
      </c>
      <c r="B1537" s="5" t="inlineStr">
        <is>
          <t>N de riesgos materializados</t>
        </is>
      </c>
      <c r="C1537" s="5" t="inlineStr">
        <is>
          <t>GESTIÓN DE RIESGOS</t>
        </is>
      </c>
      <c r="D1537" s="5" t="inlineStr">
        <is>
          <t>Semestral</t>
        </is>
      </c>
      <c r="E1537" s="5" t="inlineStr">
        <is>
          <t>Negativo</t>
        </is>
      </c>
      <c r="F1537" s="109" t="n">
        <v>45291</v>
      </c>
      <c r="G1537" s="5" t="n">
        <v>2023</v>
      </c>
      <c r="H1537" s="5" t="inlineStr">
        <is>
          <t>Diciembre</t>
        </is>
      </c>
      <c r="I1537" s="6" t="inlineStr">
        <is>
          <t>2023-2</t>
        </is>
      </c>
      <c r="J1537" s="5" t="n"/>
      <c r="K1537" s="10" t="n">
        <v>1</v>
      </c>
      <c r="L1537" s="14" t="n"/>
      <c r="M1537" s="14" t="n"/>
      <c r="N1537" s="5" t="inlineStr">
        <is>
          <t>Linea Base</t>
        </is>
      </c>
      <c r="O1537" s="5" t="inlineStr">
        <is>
          <t>DEC</t>
        </is>
      </c>
      <c r="P1537" s="15" t="n">
        <v>0</v>
      </c>
      <c r="Q1537" s="15" t="n">
        <v>0</v>
      </c>
      <c r="R1537" s="5" t="inlineStr">
        <is>
          <t>298-2023-12-31</t>
        </is>
      </c>
    </row>
    <row r="1538" hidden="1">
      <c r="A1538" s="21" t="n">
        <v>300</v>
      </c>
      <c r="B1538" s="5" t="inlineStr">
        <is>
          <t>Cumplimiento de Inspecciones de control</t>
        </is>
      </c>
      <c r="C1538" s="5" t="inlineStr">
        <is>
          <t>Administración de Servicios Generales</t>
        </is>
      </c>
      <c r="D1538" s="5" t="inlineStr">
        <is>
          <t>Trimestral</t>
        </is>
      </c>
      <c r="E1538" s="5" t="inlineStr">
        <is>
          <t>Positivo</t>
        </is>
      </c>
      <c r="F1538" s="109" t="n">
        <v>45016</v>
      </c>
      <c r="G1538" s="5" t="n">
        <v>2023</v>
      </c>
      <c r="H1538" s="5" t="inlineStr">
        <is>
          <t>Marzo</t>
        </is>
      </c>
      <c r="I1538" s="6" t="inlineStr">
        <is>
          <t>2023-1</t>
        </is>
      </c>
      <c r="J1538" s="5" t="n">
        <v>100</v>
      </c>
      <c r="K1538" s="10" t="n">
        <v>100</v>
      </c>
      <c r="L1538" s="14" t="n">
        <v>1</v>
      </c>
      <c r="M1538" s="14" t="n">
        <v>1</v>
      </c>
      <c r="N1538" s="5" t="inlineStr">
        <is>
          <t>%</t>
        </is>
      </c>
      <c r="O1538" s="5" t="inlineStr">
        <is>
          <t>%</t>
        </is>
      </c>
      <c r="P1538" s="15" t="n">
        <v>0</v>
      </c>
      <c r="Q1538" s="15" t="n">
        <v>0</v>
      </c>
      <c r="R1538" s="5" t="inlineStr">
        <is>
          <t>300-2023-03-31</t>
        </is>
      </c>
    </row>
    <row r="1539" hidden="1">
      <c r="A1539" s="21" t="n">
        <v>300</v>
      </c>
      <c r="B1539" s="5" t="inlineStr">
        <is>
          <t>Cumplimiento de Inspecciones de control</t>
        </is>
      </c>
      <c r="C1539" s="5" t="inlineStr">
        <is>
          <t>Administración de Servicios Generales</t>
        </is>
      </c>
      <c r="D1539" s="5" t="inlineStr">
        <is>
          <t>Trimestral</t>
        </is>
      </c>
      <c r="E1539" s="5" t="inlineStr">
        <is>
          <t>Positivo</t>
        </is>
      </c>
      <c r="F1539" s="109" t="n">
        <v>45107</v>
      </c>
      <c r="G1539" s="5" t="n">
        <v>2023</v>
      </c>
      <c r="H1539" s="5" t="inlineStr">
        <is>
          <t>Junio</t>
        </is>
      </c>
      <c r="I1539" s="6" t="inlineStr">
        <is>
          <t>2023-1</t>
        </is>
      </c>
      <c r="J1539" s="5" t="n">
        <v>100</v>
      </c>
      <c r="K1539" s="9" t="n">
        <v>100</v>
      </c>
      <c r="L1539" s="14" t="n">
        <v>1</v>
      </c>
      <c r="M1539" s="14" t="n">
        <v>1</v>
      </c>
      <c r="N1539" s="5" t="inlineStr">
        <is>
          <t>%</t>
        </is>
      </c>
      <c r="O1539" s="5" t="inlineStr">
        <is>
          <t>%</t>
        </is>
      </c>
      <c r="P1539" s="15" t="n">
        <v>0</v>
      </c>
      <c r="Q1539" s="15" t="n">
        <v>0</v>
      </c>
      <c r="R1539" s="5" t="inlineStr">
        <is>
          <t>300-2023-06-30</t>
        </is>
      </c>
    </row>
    <row r="1540" hidden="1">
      <c r="A1540" s="21" t="n">
        <v>300</v>
      </c>
      <c r="B1540" s="5" t="inlineStr">
        <is>
          <t>Cumplimiento de Inspecciones de control</t>
        </is>
      </c>
      <c r="C1540" s="5" t="inlineStr">
        <is>
          <t>Administración de Servicios Generales</t>
        </is>
      </c>
      <c r="D1540" s="5" t="inlineStr">
        <is>
          <t>Trimestral</t>
        </is>
      </c>
      <c r="E1540" s="5" t="inlineStr">
        <is>
          <t>Positivo</t>
        </is>
      </c>
      <c r="F1540" s="109" t="n">
        <v>45199</v>
      </c>
      <c r="G1540" s="5" t="n">
        <v>2023</v>
      </c>
      <c r="H1540" s="5" t="inlineStr">
        <is>
          <t>Septiembre</t>
        </is>
      </c>
      <c r="I1540" s="6" t="inlineStr">
        <is>
          <t>2023-2</t>
        </is>
      </c>
      <c r="J1540" s="5" t="n">
        <v>100</v>
      </c>
      <c r="K1540" s="9" t="n">
        <v>100</v>
      </c>
      <c r="L1540" s="14" t="n">
        <v>1</v>
      </c>
      <c r="M1540" s="14" t="n">
        <v>1</v>
      </c>
      <c r="N1540" s="5" t="inlineStr">
        <is>
          <t>%</t>
        </is>
      </c>
      <c r="O1540" s="5" t="inlineStr">
        <is>
          <t>%</t>
        </is>
      </c>
      <c r="P1540" s="15" t="n">
        <v>0</v>
      </c>
      <c r="Q1540" s="15" t="n">
        <v>0</v>
      </c>
      <c r="R1540" s="5" t="inlineStr">
        <is>
          <t>300-2023-09-30</t>
        </is>
      </c>
    </row>
    <row r="1541" hidden="1">
      <c r="A1541" s="21" t="n">
        <v>300</v>
      </c>
      <c r="B1541" s="5" t="inlineStr">
        <is>
          <t>Cumplimiento de Inspecciones de control</t>
        </is>
      </c>
      <c r="C1541" s="5" t="inlineStr">
        <is>
          <t>Administración de Servicios Generales</t>
        </is>
      </c>
      <c r="D1541" s="5" t="inlineStr">
        <is>
          <t>Trimestral</t>
        </is>
      </c>
      <c r="E1541" s="5" t="inlineStr">
        <is>
          <t>Positivo</t>
        </is>
      </c>
      <c r="F1541" s="109" t="n">
        <v>45291</v>
      </c>
      <c r="G1541" s="5" t="n">
        <v>2023</v>
      </c>
      <c r="H1541" s="5" t="inlineStr">
        <is>
          <t>Diciembre</t>
        </is>
      </c>
      <c r="I1541" s="6" t="inlineStr">
        <is>
          <t>2023-2</t>
        </is>
      </c>
      <c r="J1541" s="5" t="n">
        <v>100</v>
      </c>
      <c r="K1541" s="9" t="n">
        <v>100</v>
      </c>
      <c r="L1541" s="14" t="n">
        <v>1</v>
      </c>
      <c r="M1541" s="14" t="n">
        <v>1</v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300-2023-12-31</t>
        </is>
      </c>
    </row>
    <row r="1542" hidden="1">
      <c r="A1542" s="21" t="n">
        <v>300</v>
      </c>
      <c r="B1542" s="5" t="inlineStr">
        <is>
          <t>Cumplimiento de Inspecciones de control</t>
        </is>
      </c>
      <c r="C1542" s="5" t="inlineStr">
        <is>
          <t>Administración de Servicios Generales</t>
        </is>
      </c>
      <c r="D1542" s="5" t="inlineStr">
        <is>
          <t>Trimestral</t>
        </is>
      </c>
      <c r="E1542" s="5" t="inlineStr">
        <is>
          <t>Positivo</t>
        </is>
      </c>
      <c r="F1542" s="109" t="n">
        <v>45382</v>
      </c>
      <c r="G1542" s="5" t="n">
        <v>2024</v>
      </c>
      <c r="H1542" s="5" t="inlineStr">
        <is>
          <t>Marzo</t>
        </is>
      </c>
      <c r="I1542" s="6" t="inlineStr">
        <is>
          <t>2024-1</t>
        </is>
      </c>
      <c r="J1542" s="5" t="n">
        <v>100</v>
      </c>
      <c r="K1542" s="9" t="n">
        <v>100</v>
      </c>
      <c r="L1542" s="14" t="n">
        <v>1</v>
      </c>
      <c r="M1542" s="14" t="n">
        <v>1</v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300-2024-03-31</t>
        </is>
      </c>
    </row>
    <row r="1543" hidden="1">
      <c r="A1543" s="21" t="n">
        <v>300</v>
      </c>
      <c r="B1543" s="5" t="inlineStr">
        <is>
          <t>Cumplimiento de Inspecciones de control</t>
        </is>
      </c>
      <c r="C1543" s="5" t="inlineStr">
        <is>
          <t>Administración de Servicios Generales</t>
        </is>
      </c>
      <c r="D1543" s="5" t="inlineStr">
        <is>
          <t>Trimestral</t>
        </is>
      </c>
      <c r="E1543" s="5" t="inlineStr">
        <is>
          <t>Positivo</t>
        </is>
      </c>
      <c r="F1543" s="109" t="n">
        <v>45473</v>
      </c>
      <c r="G1543" s="5" t="n">
        <v>2024</v>
      </c>
      <c r="H1543" s="5" t="inlineStr">
        <is>
          <t>Junio</t>
        </is>
      </c>
      <c r="I1543" s="6" t="inlineStr">
        <is>
          <t>2024-1</t>
        </is>
      </c>
      <c r="J1543" s="5" t="n">
        <v>100</v>
      </c>
      <c r="K1543" s="9" t="n">
        <v>100</v>
      </c>
      <c r="L1543" s="14" t="n">
        <v>1</v>
      </c>
      <c r="M1543" s="14" t="n">
        <v>1</v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300-2024-06-30</t>
        </is>
      </c>
    </row>
    <row r="1544" hidden="1">
      <c r="A1544" s="21" t="n">
        <v>300</v>
      </c>
      <c r="B1544" s="5" t="inlineStr">
        <is>
          <t>Cumplimiento de Inspecciones de control</t>
        </is>
      </c>
      <c r="C1544" s="5" t="inlineStr">
        <is>
          <t>Administración de Servicios Generales</t>
        </is>
      </c>
      <c r="D1544" s="5" t="inlineStr">
        <is>
          <t>Trimestral</t>
        </is>
      </c>
      <c r="E1544" s="5" t="inlineStr">
        <is>
          <t>Positivo</t>
        </is>
      </c>
      <c r="F1544" s="109" t="n">
        <v>45565</v>
      </c>
      <c r="G1544" s="5" t="n">
        <v>2024</v>
      </c>
      <c r="H1544" s="5" t="inlineStr">
        <is>
          <t>Septiembre</t>
        </is>
      </c>
      <c r="I1544" s="6" t="inlineStr">
        <is>
          <t>2024-2</t>
        </is>
      </c>
      <c r="J1544" s="5" t="n">
        <v>100</v>
      </c>
      <c r="K1544" s="10" t="n">
        <v>100</v>
      </c>
      <c r="L1544" s="14" t="n">
        <v>1</v>
      </c>
      <c r="M1544" s="14" t="n">
        <v>1</v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300-2024-09-30</t>
        </is>
      </c>
    </row>
    <row r="1545" hidden="1">
      <c r="A1545" s="21" t="n">
        <v>300</v>
      </c>
      <c r="B1545" s="5" t="inlineStr">
        <is>
          <t>Cumplimiento de Inspecciones de control</t>
        </is>
      </c>
      <c r="C1545" s="5" t="inlineStr">
        <is>
          <t>Administración de Servicios Generales</t>
        </is>
      </c>
      <c r="D1545" s="5" t="inlineStr">
        <is>
          <t>Trimestral</t>
        </is>
      </c>
      <c r="E1545" s="5" t="inlineStr">
        <is>
          <t>Positivo</t>
        </is>
      </c>
      <c r="F1545" s="109" t="n">
        <v>45657</v>
      </c>
      <c r="G1545" s="5" t="n">
        <v>2024</v>
      </c>
      <c r="H1545" s="5" t="inlineStr">
        <is>
          <t>Diciembre</t>
        </is>
      </c>
      <c r="I1545" s="6" t="inlineStr">
        <is>
          <t>2024-2</t>
        </is>
      </c>
      <c r="J1545" s="5" t="n">
        <v>100</v>
      </c>
      <c r="K1545" s="9" t="n">
        <v>100</v>
      </c>
      <c r="L1545" s="14" t="n">
        <v>1</v>
      </c>
      <c r="M1545" s="14" t="n">
        <v>1</v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300-2024-12-31</t>
        </is>
      </c>
    </row>
    <row r="1546" hidden="1">
      <c r="A1546" s="21" t="n">
        <v>300</v>
      </c>
      <c r="B1546" s="5" t="inlineStr">
        <is>
          <t>Cumplimiento de Inspecciones de control</t>
        </is>
      </c>
      <c r="C1546" s="5" t="inlineStr">
        <is>
          <t>Administración de Servicios Generales</t>
        </is>
      </c>
      <c r="D1546" s="5" t="inlineStr">
        <is>
          <t>Trimestral</t>
        </is>
      </c>
      <c r="E1546" s="5" t="inlineStr">
        <is>
          <t>Positivo</t>
        </is>
      </c>
      <c r="F1546" s="109" t="n">
        <v>45747</v>
      </c>
      <c r="G1546" s="5" t="n">
        <v>2025</v>
      </c>
      <c r="H1546" s="5" t="inlineStr">
        <is>
          <t>Marzo</t>
        </is>
      </c>
      <c r="I1546" s="6" t="inlineStr">
        <is>
          <t>2025-1</t>
        </is>
      </c>
      <c r="J1546" s="5" t="n">
        <v>100</v>
      </c>
      <c r="K1546" s="9" t="n">
        <v>100</v>
      </c>
      <c r="L1546" s="14" t="n">
        <v>1</v>
      </c>
      <c r="M1546" s="14" t="n">
        <v>1</v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300-2025-03-31</t>
        </is>
      </c>
    </row>
    <row r="1547" hidden="1">
      <c r="A1547" s="21" t="n">
        <v>300</v>
      </c>
      <c r="B1547" s="5" t="inlineStr">
        <is>
          <t>Cumplimiento de Inspecciones de control</t>
        </is>
      </c>
      <c r="C1547" s="5" t="inlineStr">
        <is>
          <t>Administración de Servicios Generales</t>
        </is>
      </c>
      <c r="D1547" s="5" t="inlineStr">
        <is>
          <t>Trimestral</t>
        </is>
      </c>
      <c r="E1547" s="5" t="inlineStr">
        <is>
          <t>Positivo</t>
        </is>
      </c>
      <c r="F1547" s="109" t="n">
        <v>45838</v>
      </c>
      <c r="G1547" s="5" t="n">
        <v>2025</v>
      </c>
      <c r="H1547" s="5" t="inlineStr">
        <is>
          <t>Junio</t>
        </is>
      </c>
      <c r="I1547" s="6" t="inlineStr">
        <is>
          <t>2025-1</t>
        </is>
      </c>
      <c r="J1547" s="5" t="n">
        <v>100</v>
      </c>
      <c r="K1547" s="9" t="n">
        <v>100</v>
      </c>
      <c r="L1547" s="14" t="n">
        <v>1</v>
      </c>
      <c r="M1547" s="14" t="n">
        <v>1</v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300-2025-06-30</t>
        </is>
      </c>
    </row>
    <row r="1548" hidden="1">
      <c r="A1548" s="21" t="n">
        <v>300</v>
      </c>
      <c r="B1548" s="5" t="inlineStr">
        <is>
          <t>Cumplimiento de Inspecciones de control</t>
        </is>
      </c>
      <c r="C1548" s="5" t="inlineStr">
        <is>
          <t>Administración de Servicios Generales</t>
        </is>
      </c>
      <c r="D1548" s="5" t="inlineStr">
        <is>
          <t>Semestral</t>
        </is>
      </c>
      <c r="E1548" s="5" t="inlineStr">
        <is>
          <t>Positivo</t>
        </is>
      </c>
      <c r="F1548" s="109" t="n">
        <v>45930</v>
      </c>
      <c r="G1548" s="5" t="n">
        <v>2025</v>
      </c>
      <c r="H1548" s="5" t="inlineStr">
        <is>
          <t>Septiembre</t>
        </is>
      </c>
      <c r="I1548" s="6" t="inlineStr">
        <is>
          <t>2025-2</t>
        </is>
      </c>
      <c r="J1548" s="5" t="n">
        <v>100</v>
      </c>
      <c r="K1548" s="9" t="n">
        <v>100</v>
      </c>
      <c r="L1548" s="14" t="n">
        <v>1</v>
      </c>
      <c r="M1548" s="14" t="n">
        <v>1</v>
      </c>
      <c r="N1548" s="5" t="inlineStr">
        <is>
          <t>%</t>
        </is>
      </c>
      <c r="O1548" s="5" t="inlineStr">
        <is>
          <t>%</t>
        </is>
      </c>
      <c r="P1548" s="15" t="n">
        <v>0</v>
      </c>
      <c r="Q1548" s="15" t="n">
        <v>0</v>
      </c>
      <c r="R1548" s="5" t="inlineStr">
        <is>
          <t>300-2025-09-30</t>
        </is>
      </c>
    </row>
    <row r="1549" hidden="1">
      <c r="A1549" s="21" t="n">
        <v>300</v>
      </c>
      <c r="B1549" s="5" t="inlineStr">
        <is>
          <t>Cumplimiento de Inspecciones de control</t>
        </is>
      </c>
      <c r="C1549" s="5" t="inlineStr">
        <is>
          <t>Administración de Servicios Generales</t>
        </is>
      </c>
      <c r="D1549" s="5" t="inlineStr">
        <is>
          <t>Semestral</t>
        </is>
      </c>
      <c r="E1549" s="5" t="inlineStr">
        <is>
          <t>Positivo</t>
        </is>
      </c>
      <c r="F1549" s="109" t="n">
        <v>46022</v>
      </c>
      <c r="G1549" s="5" t="n">
        <v>2025</v>
      </c>
      <c r="H1549" s="5" t="inlineStr">
        <is>
          <t>Diciembre</t>
        </is>
      </c>
      <c r="I1549" s="6" t="inlineStr">
        <is>
          <t>2025-2</t>
        </is>
      </c>
      <c r="J1549" s="5" t="n">
        <v>100</v>
      </c>
      <c r="K1549" s="9" t="n">
        <v>100</v>
      </c>
      <c r="L1549" s="14" t="n">
        <v>1</v>
      </c>
      <c r="M1549" s="14" t="n">
        <v>1</v>
      </c>
      <c r="N1549" s="5" t="inlineStr">
        <is>
          <t>%</t>
        </is>
      </c>
      <c r="O1549" s="5" t="inlineStr">
        <is>
          <t>%</t>
        </is>
      </c>
      <c r="P1549" s="15" t="n">
        <v>0</v>
      </c>
      <c r="Q1549" s="15" t="n">
        <v>0</v>
      </c>
      <c r="R1549" s="5" t="inlineStr">
        <is>
          <t>300-2025-12-31</t>
        </is>
      </c>
    </row>
    <row r="1550" hidden="1">
      <c r="A1550" s="21" t="n">
        <v>300</v>
      </c>
      <c r="B1550" s="5" t="inlineStr">
        <is>
          <t>Cumplimiento de Inspecciones de control</t>
        </is>
      </c>
      <c r="C1550" s="5" t="inlineStr">
        <is>
          <t>Administración de Servicios Generales</t>
        </is>
      </c>
      <c r="D1550" s="5" t="inlineStr">
        <is>
          <t>Semestral</t>
        </is>
      </c>
      <c r="E1550" s="5" t="inlineStr">
        <is>
          <t>Positivo</t>
        </is>
      </c>
      <c r="F1550" s="109" t="n">
        <v>46112</v>
      </c>
      <c r="G1550" s="5" t="n">
        <v>2026</v>
      </c>
      <c r="H1550" s="5" t="inlineStr">
        <is>
          <t>Marzo</t>
        </is>
      </c>
      <c r="I1550" s="6" t="inlineStr">
        <is>
          <t>2026-1</t>
        </is>
      </c>
      <c r="J1550" s="5" t="n">
        <v>100</v>
      </c>
      <c r="K1550" s="10" t="n">
        <v>100</v>
      </c>
      <c r="L1550" s="14" t="n">
        <v>1</v>
      </c>
      <c r="M1550" s="14" t="n">
        <v>1</v>
      </c>
      <c r="N1550" s="5" t="inlineStr">
        <is>
          <t>%</t>
        </is>
      </c>
      <c r="O1550" s="5" t="inlineStr">
        <is>
          <t>%</t>
        </is>
      </c>
      <c r="P1550" s="15" t="n">
        <v>0</v>
      </c>
      <c r="Q1550" s="15" t="n">
        <v>0</v>
      </c>
      <c r="R1550" s="5" t="inlineStr">
        <is>
          <t>300-2026-03-31</t>
        </is>
      </c>
    </row>
    <row r="1551" hidden="1">
      <c r="A1551" s="21" t="n">
        <v>301</v>
      </c>
      <c r="B1551" s="5" t="inlineStr">
        <is>
          <t>Cumplimiento plan de trabajo</t>
        </is>
      </c>
      <c r="C1551" s="5" t="inlineStr">
        <is>
          <t>Administración de Servicios Generales</t>
        </is>
      </c>
      <c r="D1551" s="5" t="inlineStr">
        <is>
          <t>Trimestral</t>
        </is>
      </c>
      <c r="E1551" s="5" t="inlineStr">
        <is>
          <t>Positivo</t>
        </is>
      </c>
      <c r="F1551" s="109" t="n">
        <v>45016</v>
      </c>
      <c r="G1551" s="5" t="n">
        <v>2023</v>
      </c>
      <c r="H1551" s="5" t="inlineStr">
        <is>
          <t>Marzo</t>
        </is>
      </c>
      <c r="I1551" s="6" t="inlineStr">
        <is>
          <t>2023-1</t>
        </is>
      </c>
      <c r="J1551" s="5" t="n">
        <v>100</v>
      </c>
      <c r="K1551" s="9" t="n">
        <v>100</v>
      </c>
      <c r="L1551" s="14" t="n">
        <v>1</v>
      </c>
      <c r="M1551" s="14" t="n">
        <v>1</v>
      </c>
      <c r="N1551" s="5" t="inlineStr">
        <is>
          <t>%</t>
        </is>
      </c>
      <c r="O1551" s="5" t="inlineStr">
        <is>
          <t>%</t>
        </is>
      </c>
      <c r="P1551" s="15" t="n">
        <v>0</v>
      </c>
      <c r="Q1551" s="15" t="n">
        <v>0</v>
      </c>
      <c r="R1551" s="5" t="inlineStr">
        <is>
          <t>301-2023-03-31</t>
        </is>
      </c>
    </row>
    <row r="1552" hidden="1">
      <c r="A1552" s="21" t="n">
        <v>301</v>
      </c>
      <c r="B1552" s="5" t="inlineStr">
        <is>
          <t>Cumplimiento plan de trabajo</t>
        </is>
      </c>
      <c r="C1552" s="5" t="inlineStr">
        <is>
          <t>Administración de Servicios Generales</t>
        </is>
      </c>
      <c r="D1552" s="5" t="inlineStr">
        <is>
          <t>Trimestral</t>
        </is>
      </c>
      <c r="E1552" s="5" t="inlineStr">
        <is>
          <t>Positivo</t>
        </is>
      </c>
      <c r="F1552" s="109" t="n">
        <v>45107</v>
      </c>
      <c r="G1552" s="5" t="n">
        <v>2023</v>
      </c>
      <c r="H1552" s="5" t="inlineStr">
        <is>
          <t>Junio</t>
        </is>
      </c>
      <c r="I1552" s="6" t="inlineStr">
        <is>
          <t>2023-1</t>
        </is>
      </c>
      <c r="J1552" s="5" t="n">
        <v>100</v>
      </c>
      <c r="K1552" s="9" t="n">
        <v>100</v>
      </c>
      <c r="L1552" s="14" t="n">
        <v>1</v>
      </c>
      <c r="M1552" s="14" t="n">
        <v>1</v>
      </c>
      <c r="N1552" s="5" t="inlineStr">
        <is>
          <t>%</t>
        </is>
      </c>
      <c r="O1552" s="5" t="inlineStr">
        <is>
          <t>%</t>
        </is>
      </c>
      <c r="P1552" s="15" t="n">
        <v>0</v>
      </c>
      <c r="Q1552" s="15" t="n">
        <v>0</v>
      </c>
      <c r="R1552" s="5" t="inlineStr">
        <is>
          <t>301-2023-06-30</t>
        </is>
      </c>
    </row>
    <row r="1553" hidden="1">
      <c r="A1553" s="21" t="n">
        <v>301</v>
      </c>
      <c r="B1553" s="5" t="inlineStr">
        <is>
          <t>Cumplimiento plan de trabajo</t>
        </is>
      </c>
      <c r="C1553" s="5" t="inlineStr">
        <is>
          <t>Administración de Servicios Generales</t>
        </is>
      </c>
      <c r="D1553" s="5" t="inlineStr">
        <is>
          <t>Trimestral</t>
        </is>
      </c>
      <c r="E1553" s="5" t="inlineStr">
        <is>
          <t>Positivo</t>
        </is>
      </c>
      <c r="F1553" s="109" t="n">
        <v>45199</v>
      </c>
      <c r="G1553" s="5" t="n">
        <v>2023</v>
      </c>
      <c r="H1553" s="5" t="inlineStr">
        <is>
          <t>Septiembre</t>
        </is>
      </c>
      <c r="I1553" s="6" t="inlineStr">
        <is>
          <t>2023-2</t>
        </is>
      </c>
      <c r="J1553" s="5" t="n">
        <v>100</v>
      </c>
      <c r="K1553" s="9" t="n">
        <v>100</v>
      </c>
      <c r="L1553" s="14" t="n">
        <v>1</v>
      </c>
      <c r="M1553" s="14" t="n">
        <v>1</v>
      </c>
      <c r="N1553" s="5" t="inlineStr">
        <is>
          <t>%</t>
        </is>
      </c>
      <c r="O1553" s="5" t="inlineStr">
        <is>
          <t>%</t>
        </is>
      </c>
      <c r="P1553" s="15" t="n">
        <v>0</v>
      </c>
      <c r="Q1553" s="15" t="n">
        <v>0</v>
      </c>
      <c r="R1553" s="5" t="inlineStr">
        <is>
          <t>301-2023-09-30</t>
        </is>
      </c>
    </row>
    <row r="1554" hidden="1">
      <c r="A1554" s="21" t="n">
        <v>301</v>
      </c>
      <c r="B1554" s="5" t="inlineStr">
        <is>
          <t>Cumplimiento plan de trabajo</t>
        </is>
      </c>
      <c r="C1554" s="5" t="inlineStr">
        <is>
          <t>Administración de Servicios Generales</t>
        </is>
      </c>
      <c r="D1554" s="5" t="inlineStr">
        <is>
          <t>Trimestral</t>
        </is>
      </c>
      <c r="E1554" s="5" t="inlineStr">
        <is>
          <t>Positivo</t>
        </is>
      </c>
      <c r="F1554" s="109" t="n">
        <v>45291</v>
      </c>
      <c r="G1554" s="5" t="n">
        <v>2023</v>
      </c>
      <c r="H1554" s="5" t="inlineStr">
        <is>
          <t>Diciembre</t>
        </is>
      </c>
      <c r="I1554" s="6" t="inlineStr">
        <is>
          <t>2023-2</t>
        </is>
      </c>
      <c r="J1554" s="5" t="n">
        <v>100</v>
      </c>
      <c r="K1554" s="9" t="n">
        <v>100</v>
      </c>
      <c r="L1554" s="14" t="n">
        <v>1</v>
      </c>
      <c r="M1554" s="14" t="n">
        <v>1</v>
      </c>
      <c r="N1554" s="5" t="inlineStr">
        <is>
          <t>%</t>
        </is>
      </c>
      <c r="O1554" s="5" t="inlineStr">
        <is>
          <t>%</t>
        </is>
      </c>
      <c r="P1554" s="15" t="n">
        <v>0</v>
      </c>
      <c r="Q1554" s="15" t="n">
        <v>0</v>
      </c>
      <c r="R1554" s="5" t="inlineStr">
        <is>
          <t>301-2023-12-31</t>
        </is>
      </c>
    </row>
    <row r="1555" hidden="1">
      <c r="A1555" s="21" t="n">
        <v>301</v>
      </c>
      <c r="B1555" s="5" t="inlineStr">
        <is>
          <t>Cumplimiento plan de trabajo</t>
        </is>
      </c>
      <c r="C1555" s="5" t="inlineStr">
        <is>
          <t>Administración de Servicios Generales</t>
        </is>
      </c>
      <c r="D1555" s="5" t="inlineStr">
        <is>
          <t>Trimestral</t>
        </is>
      </c>
      <c r="E1555" s="5" t="inlineStr">
        <is>
          <t>Positivo</t>
        </is>
      </c>
      <c r="F1555" s="113" t="n">
        <v>45382</v>
      </c>
      <c r="G1555" s="5" t="n">
        <v>2024</v>
      </c>
      <c r="H1555" s="5" t="inlineStr">
        <is>
          <t>Marzo</t>
        </is>
      </c>
      <c r="I1555" s="6" t="inlineStr">
        <is>
          <t>2024-1</t>
        </is>
      </c>
      <c r="J1555" s="5" t="n">
        <v>100</v>
      </c>
      <c r="K1555" s="96" t="n">
        <v>100</v>
      </c>
      <c r="L1555" s="14" t="n">
        <v>1</v>
      </c>
      <c r="M1555" s="14" t="n">
        <v>1</v>
      </c>
      <c r="N1555" s="5" t="inlineStr">
        <is>
          <t>%</t>
        </is>
      </c>
      <c r="O1555" s="5" t="inlineStr">
        <is>
          <t>%</t>
        </is>
      </c>
      <c r="P1555" s="15" t="n">
        <v>0</v>
      </c>
      <c r="Q1555" s="15" t="n">
        <v>0</v>
      </c>
      <c r="R1555" s="5" t="inlineStr">
        <is>
          <t>301-2024-03-31</t>
        </is>
      </c>
    </row>
    <row r="1556" hidden="1">
      <c r="A1556" s="21" t="n">
        <v>301</v>
      </c>
      <c r="B1556" s="5" t="inlineStr">
        <is>
          <t>Cumplimiento plan de trabajo</t>
        </is>
      </c>
      <c r="C1556" s="5" t="inlineStr">
        <is>
          <t>Administración de Servicios Generales</t>
        </is>
      </c>
      <c r="D1556" s="5" t="inlineStr">
        <is>
          <t>Trimestral</t>
        </is>
      </c>
      <c r="E1556" s="5" t="inlineStr">
        <is>
          <t>Positivo</t>
        </is>
      </c>
      <c r="F1556" s="113" t="n">
        <v>45473</v>
      </c>
      <c r="G1556" s="5" t="n">
        <v>2024</v>
      </c>
      <c r="H1556" s="5" t="inlineStr">
        <is>
          <t>Junio</t>
        </is>
      </c>
      <c r="I1556" s="6" t="inlineStr">
        <is>
          <t>2024-1</t>
        </is>
      </c>
      <c r="J1556" s="5" t="n">
        <v>100</v>
      </c>
      <c r="K1556" s="96" t="n">
        <v>100</v>
      </c>
      <c r="L1556" s="14" t="n">
        <v>1</v>
      </c>
      <c r="M1556" s="14" t="n">
        <v>1</v>
      </c>
      <c r="N1556" s="5" t="inlineStr">
        <is>
          <t>%</t>
        </is>
      </c>
      <c r="O1556" s="5" t="inlineStr">
        <is>
          <t>%</t>
        </is>
      </c>
      <c r="P1556" s="15" t="n">
        <v>0</v>
      </c>
      <c r="Q1556" s="15" t="n">
        <v>0</v>
      </c>
      <c r="R1556" s="5" t="inlineStr">
        <is>
          <t>301-2024-06-30</t>
        </is>
      </c>
    </row>
    <row r="1557" hidden="1">
      <c r="A1557" s="21" t="n">
        <v>301</v>
      </c>
      <c r="B1557" s="5" t="inlineStr">
        <is>
          <t>Cumplimiento plan de trabajo</t>
        </is>
      </c>
      <c r="C1557" s="5" t="inlineStr">
        <is>
          <t>Administración de Servicios Generales</t>
        </is>
      </c>
      <c r="D1557" s="5" t="inlineStr">
        <is>
          <t>Trimestral</t>
        </is>
      </c>
      <c r="E1557" s="5" t="inlineStr">
        <is>
          <t>Positivo</t>
        </is>
      </c>
      <c r="F1557" s="113" t="n">
        <v>45565</v>
      </c>
      <c r="G1557" s="5" t="n">
        <v>2024</v>
      </c>
      <c r="H1557" s="5" t="inlineStr">
        <is>
          <t>Septiembre</t>
        </is>
      </c>
      <c r="I1557" s="6" t="inlineStr">
        <is>
          <t>2024-2</t>
        </is>
      </c>
      <c r="J1557" s="5" t="n">
        <v>100</v>
      </c>
      <c r="K1557" s="96" t="n">
        <v>100</v>
      </c>
      <c r="L1557" s="14" t="n">
        <v>1</v>
      </c>
      <c r="M1557" s="14" t="n">
        <v>1</v>
      </c>
      <c r="N1557" s="5" t="inlineStr">
        <is>
          <t>%</t>
        </is>
      </c>
      <c r="O1557" s="5" t="inlineStr">
        <is>
          <t>%</t>
        </is>
      </c>
      <c r="P1557" s="15" t="n">
        <v>0</v>
      </c>
      <c r="Q1557" s="15" t="n">
        <v>0</v>
      </c>
      <c r="R1557" s="5" t="inlineStr">
        <is>
          <t>301-2024-09-30</t>
        </is>
      </c>
    </row>
    <row r="1558" hidden="1">
      <c r="A1558" s="21" t="n">
        <v>301</v>
      </c>
      <c r="B1558" s="5" t="inlineStr">
        <is>
          <t>Cumplimiento plan de trabajo</t>
        </is>
      </c>
      <c r="C1558" s="5" t="inlineStr">
        <is>
          <t>Administración de Servicios Generales</t>
        </is>
      </c>
      <c r="D1558" s="5" t="inlineStr">
        <is>
          <t>Trimestral</t>
        </is>
      </c>
      <c r="E1558" s="5" t="inlineStr">
        <is>
          <t>Positivo</t>
        </is>
      </c>
      <c r="F1558" s="113" t="n">
        <v>45657</v>
      </c>
      <c r="G1558" s="5" t="n">
        <v>2024</v>
      </c>
      <c r="H1558" s="5" t="inlineStr">
        <is>
          <t>Diciembre</t>
        </is>
      </c>
      <c r="I1558" s="6" t="inlineStr">
        <is>
          <t>2024-2</t>
        </is>
      </c>
      <c r="J1558" s="5" t="n">
        <v>100</v>
      </c>
      <c r="K1558" s="96" t="n">
        <v>100</v>
      </c>
      <c r="L1558" s="14" t="n">
        <v>1</v>
      </c>
      <c r="M1558" s="14" t="n">
        <v>1</v>
      </c>
      <c r="N1558" s="5" t="inlineStr">
        <is>
          <t>%</t>
        </is>
      </c>
      <c r="O1558" s="5" t="inlineStr">
        <is>
          <t>%</t>
        </is>
      </c>
      <c r="P1558" s="15" t="n">
        <v>0</v>
      </c>
      <c r="Q1558" s="15" t="n">
        <v>0</v>
      </c>
      <c r="R1558" s="5" t="inlineStr">
        <is>
          <t>301-2024-12-31</t>
        </is>
      </c>
    </row>
    <row r="1559" hidden="1">
      <c r="A1559" s="21" t="n">
        <v>301</v>
      </c>
      <c r="B1559" s="5" t="inlineStr">
        <is>
          <t>Cumplimiento plan de trabajo</t>
        </is>
      </c>
      <c r="C1559" s="5" t="inlineStr">
        <is>
          <t>Administración de Servicios Generales</t>
        </is>
      </c>
      <c r="D1559" s="5" t="inlineStr">
        <is>
          <t>Trimestral</t>
        </is>
      </c>
      <c r="E1559" s="5" t="inlineStr">
        <is>
          <t>Positivo</t>
        </is>
      </c>
      <c r="F1559" s="113" t="n">
        <v>45747</v>
      </c>
      <c r="G1559" s="5" t="n">
        <v>2025</v>
      </c>
      <c r="H1559" s="5" t="inlineStr">
        <is>
          <t>Marzo</t>
        </is>
      </c>
      <c r="I1559" s="6" t="inlineStr">
        <is>
          <t>2025-1</t>
        </is>
      </c>
      <c r="J1559" s="5" t="n">
        <v>100</v>
      </c>
      <c r="K1559" s="96" t="n">
        <v>100</v>
      </c>
      <c r="L1559" s="14" t="n">
        <v>1</v>
      </c>
      <c r="M1559" s="14" t="n">
        <v>1</v>
      </c>
      <c r="N1559" s="5" t="inlineStr">
        <is>
          <t>%</t>
        </is>
      </c>
      <c r="O1559" s="5" t="inlineStr">
        <is>
          <t>%</t>
        </is>
      </c>
      <c r="P1559" s="15" t="n">
        <v>0</v>
      </c>
      <c r="Q1559" s="15" t="n">
        <v>0</v>
      </c>
      <c r="R1559" s="5" t="inlineStr">
        <is>
          <t>301-2025-03-31</t>
        </is>
      </c>
    </row>
    <row r="1560" hidden="1">
      <c r="A1560" s="21" t="n">
        <v>301</v>
      </c>
      <c r="B1560" s="5" t="inlineStr">
        <is>
          <t>Cumplimiento plan de trabajo</t>
        </is>
      </c>
      <c r="C1560" s="5" t="inlineStr">
        <is>
          <t>Administración de Servicios Generales</t>
        </is>
      </c>
      <c r="D1560" s="5" t="inlineStr">
        <is>
          <t>Trimestral</t>
        </is>
      </c>
      <c r="E1560" s="5" t="inlineStr">
        <is>
          <t>Positivo</t>
        </is>
      </c>
      <c r="F1560" s="113" t="n">
        <v>45838</v>
      </c>
      <c r="G1560" s="5" t="n">
        <v>2025</v>
      </c>
      <c r="H1560" s="5" t="inlineStr">
        <is>
          <t>Junio</t>
        </is>
      </c>
      <c r="I1560" s="6" t="inlineStr">
        <is>
          <t>2025-1</t>
        </is>
      </c>
      <c r="J1560" s="5" t="n">
        <v>100</v>
      </c>
      <c r="K1560" s="5" t="n">
        <v>100</v>
      </c>
      <c r="L1560" s="14" t="n">
        <v>1</v>
      </c>
      <c r="M1560" s="14" t="n">
        <v>1</v>
      </c>
      <c r="N1560" s="5" t="inlineStr">
        <is>
          <t>%</t>
        </is>
      </c>
      <c r="O1560" s="5" t="inlineStr">
        <is>
          <t>%</t>
        </is>
      </c>
      <c r="P1560" s="15" t="n">
        <v>0</v>
      </c>
      <c r="Q1560" s="15" t="n">
        <v>0</v>
      </c>
      <c r="R1560" s="5" t="inlineStr">
        <is>
          <t>301-2025-06-30</t>
        </is>
      </c>
    </row>
    <row r="1561" hidden="1">
      <c r="A1561" s="21" t="n">
        <v>301</v>
      </c>
      <c r="B1561" s="5" t="inlineStr">
        <is>
          <t>Cumplimiento plan de trabajo</t>
        </is>
      </c>
      <c r="C1561" s="5" t="inlineStr">
        <is>
          <t>Administración de Servicios Generales</t>
        </is>
      </c>
      <c r="D1561" s="5" t="inlineStr">
        <is>
          <t>Semestral</t>
        </is>
      </c>
      <c r="E1561" s="5" t="inlineStr">
        <is>
          <t>Positivo</t>
        </is>
      </c>
      <c r="F1561" s="113" t="n">
        <v>45930</v>
      </c>
      <c r="G1561" s="5" t="n">
        <v>2025</v>
      </c>
      <c r="H1561" s="5" t="inlineStr">
        <is>
          <t>Septiembre</t>
        </is>
      </c>
      <c r="I1561" s="6" t="inlineStr">
        <is>
          <t>2025-2</t>
        </is>
      </c>
      <c r="J1561" s="5" t="n">
        <v>100</v>
      </c>
      <c r="K1561" s="9" t="n">
        <v>100</v>
      </c>
      <c r="L1561" s="14" t="n">
        <v>1</v>
      </c>
      <c r="M1561" s="14" t="n">
        <v>1</v>
      </c>
      <c r="N1561" s="5" t="inlineStr">
        <is>
          <t>%</t>
        </is>
      </c>
      <c r="O1561" s="5" t="inlineStr">
        <is>
          <t>%</t>
        </is>
      </c>
      <c r="P1561" s="15" t="n">
        <v>0</v>
      </c>
      <c r="Q1561" s="15" t="n">
        <v>0</v>
      </c>
      <c r="R1561" s="5" t="inlineStr">
        <is>
          <t>301-2025-09-30</t>
        </is>
      </c>
    </row>
    <row r="1562" hidden="1">
      <c r="A1562" s="21" t="n">
        <v>301</v>
      </c>
      <c r="B1562" s="5" t="inlineStr">
        <is>
          <t>Cumplimiento plan de trabajo</t>
        </is>
      </c>
      <c r="C1562" s="5" t="inlineStr">
        <is>
          <t>Administración de Servicios Generales</t>
        </is>
      </c>
      <c r="D1562" s="5" t="inlineStr">
        <is>
          <t>Semestral</t>
        </is>
      </c>
      <c r="E1562" s="5" t="inlineStr">
        <is>
          <t>Positivo</t>
        </is>
      </c>
      <c r="F1562" s="113" t="n">
        <v>46022</v>
      </c>
      <c r="G1562" s="5" t="n">
        <v>2025</v>
      </c>
      <c r="H1562" s="5" t="inlineStr">
        <is>
          <t>Diciembre</t>
        </is>
      </c>
      <c r="I1562" s="6" t="inlineStr">
        <is>
          <t>2025-2</t>
        </is>
      </c>
      <c r="J1562" s="5" t="n">
        <v>100</v>
      </c>
      <c r="K1562" s="9" t="n">
        <v>100</v>
      </c>
      <c r="L1562" s="14" t="n">
        <v>1</v>
      </c>
      <c r="M1562" s="14" t="n">
        <v>1</v>
      </c>
      <c r="N1562" s="5" t="inlineStr">
        <is>
          <t>%</t>
        </is>
      </c>
      <c r="O1562" s="5" t="inlineStr">
        <is>
          <t>%</t>
        </is>
      </c>
      <c r="P1562" s="15" t="n">
        <v>0</v>
      </c>
      <c r="Q1562" s="15" t="n">
        <v>0</v>
      </c>
      <c r="R1562" s="5" t="inlineStr">
        <is>
          <t>301-2025-12-31</t>
        </is>
      </c>
    </row>
    <row r="1563" hidden="1">
      <c r="A1563" s="21" t="n">
        <v>301</v>
      </c>
      <c r="B1563" s="5" t="inlineStr">
        <is>
          <t>Cumplimiento plan de trabajo</t>
        </is>
      </c>
      <c r="C1563" s="5" t="inlineStr">
        <is>
          <t>Administración de Servicios Generales</t>
        </is>
      </c>
      <c r="D1563" s="5" t="inlineStr">
        <is>
          <t>Semestral</t>
        </is>
      </c>
      <c r="E1563" s="5" t="inlineStr">
        <is>
          <t>Positivo</t>
        </is>
      </c>
      <c r="F1563" s="113" t="n">
        <v>46112</v>
      </c>
      <c r="G1563" s="5" t="n">
        <v>2026</v>
      </c>
      <c r="H1563" s="5" t="inlineStr">
        <is>
          <t>Marzo</t>
        </is>
      </c>
      <c r="I1563" s="6" t="inlineStr">
        <is>
          <t>2026-1</t>
        </is>
      </c>
      <c r="J1563" s="5" t="n">
        <v>100</v>
      </c>
      <c r="K1563" s="9" t="n">
        <v>100</v>
      </c>
      <c r="L1563" s="14" t="n">
        <v>1</v>
      </c>
      <c r="M1563" s="14" t="n">
        <v>1</v>
      </c>
      <c r="N1563" s="5" t="inlineStr">
        <is>
          <t>%</t>
        </is>
      </c>
      <c r="O1563" s="5" t="inlineStr">
        <is>
          <t>%</t>
        </is>
      </c>
      <c r="P1563" s="15" t="n">
        <v>0</v>
      </c>
      <c r="Q1563" s="15" t="n">
        <v>0</v>
      </c>
      <c r="R1563" s="5" t="inlineStr">
        <is>
          <t>301-2026-03-31</t>
        </is>
      </c>
    </row>
    <row r="1564" hidden="1">
      <c r="A1564" s="21" t="n">
        <v>302</v>
      </c>
      <c r="B1564" s="5" t="inlineStr">
        <is>
          <t>N de solicitudes radicadas</t>
        </is>
      </c>
      <c r="C1564" s="5" t="inlineStr">
        <is>
          <t>Centro de Medios Audiovisuales</t>
        </is>
      </c>
      <c r="D1564" s="5" t="inlineStr">
        <is>
          <t>Semestral</t>
        </is>
      </c>
      <c r="E1564" s="5" t="inlineStr">
        <is>
          <t>Positivo</t>
        </is>
      </c>
      <c r="F1564" s="113" t="n">
        <v>45107</v>
      </c>
      <c r="G1564" s="5" t="n">
        <v>2023</v>
      </c>
      <c r="H1564" s="5" t="inlineStr">
        <is>
          <t>Junio</t>
        </is>
      </c>
      <c r="I1564" s="6" t="inlineStr">
        <is>
          <t>2023-1</t>
        </is>
      </c>
      <c r="J1564" s="5" t="n">
        <v>0</v>
      </c>
      <c r="K1564" s="9" t="n">
        <v>0</v>
      </c>
      <c r="L1564" s="14" t="n">
        <v>1</v>
      </c>
      <c r="M1564" s="14" t="n">
        <v>1</v>
      </c>
      <c r="N1564" s="5" t="inlineStr">
        <is>
          <t>%</t>
        </is>
      </c>
      <c r="O1564" s="5" t="inlineStr">
        <is>
          <t>%</t>
        </is>
      </c>
      <c r="P1564" s="15" t="n">
        <v>0</v>
      </c>
      <c r="Q1564" s="15" t="n">
        <v>0</v>
      </c>
      <c r="R1564" s="5" t="inlineStr">
        <is>
          <t>302-2023-06-30</t>
        </is>
      </c>
    </row>
    <row r="1565" hidden="1">
      <c r="A1565" s="21" t="n">
        <v>302</v>
      </c>
      <c r="B1565" s="5" t="inlineStr">
        <is>
          <t>N de solicitudes radicadas</t>
        </is>
      </c>
      <c r="C1565" s="5" t="inlineStr">
        <is>
          <t>Centro de Medios Audiovisuales</t>
        </is>
      </c>
      <c r="D1565" s="5" t="inlineStr">
        <is>
          <t>Semestral</t>
        </is>
      </c>
      <c r="E1565" s="5" t="inlineStr">
        <is>
          <t>Positivo</t>
        </is>
      </c>
      <c r="F1565" s="109" t="n">
        <v>45291</v>
      </c>
      <c r="G1565" s="5" t="n">
        <v>2023</v>
      </c>
      <c r="H1565" s="5" t="inlineStr">
        <is>
          <t>Diciembre</t>
        </is>
      </c>
      <c r="I1565" s="6" t="inlineStr">
        <is>
          <t>2023-2</t>
        </is>
      </c>
      <c r="J1565" s="5" t="n">
        <v>0</v>
      </c>
      <c r="K1565" s="5" t="n">
        <v>0</v>
      </c>
      <c r="L1565" s="14" t="n">
        <v>1</v>
      </c>
      <c r="M1565" s="14" t="n">
        <v>1</v>
      </c>
      <c r="N1565" s="5" t="inlineStr">
        <is>
          <t>%</t>
        </is>
      </c>
      <c r="O1565" s="5" t="inlineStr">
        <is>
          <t>%</t>
        </is>
      </c>
      <c r="P1565" s="15" t="n">
        <v>0</v>
      </c>
      <c r="Q1565" s="15" t="n">
        <v>0</v>
      </c>
      <c r="R1565" s="5" t="inlineStr">
        <is>
          <t>302-2023-12-31</t>
        </is>
      </c>
    </row>
    <row r="1566" hidden="1">
      <c r="A1566" s="21" t="n">
        <v>302</v>
      </c>
      <c r="B1566" s="5" t="inlineStr">
        <is>
          <t>N de solicitudes radicadas</t>
        </is>
      </c>
      <c r="C1566" s="5" t="inlineStr">
        <is>
          <t>Centro de Medios Audiovisuales</t>
        </is>
      </c>
      <c r="D1566" s="5" t="inlineStr">
        <is>
          <t>Semestral</t>
        </is>
      </c>
      <c r="E1566" s="5" t="inlineStr">
        <is>
          <t>Positivo</t>
        </is>
      </c>
      <c r="F1566" s="109" t="n">
        <v>45473</v>
      </c>
      <c r="G1566" s="5" t="n">
        <v>2024</v>
      </c>
      <c r="H1566" s="5" t="inlineStr">
        <is>
          <t>Junio</t>
        </is>
      </c>
      <c r="I1566" s="6" t="inlineStr">
        <is>
          <t>2024-1</t>
        </is>
      </c>
      <c r="J1566" s="5" t="n">
        <v>0</v>
      </c>
      <c r="K1566" s="5" t="n">
        <v>17878</v>
      </c>
      <c r="L1566" s="14" t="n"/>
      <c r="M1566" s="14" t="n"/>
      <c r="N1566" s="5" t="n">
        <v>0</v>
      </c>
      <c r="O1566" s="5" t="inlineStr">
        <is>
          <t>ENT</t>
        </is>
      </c>
      <c r="P1566" s="15" t="n">
        <v>0</v>
      </c>
      <c r="Q1566" s="15" t="n">
        <v>0</v>
      </c>
      <c r="R1566" s="5" t="inlineStr">
        <is>
          <t>302-2024-06-30</t>
        </is>
      </c>
    </row>
    <row r="1567" hidden="1">
      <c r="A1567" s="21" t="n">
        <v>302</v>
      </c>
      <c r="B1567" s="5" t="inlineStr">
        <is>
          <t>N de solicitudes radicadas</t>
        </is>
      </c>
      <c r="C1567" s="5" t="inlineStr">
        <is>
          <t>Centro de Medios Audiovisuales</t>
        </is>
      </c>
      <c r="D1567" s="5" t="inlineStr">
        <is>
          <t>Semestral</t>
        </is>
      </c>
      <c r="E1567" s="5" t="inlineStr">
        <is>
          <t>Positivo</t>
        </is>
      </c>
      <c r="F1567" s="109" t="n">
        <v>45657</v>
      </c>
      <c r="G1567" s="5" t="n">
        <v>2024</v>
      </c>
      <c r="H1567" s="5" t="inlineStr">
        <is>
          <t>Diciembre</t>
        </is>
      </c>
      <c r="I1567" s="6" t="inlineStr">
        <is>
          <t>2024-2</t>
        </is>
      </c>
      <c r="J1567" s="5" t="n">
        <v>0</v>
      </c>
      <c r="K1567" s="5" t="n">
        <v>19142</v>
      </c>
      <c r="L1567" s="14" t="n"/>
      <c r="M1567" s="14" t="n"/>
      <c r="N1567" s="5" t="n">
        <v>0</v>
      </c>
      <c r="O1567" s="5" t="inlineStr">
        <is>
          <t>ENT</t>
        </is>
      </c>
      <c r="P1567" s="15" t="n">
        <v>0</v>
      </c>
      <c r="Q1567" s="15" t="n">
        <v>0</v>
      </c>
      <c r="R1567" s="5" t="inlineStr">
        <is>
          <t>302-2024-12-31</t>
        </is>
      </c>
    </row>
    <row r="1568" hidden="1">
      <c r="A1568" s="21" t="n">
        <v>302</v>
      </c>
      <c r="B1568" s="5" t="inlineStr">
        <is>
          <t>N de solicitudes radicadas - (Metrica)</t>
        </is>
      </c>
      <c r="C1568" s="5" t="inlineStr">
        <is>
          <t>Centro de Medios Audiovisuales</t>
        </is>
      </c>
      <c r="D1568" s="5" t="inlineStr">
        <is>
          <t>Trimestral</t>
        </is>
      </c>
      <c r="E1568" s="5" t="inlineStr">
        <is>
          <t>Positivo</t>
        </is>
      </c>
      <c r="F1568" s="109" t="n">
        <v>45838</v>
      </c>
      <c r="G1568" s="5" t="n">
        <v>2025</v>
      </c>
      <c r="H1568" s="5" t="inlineStr">
        <is>
          <t>Junio</t>
        </is>
      </c>
      <c r="I1568" s="6" t="inlineStr">
        <is>
          <t>2025-1</t>
        </is>
      </c>
      <c r="J1568" s="5" t="n"/>
      <c r="K1568" s="5" t="n">
        <v>21712</v>
      </c>
      <c r="L1568" s="14" t="n"/>
      <c r="M1568" s="14" t="n"/>
      <c r="N1568" s="5" t="inlineStr">
        <is>
          <t>%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302-2025-06-30</t>
        </is>
      </c>
      <c r="S1568" t="inlineStr">
        <is>
          <t>Metrica</t>
        </is>
      </c>
    </row>
    <row r="1569" hidden="1">
      <c r="A1569" s="21" t="n">
        <v>302</v>
      </c>
      <c r="B1569" s="5" t="inlineStr">
        <is>
          <t>N de solicitudes radicadas - (Metrica)</t>
        </is>
      </c>
      <c r="C1569" s="5" t="inlineStr">
        <is>
          <t>Centro de Medios Audiovisuales</t>
        </is>
      </c>
      <c r="D1569" s="5" t="inlineStr">
        <is>
          <t>Trimestral</t>
        </is>
      </c>
      <c r="E1569" s="5" t="inlineStr">
        <is>
          <t>Positivo</t>
        </is>
      </c>
      <c r="F1569" s="109" t="n">
        <v>46022</v>
      </c>
      <c r="G1569" s="5" t="n">
        <v>2025</v>
      </c>
      <c r="H1569" s="5" t="inlineStr">
        <is>
          <t>Diciembre</t>
        </is>
      </c>
      <c r="I1569" s="6" t="inlineStr">
        <is>
          <t>2025-2</t>
        </is>
      </c>
      <c r="J1569" s="5" t="n"/>
      <c r="K1569" s="5" t="n">
        <v>31371</v>
      </c>
      <c r="L1569" s="14" t="n"/>
      <c r="M1569" s="14" t="n"/>
      <c r="N1569" s="5" t="inlineStr">
        <is>
          <t>%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302-2025-12-31</t>
        </is>
      </c>
      <c r="S1569" t="inlineStr">
        <is>
          <t>Metrica</t>
        </is>
      </c>
    </row>
    <row r="1570" hidden="1">
      <c r="A1570" s="21" t="n">
        <v>303</v>
      </c>
      <c r="B1570" s="5" t="inlineStr">
        <is>
          <t>Cumplimiento del cronograma de actividades de salud</t>
        </is>
      </c>
      <c r="C1570" s="5" t="inlineStr">
        <is>
          <t>Servicio de Salud</t>
        </is>
      </c>
      <c r="D1570" s="5" t="inlineStr">
        <is>
          <t>Semestral</t>
        </is>
      </c>
      <c r="E1570" s="5" t="inlineStr">
        <is>
          <t>Positivo</t>
        </is>
      </c>
      <c r="F1570" s="109" t="n">
        <v>45107</v>
      </c>
      <c r="G1570" s="5" t="n">
        <v>2023</v>
      </c>
      <c r="H1570" s="5" t="inlineStr">
        <is>
          <t>Junio</t>
        </is>
      </c>
      <c r="I1570" s="6" t="inlineStr">
        <is>
          <t>2023-1</t>
        </is>
      </c>
      <c r="J1570" s="5" t="n">
        <v>100</v>
      </c>
      <c r="K1570" s="5" t="n">
        <v>75.75757575757601</v>
      </c>
      <c r="L1570" s="14" t="n">
        <v>0.75757575757576</v>
      </c>
      <c r="M1570" s="14" t="n">
        <v>0.75757575757576</v>
      </c>
      <c r="N1570" s="5" t="inlineStr">
        <is>
          <t>%</t>
        </is>
      </c>
      <c r="O1570" s="5" t="inlineStr">
        <is>
          <t>%</t>
        </is>
      </c>
      <c r="P1570" s="15" t="n">
        <v>0</v>
      </c>
      <c r="Q1570" s="15" t="n">
        <v>0</v>
      </c>
      <c r="R1570" s="5" t="inlineStr">
        <is>
          <t>303-2023-06-30</t>
        </is>
      </c>
    </row>
    <row r="1571" hidden="1">
      <c r="A1571" s="21" t="n">
        <v>303</v>
      </c>
      <c r="B1571" s="5" t="inlineStr">
        <is>
          <t>Cumplimiento del cronograma de actividades de salud</t>
        </is>
      </c>
      <c r="C1571" s="5" t="inlineStr">
        <is>
          <t>Servicio de Salud</t>
        </is>
      </c>
      <c r="D1571" s="5" t="inlineStr">
        <is>
          <t>Semestral</t>
        </is>
      </c>
      <c r="E1571" s="5" t="inlineStr">
        <is>
          <t>Positivo</t>
        </is>
      </c>
      <c r="F1571" s="109" t="n">
        <v>45291</v>
      </c>
      <c r="G1571" s="5" t="n">
        <v>2023</v>
      </c>
      <c r="H1571" s="5" t="inlineStr">
        <is>
          <t>Diciembre</t>
        </is>
      </c>
      <c r="I1571" s="6" t="inlineStr">
        <is>
          <t>2023-2</t>
        </is>
      </c>
      <c r="J1571" s="5" t="n">
        <v>100</v>
      </c>
      <c r="K1571" s="10" t="n">
        <v>79.54545454545455</v>
      </c>
      <c r="L1571" s="14" t="n">
        <v>0.7954545454545454</v>
      </c>
      <c r="M1571" s="14" t="n">
        <v>0.7954545454545454</v>
      </c>
      <c r="N1571" s="5" t="inlineStr">
        <is>
          <t>%</t>
        </is>
      </c>
      <c r="O1571" s="5" t="inlineStr">
        <is>
          <t>%</t>
        </is>
      </c>
      <c r="P1571" s="15" t="n">
        <v>0</v>
      </c>
      <c r="Q1571" s="15" t="n">
        <v>0</v>
      </c>
      <c r="R1571" s="5" t="inlineStr">
        <is>
          <t>303-2023-12-31</t>
        </is>
      </c>
    </row>
    <row r="1572" hidden="1">
      <c r="A1572" s="21" t="n">
        <v>303</v>
      </c>
      <c r="B1572" s="5" t="inlineStr">
        <is>
          <t>Cumplimiento del cronograma de actividades de salud</t>
        </is>
      </c>
      <c r="C1572" s="5" t="inlineStr">
        <is>
          <t>Servicio de Salud</t>
        </is>
      </c>
      <c r="D1572" s="5" t="inlineStr">
        <is>
          <t>Semestral</t>
        </is>
      </c>
      <c r="E1572" s="5" t="inlineStr">
        <is>
          <t>Positivo</t>
        </is>
      </c>
      <c r="F1572" s="109" t="n">
        <v>45473</v>
      </c>
      <c r="G1572" s="5" t="n">
        <v>2024</v>
      </c>
      <c r="H1572" s="5" t="inlineStr">
        <is>
          <t>Junio</t>
        </is>
      </c>
      <c r="I1572" s="6" t="inlineStr">
        <is>
          <t>2024-1</t>
        </is>
      </c>
      <c r="J1572" s="5" t="n">
        <v>95</v>
      </c>
      <c r="K1572" s="10" t="n">
        <v>100</v>
      </c>
      <c r="L1572" s="14" t="n">
        <v>1.052631578947368</v>
      </c>
      <c r="M1572" s="14" t="n">
        <v>1.052631578947368</v>
      </c>
      <c r="N1572" s="5" t="inlineStr">
        <is>
          <t>%</t>
        </is>
      </c>
      <c r="O1572" s="5" t="inlineStr">
        <is>
          <t>%</t>
        </is>
      </c>
      <c r="P1572" s="15" t="n">
        <v>0</v>
      </c>
      <c r="Q1572" s="15" t="n">
        <v>0</v>
      </c>
      <c r="R1572" s="5" t="inlineStr">
        <is>
          <t>303-2024-06-30</t>
        </is>
      </c>
    </row>
    <row r="1573" hidden="1">
      <c r="A1573" s="21" t="n">
        <v>303</v>
      </c>
      <c r="B1573" s="5" t="inlineStr">
        <is>
          <t>Cumplimiento del cronograma de actividades de salud</t>
        </is>
      </c>
      <c r="C1573" s="5" t="inlineStr">
        <is>
          <t>Servicio de Salud</t>
        </is>
      </c>
      <c r="D1573" s="5" t="inlineStr">
        <is>
          <t>Semestral</t>
        </is>
      </c>
      <c r="E1573" s="5" t="inlineStr">
        <is>
          <t>Positivo</t>
        </is>
      </c>
      <c r="F1573" s="109" t="n">
        <v>45657</v>
      </c>
      <c r="G1573" s="5" t="n">
        <v>2024</v>
      </c>
      <c r="H1573" s="5" t="inlineStr">
        <is>
          <t>Diciembre</t>
        </is>
      </c>
      <c r="I1573" s="6" t="inlineStr">
        <is>
          <t>2024-2</t>
        </is>
      </c>
      <c r="J1573" s="5" t="n">
        <v>95</v>
      </c>
      <c r="K1573" s="5" t="n">
        <v>95.65217391304348</v>
      </c>
      <c r="L1573" s="14" t="n">
        <v>1.006864988558352</v>
      </c>
      <c r="M1573" s="14" t="n">
        <v>1.006864988558352</v>
      </c>
      <c r="N1573" s="5" t="inlineStr">
        <is>
          <t>%</t>
        </is>
      </c>
      <c r="O1573" s="5" t="inlineStr">
        <is>
          <t>%</t>
        </is>
      </c>
      <c r="P1573" s="15" t="n">
        <v>0</v>
      </c>
      <c r="Q1573" s="15" t="n">
        <v>0</v>
      </c>
      <c r="R1573" s="5" t="inlineStr">
        <is>
          <t>303-2024-12-31</t>
        </is>
      </c>
    </row>
    <row r="1574" hidden="1">
      <c r="A1574" s="5" t="n">
        <v>303</v>
      </c>
      <c r="B1574" s="5" t="inlineStr">
        <is>
          <t>Cumplimiento del cronograma de actividades de salud</t>
        </is>
      </c>
      <c r="C1574" s="5" t="inlineStr">
        <is>
          <t>Servicio de Salud</t>
        </is>
      </c>
      <c r="D1574" s="5" t="inlineStr">
        <is>
          <t>Semestral</t>
        </is>
      </c>
      <c r="E1574" s="5" t="inlineStr">
        <is>
          <t>Positivo</t>
        </is>
      </c>
      <c r="F1574" s="109" t="n">
        <v>45838</v>
      </c>
      <c r="G1574" s="5" t="n">
        <v>2025</v>
      </c>
      <c r="H1574" s="5" t="inlineStr">
        <is>
          <t>Junio</t>
        </is>
      </c>
      <c r="I1574" s="6" t="inlineStr">
        <is>
          <t>2025-1</t>
        </is>
      </c>
      <c r="J1574" s="5" t="n">
        <v>95</v>
      </c>
      <c r="K1574" s="5" t="n">
        <v>90.31999999999999</v>
      </c>
      <c r="L1574" s="14" t="n">
        <v>0.9507368421052631</v>
      </c>
      <c r="M1574" s="14" t="n">
        <v>0.9507368421052631</v>
      </c>
      <c r="N1574" s="5" t="inlineStr">
        <is>
          <t>%</t>
        </is>
      </c>
      <c r="O1574" s="5" t="inlineStr">
        <is>
          <t>%</t>
        </is>
      </c>
      <c r="P1574" s="5" t="n">
        <v>0</v>
      </c>
      <c r="Q1574" s="5" t="n">
        <v>0</v>
      </c>
      <c r="R1574" s="5" t="inlineStr">
        <is>
          <t>303-2025-06-30</t>
        </is>
      </c>
    </row>
    <row r="1575" hidden="1">
      <c r="A1575" s="21" t="n">
        <v>303</v>
      </c>
      <c r="B1575" s="5" t="inlineStr">
        <is>
          <t>Cumplimiento del cronograma de actividades de salud</t>
        </is>
      </c>
      <c r="C1575" s="5" t="inlineStr">
        <is>
          <t>Servicio de Salud</t>
        </is>
      </c>
      <c r="D1575" s="5" t="inlineStr">
        <is>
          <t>Trimestral</t>
        </is>
      </c>
      <c r="E1575" s="5" t="inlineStr">
        <is>
          <t>Positivo</t>
        </is>
      </c>
      <c r="F1575" s="109" t="n">
        <v>46022</v>
      </c>
      <c r="G1575" s="5" t="n">
        <v>2025</v>
      </c>
      <c r="H1575" s="5" t="inlineStr">
        <is>
          <t>Diciembre</t>
        </is>
      </c>
      <c r="I1575" s="6" t="inlineStr">
        <is>
          <t>2025-2</t>
        </is>
      </c>
      <c r="J1575" s="5" t="n">
        <v>95</v>
      </c>
      <c r="K1575" s="10" t="n">
        <v>100</v>
      </c>
      <c r="L1575" s="14" t="n">
        <v>1.052631578947368</v>
      </c>
      <c r="M1575" s="14" t="n">
        <v>1.052631578947368</v>
      </c>
      <c r="N1575" s="5" t="inlineStr">
        <is>
          <t>%</t>
        </is>
      </c>
      <c r="O1575" s="5" t="inlineStr">
        <is>
          <t>%</t>
        </is>
      </c>
      <c r="P1575" s="15" t="n">
        <v>0</v>
      </c>
      <c r="Q1575" s="15" t="n">
        <v>0</v>
      </c>
      <c r="R1575" s="5" t="inlineStr">
        <is>
          <t>303-2025-12-31</t>
        </is>
      </c>
    </row>
    <row r="1576" hidden="1">
      <c r="A1576" s="21" t="n">
        <v>304</v>
      </c>
      <c r="B1576" s="5" t="inlineStr">
        <is>
          <t>Impacto de Campañas de promoción y prevención</t>
        </is>
      </c>
      <c r="C1576" s="5" t="inlineStr">
        <is>
          <t>Servicio de Salud</t>
        </is>
      </c>
      <c r="D1576" s="5" t="inlineStr">
        <is>
          <t>Semestral</t>
        </is>
      </c>
      <c r="E1576" s="5" t="inlineStr">
        <is>
          <t>Positivo</t>
        </is>
      </c>
      <c r="F1576" s="109" t="n">
        <v>45107</v>
      </c>
      <c r="G1576" s="5" t="n">
        <v>2023</v>
      </c>
      <c r="H1576" s="5" t="inlineStr">
        <is>
          <t>Junio</t>
        </is>
      </c>
      <c r="I1576" s="6" t="inlineStr">
        <is>
          <t>2023-1</t>
        </is>
      </c>
      <c r="J1576" s="5" t="n">
        <v>100</v>
      </c>
      <c r="K1576" s="10" t="n">
        <v>189.86</v>
      </c>
      <c r="L1576" s="14" t="n">
        <v>1.3</v>
      </c>
      <c r="M1576" s="14" t="n">
        <v>1.8986</v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304-2023-06-30</t>
        </is>
      </c>
    </row>
    <row r="1577" hidden="1">
      <c r="A1577" s="26" t="n">
        <v>304</v>
      </c>
      <c r="B1577" s="5" t="inlineStr">
        <is>
          <t>Impacto de Campañas de promoción y prevención</t>
        </is>
      </c>
      <c r="C1577" s="5" t="inlineStr">
        <is>
          <t>Servicio de Salud</t>
        </is>
      </c>
      <c r="D1577" s="5" t="inlineStr">
        <is>
          <t>Semestral</t>
        </is>
      </c>
      <c r="E1577" s="5" t="inlineStr">
        <is>
          <t>Positivo</t>
        </is>
      </c>
      <c r="F1577" s="109" t="n">
        <v>45291</v>
      </c>
      <c r="G1577" s="5" t="n">
        <v>2023</v>
      </c>
      <c r="H1577" s="5" t="inlineStr">
        <is>
          <t>Diciembre</t>
        </is>
      </c>
      <c r="I1577" s="6" t="inlineStr">
        <is>
          <t>2023-2</t>
        </is>
      </c>
      <c r="J1577" s="5" t="n">
        <v>100</v>
      </c>
      <c r="K1577" s="9" t="n">
        <v>176.33</v>
      </c>
      <c r="L1577" s="14" t="n">
        <v>1.3</v>
      </c>
      <c r="M1577" s="14" t="n">
        <v>1.7633</v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304-2023-12-31</t>
        </is>
      </c>
    </row>
    <row r="1578" hidden="1">
      <c r="A1578" s="21" t="n">
        <v>304</v>
      </c>
      <c r="B1578" s="5" t="inlineStr">
        <is>
          <t>Impacto de Campañas de promoción y prevención</t>
        </is>
      </c>
      <c r="C1578" s="5" t="inlineStr">
        <is>
          <t>Servicio de Salud</t>
        </is>
      </c>
      <c r="D1578" s="5" t="inlineStr">
        <is>
          <t>Semestral</t>
        </is>
      </c>
      <c r="E1578" s="5" t="inlineStr">
        <is>
          <t>Positivo</t>
        </is>
      </c>
      <c r="F1578" s="109" t="n">
        <v>45473</v>
      </c>
      <c r="G1578" s="5" t="n">
        <v>2024</v>
      </c>
      <c r="H1578" s="5" t="inlineStr">
        <is>
          <t>Junio</t>
        </is>
      </c>
      <c r="I1578" s="6" t="inlineStr">
        <is>
          <t>2024-1</t>
        </is>
      </c>
      <c r="J1578" s="5" t="n">
        <v>100</v>
      </c>
      <c r="K1578" s="10" t="n">
        <v>100.12</v>
      </c>
      <c r="L1578" s="14" t="n">
        <v>1.0012</v>
      </c>
      <c r="M1578" s="14" t="n">
        <v>1.0012</v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304-2024-06-30</t>
        </is>
      </c>
    </row>
    <row r="1579" hidden="1">
      <c r="A1579" s="28" t="n">
        <v>304</v>
      </c>
      <c r="B1579" s="5" t="inlineStr">
        <is>
          <t>Impacto de Campañas de promoción y prevención</t>
        </is>
      </c>
      <c r="C1579" s="5" t="inlineStr">
        <is>
          <t>Servicio de Salud</t>
        </is>
      </c>
      <c r="D1579" s="5" t="inlineStr">
        <is>
          <t>Semestral</t>
        </is>
      </c>
      <c r="E1579" s="5" t="inlineStr">
        <is>
          <t>Positivo</t>
        </is>
      </c>
      <c r="F1579" s="109" t="n">
        <v>45657</v>
      </c>
      <c r="G1579" s="5" t="n">
        <v>2024</v>
      </c>
      <c r="H1579" s="5" t="inlineStr">
        <is>
          <t>Diciembre</t>
        </is>
      </c>
      <c r="I1579" s="6" t="inlineStr">
        <is>
          <t>2024-2</t>
        </is>
      </c>
      <c r="J1579" s="5" t="n">
        <v>100</v>
      </c>
      <c r="K1579" s="9" t="n">
        <v>83.56</v>
      </c>
      <c r="L1579" s="14" t="n">
        <v>0.8356</v>
      </c>
      <c r="M1579" s="14" t="n">
        <v>0.8356</v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304-2024-12-31</t>
        </is>
      </c>
    </row>
    <row r="1580" hidden="1">
      <c r="A1580" s="21" t="n">
        <v>304</v>
      </c>
      <c r="B1580" s="5" t="inlineStr">
        <is>
          <t>Impacto de Campañas de promoción y prevención</t>
        </is>
      </c>
      <c r="C1580" s="5" t="inlineStr">
        <is>
          <t>Servicio de Salud</t>
        </is>
      </c>
      <c r="D1580" s="5" t="inlineStr">
        <is>
          <t>Semestral</t>
        </is>
      </c>
      <c r="E1580" s="5" t="inlineStr">
        <is>
          <t>Positivo</t>
        </is>
      </c>
      <c r="F1580" s="109" t="n">
        <v>45838</v>
      </c>
      <c r="G1580" s="5" t="n">
        <v>2025</v>
      </c>
      <c r="H1580" s="5" t="inlineStr">
        <is>
          <t>Junio</t>
        </is>
      </c>
      <c r="I1580" s="6" t="inlineStr">
        <is>
          <t>2025-1</t>
        </is>
      </c>
      <c r="J1580" s="5" t="n">
        <v>100</v>
      </c>
      <c r="K1580" s="52" t="n">
        <v>98.47</v>
      </c>
      <c r="L1580" s="14" t="n">
        <v>0.9847</v>
      </c>
      <c r="M1580" s="14" t="n">
        <v>0.9847</v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304-2025-06-30</t>
        </is>
      </c>
    </row>
    <row r="1581" hidden="1">
      <c r="A1581" s="21" t="n">
        <v>304</v>
      </c>
      <c r="B1581" s="5" t="inlineStr">
        <is>
          <t>Impacto de Campañas de promoción y prevención</t>
        </is>
      </c>
      <c r="C1581" s="5" t="inlineStr">
        <is>
          <t>Servicio de Salud</t>
        </is>
      </c>
      <c r="D1581" s="5" t="inlineStr">
        <is>
          <t>Trimestral</t>
        </is>
      </c>
      <c r="E1581" s="5" t="inlineStr">
        <is>
          <t>Positivo</t>
        </is>
      </c>
      <c r="F1581" s="109" t="n">
        <v>46022</v>
      </c>
      <c r="G1581" s="5" t="n">
        <v>2025</v>
      </c>
      <c r="H1581" s="5" t="inlineStr">
        <is>
          <t>Diciembre</t>
        </is>
      </c>
      <c r="I1581" s="6" t="inlineStr">
        <is>
          <t>2025-2</t>
        </is>
      </c>
      <c r="J1581" s="5" t="n">
        <v>100</v>
      </c>
      <c r="K1581" s="10" t="n">
        <v>116.09</v>
      </c>
      <c r="L1581" s="14" t="n">
        <v>1.1609</v>
      </c>
      <c r="M1581" s="14" t="n">
        <v>1.1609</v>
      </c>
      <c r="N1581" s="5" t="inlineStr">
        <is>
          <t>ENT</t>
        </is>
      </c>
      <c r="O1581" s="5" t="inlineStr">
        <is>
          <t>ENT</t>
        </is>
      </c>
      <c r="P1581" s="15" t="n">
        <v>0</v>
      </c>
      <c r="Q1581" s="15" t="n">
        <v>0</v>
      </c>
      <c r="R1581" s="5" t="inlineStr">
        <is>
          <t>304-2025-12-31</t>
        </is>
      </c>
    </row>
    <row r="1582" hidden="1">
      <c r="A1582" s="21" t="n">
        <v>305</v>
      </c>
      <c r="B1582" s="5" t="inlineStr">
        <is>
          <t>Cumplimiento del plan anual de mantenimiento de equipos médicos</t>
        </is>
      </c>
      <c r="C1582" s="5" t="inlineStr">
        <is>
          <t>Servicio de Salud</t>
        </is>
      </c>
      <c r="D1582" s="5" t="inlineStr">
        <is>
          <t>Anual</t>
        </is>
      </c>
      <c r="E1582" s="5" t="inlineStr">
        <is>
          <t>Positivo</t>
        </is>
      </c>
      <c r="F1582" s="109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>
        <v>100</v>
      </c>
      <c r="K1582" s="10" t="n">
        <v>100</v>
      </c>
      <c r="L1582" s="14" t="n">
        <v>1</v>
      </c>
      <c r="M1582" s="14" t="n">
        <v>1</v>
      </c>
      <c r="N1582" s="5" t="inlineStr">
        <is>
          <t>%</t>
        </is>
      </c>
      <c r="O1582" s="5" t="inlineStr">
        <is>
          <t>%</t>
        </is>
      </c>
      <c r="P1582" s="15" t="n">
        <v>0</v>
      </c>
      <c r="Q1582" s="15" t="n">
        <v>0</v>
      </c>
      <c r="R1582" s="5" t="inlineStr">
        <is>
          <t>305-2023-12-31</t>
        </is>
      </c>
    </row>
    <row r="1583" hidden="1">
      <c r="A1583" s="21" t="n">
        <v>305</v>
      </c>
      <c r="B1583" s="5" t="inlineStr">
        <is>
          <t>Cumplimiento del plan anual de mantenimiento de equipos médicos</t>
        </is>
      </c>
      <c r="C1583" s="5" t="inlineStr">
        <is>
          <t>Servicio de Salud</t>
        </is>
      </c>
      <c r="D1583" s="5" t="inlineStr">
        <is>
          <t>Anual</t>
        </is>
      </c>
      <c r="E1583" s="5" t="inlineStr">
        <is>
          <t>Positivo</t>
        </is>
      </c>
      <c r="F1583" s="109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10" t="n">
        <v>100</v>
      </c>
      <c r="L1583" s="14" t="n">
        <v>1</v>
      </c>
      <c r="M1583" s="14" t="n">
        <v>1</v>
      </c>
      <c r="N1583" s="5" t="inlineStr">
        <is>
          <t>%</t>
        </is>
      </c>
      <c r="O1583" s="5" t="inlineStr">
        <is>
          <t>%</t>
        </is>
      </c>
      <c r="P1583" s="15" t="n">
        <v>0</v>
      </c>
      <c r="Q1583" s="15" t="n">
        <v>0</v>
      </c>
      <c r="R1583" s="5" t="inlineStr">
        <is>
          <t>305-2024-12-31</t>
        </is>
      </c>
    </row>
    <row r="1584" hidden="1">
      <c r="A1584" s="21" t="n">
        <v>306</v>
      </c>
      <c r="B1584" s="5" t="inlineStr">
        <is>
          <t>Seguimiento KPI Plan de Desarrollo Institucional</t>
        </is>
      </c>
      <c r="C1584" s="5" t="inlineStr">
        <is>
          <t>Desempeño Institucional</t>
        </is>
      </c>
      <c r="D1584" s="5" t="inlineStr">
        <is>
          <t>Semestral</t>
        </is>
      </c>
      <c r="E1584" s="5" t="inlineStr">
        <is>
          <t>Positivo</t>
        </is>
      </c>
      <c r="F1584" s="109" t="n">
        <v>45016</v>
      </c>
      <c r="G1584" s="5" t="n">
        <v>2023</v>
      </c>
      <c r="H1584" s="5" t="inlineStr">
        <is>
          <t>Marzo</t>
        </is>
      </c>
      <c r="I1584" s="6" t="inlineStr">
        <is>
          <t>2023-1</t>
        </is>
      </c>
      <c r="J1584" s="5" t="n">
        <v>100</v>
      </c>
      <c r="K1584" s="10" t="n">
        <v>0</v>
      </c>
      <c r="L1584" s="14" t="n">
        <v>0</v>
      </c>
      <c r="M1584" s="14" t="n">
        <v>0</v>
      </c>
      <c r="N1584" s="5" t="inlineStr">
        <is>
          <t>%</t>
        </is>
      </c>
      <c r="O1584" s="5" t="inlineStr">
        <is>
          <t>%</t>
        </is>
      </c>
      <c r="P1584" s="15" t="n">
        <v>0</v>
      </c>
      <c r="Q1584" s="15" t="n">
        <v>0</v>
      </c>
      <c r="R1584" s="5" t="inlineStr">
        <is>
          <t>306-2023-03-31</t>
        </is>
      </c>
    </row>
    <row r="1585" hidden="1">
      <c r="A1585" s="5" t="n">
        <v>306</v>
      </c>
      <c r="B1585" s="5" t="inlineStr">
        <is>
          <t>Seguimiento KPI Plan de Desarrollo Institucional</t>
        </is>
      </c>
      <c r="C1585" s="5" t="inlineStr">
        <is>
          <t>Desempeño Institucional</t>
        </is>
      </c>
      <c r="D1585" s="5" t="inlineStr">
        <is>
          <t>Trimestral</t>
        </is>
      </c>
      <c r="E1585" s="5" t="inlineStr">
        <is>
          <t>Positivo</t>
        </is>
      </c>
      <c r="F1585" s="109" t="n">
        <v>45107</v>
      </c>
      <c r="G1585" s="5" t="n">
        <v>2023</v>
      </c>
      <c r="H1585" s="5" t="inlineStr">
        <is>
          <t>Junio</t>
        </is>
      </c>
      <c r="I1585" s="6" t="inlineStr">
        <is>
          <t>2023-1</t>
        </is>
      </c>
      <c r="J1585" s="5" t="n">
        <v>100</v>
      </c>
      <c r="K1585" s="5" t="n">
        <v>723</v>
      </c>
      <c r="L1585" s="14" t="n">
        <v>1.3</v>
      </c>
      <c r="M1585" s="14" t="n">
        <v>7.23</v>
      </c>
      <c r="N1585" s="5" t="inlineStr">
        <is>
          <t>%</t>
        </is>
      </c>
      <c r="O1585" s="5" t="inlineStr">
        <is>
          <t>%</t>
        </is>
      </c>
      <c r="P1585" s="5" t="n">
        <v>0</v>
      </c>
      <c r="Q1585" s="5" t="n">
        <v>0</v>
      </c>
      <c r="R1585" s="5" t="inlineStr">
        <is>
          <t>306-2023-06-30</t>
        </is>
      </c>
    </row>
    <row r="1586" hidden="1">
      <c r="A1586" s="21" t="n">
        <v>306</v>
      </c>
      <c r="B1586" s="5" t="inlineStr">
        <is>
          <t>Seguimiento KPI Plan de Desarrollo Institucional</t>
        </is>
      </c>
      <c r="C1586" s="5" t="inlineStr">
        <is>
          <t>Desempeño Institucional</t>
        </is>
      </c>
      <c r="D1586" s="5" t="inlineStr">
        <is>
          <t>Trimestral</t>
        </is>
      </c>
      <c r="E1586" s="5" t="inlineStr">
        <is>
          <t>Positivo</t>
        </is>
      </c>
      <c r="F1586" s="109" t="n">
        <v>45199</v>
      </c>
      <c r="G1586" s="5" t="n">
        <v>2023</v>
      </c>
      <c r="H1586" s="5" t="inlineStr">
        <is>
          <t>Septiembre</t>
        </is>
      </c>
      <c r="I1586" s="6" t="inlineStr">
        <is>
          <t>2023-2</t>
        </is>
      </c>
      <c r="J1586" s="5" t="n">
        <v>100</v>
      </c>
      <c r="K1586" s="103" t="n">
        <v>98</v>
      </c>
      <c r="L1586" s="14" t="n">
        <v>0.98</v>
      </c>
      <c r="M1586" s="14" t="n">
        <v>0.98</v>
      </c>
      <c r="N1586" s="5" t="inlineStr">
        <is>
          <t>%</t>
        </is>
      </c>
      <c r="O1586" s="5" t="inlineStr">
        <is>
          <t>%</t>
        </is>
      </c>
      <c r="P1586" s="15" t="n">
        <v>0</v>
      </c>
      <c r="Q1586" s="15" t="n">
        <v>0</v>
      </c>
      <c r="R1586" s="5" t="inlineStr">
        <is>
          <t>306-2023-09-30</t>
        </is>
      </c>
    </row>
    <row r="1587" hidden="1">
      <c r="A1587" s="21" t="n">
        <v>306</v>
      </c>
      <c r="B1587" s="5" t="inlineStr">
        <is>
          <t>Seguimiento KPI Plan de Desarrollo Institucional</t>
        </is>
      </c>
      <c r="C1587" s="5" t="inlineStr">
        <is>
          <t>Desempeño Institucional</t>
        </is>
      </c>
      <c r="D1587" s="5" t="inlineStr">
        <is>
          <t>Trimestral</t>
        </is>
      </c>
      <c r="E1587" s="5" t="inlineStr">
        <is>
          <t>Positivo</t>
        </is>
      </c>
      <c r="F1587" s="109" t="n">
        <v>45291</v>
      </c>
      <c r="G1587" s="5" t="n">
        <v>2023</v>
      </c>
      <c r="H1587" s="5" t="inlineStr">
        <is>
          <t>Diciembre</t>
        </is>
      </c>
      <c r="I1587" s="6" t="inlineStr">
        <is>
          <t>2023-2</t>
        </is>
      </c>
      <c r="J1587" s="5" t="n">
        <v>100</v>
      </c>
      <c r="K1587" s="10" t="n">
        <v>626</v>
      </c>
      <c r="L1587" s="14" t="n">
        <v>1.3</v>
      </c>
      <c r="M1587" s="14" t="n">
        <v>6.26</v>
      </c>
      <c r="N1587" s="5" t="inlineStr">
        <is>
          <t>%</t>
        </is>
      </c>
      <c r="O1587" s="5" t="inlineStr">
        <is>
          <t>%</t>
        </is>
      </c>
      <c r="P1587" s="15" t="n">
        <v>0</v>
      </c>
      <c r="Q1587" s="15" t="n">
        <v>0</v>
      </c>
      <c r="R1587" s="5" t="inlineStr">
        <is>
          <t>306-2023-12-31</t>
        </is>
      </c>
    </row>
    <row r="1588" hidden="1">
      <c r="A1588" s="5" t="n">
        <v>306</v>
      </c>
      <c r="B1588" s="5" t="inlineStr">
        <is>
          <t>Seguimiento KPI Plan de Desarrollo Institucional</t>
        </is>
      </c>
      <c r="C1588" s="5" t="inlineStr">
        <is>
          <t>Desempeño Institucional</t>
        </is>
      </c>
      <c r="D1588" s="5" t="inlineStr">
        <is>
          <t>Trimestral</t>
        </is>
      </c>
      <c r="E1588" s="5" t="inlineStr">
        <is>
          <t>Positivo</t>
        </is>
      </c>
      <c r="F1588" s="109" t="n">
        <v>45382</v>
      </c>
      <c r="G1588" s="5" t="n">
        <v>2024</v>
      </c>
      <c r="H1588" s="5" t="inlineStr">
        <is>
          <t>Marzo</t>
        </is>
      </c>
      <c r="I1588" s="6" t="inlineStr">
        <is>
          <t>2024-1</t>
        </is>
      </c>
      <c r="J1588" s="5" t="n">
        <v>100</v>
      </c>
      <c r="K1588" s="5" t="n">
        <v>0</v>
      </c>
      <c r="L1588" s="14" t="n">
        <v>0</v>
      </c>
      <c r="M1588" s="14" t="n">
        <v>0</v>
      </c>
      <c r="N1588" s="5" t="inlineStr">
        <is>
          <t>%</t>
        </is>
      </c>
      <c r="O1588" s="5" t="inlineStr">
        <is>
          <t>%</t>
        </is>
      </c>
      <c r="P1588" s="5" t="n">
        <v>0</v>
      </c>
      <c r="Q1588" s="5" t="n">
        <v>0</v>
      </c>
      <c r="R1588" s="5" t="inlineStr">
        <is>
          <t>306-2024-03-31</t>
        </is>
      </c>
    </row>
    <row r="1589" hidden="1">
      <c r="A1589" s="21" t="n">
        <v>306</v>
      </c>
      <c r="B1589" s="5" t="inlineStr">
        <is>
          <t>Seguimiento KPI Plan de Desarrollo Institucional</t>
        </is>
      </c>
      <c r="C1589" s="5" t="inlineStr">
        <is>
          <t>Desempeño Institucional</t>
        </is>
      </c>
      <c r="D1589" s="5" t="inlineStr">
        <is>
          <t>Trimestral</t>
        </is>
      </c>
      <c r="E1589" s="5" t="inlineStr">
        <is>
          <t>Positivo</t>
        </is>
      </c>
      <c r="F1589" s="109" t="n">
        <v>45473</v>
      </c>
      <c r="G1589" s="5" t="n">
        <v>2024</v>
      </c>
      <c r="H1589" s="5" t="inlineStr">
        <is>
          <t>Junio</t>
        </is>
      </c>
      <c r="I1589" s="6" t="inlineStr">
        <is>
          <t>2024-1</t>
        </is>
      </c>
      <c r="J1589" s="5" t="n">
        <v>100</v>
      </c>
      <c r="K1589" s="10" t="n">
        <v>601</v>
      </c>
      <c r="L1589" s="14" t="n">
        <v>1.3</v>
      </c>
      <c r="M1589" s="14" t="n">
        <v>6.01</v>
      </c>
      <c r="N1589" s="5" t="inlineStr">
        <is>
          <t>%</t>
        </is>
      </c>
      <c r="O1589" s="5" t="inlineStr">
        <is>
          <t>%</t>
        </is>
      </c>
      <c r="P1589" s="15" t="n">
        <v>0</v>
      </c>
      <c r="Q1589" s="15" t="n">
        <v>0</v>
      </c>
      <c r="R1589" s="5" t="inlineStr">
        <is>
          <t>306-2024-06-30</t>
        </is>
      </c>
    </row>
    <row r="1590" hidden="1">
      <c r="A1590" s="5" t="n">
        <v>306</v>
      </c>
      <c r="B1590" s="5" t="inlineStr">
        <is>
          <t>Seguimiento KPI Plan de Desarrollo Institucional</t>
        </is>
      </c>
      <c r="C1590" s="5" t="inlineStr">
        <is>
          <t>Desempeño Institucional</t>
        </is>
      </c>
      <c r="D1590" s="5" t="inlineStr">
        <is>
          <t>Trimestral</t>
        </is>
      </c>
      <c r="E1590" s="5" t="inlineStr">
        <is>
          <t>Positivo</t>
        </is>
      </c>
      <c r="F1590" s="109" t="n">
        <v>45565</v>
      </c>
      <c r="G1590" s="5" t="n">
        <v>2024</v>
      </c>
      <c r="H1590" s="5" t="inlineStr">
        <is>
          <t>Septiembre</t>
        </is>
      </c>
      <c r="I1590" s="6" t="inlineStr">
        <is>
          <t>2024-2</t>
        </is>
      </c>
      <c r="J1590" s="5" t="n">
        <v>100</v>
      </c>
      <c r="K1590" s="5" t="n">
        <v>0</v>
      </c>
      <c r="L1590" s="14" t="n">
        <v>0</v>
      </c>
      <c r="M1590" s="14" t="n">
        <v>0</v>
      </c>
      <c r="N1590" s="5" t="inlineStr">
        <is>
          <t>%</t>
        </is>
      </c>
      <c r="O1590" s="5" t="inlineStr">
        <is>
          <t>%</t>
        </is>
      </c>
      <c r="P1590" s="5" t="n">
        <v>0</v>
      </c>
      <c r="Q1590" s="5" t="n">
        <v>0</v>
      </c>
      <c r="R1590" s="5" t="inlineStr">
        <is>
          <t>306-2024-09-30</t>
        </is>
      </c>
    </row>
    <row r="1591" hidden="1">
      <c r="A1591" s="21" t="n">
        <v>306</v>
      </c>
      <c r="B1591" s="5" t="inlineStr">
        <is>
          <t>Seguimiento KPI Plan de Desarrollo Institucional</t>
        </is>
      </c>
      <c r="C1591" s="5" t="inlineStr">
        <is>
          <t>Desempeño Institucional</t>
        </is>
      </c>
      <c r="D1591" s="5" t="inlineStr">
        <is>
          <t>Trimestral</t>
        </is>
      </c>
      <c r="E1591" s="5" t="inlineStr">
        <is>
          <t>Positivo</t>
        </is>
      </c>
      <c r="F1591" s="109" t="n">
        <v>45657</v>
      </c>
      <c r="G1591" s="5" t="n">
        <v>2024</v>
      </c>
      <c r="H1591" s="5" t="inlineStr">
        <is>
          <t>Diciembre</t>
        </is>
      </c>
      <c r="I1591" s="6" t="inlineStr">
        <is>
          <t>2024-2</t>
        </is>
      </c>
      <c r="J1591" s="5" t="n">
        <v>100</v>
      </c>
      <c r="K1591" s="10" t="n">
        <v>101</v>
      </c>
      <c r="L1591" s="14" t="n">
        <v>1.01</v>
      </c>
      <c r="M1591" s="14" t="n">
        <v>1.01</v>
      </c>
      <c r="N1591" s="5" t="inlineStr">
        <is>
          <t>%</t>
        </is>
      </c>
      <c r="O1591" s="5" t="inlineStr">
        <is>
          <t>%</t>
        </is>
      </c>
      <c r="P1591" s="15" t="n">
        <v>0</v>
      </c>
      <c r="Q1591" s="15" t="n">
        <v>0</v>
      </c>
      <c r="R1591" s="5" t="inlineStr">
        <is>
          <t>306-2024-12-31</t>
        </is>
      </c>
    </row>
    <row r="1592" hidden="1">
      <c r="A1592" s="21" t="n">
        <v>306</v>
      </c>
      <c r="B1592" s="5" t="inlineStr">
        <is>
          <t>Seguimiento KPI Plan de Desarrollo Institucional</t>
        </is>
      </c>
      <c r="C1592" s="5" t="inlineStr">
        <is>
          <t>Desempeño Institucional</t>
        </is>
      </c>
      <c r="D1592" s="5" t="inlineStr">
        <is>
          <t>Semestral</t>
        </is>
      </c>
      <c r="E1592" s="5" t="inlineStr">
        <is>
          <t>Positivo</t>
        </is>
      </c>
      <c r="F1592" s="109" t="n">
        <v>45838</v>
      </c>
      <c r="G1592" s="5" t="n">
        <v>2025</v>
      </c>
      <c r="H1592" s="5" t="inlineStr">
        <is>
          <t>Junio</t>
        </is>
      </c>
      <c r="I1592" s="6" t="inlineStr">
        <is>
          <t>2025-1</t>
        </is>
      </c>
      <c r="J1592" s="5" t="n">
        <v>100</v>
      </c>
      <c r="K1592" s="10" t="n">
        <v>108.67</v>
      </c>
      <c r="L1592" s="14" t="n">
        <v>1.0867</v>
      </c>
      <c r="M1592" s="14" t="n">
        <v>1.0867</v>
      </c>
      <c r="N1592" s="5" t="inlineStr">
        <is>
          <t>%</t>
        </is>
      </c>
      <c r="O1592" s="5" t="inlineStr">
        <is>
          <t>%</t>
        </is>
      </c>
      <c r="P1592" s="15" t="n">
        <v>0</v>
      </c>
      <c r="Q1592" s="15" t="n">
        <v>0</v>
      </c>
      <c r="R1592" s="5" t="inlineStr">
        <is>
          <t>306-2025-06-30</t>
        </is>
      </c>
    </row>
    <row r="1593" hidden="1">
      <c r="A1593" s="21" t="n">
        <v>306</v>
      </c>
      <c r="B1593" s="5" t="inlineStr">
        <is>
          <t>Seguimiento KPI Plan de Desarrollo Institucional</t>
        </is>
      </c>
      <c r="C1593" s="5" t="inlineStr">
        <is>
          <t>Desempeño Institucional</t>
        </is>
      </c>
      <c r="D1593" s="5" t="inlineStr">
        <is>
          <t>Semestral</t>
        </is>
      </c>
      <c r="E1593" s="5" t="inlineStr">
        <is>
          <t>Positivo</t>
        </is>
      </c>
      <c r="F1593" s="109" t="n">
        <v>45930</v>
      </c>
      <c r="G1593" s="5" t="n">
        <v>2025</v>
      </c>
      <c r="H1593" s="5" t="inlineStr">
        <is>
          <t>Septiembre</t>
        </is>
      </c>
      <c r="I1593" s="6" t="inlineStr">
        <is>
          <t>2025-2</t>
        </is>
      </c>
      <c r="J1593" s="5" t="n">
        <v>100</v>
      </c>
      <c r="K1593" s="10" t="n">
        <v>105.83</v>
      </c>
      <c r="L1593" s="14" t="n">
        <v>1.0583</v>
      </c>
      <c r="M1593" s="14" t="n">
        <v>1.0583</v>
      </c>
      <c r="N1593" s="5" t="inlineStr">
        <is>
          <t>%</t>
        </is>
      </c>
      <c r="O1593" s="5" t="inlineStr">
        <is>
          <t>%</t>
        </is>
      </c>
      <c r="P1593" s="15" t="n">
        <v>0</v>
      </c>
      <c r="Q1593" s="15" t="n">
        <v>0</v>
      </c>
      <c r="R1593" s="5" t="inlineStr">
        <is>
          <t>306-2025-09-30</t>
        </is>
      </c>
    </row>
    <row r="1594" hidden="1">
      <c r="A1594" s="21" t="n">
        <v>306</v>
      </c>
      <c r="B1594" s="5" t="inlineStr">
        <is>
          <t>Seguimiento KPI Plan de Desarrollo Institucional</t>
        </is>
      </c>
      <c r="C1594" s="5" t="inlineStr">
        <is>
          <t>Desempeño Institucional</t>
        </is>
      </c>
      <c r="D1594" s="5" t="inlineStr">
        <is>
          <t>Semestral</t>
        </is>
      </c>
      <c r="E1594" s="5" t="inlineStr">
        <is>
          <t>Positivo</t>
        </is>
      </c>
      <c r="F1594" s="109" t="n">
        <v>46022</v>
      </c>
      <c r="G1594" s="5" t="n">
        <v>2025</v>
      </c>
      <c r="H1594" s="5" t="inlineStr">
        <is>
          <t>Diciembre</t>
        </is>
      </c>
      <c r="I1594" s="6" t="inlineStr">
        <is>
          <t>2025-2</t>
        </is>
      </c>
      <c r="J1594" s="5" t="n">
        <v>100</v>
      </c>
      <c r="K1594" s="10" t="n">
        <v>107.62</v>
      </c>
      <c r="L1594" s="14" t="n">
        <v>1.0762</v>
      </c>
      <c r="M1594" s="14" t="n">
        <v>1.0762</v>
      </c>
      <c r="N1594" s="5" t="inlineStr">
        <is>
          <t>%</t>
        </is>
      </c>
      <c r="O1594" s="5" t="inlineStr">
        <is>
          <t>%</t>
        </is>
      </c>
      <c r="P1594" s="15" t="n">
        <v>0</v>
      </c>
      <c r="Q1594" s="15" t="n">
        <v>0</v>
      </c>
      <c r="R1594" s="5" t="inlineStr">
        <is>
          <t>306-2025-12-31</t>
        </is>
      </c>
    </row>
    <row r="1595" hidden="1">
      <c r="A1595" s="21" t="n">
        <v>307</v>
      </c>
      <c r="B1595" s="5" t="inlineStr">
        <is>
          <t>Organización de escenarios de visibilidad nacional e internacional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9" t="n">
        <v>45107</v>
      </c>
      <c r="G1595" s="5" t="n">
        <v>2023</v>
      </c>
      <c r="H1595" s="5" t="inlineStr">
        <is>
          <t>Junio</t>
        </is>
      </c>
      <c r="I1595" s="6" t="inlineStr">
        <is>
          <t>2023-1</t>
        </is>
      </c>
      <c r="J1595" s="5" t="n">
        <v>20</v>
      </c>
      <c r="K1595" s="10" t="n">
        <v>25</v>
      </c>
      <c r="L1595" s="14" t="n">
        <v>1.25</v>
      </c>
      <c r="M1595" s="14" t="n">
        <v>1.25</v>
      </c>
      <c r="N1595" s="5" t="inlineStr">
        <is>
          <t>%</t>
        </is>
      </c>
      <c r="O1595" s="5" t="inlineStr">
        <is>
          <t>%</t>
        </is>
      </c>
      <c r="P1595" s="15" t="n">
        <v>0</v>
      </c>
      <c r="Q1595" s="15" t="n">
        <v>0</v>
      </c>
      <c r="R1595" s="5" t="inlineStr">
        <is>
          <t>307-2023-06-30</t>
        </is>
      </c>
    </row>
    <row r="1596" hidden="1">
      <c r="A1596" s="21" t="n">
        <v>307</v>
      </c>
      <c r="B1596" s="5" t="inlineStr">
        <is>
          <t>Organización de escenarios de visibilidad nacional e internacional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9" t="n">
        <v>45291</v>
      </c>
      <c r="G1596" s="5" t="n">
        <v>2023</v>
      </c>
      <c r="H1596" s="5" t="inlineStr">
        <is>
          <t>Diciembre</t>
        </is>
      </c>
      <c r="I1596" s="6" t="inlineStr">
        <is>
          <t>2023-2</t>
        </is>
      </c>
      <c r="J1596" s="5" t="n">
        <v>26</v>
      </c>
      <c r="K1596" s="10" t="n">
        <v>82</v>
      </c>
      <c r="L1596" s="14" t="n">
        <v>1.3</v>
      </c>
      <c r="M1596" s="14" t="n">
        <v>3.153846153846154</v>
      </c>
      <c r="N1596" s="5" t="inlineStr">
        <is>
          <t>%</t>
        </is>
      </c>
      <c r="O1596" s="5" t="inlineStr">
        <is>
          <t>%</t>
        </is>
      </c>
      <c r="P1596" s="15" t="n">
        <v>0</v>
      </c>
      <c r="Q1596" s="15" t="n">
        <v>0</v>
      </c>
      <c r="R1596" s="5" t="inlineStr">
        <is>
          <t>307-2023-12-31</t>
        </is>
      </c>
    </row>
    <row r="1597" hidden="1">
      <c r="A1597" s="21" t="n">
        <v>307</v>
      </c>
      <c r="B1597" s="5" t="inlineStr">
        <is>
          <t>Organización de escenarios de visibilidad nacional e internacional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9" t="n">
        <v>45473</v>
      </c>
      <c r="G1597" s="5" t="n">
        <v>2024</v>
      </c>
      <c r="H1597" s="5" t="inlineStr">
        <is>
          <t>Junio</t>
        </is>
      </c>
      <c r="I1597" s="6" t="inlineStr">
        <is>
          <t>2024-1</t>
        </is>
      </c>
      <c r="J1597" s="5" t="n">
        <v>100</v>
      </c>
      <c r="K1597" s="10" t="n">
        <v>112</v>
      </c>
      <c r="L1597" s="14" t="n">
        <v>1.12</v>
      </c>
      <c r="M1597" s="14" t="n">
        <v>1.12</v>
      </c>
      <c r="N1597" s="5" t="inlineStr">
        <is>
          <t>ENT</t>
        </is>
      </c>
      <c r="O1597" s="5" t="inlineStr">
        <is>
          <t>ENT</t>
        </is>
      </c>
      <c r="P1597" s="15" t="n">
        <v>0</v>
      </c>
      <c r="Q1597" s="15" t="n">
        <v>0</v>
      </c>
      <c r="R1597" s="5" t="inlineStr">
        <is>
          <t>307-2024-06-30</t>
        </is>
      </c>
    </row>
    <row r="1598" hidden="1">
      <c r="A1598" s="21" t="n">
        <v>307</v>
      </c>
      <c r="B1598" s="5" t="inlineStr">
        <is>
          <t>Organización de escenarios de visibilidad nacional e internacional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9" t="n">
        <v>45657</v>
      </c>
      <c r="G1598" s="5" t="n">
        <v>2024</v>
      </c>
      <c r="H1598" s="5" t="inlineStr">
        <is>
          <t>Diciembre</t>
        </is>
      </c>
      <c r="I1598" s="6" t="inlineStr">
        <is>
          <t>2024-2</t>
        </is>
      </c>
      <c r="J1598" s="5" t="n">
        <v>100</v>
      </c>
      <c r="K1598" s="10" t="n">
        <v>413.33</v>
      </c>
      <c r="L1598" s="14" t="n">
        <v>1.3</v>
      </c>
      <c r="M1598" s="14" t="n">
        <v>4.1333</v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307-2024-12-31</t>
        </is>
      </c>
    </row>
    <row r="1599" hidden="1">
      <c r="A1599" s="5" t="n">
        <v>308</v>
      </c>
      <c r="B1599" s="5" t="inlineStr">
        <is>
          <t>Movilidad Física Entrantes Profesores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09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12</v>
      </c>
      <c r="K1599" s="5" t="n">
        <v>27</v>
      </c>
      <c r="L1599" s="14" t="n">
        <v>1.3</v>
      </c>
      <c r="M1599" s="14" t="n">
        <v>2.25</v>
      </c>
      <c r="N1599" s="5" t="inlineStr">
        <is>
          <t>ENT</t>
        </is>
      </c>
      <c r="O1599" s="5" t="inlineStr">
        <is>
          <t>ENT</t>
        </is>
      </c>
      <c r="P1599" s="5" t="n">
        <v>0</v>
      </c>
      <c r="Q1599" s="5" t="n">
        <v>0</v>
      </c>
      <c r="R1599" s="5" t="inlineStr">
        <is>
          <t>308-2023-06-30</t>
        </is>
      </c>
    </row>
    <row r="1600" hidden="1">
      <c r="A1600" s="5" t="n">
        <v>308</v>
      </c>
      <c r="B1600" s="5" t="inlineStr">
        <is>
          <t>Movilidad Física Entrantes Profesores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09" t="n">
        <v>45291</v>
      </c>
      <c r="G1600" s="5" t="n">
        <v>2023</v>
      </c>
      <c r="H1600" s="5" t="inlineStr">
        <is>
          <t>Diciembre</t>
        </is>
      </c>
      <c r="I1600" s="6" t="inlineStr">
        <is>
          <t>2023-2</t>
        </is>
      </c>
      <c r="J1600" s="5" t="n">
        <v>20</v>
      </c>
      <c r="K1600" s="5" t="n">
        <v>54</v>
      </c>
      <c r="L1600" s="14" t="n">
        <v>1.3</v>
      </c>
      <c r="M1600" s="14" t="n">
        <v>2.7</v>
      </c>
      <c r="N1600" s="5" t="inlineStr">
        <is>
          <t>ENT</t>
        </is>
      </c>
      <c r="O1600" s="5" t="inlineStr">
        <is>
          <t>ENT</t>
        </is>
      </c>
      <c r="P1600" s="5" t="n">
        <v>0</v>
      </c>
      <c r="Q1600" s="5" t="n">
        <v>0</v>
      </c>
      <c r="R1600" s="5" t="inlineStr">
        <is>
          <t>308-2023-12-31</t>
        </is>
      </c>
    </row>
    <row r="1601" hidden="1">
      <c r="A1601" s="21" t="n">
        <v>308</v>
      </c>
      <c r="B1601" s="5" t="inlineStr">
        <is>
          <t>Movilidad Física Entrantes Profesores</t>
        </is>
      </c>
      <c r="C1601" s="5" t="inlineStr">
        <is>
          <t>VISIBILIDAD NACIONAL E INTERNACIONAL</t>
        </is>
      </c>
      <c r="D1601" s="5" t="inlineStr">
        <is>
          <t>Semestral</t>
        </is>
      </c>
      <c r="E1601" s="5" t="inlineStr">
        <is>
          <t>Positivo</t>
        </is>
      </c>
      <c r="F1601" s="109" t="n">
        <v>45473</v>
      </c>
      <c r="G1601" s="5" t="n">
        <v>2024</v>
      </c>
      <c r="H1601" s="5" t="inlineStr">
        <is>
          <t>Junio</t>
        </is>
      </c>
      <c r="I1601" s="6" t="inlineStr">
        <is>
          <t>2024-1</t>
        </is>
      </c>
      <c r="J1601" s="5" t="n">
        <v>100</v>
      </c>
      <c r="K1601" s="10" t="n">
        <v>100</v>
      </c>
      <c r="L1601" s="14" t="n">
        <v>1</v>
      </c>
      <c r="M1601" s="14" t="n">
        <v>1</v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308-2024-06-30</t>
        </is>
      </c>
    </row>
    <row r="1602" hidden="1">
      <c r="A1602" s="5" t="n">
        <v>308</v>
      </c>
      <c r="B1602" s="5" t="inlineStr">
        <is>
          <t>Movilidad Física Entrantes Profesores</t>
        </is>
      </c>
      <c r="C1602" s="5" t="inlineStr">
        <is>
          <t>VISIBILIDAD NACIONAL E INTERNACIONAL</t>
        </is>
      </c>
      <c r="D1602" s="5" t="inlineStr">
        <is>
          <t>Semestral</t>
        </is>
      </c>
      <c r="E1602" s="5" t="inlineStr">
        <is>
          <t>Positivo</t>
        </is>
      </c>
      <c r="F1602" s="109" t="n">
        <v>45657</v>
      </c>
      <c r="G1602" s="5" t="n">
        <v>2024</v>
      </c>
      <c r="H1602" s="5" t="inlineStr">
        <is>
          <t>Diciembre</t>
        </is>
      </c>
      <c r="I1602" s="6" t="inlineStr">
        <is>
          <t>2024-2</t>
        </is>
      </c>
      <c r="J1602" s="5" t="n">
        <v>100</v>
      </c>
      <c r="K1602" s="5" t="n">
        <v>100</v>
      </c>
      <c r="L1602" s="14" t="n">
        <v>1</v>
      </c>
      <c r="M1602" s="14" t="n">
        <v>1</v>
      </c>
      <c r="N1602" s="5" t="inlineStr">
        <is>
          <t>ENT</t>
        </is>
      </c>
      <c r="O1602" s="5" t="inlineStr">
        <is>
          <t>ENT</t>
        </is>
      </c>
      <c r="P1602" s="5" t="n">
        <v>0</v>
      </c>
      <c r="Q1602" s="5" t="n">
        <v>0</v>
      </c>
      <c r="R1602" s="5" t="inlineStr">
        <is>
          <t>308-2024-12-31</t>
        </is>
      </c>
    </row>
    <row r="1603" hidden="1">
      <c r="A1603" s="21" t="n">
        <v>309</v>
      </c>
      <c r="B1603" s="5" t="inlineStr">
        <is>
          <t>Movilidad Física Profesores Salientes</t>
        </is>
      </c>
      <c r="C1603" s="5" t="inlineStr">
        <is>
          <t>VISIBILIDAD NACIONAL E INTERNACIONAL</t>
        </is>
      </c>
      <c r="D1603" s="5" t="inlineStr">
        <is>
          <t>Semestral</t>
        </is>
      </c>
      <c r="E1603" s="5" t="inlineStr">
        <is>
          <t>Positivo</t>
        </is>
      </c>
      <c r="F1603" s="109" t="n">
        <v>45107</v>
      </c>
      <c r="G1603" s="5" t="n">
        <v>2023</v>
      </c>
      <c r="H1603" s="5" t="inlineStr">
        <is>
          <t>Junio</t>
        </is>
      </c>
      <c r="I1603" s="6" t="inlineStr">
        <is>
          <t>2023-1</t>
        </is>
      </c>
      <c r="J1603" s="73" t="n">
        <v>19</v>
      </c>
      <c r="K1603" s="9" t="n">
        <v>27</v>
      </c>
      <c r="L1603" s="14" t="n">
        <v>1.3</v>
      </c>
      <c r="M1603" s="14" t="n">
        <v>1.421052631578947</v>
      </c>
      <c r="N1603" s="9" t="inlineStr">
        <is>
          <t>ENT</t>
        </is>
      </c>
      <c r="O1603" s="9" t="inlineStr">
        <is>
          <t>ENT</t>
        </is>
      </c>
      <c r="P1603" s="15" t="n">
        <v>0</v>
      </c>
      <c r="Q1603" s="15" t="n">
        <v>0</v>
      </c>
      <c r="R1603" s="5" t="inlineStr">
        <is>
          <t>309-2023-06-30</t>
        </is>
      </c>
    </row>
    <row r="1604" hidden="1">
      <c r="A1604" s="21" t="n">
        <v>309</v>
      </c>
      <c r="B1604" s="5" t="inlineStr">
        <is>
          <t>Movilidad Física Profesores Salientes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09" t="n">
        <v>45291</v>
      </c>
      <c r="G1604" s="5" t="n">
        <v>2023</v>
      </c>
      <c r="H1604" s="5" t="inlineStr">
        <is>
          <t>Diciembre</t>
        </is>
      </c>
      <c r="I1604" s="6" t="inlineStr">
        <is>
          <t>2023-2</t>
        </is>
      </c>
      <c r="J1604" s="73" t="n">
        <v>45</v>
      </c>
      <c r="K1604" s="9" t="n">
        <v>76</v>
      </c>
      <c r="L1604" s="14" t="n">
        <v>1.3</v>
      </c>
      <c r="M1604" s="14" t="n">
        <v>1.688888888888889</v>
      </c>
      <c r="N1604" s="9" t="inlineStr">
        <is>
          <t>ENT</t>
        </is>
      </c>
      <c r="O1604" s="9" t="inlineStr">
        <is>
          <t>ENT</t>
        </is>
      </c>
      <c r="P1604" s="15" t="n">
        <v>0</v>
      </c>
      <c r="Q1604" s="15" t="n">
        <v>0</v>
      </c>
      <c r="R1604" s="5" t="inlineStr">
        <is>
          <t>309-2023-12-31</t>
        </is>
      </c>
    </row>
    <row r="1605" hidden="1">
      <c r="A1605" s="21" t="n">
        <v>309</v>
      </c>
      <c r="B1605" s="5" t="inlineStr">
        <is>
          <t>Movilidad Física Profesores Salientes</t>
        </is>
      </c>
      <c r="C1605" s="5" t="inlineStr">
        <is>
          <t>VISIBILIDAD NACIONAL E INTERNACIONAL</t>
        </is>
      </c>
      <c r="D1605" s="5" t="inlineStr">
        <is>
          <t>Semestral</t>
        </is>
      </c>
      <c r="E1605" s="5" t="inlineStr">
        <is>
          <t>Positivo</t>
        </is>
      </c>
      <c r="F1605" s="109" t="n">
        <v>45473</v>
      </c>
      <c r="G1605" s="5" t="n">
        <v>2024</v>
      </c>
      <c r="H1605" s="5" t="inlineStr">
        <is>
          <t>Junio</t>
        </is>
      </c>
      <c r="I1605" s="6" t="inlineStr">
        <is>
          <t>2024-1</t>
        </is>
      </c>
      <c r="J1605" s="73" t="n">
        <v>100</v>
      </c>
      <c r="K1605" s="9" t="n">
        <v>216</v>
      </c>
      <c r="L1605" s="14" t="n">
        <v>1.3</v>
      </c>
      <c r="M1605" s="14" t="n">
        <v>2.16</v>
      </c>
      <c r="N1605" s="9" t="inlineStr">
        <is>
          <t>ENT</t>
        </is>
      </c>
      <c r="O1605" s="9" t="inlineStr">
        <is>
          <t>ENT</t>
        </is>
      </c>
      <c r="P1605" s="15" t="n">
        <v>0</v>
      </c>
      <c r="Q1605" s="15" t="n">
        <v>0</v>
      </c>
      <c r="R1605" s="5" t="inlineStr">
        <is>
          <t>309-2024-06-30</t>
        </is>
      </c>
    </row>
    <row r="1606" hidden="1">
      <c r="A1606" s="21" t="n">
        <v>309</v>
      </c>
      <c r="B1606" s="5" t="inlineStr">
        <is>
          <t>Movilidad Física Salientes Profesores</t>
        </is>
      </c>
      <c r="C1606" s="5" t="inlineStr">
        <is>
          <t>VISIBILIDAD NACIONAL E INTERNACIONAL</t>
        </is>
      </c>
      <c r="D1606" s="5" t="inlineStr">
        <is>
          <t>Semestral</t>
        </is>
      </c>
      <c r="E1606" s="5" t="inlineStr">
        <is>
          <t>Positivo</t>
        </is>
      </c>
      <c r="F1606" s="109" t="n">
        <v>45657</v>
      </c>
      <c r="G1606" s="5" t="n">
        <v>2024</v>
      </c>
      <c r="H1606" s="5" t="inlineStr">
        <is>
          <t>Diciembre</t>
        </is>
      </c>
      <c r="I1606" s="6" t="inlineStr">
        <is>
          <t>2024-2</t>
        </is>
      </c>
      <c r="J1606" s="73" t="n">
        <v>100</v>
      </c>
      <c r="K1606" s="9" t="n">
        <v>154.67</v>
      </c>
      <c r="L1606" s="14" t="n">
        <v>1.3</v>
      </c>
      <c r="M1606" s="14" t="n">
        <v>1.5467</v>
      </c>
      <c r="N1606" s="9" t="inlineStr">
        <is>
          <t>ENT</t>
        </is>
      </c>
      <c r="O1606" s="9" t="inlineStr">
        <is>
          <t>ENT</t>
        </is>
      </c>
      <c r="P1606" s="15" t="n">
        <v>0</v>
      </c>
      <c r="Q1606" s="15" t="n">
        <v>0</v>
      </c>
      <c r="R1606" s="5" t="inlineStr">
        <is>
          <t>309-2024-12-31</t>
        </is>
      </c>
    </row>
    <row r="1607" hidden="1">
      <c r="A1607" s="21" t="n">
        <v>310</v>
      </c>
      <c r="B1607" s="5" t="inlineStr">
        <is>
          <t>Movilidad Física Entrante Estudiantes</t>
        </is>
      </c>
      <c r="C1607" s="5" t="inlineStr">
        <is>
          <t>VISIBILIDAD NACIONAL E INTERNACIONAL</t>
        </is>
      </c>
      <c r="D1607" s="5" t="inlineStr">
        <is>
          <t>Semestral</t>
        </is>
      </c>
      <c r="E1607" s="5" t="inlineStr">
        <is>
          <t>Positivo</t>
        </is>
      </c>
      <c r="F1607" s="109" t="n">
        <v>45107</v>
      </c>
      <c r="G1607" s="5" t="n">
        <v>2023</v>
      </c>
      <c r="H1607" s="5" t="inlineStr">
        <is>
          <t>Junio</t>
        </is>
      </c>
      <c r="I1607" s="6" t="inlineStr">
        <is>
          <t>2023-1</t>
        </is>
      </c>
      <c r="J1607" s="73" t="n">
        <v>14</v>
      </c>
      <c r="K1607" s="9" t="n">
        <v>48</v>
      </c>
      <c r="L1607" s="14" t="n">
        <v>1.3</v>
      </c>
      <c r="M1607" s="14" t="n">
        <v>3.428571428571428</v>
      </c>
      <c r="N1607" s="9" t="inlineStr">
        <is>
          <t>ENT</t>
        </is>
      </c>
      <c r="O1607" s="9" t="inlineStr">
        <is>
          <t>ENT</t>
        </is>
      </c>
      <c r="P1607" s="15" t="n">
        <v>0</v>
      </c>
      <c r="Q1607" s="15" t="n">
        <v>0</v>
      </c>
      <c r="R1607" s="5" t="inlineStr">
        <is>
          <t>310-2023-06-30</t>
        </is>
      </c>
    </row>
    <row r="1608" hidden="1">
      <c r="A1608" s="21" t="n">
        <v>310</v>
      </c>
      <c r="B1608" s="5" t="inlineStr">
        <is>
          <t>Movilidad Física Entrante Estudiantes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09" t="n">
        <v>45291</v>
      </c>
      <c r="G1608" s="5" t="n">
        <v>2023</v>
      </c>
      <c r="H1608" s="5" t="inlineStr">
        <is>
          <t>Diciembre</t>
        </is>
      </c>
      <c r="I1608" s="6" t="inlineStr">
        <is>
          <t>2023-2</t>
        </is>
      </c>
      <c r="J1608" s="73" t="n">
        <v>70</v>
      </c>
      <c r="K1608" s="9" t="n">
        <v>118</v>
      </c>
      <c r="L1608" s="14" t="n">
        <v>1.3</v>
      </c>
      <c r="M1608" s="14" t="n">
        <v>1.685714285714286</v>
      </c>
      <c r="N1608" s="9" t="inlineStr">
        <is>
          <t>ENT</t>
        </is>
      </c>
      <c r="O1608" s="9" t="inlineStr">
        <is>
          <t>ENT</t>
        </is>
      </c>
      <c r="P1608" s="15" t="n">
        <v>0</v>
      </c>
      <c r="Q1608" s="15" t="n">
        <v>0</v>
      </c>
      <c r="R1608" s="5" t="inlineStr">
        <is>
          <t>310-2023-12-31</t>
        </is>
      </c>
    </row>
    <row r="1609" hidden="1">
      <c r="A1609" s="21" t="n">
        <v>310</v>
      </c>
      <c r="B1609" s="5" t="inlineStr">
        <is>
          <t>Movilidad Física Entrante Estudiantes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09" t="n">
        <v>45473</v>
      </c>
      <c r="G1609" s="5" t="n">
        <v>2024</v>
      </c>
      <c r="H1609" s="5" t="inlineStr">
        <is>
          <t>Junio</t>
        </is>
      </c>
      <c r="I1609" s="6" t="inlineStr">
        <is>
          <t>2024-1</t>
        </is>
      </c>
      <c r="J1609" s="73" t="n">
        <v>100</v>
      </c>
      <c r="K1609" s="9" t="n">
        <v>95.56</v>
      </c>
      <c r="L1609" s="14" t="n">
        <v>0.9556</v>
      </c>
      <c r="M1609" s="14" t="n">
        <v>0.9556</v>
      </c>
      <c r="N1609" s="9" t="inlineStr">
        <is>
          <t>ENT</t>
        </is>
      </c>
      <c r="O1609" s="9" t="inlineStr">
        <is>
          <t>ENT</t>
        </is>
      </c>
      <c r="P1609" s="15" t="n">
        <v>0</v>
      </c>
      <c r="Q1609" s="15" t="n">
        <v>0</v>
      </c>
      <c r="R1609" s="5" t="inlineStr">
        <is>
          <t>310-2024-06-30</t>
        </is>
      </c>
    </row>
    <row r="1610" hidden="1">
      <c r="A1610" s="21" t="n">
        <v>310</v>
      </c>
      <c r="B1610" s="5" t="inlineStr">
        <is>
          <t>Movilidad Física Entrante Estudiantes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09" t="n">
        <v>45657</v>
      </c>
      <c r="G1610" s="5" t="n">
        <v>2024</v>
      </c>
      <c r="H1610" s="5" t="inlineStr">
        <is>
          <t>Diciembre</t>
        </is>
      </c>
      <c r="I1610" s="6" t="inlineStr">
        <is>
          <t>2024-2</t>
        </is>
      </c>
      <c r="J1610" s="5" t="n">
        <v>100</v>
      </c>
      <c r="K1610" s="10" t="n">
        <v>79.13</v>
      </c>
      <c r="L1610" s="14" t="n">
        <v>0.7913</v>
      </c>
      <c r="M1610" s="14" t="n">
        <v>0.7913</v>
      </c>
      <c r="N1610" s="5" t="inlineStr">
        <is>
          <t>ENT</t>
        </is>
      </c>
      <c r="O1610" s="5" t="inlineStr">
        <is>
          <t>ENT</t>
        </is>
      </c>
      <c r="P1610" s="15" t="n">
        <v>0</v>
      </c>
      <c r="Q1610" s="15" t="n">
        <v>0</v>
      </c>
      <c r="R1610" s="5" t="inlineStr">
        <is>
          <t>310-2024-12-31</t>
        </is>
      </c>
    </row>
    <row r="1611" hidden="1">
      <c r="A1611" s="21" t="n">
        <v>311</v>
      </c>
      <c r="B1611" s="5" t="inlineStr">
        <is>
          <t>Movilidad Física Saliente Estudiantes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09" t="n">
        <v>45107</v>
      </c>
      <c r="G1611" s="5" t="n">
        <v>2023</v>
      </c>
      <c r="H1611" s="5" t="inlineStr">
        <is>
          <t>Junio</t>
        </is>
      </c>
      <c r="I1611" s="6" t="inlineStr">
        <is>
          <t>2023-1</t>
        </is>
      </c>
      <c r="J1611" s="5" t="n">
        <v>22</v>
      </c>
      <c r="K1611" s="10" t="n">
        <v>85</v>
      </c>
      <c r="L1611" s="14" t="n">
        <v>1.3</v>
      </c>
      <c r="M1611" s="14" t="n">
        <v>3.863636363636364</v>
      </c>
      <c r="N1611" s="5" t="inlineStr">
        <is>
          <t>ENT</t>
        </is>
      </c>
      <c r="O1611" s="5" t="inlineStr">
        <is>
          <t>ENT</t>
        </is>
      </c>
      <c r="P1611" s="15" t="n">
        <v>0</v>
      </c>
      <c r="Q1611" s="15" t="n">
        <v>0</v>
      </c>
      <c r="R1611" s="5" t="inlineStr">
        <is>
          <t>311-2023-06-30</t>
        </is>
      </c>
    </row>
    <row r="1612" hidden="1">
      <c r="A1612" s="5" t="n">
        <v>311</v>
      </c>
      <c r="B1612" s="5" t="inlineStr">
        <is>
          <t>Movilidad Física Saliente Estudiantes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09" t="n">
        <v>45291</v>
      </c>
      <c r="G1612" s="5" t="n">
        <v>2023</v>
      </c>
      <c r="H1612" s="5" t="inlineStr">
        <is>
          <t>Diciembre</t>
        </is>
      </c>
      <c r="I1612" s="6" t="inlineStr">
        <is>
          <t>2023-2</t>
        </is>
      </c>
      <c r="J1612" s="5" t="n">
        <v>245</v>
      </c>
      <c r="K1612" s="5" t="n">
        <v>247</v>
      </c>
      <c r="L1612" s="14" t="n">
        <v>1.008163265306123</v>
      </c>
      <c r="M1612" s="14" t="n">
        <v>1.008163265306123</v>
      </c>
      <c r="N1612" s="5" t="inlineStr">
        <is>
          <t>ENT</t>
        </is>
      </c>
      <c r="O1612" s="5" t="inlineStr">
        <is>
          <t>ENT</t>
        </is>
      </c>
      <c r="P1612" s="5" t="n">
        <v>0</v>
      </c>
      <c r="Q1612" s="5" t="n">
        <v>0</v>
      </c>
      <c r="R1612" s="5" t="inlineStr">
        <is>
          <t>311-2023-12-31</t>
        </is>
      </c>
    </row>
    <row r="1613" hidden="1">
      <c r="A1613" s="5" t="n">
        <v>311</v>
      </c>
      <c r="B1613" s="5" t="inlineStr">
        <is>
          <t>Movilidad Física Saliente Estudiantes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09" t="n">
        <v>45473</v>
      </c>
      <c r="G1613" s="5" t="n">
        <v>2024</v>
      </c>
      <c r="H1613" s="5" t="inlineStr">
        <is>
          <t>Junio</t>
        </is>
      </c>
      <c r="I1613" s="6" t="inlineStr">
        <is>
          <t>2024-1</t>
        </is>
      </c>
      <c r="J1613" s="5" t="n">
        <v>100</v>
      </c>
      <c r="K1613" s="5" t="n">
        <v>117.65</v>
      </c>
      <c r="L1613" s="14" t="n">
        <v>1.1765</v>
      </c>
      <c r="M1613" s="14" t="n">
        <v>1.1765</v>
      </c>
      <c r="N1613" s="5" t="inlineStr">
        <is>
          <t>ENT</t>
        </is>
      </c>
      <c r="O1613" s="5" t="inlineStr">
        <is>
          <t>ENT</t>
        </is>
      </c>
      <c r="P1613" s="5" t="n">
        <v>0</v>
      </c>
      <c r="Q1613" s="5" t="n">
        <v>0</v>
      </c>
      <c r="R1613" s="5" t="inlineStr">
        <is>
          <t>311-2024-06-30</t>
        </is>
      </c>
    </row>
    <row r="1614" hidden="1">
      <c r="A1614" s="5" t="n">
        <v>311</v>
      </c>
      <c r="B1614" s="5" t="inlineStr">
        <is>
          <t>Movilidad Física Saliente Estudiantes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09" t="n">
        <v>45657</v>
      </c>
      <c r="G1614" s="5" t="n">
        <v>2024</v>
      </c>
      <c r="H1614" s="5" t="inlineStr">
        <is>
          <t>Diciembre</t>
        </is>
      </c>
      <c r="I1614" s="6" t="inlineStr">
        <is>
          <t>2024-2</t>
        </is>
      </c>
      <c r="J1614" s="5" t="n">
        <v>100</v>
      </c>
      <c r="K1614" s="5" t="n">
        <v>67.76000000000001</v>
      </c>
      <c r="L1614" s="14" t="n">
        <v>0.6776000000000001</v>
      </c>
      <c r="M1614" s="14" t="n">
        <v>0.6776000000000001</v>
      </c>
      <c r="N1614" s="5" t="inlineStr">
        <is>
          <t>ENT</t>
        </is>
      </c>
      <c r="O1614" s="5" t="inlineStr">
        <is>
          <t>ENT</t>
        </is>
      </c>
      <c r="P1614" s="5" t="n">
        <v>0</v>
      </c>
      <c r="Q1614" s="5" t="n">
        <v>0</v>
      </c>
      <c r="R1614" s="5" t="inlineStr">
        <is>
          <t>311-2024-12-31</t>
        </is>
      </c>
    </row>
    <row r="1615" hidden="1">
      <c r="A1615" s="21" t="n">
        <v>312</v>
      </c>
      <c r="B1615" s="5" t="inlineStr">
        <is>
          <t>Clases espejo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09" t="n">
        <v>45107</v>
      </c>
      <c r="G1615" s="5" t="n">
        <v>2023</v>
      </c>
      <c r="H1615" s="5" t="inlineStr">
        <is>
          <t>Junio</t>
        </is>
      </c>
      <c r="I1615" s="6" t="inlineStr">
        <is>
          <t>2023-1</t>
        </is>
      </c>
      <c r="J1615" s="5" t="n">
        <v>113</v>
      </c>
      <c r="K1615" s="96" t="n">
        <v>125</v>
      </c>
      <c r="L1615" s="14" t="n">
        <v>1.106194690265487</v>
      </c>
      <c r="M1615" s="14" t="n">
        <v>1.106194690265487</v>
      </c>
      <c r="N1615" s="5" t="inlineStr">
        <is>
          <t>ENT</t>
        </is>
      </c>
      <c r="O1615" s="5" t="inlineStr">
        <is>
          <t>ENT</t>
        </is>
      </c>
      <c r="P1615" s="15" t="n">
        <v>0</v>
      </c>
      <c r="Q1615" s="15" t="n">
        <v>0</v>
      </c>
      <c r="R1615" s="5" t="inlineStr">
        <is>
          <t>312-2023-06-30</t>
        </is>
      </c>
    </row>
    <row r="1616" hidden="1">
      <c r="A1616" s="21" t="n">
        <v>312</v>
      </c>
      <c r="B1616" s="5" t="inlineStr">
        <is>
          <t>Clases espejo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09" t="n">
        <v>45291</v>
      </c>
      <c r="G1616" s="5" t="n">
        <v>2023</v>
      </c>
      <c r="H1616" s="5" t="inlineStr">
        <is>
          <t>Diciembre</t>
        </is>
      </c>
      <c r="I1616" s="6" t="inlineStr">
        <is>
          <t>2023-2</t>
        </is>
      </c>
      <c r="J1616" s="5" t="n">
        <v>108</v>
      </c>
      <c r="K1616" s="10" t="n">
        <v>118</v>
      </c>
      <c r="L1616" s="14" t="n">
        <v>1.092592592592593</v>
      </c>
      <c r="M1616" s="14" t="n">
        <v>1.092592592592593</v>
      </c>
      <c r="N1616" s="5" t="inlineStr">
        <is>
          <t>ENT</t>
        </is>
      </c>
      <c r="O1616" s="5" t="inlineStr">
        <is>
          <t>ENT</t>
        </is>
      </c>
      <c r="P1616" s="15" t="n">
        <v>0</v>
      </c>
      <c r="Q1616" s="15" t="n">
        <v>0</v>
      </c>
      <c r="R1616" s="5" t="inlineStr">
        <is>
          <t>312-2023-12-31</t>
        </is>
      </c>
    </row>
    <row r="1617" hidden="1">
      <c r="A1617" s="21" t="n">
        <v>312</v>
      </c>
      <c r="B1617" s="5" t="inlineStr">
        <is>
          <t>Clases espejo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09" t="n">
        <v>45473</v>
      </c>
      <c r="G1617" s="5" t="n">
        <v>2024</v>
      </c>
      <c r="H1617" s="5" t="inlineStr">
        <is>
          <t>Junio</t>
        </is>
      </c>
      <c r="I1617" s="6" t="inlineStr">
        <is>
          <t>2024-1</t>
        </is>
      </c>
      <c r="J1617" s="5" t="n">
        <v>100</v>
      </c>
      <c r="K1617" s="96" t="n">
        <v>126</v>
      </c>
      <c r="L1617" s="14" t="n">
        <v>1.26</v>
      </c>
      <c r="M1617" s="14" t="n">
        <v>1.26</v>
      </c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312-2024-06-30</t>
        </is>
      </c>
    </row>
    <row r="1618" hidden="1">
      <c r="A1618" s="21" t="n">
        <v>312</v>
      </c>
      <c r="B1618" s="5" t="inlineStr">
        <is>
          <t>Clases espejo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09" t="n">
        <v>45657</v>
      </c>
      <c r="G1618" s="5" t="n">
        <v>2024</v>
      </c>
      <c r="H1618" s="5" t="inlineStr">
        <is>
          <t>Diciembre</t>
        </is>
      </c>
      <c r="I1618" s="6" t="inlineStr">
        <is>
          <t>2024-2</t>
        </is>
      </c>
      <c r="J1618" s="5" t="n">
        <v>100</v>
      </c>
      <c r="K1618" s="96" t="n">
        <v>137</v>
      </c>
      <c r="L1618" s="14" t="n">
        <v>1.3</v>
      </c>
      <c r="M1618" s="14" t="n">
        <v>1.37</v>
      </c>
      <c r="N1618" s="5" t="inlineStr">
        <is>
          <t>ENT</t>
        </is>
      </c>
      <c r="O1618" s="5" t="inlineStr">
        <is>
          <t>ENT</t>
        </is>
      </c>
      <c r="P1618" s="15" t="n">
        <v>0</v>
      </c>
      <c r="Q1618" s="15" t="n">
        <v>0</v>
      </c>
      <c r="R1618" s="5" t="inlineStr">
        <is>
          <t>312-2024-12-31</t>
        </is>
      </c>
    </row>
    <row r="1619" hidden="1">
      <c r="A1619" s="21" t="n">
        <v>313</v>
      </c>
      <c r="B1619" s="5" t="inlineStr">
        <is>
          <t>Seminarios y cursos internacionales virtuales impartidos y certificados por entidades externas</t>
        </is>
      </c>
      <c r="C1619" s="5" t="inlineStr">
        <is>
          <t>VISIBILIDAD NACIONAL E INTERNACIONAL</t>
        </is>
      </c>
      <c r="D1619" s="5" t="inlineStr">
        <is>
          <t>Semestral</t>
        </is>
      </c>
      <c r="E1619" s="5" t="inlineStr">
        <is>
          <t>Positivo</t>
        </is>
      </c>
      <c r="F1619" s="109" t="n">
        <v>45107</v>
      </c>
      <c r="G1619" s="5" t="n">
        <v>2023</v>
      </c>
      <c r="H1619" s="5" t="inlineStr">
        <is>
          <t>Junio</t>
        </is>
      </c>
      <c r="I1619" s="6" t="inlineStr">
        <is>
          <t>2023-1</t>
        </is>
      </c>
      <c r="J1619" s="5" t="n">
        <v>13</v>
      </c>
      <c r="K1619" s="96" t="n">
        <v>13</v>
      </c>
      <c r="L1619" s="14" t="n">
        <v>1</v>
      </c>
      <c r="M1619" s="14" t="n">
        <v>1</v>
      </c>
      <c r="N1619" s="5" t="inlineStr">
        <is>
          <t>ENT</t>
        </is>
      </c>
      <c r="O1619" s="11" t="inlineStr">
        <is>
          <t>ENT</t>
        </is>
      </c>
      <c r="P1619" s="15" t="n">
        <v>0</v>
      </c>
      <c r="Q1619" s="15" t="n">
        <v>0</v>
      </c>
      <c r="R1619" s="5" t="inlineStr">
        <is>
          <t>313-2023-06-30</t>
        </is>
      </c>
    </row>
    <row r="1620" hidden="1">
      <c r="A1620" s="21" t="n">
        <v>313</v>
      </c>
      <c r="B1620" s="5" t="inlineStr">
        <is>
          <t>Seminarios y cursos internacionales virtuales impartidos y certificados por entidades externas</t>
        </is>
      </c>
      <c r="C1620" s="5" t="inlineStr">
        <is>
          <t>VISIBILIDAD NACIONAL E INTERNACIONAL</t>
        </is>
      </c>
      <c r="D1620" s="5" t="inlineStr">
        <is>
          <t>Semestral</t>
        </is>
      </c>
      <c r="E1620" s="5" t="inlineStr">
        <is>
          <t>Positivo</t>
        </is>
      </c>
      <c r="F1620" s="109" t="n">
        <v>45291</v>
      </c>
      <c r="G1620" s="5" t="n">
        <v>2023</v>
      </c>
      <c r="H1620" s="5" t="inlineStr">
        <is>
          <t>Diciembre</t>
        </is>
      </c>
      <c r="I1620" s="6" t="inlineStr">
        <is>
          <t>2023-2</t>
        </is>
      </c>
      <c r="J1620" s="5" t="n">
        <v>15</v>
      </c>
      <c r="K1620" s="96" t="n">
        <v>12</v>
      </c>
      <c r="L1620" s="14" t="n">
        <v>0.8</v>
      </c>
      <c r="M1620" s="14" t="n">
        <v>0.8</v>
      </c>
      <c r="N1620" s="5" t="inlineStr">
        <is>
          <t>ENT</t>
        </is>
      </c>
      <c r="O1620" s="11" t="inlineStr">
        <is>
          <t>ENT</t>
        </is>
      </c>
      <c r="P1620" s="15" t="n">
        <v>0</v>
      </c>
      <c r="Q1620" s="15" t="n">
        <v>0</v>
      </c>
      <c r="R1620" s="5" t="inlineStr">
        <is>
          <t>313-2023-12-31</t>
        </is>
      </c>
    </row>
    <row r="1621" hidden="1">
      <c r="A1621" s="21" t="n">
        <v>313</v>
      </c>
      <c r="B1621" s="5" t="inlineStr">
        <is>
          <t>Seminarios y cursos internacionales virtuales impartidos y certificados por entidades externas</t>
        </is>
      </c>
      <c r="C1621" s="5" t="inlineStr">
        <is>
          <t>VISIBILIDAD NACIONAL E INTERNACIONAL</t>
        </is>
      </c>
      <c r="D1621" s="5" t="inlineStr">
        <is>
          <t>Semestral</t>
        </is>
      </c>
      <c r="E1621" s="5" t="inlineStr">
        <is>
          <t>Positivo</t>
        </is>
      </c>
      <c r="F1621" s="109" t="n">
        <v>45473</v>
      </c>
      <c r="G1621" s="5" t="n">
        <v>2024</v>
      </c>
      <c r="H1621" s="5" t="inlineStr">
        <is>
          <t>Junio</t>
        </is>
      </c>
      <c r="I1621" s="6" t="inlineStr">
        <is>
          <t>2024-1</t>
        </is>
      </c>
      <c r="J1621" s="5" t="n">
        <v>100</v>
      </c>
      <c r="K1621" s="96" t="n">
        <v>100</v>
      </c>
      <c r="L1621" s="14" t="n">
        <v>1</v>
      </c>
      <c r="M1621" s="14" t="n">
        <v>1</v>
      </c>
      <c r="N1621" s="5" t="inlineStr">
        <is>
          <t>ENT</t>
        </is>
      </c>
      <c r="O1621" s="5" t="inlineStr">
        <is>
          <t>ENT</t>
        </is>
      </c>
      <c r="P1621" s="15" t="n">
        <v>0</v>
      </c>
      <c r="Q1621" s="15" t="n">
        <v>0</v>
      </c>
      <c r="R1621" s="5" t="inlineStr">
        <is>
          <t>313-2024-06-30</t>
        </is>
      </c>
    </row>
    <row r="1622" hidden="1">
      <c r="A1622" s="21" t="n">
        <v>313</v>
      </c>
      <c r="B1622" s="5" t="inlineStr">
        <is>
          <t>Seminarios y cursos internacionales virtuales impartidos y certificados por entidades externas</t>
        </is>
      </c>
      <c r="C1622" s="5" t="inlineStr">
        <is>
          <t>VISIBILIDAD NACIONAL E INTERNACIONAL</t>
        </is>
      </c>
      <c r="D1622" s="5" t="inlineStr">
        <is>
          <t>Semestral</t>
        </is>
      </c>
      <c r="E1622" s="5" t="inlineStr">
        <is>
          <t>Positivo</t>
        </is>
      </c>
      <c r="F1622" s="109" t="n">
        <v>45657</v>
      </c>
      <c r="G1622" s="5" t="n">
        <v>2024</v>
      </c>
      <c r="H1622" s="5" t="inlineStr">
        <is>
          <t>Diciembre</t>
        </is>
      </c>
      <c r="I1622" s="6" t="inlineStr">
        <is>
          <t>2024-2</t>
        </is>
      </c>
      <c r="J1622" s="5" t="n">
        <v>100</v>
      </c>
      <c r="K1622" s="96" t="n">
        <v>100</v>
      </c>
      <c r="L1622" s="14" t="n">
        <v>1</v>
      </c>
      <c r="M1622" s="14" t="n">
        <v>1</v>
      </c>
      <c r="N1622" s="5" t="inlineStr">
        <is>
          <t>ENT</t>
        </is>
      </c>
      <c r="O1622" s="5" t="inlineStr">
        <is>
          <t>ENT</t>
        </is>
      </c>
      <c r="P1622" s="15" t="n">
        <v>0</v>
      </c>
      <c r="Q1622" s="15" t="n">
        <v>0</v>
      </c>
      <c r="R1622" s="5" t="inlineStr">
        <is>
          <t>313-2024-12-31</t>
        </is>
      </c>
    </row>
    <row r="1623" hidden="1">
      <c r="A1623" s="21" t="n">
        <v>314</v>
      </c>
      <c r="B1623" s="5" t="inlineStr">
        <is>
          <t>N de asignaturas COIL - (Collaborative Online International Learning)</t>
        </is>
      </c>
      <c r="C1623" s="5" t="inlineStr">
        <is>
          <t>VISIBILIDAD NACIONAL E INTERNACIONAL</t>
        </is>
      </c>
      <c r="D1623" s="5" t="inlineStr">
        <is>
          <t>Semestral</t>
        </is>
      </c>
      <c r="E1623" s="5" t="inlineStr">
        <is>
          <t>Positivo</t>
        </is>
      </c>
      <c r="F1623" s="109" t="n">
        <v>45107</v>
      </c>
      <c r="G1623" s="5" t="n">
        <v>2023</v>
      </c>
      <c r="H1623" s="5" t="inlineStr">
        <is>
          <t>Junio</t>
        </is>
      </c>
      <c r="I1623" s="6" t="inlineStr">
        <is>
          <t>2023-1</t>
        </is>
      </c>
      <c r="J1623" s="5" t="n">
        <v>9</v>
      </c>
      <c r="K1623" s="10" t="n">
        <v>13</v>
      </c>
      <c r="L1623" s="14" t="n">
        <v>1.3</v>
      </c>
      <c r="M1623" s="14" t="n">
        <v>1.444444444444444</v>
      </c>
      <c r="N1623" s="5" t="inlineStr">
        <is>
          <t>ENT</t>
        </is>
      </c>
      <c r="O1623" s="5" t="inlineStr">
        <is>
          <t>ENT</t>
        </is>
      </c>
      <c r="P1623" s="15" t="n">
        <v>0</v>
      </c>
      <c r="Q1623" s="15" t="n">
        <v>0</v>
      </c>
      <c r="R1623" s="5" t="inlineStr">
        <is>
          <t>314-2023-06-30</t>
        </is>
      </c>
    </row>
    <row r="1624" hidden="1">
      <c r="A1624" s="21" t="n">
        <v>314</v>
      </c>
      <c r="B1624" s="5" t="inlineStr">
        <is>
          <t>N de asignaturas COIL - (Collaborative Online International Learning)</t>
        </is>
      </c>
      <c r="C1624" s="5" t="inlineStr">
        <is>
          <t>VISIBILIDAD NACIONAL E INTERNACIONAL</t>
        </is>
      </c>
      <c r="D1624" s="5" t="inlineStr">
        <is>
          <t>Semestral</t>
        </is>
      </c>
      <c r="E1624" s="5" t="inlineStr">
        <is>
          <t>Positivo</t>
        </is>
      </c>
      <c r="F1624" s="109" t="n">
        <v>45291</v>
      </c>
      <c r="G1624" s="5" t="n">
        <v>2023</v>
      </c>
      <c r="H1624" s="5" t="inlineStr">
        <is>
          <t>Diciembre</t>
        </is>
      </c>
      <c r="I1624" s="6" t="inlineStr">
        <is>
          <t>2023-2</t>
        </is>
      </c>
      <c r="J1624" s="5" t="n">
        <v>14</v>
      </c>
      <c r="K1624" s="96" t="n">
        <v>16</v>
      </c>
      <c r="L1624" s="14" t="n">
        <v>1.142857142857143</v>
      </c>
      <c r="M1624" s="14" t="n">
        <v>1.142857142857143</v>
      </c>
      <c r="N1624" s="5" t="inlineStr">
        <is>
          <t>ENT</t>
        </is>
      </c>
      <c r="O1624" s="5" t="inlineStr">
        <is>
          <t>ENT</t>
        </is>
      </c>
      <c r="P1624" s="15" t="n">
        <v>0</v>
      </c>
      <c r="Q1624" s="15" t="n">
        <v>0</v>
      </c>
      <c r="R1624" s="5" t="inlineStr">
        <is>
          <t>314-2023-12-31</t>
        </is>
      </c>
    </row>
    <row r="1625" hidden="1">
      <c r="A1625" s="21" t="n">
        <v>314</v>
      </c>
      <c r="B1625" s="5" t="inlineStr">
        <is>
          <t>N de asignaturas COIL - (Collaborative Online International Learning)</t>
        </is>
      </c>
      <c r="C1625" s="5" t="inlineStr">
        <is>
          <t>VISIBILIDAD NACIONAL E INTERNACIONAL</t>
        </is>
      </c>
      <c r="D1625" s="5" t="inlineStr">
        <is>
          <t>Semestral</t>
        </is>
      </c>
      <c r="E1625" s="5" t="inlineStr">
        <is>
          <t>Positivo</t>
        </is>
      </c>
      <c r="F1625" s="109" t="n">
        <v>45473</v>
      </c>
      <c r="G1625" s="5" t="n">
        <v>2024</v>
      </c>
      <c r="H1625" s="5" t="inlineStr">
        <is>
          <t>Junio</t>
        </is>
      </c>
      <c r="I1625" s="6" t="inlineStr">
        <is>
          <t>2024-1</t>
        </is>
      </c>
      <c r="J1625" s="5" t="n">
        <v>100</v>
      </c>
      <c r="K1625" s="96" t="n">
        <v>140</v>
      </c>
      <c r="L1625" s="14" t="n">
        <v>1.3</v>
      </c>
      <c r="M1625" s="14" t="n">
        <v>1.4</v>
      </c>
      <c r="N1625" s="5" t="inlineStr">
        <is>
          <t>ENT</t>
        </is>
      </c>
      <c r="O1625" s="5" t="inlineStr">
        <is>
          <t>ENT</t>
        </is>
      </c>
      <c r="P1625" s="15" t="n">
        <v>0</v>
      </c>
      <c r="Q1625" s="15" t="n">
        <v>0</v>
      </c>
      <c r="R1625" s="5" t="inlineStr">
        <is>
          <t>314-2024-06-30</t>
        </is>
      </c>
    </row>
    <row r="1626" hidden="1">
      <c r="A1626" s="21" t="n">
        <v>314</v>
      </c>
      <c r="B1626" s="5" t="inlineStr">
        <is>
          <t>N de asignaturas COIL - (Collaborative Online International Learning)</t>
        </is>
      </c>
      <c r="C1626" s="5" t="inlineStr">
        <is>
          <t>VISIBILIDAD NACIONAL E INTERNACIONAL</t>
        </is>
      </c>
      <c r="D1626" s="5" t="inlineStr">
        <is>
          <t>Semestral</t>
        </is>
      </c>
      <c r="E1626" s="5" t="inlineStr">
        <is>
          <t>Positivo</t>
        </is>
      </c>
      <c r="F1626" s="109" t="n">
        <v>45657</v>
      </c>
      <c r="G1626" s="5" t="n">
        <v>2024</v>
      </c>
      <c r="H1626" s="5" t="inlineStr">
        <is>
          <t>Diciembre</t>
        </is>
      </c>
      <c r="I1626" s="6" t="inlineStr">
        <is>
          <t>2024-2</t>
        </is>
      </c>
      <c r="J1626" s="5" t="n">
        <v>100</v>
      </c>
      <c r="K1626" s="96" t="n">
        <v>145</v>
      </c>
      <c r="L1626" s="14" t="n">
        <v>1.3</v>
      </c>
      <c r="M1626" s="14" t="n">
        <v>1.45</v>
      </c>
      <c r="N1626" s="5" t="inlineStr">
        <is>
          <t>ENT</t>
        </is>
      </c>
      <c r="O1626" s="5" t="inlineStr">
        <is>
          <t>ENT</t>
        </is>
      </c>
      <c r="P1626" s="15" t="n">
        <v>0</v>
      </c>
      <c r="Q1626" s="15" t="n">
        <v>0</v>
      </c>
      <c r="R1626" s="5" t="inlineStr">
        <is>
          <t>314-2024-12-31</t>
        </is>
      </c>
    </row>
    <row r="1627" hidden="1">
      <c r="A1627" s="21" t="n">
        <v>315</v>
      </c>
      <c r="B1627" s="5" t="inlineStr">
        <is>
          <t>Convenios con doble titulación</t>
        </is>
      </c>
      <c r="C1627" s="5" t="inlineStr">
        <is>
          <t>VISIBILIDAD NACIONAL E INTERNACIONAL</t>
        </is>
      </c>
      <c r="D1627" s="5" t="inlineStr">
        <is>
          <t>Semestral</t>
        </is>
      </c>
      <c r="E1627" s="5" t="inlineStr">
        <is>
          <t>Positivo</t>
        </is>
      </c>
      <c r="F1627" s="109" t="n">
        <v>45107</v>
      </c>
      <c r="G1627" s="5" t="n">
        <v>2023</v>
      </c>
      <c r="H1627" s="5" t="inlineStr">
        <is>
          <t>Junio</t>
        </is>
      </c>
      <c r="I1627" s="6" t="inlineStr">
        <is>
          <t>2023-1</t>
        </is>
      </c>
      <c r="J1627" s="5" t="n">
        <v>5</v>
      </c>
      <c r="K1627" s="96" t="n">
        <v>7</v>
      </c>
      <c r="L1627" s="14" t="n">
        <v>1.3</v>
      </c>
      <c r="M1627" s="14" t="n">
        <v>1.4</v>
      </c>
      <c r="N1627" s="5" t="inlineStr">
        <is>
          <t>ENT</t>
        </is>
      </c>
      <c r="O1627" s="5" t="inlineStr">
        <is>
          <t>ENT</t>
        </is>
      </c>
      <c r="P1627" s="15" t="n">
        <v>0</v>
      </c>
      <c r="Q1627" s="15" t="n">
        <v>0</v>
      </c>
      <c r="R1627" s="5" t="inlineStr">
        <is>
          <t>315-2023-06-30</t>
        </is>
      </c>
    </row>
    <row r="1628" hidden="1">
      <c r="A1628" s="21" t="n">
        <v>316</v>
      </c>
      <c r="B1628" s="5" t="inlineStr">
        <is>
          <t>Asignaturas con sesiones en segundo idioma</t>
        </is>
      </c>
      <c r="C1628" s="5" t="inlineStr">
        <is>
          <t>VISIBILIDAD NACIONAL E INTERNACIONAL</t>
        </is>
      </c>
      <c r="D1628" s="5" t="inlineStr">
        <is>
          <t>Semestral</t>
        </is>
      </c>
      <c r="E1628" s="5" t="inlineStr">
        <is>
          <t>Positivo</t>
        </is>
      </c>
      <c r="F1628" s="109" t="n">
        <v>45107</v>
      </c>
      <c r="G1628" s="5" t="n">
        <v>2023</v>
      </c>
      <c r="H1628" s="5" t="inlineStr">
        <is>
          <t>Junio</t>
        </is>
      </c>
      <c r="I1628" s="6" t="inlineStr">
        <is>
          <t>2023-1</t>
        </is>
      </c>
      <c r="J1628" s="5" t="n">
        <v>9</v>
      </c>
      <c r="K1628" s="96" t="n">
        <v>11</v>
      </c>
      <c r="L1628" s="14" t="n">
        <v>1.222222222222222</v>
      </c>
      <c r="M1628" s="14" t="n">
        <v>1.222222222222222</v>
      </c>
      <c r="N1628" s="5" t="inlineStr">
        <is>
          <t>ENT</t>
        </is>
      </c>
      <c r="O1628" s="5" t="inlineStr">
        <is>
          <t>ENT</t>
        </is>
      </c>
      <c r="P1628" s="15" t="n">
        <v>0</v>
      </c>
      <c r="Q1628" s="15" t="n">
        <v>0</v>
      </c>
      <c r="R1628" s="5" t="inlineStr">
        <is>
          <t>316-2023-06-30</t>
        </is>
      </c>
    </row>
    <row r="1629" hidden="1">
      <c r="A1629" s="5" t="n">
        <v>316</v>
      </c>
      <c r="B1629" s="5" t="inlineStr">
        <is>
          <t>Asignaturas con sesiones en segundo idioma</t>
        </is>
      </c>
      <c r="C1629" s="5" t="inlineStr">
        <is>
          <t>VISIBILIDAD NACIONAL E INTERNACIONAL</t>
        </is>
      </c>
      <c r="D1629" s="5" t="inlineStr">
        <is>
          <t>Semestral</t>
        </is>
      </c>
      <c r="E1629" s="5" t="inlineStr">
        <is>
          <t>Positivo</t>
        </is>
      </c>
      <c r="F1629" s="109" t="n">
        <v>45291</v>
      </c>
      <c r="G1629" s="5" t="n">
        <v>2023</v>
      </c>
      <c r="H1629" s="5" t="inlineStr">
        <is>
          <t>Diciembre</t>
        </is>
      </c>
      <c r="I1629" s="6" t="inlineStr">
        <is>
          <t>2023-2</t>
        </is>
      </c>
      <c r="J1629" s="5" t="n">
        <v>12</v>
      </c>
      <c r="K1629" s="5" t="n">
        <v>11</v>
      </c>
      <c r="L1629" s="14" t="n">
        <v>0.9166666666666666</v>
      </c>
      <c r="M1629" s="14" t="n">
        <v>0.9166666666666666</v>
      </c>
      <c r="N1629" s="5" t="inlineStr">
        <is>
          <t>ENT</t>
        </is>
      </c>
      <c r="O1629" s="5" t="inlineStr">
        <is>
          <t>ENT</t>
        </is>
      </c>
      <c r="P1629" s="5" t="n">
        <v>0</v>
      </c>
      <c r="Q1629" s="5" t="n">
        <v>0</v>
      </c>
      <c r="R1629" s="5" t="inlineStr">
        <is>
          <t>316-2023-12-31</t>
        </is>
      </c>
    </row>
    <row r="1630" hidden="1">
      <c r="A1630" s="5" t="n">
        <v>317</v>
      </c>
      <c r="B1630" s="5" t="inlineStr">
        <is>
          <t>Plan De Internacionalización A 7 Años</t>
        </is>
      </c>
      <c r="C1630" s="5" t="inlineStr">
        <is>
          <t>VISIBILIDAD NACIONAL E INTERNACIONAL</t>
        </is>
      </c>
      <c r="D1630" s="5" t="inlineStr">
        <is>
          <t>Anual</t>
        </is>
      </c>
      <c r="E1630" s="5" t="inlineStr">
        <is>
          <t>Positivo</t>
        </is>
      </c>
      <c r="F1630" s="109" t="n">
        <v>45291</v>
      </c>
      <c r="G1630" s="5" t="n">
        <v>2023</v>
      </c>
      <c r="H1630" s="5" t="inlineStr">
        <is>
          <t>Diciembre</t>
        </is>
      </c>
      <c r="I1630" s="6" t="inlineStr">
        <is>
          <t>2023-2</t>
        </is>
      </c>
      <c r="J1630" s="5" t="n">
        <v>12</v>
      </c>
      <c r="K1630" s="5" t="n">
        <v>12</v>
      </c>
      <c r="L1630" s="14" t="n">
        <v>1</v>
      </c>
      <c r="M1630" s="14" t="n">
        <v>1</v>
      </c>
      <c r="N1630" s="5" t="inlineStr">
        <is>
          <t>ENT</t>
        </is>
      </c>
      <c r="O1630" s="5" t="inlineStr">
        <is>
          <t>ENT</t>
        </is>
      </c>
      <c r="P1630" s="5" t="n">
        <v>0</v>
      </c>
      <c r="Q1630" s="5" t="n">
        <v>0</v>
      </c>
      <c r="R1630" s="5" t="inlineStr">
        <is>
          <t>317-2023-12-31</t>
        </is>
      </c>
    </row>
    <row r="1631" hidden="1">
      <c r="A1631" s="5" t="n">
        <v>317</v>
      </c>
      <c r="B1631" s="5" t="inlineStr">
        <is>
          <t>Plan De Internacionalización A 7 Años</t>
        </is>
      </c>
      <c r="C1631" s="5" t="inlineStr">
        <is>
          <t>VISIBILIDAD NACIONAL E INTERNACIONAL</t>
        </is>
      </c>
      <c r="D1631" s="5" t="inlineStr">
        <is>
          <t>Anual</t>
        </is>
      </c>
      <c r="E1631" s="5" t="inlineStr">
        <is>
          <t>Positivo</t>
        </is>
      </c>
      <c r="F1631" s="109" t="n">
        <v>45657</v>
      </c>
      <c r="G1631" s="5" t="n">
        <v>2024</v>
      </c>
      <c r="H1631" s="5" t="inlineStr">
        <is>
          <t>Diciembre</t>
        </is>
      </c>
      <c r="I1631" s="6" t="inlineStr">
        <is>
          <t>2024-2</t>
        </is>
      </c>
      <c r="J1631" s="5" t="n">
        <v>100</v>
      </c>
      <c r="K1631" s="5" t="n">
        <v>100</v>
      </c>
      <c r="L1631" s="14" t="n">
        <v>1</v>
      </c>
      <c r="M1631" s="14" t="n">
        <v>1</v>
      </c>
      <c r="N1631" s="5" t="n"/>
      <c r="O1631" s="5" t="n"/>
      <c r="P1631" s="5" t="n">
        <v>0</v>
      </c>
      <c r="Q1631" s="5" t="n">
        <v>0</v>
      </c>
      <c r="R1631" s="5" t="inlineStr">
        <is>
          <t>317-2024-12-31</t>
        </is>
      </c>
    </row>
    <row r="1632" hidden="1">
      <c r="A1632" s="31" t="n">
        <v>318</v>
      </c>
      <c r="B1632" s="5" t="inlineStr">
        <is>
          <t>Convenios, alianzas activas con actividades desde 2018</t>
        </is>
      </c>
      <c r="C1632" s="5" t="inlineStr">
        <is>
          <t>VISIBILIDAD NACIONAL E INTERNACIONAL</t>
        </is>
      </c>
      <c r="D1632" s="5" t="inlineStr">
        <is>
          <t>Semestral</t>
        </is>
      </c>
      <c r="E1632" s="5" t="inlineStr">
        <is>
          <t>Positivo</t>
        </is>
      </c>
      <c r="F1632" s="109" t="n">
        <v>45107</v>
      </c>
      <c r="G1632" s="5" t="n">
        <v>2023</v>
      </c>
      <c r="H1632" s="5" t="inlineStr">
        <is>
          <t>Junio</t>
        </is>
      </c>
      <c r="I1632" s="6" t="inlineStr">
        <is>
          <t>2023-1</t>
        </is>
      </c>
      <c r="J1632" s="5" t="n">
        <v>80</v>
      </c>
      <c r="K1632" s="97" t="n">
        <v>85.981308411215</v>
      </c>
      <c r="L1632" s="30" t="n">
        <v>1.074766355140187</v>
      </c>
      <c r="M1632" s="14" t="n">
        <v>1.074766355140187</v>
      </c>
      <c r="N1632" s="31" t="inlineStr">
        <is>
          <t>%</t>
        </is>
      </c>
      <c r="O1632" s="5" t="inlineStr">
        <is>
          <t>%</t>
        </is>
      </c>
      <c r="P1632" s="15" t="n">
        <v>0</v>
      </c>
      <c r="Q1632" s="15" t="n">
        <v>0</v>
      </c>
      <c r="R1632" s="5" t="inlineStr">
        <is>
          <t>318-2023-06-30</t>
        </is>
      </c>
    </row>
    <row r="1633" hidden="1">
      <c r="A1633" s="5" t="n">
        <v>318</v>
      </c>
      <c r="B1633" s="5" t="inlineStr">
        <is>
          <t>Convenios, alianzas activas con actividades desde 2018</t>
        </is>
      </c>
      <c r="C1633" s="5" t="inlineStr">
        <is>
          <t>VISIBILIDAD NACIONAL E INTERNACIONAL</t>
        </is>
      </c>
      <c r="D1633" s="5" t="inlineStr">
        <is>
          <t>Semestral</t>
        </is>
      </c>
      <c r="E1633" s="5" t="inlineStr">
        <is>
          <t>Positivo</t>
        </is>
      </c>
      <c r="F1633" s="109" t="n">
        <v>45291</v>
      </c>
      <c r="G1633" s="5" t="n">
        <v>2023</v>
      </c>
      <c r="H1633" s="5" t="inlineStr">
        <is>
          <t>Diciembre</t>
        </is>
      </c>
      <c r="I1633" s="6" t="inlineStr">
        <is>
          <t>2023-2</t>
        </is>
      </c>
      <c r="J1633" s="5" t="n">
        <v>80</v>
      </c>
      <c r="K1633" s="5" t="n">
        <v>90.90909090909091</v>
      </c>
      <c r="L1633" s="14" t="n">
        <v>1.136363636363636</v>
      </c>
      <c r="M1633" s="14" t="n">
        <v>1.136363636363636</v>
      </c>
      <c r="N1633" s="5" t="inlineStr">
        <is>
          <t>%</t>
        </is>
      </c>
      <c r="O1633" s="5" t="inlineStr">
        <is>
          <t>%</t>
        </is>
      </c>
      <c r="P1633" s="5" t="n">
        <v>0</v>
      </c>
      <c r="Q1633" s="5" t="n">
        <v>0</v>
      </c>
      <c r="R1633" s="5" t="inlineStr">
        <is>
          <t>318-2023-12-31</t>
        </is>
      </c>
    </row>
    <row r="1634" hidden="1">
      <c r="A1634" s="21" t="n">
        <v>318</v>
      </c>
      <c r="B1634" s="5" t="inlineStr">
        <is>
          <t>Convenios, alianzas activas con actividades en los últimos 5 años</t>
        </is>
      </c>
      <c r="C1634" s="5" t="inlineStr">
        <is>
          <t>VISIBILIDAD NACIONAL E INTERNACIONAL</t>
        </is>
      </c>
      <c r="D1634" s="5" t="inlineStr">
        <is>
          <t>Anual</t>
        </is>
      </c>
      <c r="E1634" s="5" t="inlineStr">
        <is>
          <t>Positivo</t>
        </is>
      </c>
      <c r="F1634" s="109" t="n">
        <v>45657</v>
      </c>
      <c r="G1634" s="5" t="n">
        <v>2024</v>
      </c>
      <c r="H1634" s="5" t="inlineStr">
        <is>
          <t>Diciembre</t>
        </is>
      </c>
      <c r="I1634" s="6" t="inlineStr">
        <is>
          <t>2024-2</t>
        </is>
      </c>
      <c r="J1634" s="5" t="n">
        <v>80</v>
      </c>
      <c r="K1634" s="10" t="n">
        <v>90.28</v>
      </c>
      <c r="L1634" s="14" t="n">
        <v>1.1285</v>
      </c>
      <c r="M1634" s="14" t="n">
        <v>1.1285</v>
      </c>
      <c r="N1634" s="5" t="inlineStr">
        <is>
          <t>%</t>
        </is>
      </c>
      <c r="O1634" s="5" t="inlineStr">
        <is>
          <t>%</t>
        </is>
      </c>
      <c r="P1634" s="15" t="n">
        <v>0</v>
      </c>
      <c r="Q1634" s="15" t="n">
        <v>0</v>
      </c>
      <c r="R1634" s="5" t="inlineStr">
        <is>
          <t>318-2024-12-31</t>
        </is>
      </c>
    </row>
    <row r="1635" hidden="1">
      <c r="A1635" s="21" t="n">
        <v>318</v>
      </c>
      <c r="B1635" s="5" t="inlineStr">
        <is>
          <t>Convenios, alianzas activas con actividades en los últimos 5 años</t>
        </is>
      </c>
      <c r="C1635" s="5" t="inlineStr">
        <is>
          <t>VISIBILIDAD NACIONAL E INTERNACIONAL</t>
        </is>
      </c>
      <c r="D1635" s="5" t="inlineStr">
        <is>
          <t>Anual</t>
        </is>
      </c>
      <c r="E1635" s="5" t="inlineStr">
        <is>
          <t>Positivo</t>
        </is>
      </c>
      <c r="F1635" s="109" t="n">
        <v>46022</v>
      </c>
      <c r="G1635" s="5" t="n">
        <v>2025</v>
      </c>
      <c r="H1635" s="5" t="inlineStr">
        <is>
          <t>Diciembre</t>
        </is>
      </c>
      <c r="I1635" s="6" t="inlineStr">
        <is>
          <t>2025-2</t>
        </is>
      </c>
      <c r="J1635" s="5" t="n">
        <v>85</v>
      </c>
      <c r="K1635" s="97" t="n">
        <v>86.16</v>
      </c>
      <c r="L1635" s="14" t="n">
        <v>1.013647058823529</v>
      </c>
      <c r="M1635" s="14" t="n">
        <v>1.013647058823529</v>
      </c>
      <c r="N1635" s="5" t="inlineStr">
        <is>
          <t>%</t>
        </is>
      </c>
      <c r="O1635" s="5" t="inlineStr">
        <is>
          <t>%</t>
        </is>
      </c>
      <c r="P1635" s="15" t="n">
        <v>0</v>
      </c>
      <c r="Q1635" s="15" t="n">
        <v>0</v>
      </c>
      <c r="R1635" s="5" t="inlineStr">
        <is>
          <t>318-2025-12-31</t>
        </is>
      </c>
    </row>
    <row r="1636" hidden="1">
      <c r="A1636" s="21" t="n">
        <v>319</v>
      </c>
      <c r="B1636" s="5" t="inlineStr">
        <is>
          <t>Nivel de cumplimiento de la gestión de internacionalización descrito en el plan de trabajo de la ORNI</t>
        </is>
      </c>
      <c r="C1636" s="5" t="inlineStr">
        <is>
          <t>VISIBILIDAD NACIONAL E INTERNACIONAL</t>
        </is>
      </c>
      <c r="D1636" s="5" t="inlineStr">
        <is>
          <t>Semestral</t>
        </is>
      </c>
      <c r="E1636" s="5" t="inlineStr">
        <is>
          <t>Positivo</t>
        </is>
      </c>
      <c r="F1636" s="109" t="n">
        <v>45107</v>
      </c>
      <c r="G1636" s="5" t="n">
        <v>2023</v>
      </c>
      <c r="H1636" s="5" t="inlineStr">
        <is>
          <t>Junio</t>
        </is>
      </c>
      <c r="I1636" s="6" t="inlineStr">
        <is>
          <t>2023-1</t>
        </is>
      </c>
      <c r="J1636" s="5" t="n">
        <v>100</v>
      </c>
      <c r="K1636" s="97" t="n">
        <v>80</v>
      </c>
      <c r="L1636" s="14" t="n">
        <v>0.8</v>
      </c>
      <c r="M1636" s="14" t="n">
        <v>0.8</v>
      </c>
      <c r="N1636" s="5" t="inlineStr">
        <is>
          <t>%</t>
        </is>
      </c>
      <c r="O1636" s="5" t="inlineStr">
        <is>
          <t>%</t>
        </is>
      </c>
      <c r="P1636" s="15" t="n">
        <v>0</v>
      </c>
      <c r="Q1636" s="15" t="n">
        <v>0</v>
      </c>
      <c r="R1636" s="5" t="inlineStr">
        <is>
          <t>319-2023-06-30</t>
        </is>
      </c>
    </row>
    <row r="1637" hidden="1">
      <c r="A1637" s="21" t="n">
        <v>319</v>
      </c>
      <c r="B1637" s="5" t="inlineStr">
        <is>
          <t>Nivel de cumplimiento de la gestión de internacionalización descrito en el plan de trabajo de la ORNI</t>
        </is>
      </c>
      <c r="C1637" s="5" t="inlineStr">
        <is>
          <t>VISIBILIDAD NACIONAL E INTERNACIONAL</t>
        </is>
      </c>
      <c r="D1637" s="5" t="inlineStr">
        <is>
          <t>Semestral</t>
        </is>
      </c>
      <c r="E1637" s="5" t="inlineStr">
        <is>
          <t>Positivo</t>
        </is>
      </c>
      <c r="F1637" s="109" t="n">
        <v>45291</v>
      </c>
      <c r="G1637" s="5" t="n">
        <v>2023</v>
      </c>
      <c r="H1637" s="5" t="inlineStr">
        <is>
          <t>Diciembre</t>
        </is>
      </c>
      <c r="I1637" s="6" t="inlineStr">
        <is>
          <t>2023-2</t>
        </is>
      </c>
      <c r="J1637" s="5" t="n">
        <v>100</v>
      </c>
      <c r="K1637" s="97" t="n">
        <v>100</v>
      </c>
      <c r="L1637" s="14" t="n">
        <v>1</v>
      </c>
      <c r="M1637" s="14" t="n">
        <v>1</v>
      </c>
      <c r="N1637" s="5" t="inlineStr">
        <is>
          <t>%</t>
        </is>
      </c>
      <c r="O1637" s="5" t="inlineStr">
        <is>
          <t>%</t>
        </is>
      </c>
      <c r="P1637" s="15" t="n">
        <v>0</v>
      </c>
      <c r="Q1637" s="15" t="n">
        <v>0</v>
      </c>
      <c r="R1637" s="5" t="inlineStr">
        <is>
          <t>319-2023-12-31</t>
        </is>
      </c>
    </row>
    <row r="1638" hidden="1">
      <c r="A1638" s="21" t="n">
        <v>319</v>
      </c>
      <c r="B1638" s="5" t="inlineStr">
        <is>
          <t>Nivel de cumplimiento de la gestión de internacionalización descrito en el plan de trabajo de la ORNI</t>
        </is>
      </c>
      <c r="C1638" s="5" t="inlineStr">
        <is>
          <t>VISIBILIDAD NACIONAL E INTERNACIONAL</t>
        </is>
      </c>
      <c r="D1638" s="5" t="inlineStr">
        <is>
          <t>Semestral</t>
        </is>
      </c>
      <c r="E1638" s="5" t="inlineStr">
        <is>
          <t>Positivo</t>
        </is>
      </c>
      <c r="F1638" s="109" t="n">
        <v>45473</v>
      </c>
      <c r="G1638" s="5" t="n">
        <v>2024</v>
      </c>
      <c r="H1638" s="5" t="inlineStr">
        <is>
          <t>Junio</t>
        </is>
      </c>
      <c r="I1638" s="6" t="inlineStr">
        <is>
          <t>2024-1</t>
        </is>
      </c>
      <c r="J1638" s="5" t="n">
        <v>100</v>
      </c>
      <c r="K1638" s="97" t="n">
        <v>100</v>
      </c>
      <c r="L1638" s="14" t="n">
        <v>1</v>
      </c>
      <c r="M1638" s="14" t="n">
        <v>1</v>
      </c>
      <c r="N1638" s="5" t="inlineStr">
        <is>
          <t>%</t>
        </is>
      </c>
      <c r="O1638" s="5" t="inlineStr">
        <is>
          <t>%</t>
        </is>
      </c>
      <c r="P1638" s="15" t="n">
        <v>0</v>
      </c>
      <c r="Q1638" s="15" t="n">
        <v>0</v>
      </c>
      <c r="R1638" s="5" t="inlineStr">
        <is>
          <t>319-2024-06-30</t>
        </is>
      </c>
    </row>
    <row r="1639" hidden="1">
      <c r="A1639" s="26" t="n">
        <v>319</v>
      </c>
      <c r="B1639" s="5" t="inlineStr">
        <is>
          <t>Nivel de cumplimiento de la gestión de internacionalización descrito en el plan de trabajo de la ORNI</t>
        </is>
      </c>
      <c r="C1639" s="5" t="inlineStr">
        <is>
          <t>VISIBILIDAD NACIONAL E INTERNACIONAL</t>
        </is>
      </c>
      <c r="D1639" s="5" t="inlineStr">
        <is>
          <t>Semestral</t>
        </is>
      </c>
      <c r="E1639" s="5" t="inlineStr">
        <is>
          <t>Positivo</t>
        </is>
      </c>
      <c r="F1639" s="109" t="n">
        <v>45657</v>
      </c>
      <c r="G1639" s="5" t="n">
        <v>2024</v>
      </c>
      <c r="H1639" s="5" t="inlineStr">
        <is>
          <t>Diciembre</t>
        </is>
      </c>
      <c r="I1639" s="6" t="inlineStr">
        <is>
          <t>2024-2</t>
        </is>
      </c>
      <c r="J1639" s="5" t="n">
        <v>100</v>
      </c>
      <c r="K1639" s="97" t="n">
        <v>100</v>
      </c>
      <c r="L1639" s="14" t="n">
        <v>1</v>
      </c>
      <c r="M1639" s="14" t="n">
        <v>1</v>
      </c>
      <c r="N1639" s="5" t="inlineStr">
        <is>
          <t>%</t>
        </is>
      </c>
      <c r="O1639" s="5" t="inlineStr">
        <is>
          <t>%</t>
        </is>
      </c>
      <c r="P1639" s="15" t="n">
        <v>0</v>
      </c>
      <c r="Q1639" s="15" t="n">
        <v>0</v>
      </c>
      <c r="R1639" s="5" t="inlineStr">
        <is>
          <t>319-2024-12-31</t>
        </is>
      </c>
    </row>
    <row r="1640" hidden="1">
      <c r="A1640" s="26" t="n">
        <v>320</v>
      </c>
      <c r="B1640" s="5" t="inlineStr">
        <is>
          <t>Participación docentes eventos académicos internacionales virtuales</t>
        </is>
      </c>
      <c r="C1640" s="5" t="inlineStr">
        <is>
          <t>VISIBILIDAD NACIONAL E INTERNACIONAL</t>
        </is>
      </c>
      <c r="D1640" s="5" t="inlineStr">
        <is>
          <t>Semestral</t>
        </is>
      </c>
      <c r="E1640" s="5" t="inlineStr">
        <is>
          <t>Positivo</t>
        </is>
      </c>
      <c r="F1640" s="109" t="n">
        <v>45107</v>
      </c>
      <c r="G1640" s="5" t="n">
        <v>2023</v>
      </c>
      <c r="H1640" s="5" t="inlineStr">
        <is>
          <t>Junio</t>
        </is>
      </c>
      <c r="I1640" s="6" t="inlineStr">
        <is>
          <t>2023-1</t>
        </is>
      </c>
      <c r="J1640" s="5" t="n">
        <v>26</v>
      </c>
      <c r="K1640" s="97" t="n">
        <v>12</v>
      </c>
      <c r="L1640" s="14" t="n">
        <v>0.4615384615384616</v>
      </c>
      <c r="M1640" s="14" t="n">
        <v>0.4615384615384616</v>
      </c>
      <c r="N1640" s="5" t="inlineStr">
        <is>
          <t>%</t>
        </is>
      </c>
      <c r="O1640" s="5" t="inlineStr">
        <is>
          <t>%</t>
        </is>
      </c>
      <c r="P1640" s="15" t="n">
        <v>0</v>
      </c>
      <c r="Q1640" s="15" t="n">
        <v>0</v>
      </c>
      <c r="R1640" s="5" t="inlineStr">
        <is>
          <t>320-2023-06-30</t>
        </is>
      </c>
    </row>
    <row r="1641" hidden="1">
      <c r="A1641" s="26" t="n">
        <v>320</v>
      </c>
      <c r="B1641" s="5" t="inlineStr">
        <is>
          <t>Participación docentes eventos académicos internacionales virtuales</t>
        </is>
      </c>
      <c r="C1641" s="5" t="inlineStr">
        <is>
          <t>VISIBILIDAD NACIONAL E INTERNACIONAL</t>
        </is>
      </c>
      <c r="D1641" s="5" t="inlineStr">
        <is>
          <t>Semestral</t>
        </is>
      </c>
      <c r="E1641" s="5" t="inlineStr">
        <is>
          <t>Positivo</t>
        </is>
      </c>
      <c r="F1641" s="109" t="n">
        <v>45291</v>
      </c>
      <c r="G1641" s="5" t="n">
        <v>2023</v>
      </c>
      <c r="H1641" s="5" t="inlineStr">
        <is>
          <t>Diciembre</t>
        </is>
      </c>
      <c r="I1641" s="6" t="inlineStr">
        <is>
          <t>2023-2</t>
        </is>
      </c>
      <c r="J1641" s="5" t="n">
        <v>15</v>
      </c>
      <c r="K1641" s="97" t="n">
        <v>17</v>
      </c>
      <c r="L1641" s="14" t="n">
        <v>1.133333333333333</v>
      </c>
      <c r="M1641" s="14" t="n">
        <v>1.133333333333333</v>
      </c>
      <c r="N1641" s="5" t="inlineStr">
        <is>
          <t>%</t>
        </is>
      </c>
      <c r="O1641" s="5" t="inlineStr">
        <is>
          <t>%</t>
        </is>
      </c>
      <c r="P1641" s="15" t="n">
        <v>0</v>
      </c>
      <c r="Q1641" s="15" t="n">
        <v>0</v>
      </c>
      <c r="R1641" s="5" t="inlineStr">
        <is>
          <t>320-2023-12-31</t>
        </is>
      </c>
    </row>
    <row r="1642" hidden="1">
      <c r="A1642" s="21" t="n">
        <v>320</v>
      </c>
      <c r="B1642" s="5" t="inlineStr">
        <is>
          <t>Participación docentes Poli en eventos académicos internacionales virtuales</t>
        </is>
      </c>
      <c r="C1642" s="5" t="inlineStr">
        <is>
          <t>VISIBILIDAD NACIONAL E INTERNACIONAL</t>
        </is>
      </c>
      <c r="D1642" s="5" t="inlineStr">
        <is>
          <t>Semestral</t>
        </is>
      </c>
      <c r="E1642" s="5" t="inlineStr">
        <is>
          <t>Positivo</t>
        </is>
      </c>
      <c r="F1642" s="109" t="n">
        <v>45473</v>
      </c>
      <c r="G1642" s="5" t="n">
        <v>2024</v>
      </c>
      <c r="H1642" s="5" t="inlineStr">
        <is>
          <t>Junio</t>
        </is>
      </c>
      <c r="I1642" s="6" t="inlineStr">
        <is>
          <t>2024-1</t>
        </is>
      </c>
      <c r="J1642" s="5" t="n">
        <v>100</v>
      </c>
      <c r="K1642" s="10" t="n">
        <v>140</v>
      </c>
      <c r="L1642" s="14" t="n">
        <v>1.3</v>
      </c>
      <c r="M1642" s="14" t="n">
        <v>1.4</v>
      </c>
      <c r="N1642" s="5" t="inlineStr">
        <is>
          <t>ENT</t>
        </is>
      </c>
      <c r="O1642" s="5" t="inlineStr">
        <is>
          <t>ENT</t>
        </is>
      </c>
      <c r="P1642" s="15" t="n">
        <v>0</v>
      </c>
      <c r="Q1642" s="15" t="n">
        <v>0</v>
      </c>
      <c r="R1642" s="5" t="inlineStr">
        <is>
          <t>320-2024-06-30</t>
        </is>
      </c>
    </row>
    <row r="1643" hidden="1">
      <c r="A1643" s="21" t="n">
        <v>320</v>
      </c>
      <c r="B1643" s="5" t="inlineStr">
        <is>
          <t>Participación docentes Poli en eventos académicos internacionales virtuales</t>
        </is>
      </c>
      <c r="C1643" s="5" t="inlineStr">
        <is>
          <t>VISIBILIDAD NACIONAL E INTERNACIONAL</t>
        </is>
      </c>
      <c r="D1643" s="5" t="inlineStr">
        <is>
          <t>Semestral</t>
        </is>
      </c>
      <c r="E1643" s="5" t="inlineStr">
        <is>
          <t>Positivo</t>
        </is>
      </c>
      <c r="F1643" s="109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100</v>
      </c>
      <c r="K1643" s="10" t="n">
        <v>115</v>
      </c>
      <c r="L1643" s="14" t="n">
        <v>1.15</v>
      </c>
      <c r="M1643" s="14" t="n">
        <v>1.15</v>
      </c>
      <c r="N1643" s="5" t="inlineStr">
        <is>
          <t>ENT</t>
        </is>
      </c>
      <c r="O1643" s="5" t="inlineStr">
        <is>
          <t>ENT</t>
        </is>
      </c>
      <c r="P1643" s="15" t="n">
        <v>0</v>
      </c>
      <c r="Q1643" s="15" t="n">
        <v>0</v>
      </c>
      <c r="R1643" s="5" t="inlineStr">
        <is>
          <t>320-2024-12-31</t>
        </is>
      </c>
    </row>
    <row r="1644" hidden="1">
      <c r="A1644" s="28" t="n">
        <v>321</v>
      </c>
      <c r="B1644" s="5" t="inlineStr">
        <is>
          <t>Participación estudiantes eventos académicos internacionales virtuales</t>
        </is>
      </c>
      <c r="C1644" s="5" t="inlineStr">
        <is>
          <t>VISIBILIDAD NACIONAL E INTERNACIONAL</t>
        </is>
      </c>
      <c r="D1644" s="5" t="inlineStr">
        <is>
          <t>Semestral</t>
        </is>
      </c>
      <c r="E1644" s="5" t="inlineStr">
        <is>
          <t>Positivo</t>
        </is>
      </c>
      <c r="F1644" s="109" t="n">
        <v>45107</v>
      </c>
      <c r="G1644" s="5" t="n">
        <v>2023</v>
      </c>
      <c r="H1644" s="5" t="inlineStr">
        <is>
          <t>Junio</t>
        </is>
      </c>
      <c r="I1644" s="6" t="inlineStr">
        <is>
          <t>2023-1</t>
        </is>
      </c>
      <c r="J1644" s="76" t="n">
        <v>180</v>
      </c>
      <c r="K1644" s="9" t="n">
        <v>236</v>
      </c>
      <c r="L1644" s="14" t="n">
        <v>1.3</v>
      </c>
      <c r="M1644" s="14" t="n">
        <v>1.311111111111111</v>
      </c>
      <c r="N1644" s="5" t="inlineStr">
        <is>
          <t>ENT</t>
        </is>
      </c>
      <c r="O1644" s="5" t="inlineStr">
        <is>
          <t>ENT</t>
        </is>
      </c>
      <c r="P1644" s="15" t="n">
        <v>0</v>
      </c>
      <c r="Q1644" s="15" t="n">
        <v>0</v>
      </c>
      <c r="R1644" s="5" t="inlineStr">
        <is>
          <t>321-2023-06-30</t>
        </is>
      </c>
    </row>
    <row r="1645" hidden="1">
      <c r="A1645" s="21" t="n">
        <v>321</v>
      </c>
      <c r="B1645" s="5" t="inlineStr">
        <is>
          <t>Participación estudiantes eventos académicos internacionales virtuales</t>
        </is>
      </c>
      <c r="C1645" s="5" t="inlineStr">
        <is>
          <t>VISIBILIDAD NACIONAL E INTERNACIONAL</t>
        </is>
      </c>
      <c r="D1645" s="5" t="inlineStr">
        <is>
          <t>Semestral</t>
        </is>
      </c>
      <c r="E1645" s="5" t="inlineStr">
        <is>
          <t>Positivo</t>
        </is>
      </c>
      <c r="F1645" s="108" t="n">
        <v>45291</v>
      </c>
      <c r="G1645" s="5" t="n">
        <v>2023</v>
      </c>
      <c r="H1645" s="5" t="inlineStr">
        <is>
          <t>Diciembre</t>
        </is>
      </c>
      <c r="I1645" s="6" t="inlineStr">
        <is>
          <t>2023-2</t>
        </is>
      </c>
      <c r="J1645" s="5" t="n">
        <v>180</v>
      </c>
      <c r="K1645" s="9" t="n">
        <v>231</v>
      </c>
      <c r="L1645" s="14" t="n">
        <v>1.283333333333333</v>
      </c>
      <c r="M1645" s="14" t="n">
        <v>1.283333333333333</v>
      </c>
      <c r="N1645" s="5" t="inlineStr">
        <is>
          <t>ENT</t>
        </is>
      </c>
      <c r="O1645" s="5" t="inlineStr">
        <is>
          <t>ENT</t>
        </is>
      </c>
      <c r="P1645" s="15" t="n">
        <v>0</v>
      </c>
      <c r="Q1645" s="15" t="n">
        <v>0</v>
      </c>
      <c r="R1645" s="5" t="inlineStr">
        <is>
          <t>321-2023-12-31</t>
        </is>
      </c>
    </row>
    <row r="1646" hidden="1">
      <c r="A1646" s="21" t="n">
        <v>321</v>
      </c>
      <c r="B1646" s="5" t="inlineStr">
        <is>
          <t>Participación estudiantes Poli en eventos académicos internacionales virtuales</t>
        </is>
      </c>
      <c r="C1646" s="5" t="inlineStr">
        <is>
          <t>VISIBILIDAD NACIONAL E INTERNACIONAL</t>
        </is>
      </c>
      <c r="D1646" s="5" t="inlineStr">
        <is>
          <t>Semestral</t>
        </is>
      </c>
      <c r="E1646" s="5" t="inlineStr">
        <is>
          <t>Positivo</t>
        </is>
      </c>
      <c r="F1646" s="109" t="n">
        <v>45473</v>
      </c>
      <c r="G1646" s="5" t="n">
        <v>2024</v>
      </c>
      <c r="H1646" s="5" t="inlineStr">
        <is>
          <t>Junio</t>
        </is>
      </c>
      <c r="I1646" s="6" t="inlineStr">
        <is>
          <t>2024-1</t>
        </is>
      </c>
      <c r="J1646" s="5" t="n">
        <v>100</v>
      </c>
      <c r="K1646" s="10" t="n">
        <v>106.52</v>
      </c>
      <c r="L1646" s="14" t="n">
        <v>1.0652</v>
      </c>
      <c r="M1646" s="14" t="n">
        <v>1.0652</v>
      </c>
      <c r="N1646" s="5" t="inlineStr">
        <is>
          <t>ENT</t>
        </is>
      </c>
      <c r="O1646" s="5" t="inlineStr">
        <is>
          <t>ENT</t>
        </is>
      </c>
      <c r="P1646" s="15" t="n">
        <v>0</v>
      </c>
      <c r="Q1646" s="15" t="n">
        <v>0</v>
      </c>
      <c r="R1646" s="5" t="inlineStr">
        <is>
          <t>321-2024-06-30</t>
        </is>
      </c>
    </row>
    <row r="1647" hidden="1">
      <c r="A1647" s="21" t="n">
        <v>321</v>
      </c>
      <c r="B1647" s="5" t="inlineStr">
        <is>
          <t>Participación estudiantes Poli en eventos académicos internacionales virtuales</t>
        </is>
      </c>
      <c r="C1647" s="5" t="inlineStr">
        <is>
          <t>VISIBILIDAD NACIONAL E INTERNACIONAL</t>
        </is>
      </c>
      <c r="D1647" s="5" t="inlineStr">
        <is>
          <t>Semestral</t>
        </is>
      </c>
      <c r="E1647" s="5" t="inlineStr">
        <is>
          <t>Positivo</t>
        </is>
      </c>
      <c r="F1647" s="109" t="n">
        <v>45657</v>
      </c>
      <c r="G1647" s="5" t="n">
        <v>2024</v>
      </c>
      <c r="H1647" s="5" t="inlineStr">
        <is>
          <t>Diciembre</t>
        </is>
      </c>
      <c r="I1647" s="6" t="inlineStr">
        <is>
          <t>2024-2</t>
        </is>
      </c>
      <c r="J1647" s="5" t="n">
        <v>100</v>
      </c>
      <c r="K1647" s="11" t="n">
        <v>502.17</v>
      </c>
      <c r="L1647" s="14" t="n">
        <v>1.3</v>
      </c>
      <c r="M1647" s="14" t="n">
        <v>5.0217</v>
      </c>
      <c r="N1647" s="5" t="inlineStr">
        <is>
          <t>ENT</t>
        </is>
      </c>
      <c r="O1647" s="5" t="inlineStr">
        <is>
          <t>ENT</t>
        </is>
      </c>
      <c r="P1647" s="15" t="n">
        <v>0</v>
      </c>
      <c r="Q1647" s="15" t="n">
        <v>0</v>
      </c>
      <c r="R1647" s="5" t="inlineStr">
        <is>
          <t>321-2024-12-31</t>
        </is>
      </c>
    </row>
    <row r="1648" hidden="1">
      <c r="A1648" s="21" t="n">
        <v>323</v>
      </c>
      <c r="B1648" s="5" t="inlineStr">
        <is>
          <t>Número de renovaciones de registro calificado</t>
        </is>
      </c>
      <c r="C1648" s="5" t="inlineStr">
        <is>
          <t>Creación, modificación y cierre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109" t="n">
        <v>45107</v>
      </c>
      <c r="G1648" s="5" t="n">
        <v>2023</v>
      </c>
      <c r="H1648" s="5" t="inlineStr">
        <is>
          <t>Junio</t>
        </is>
      </c>
      <c r="I1648" s="6" t="inlineStr">
        <is>
          <t>2023-1</t>
        </is>
      </c>
      <c r="J1648" s="5" t="n">
        <v>100</v>
      </c>
      <c r="K1648" s="9" t="n">
        <v>100</v>
      </c>
      <c r="L1648" s="14" t="n">
        <v>1</v>
      </c>
      <c r="M1648" s="14" t="n">
        <v>1</v>
      </c>
      <c r="N1648" s="5" t="inlineStr">
        <is>
          <t>ENT</t>
        </is>
      </c>
      <c r="O1648" s="11" t="inlineStr">
        <is>
          <t>ENT</t>
        </is>
      </c>
      <c r="P1648" s="15" t="n">
        <v>0</v>
      </c>
      <c r="Q1648" s="15" t="n">
        <v>0</v>
      </c>
      <c r="R1648" s="5" t="inlineStr">
        <is>
          <t>323-2023-06-30</t>
        </is>
      </c>
    </row>
    <row r="1649" hidden="1">
      <c r="A1649" s="21" t="n">
        <v>323</v>
      </c>
      <c r="B1649" s="5" t="inlineStr">
        <is>
          <t>Número de renovaciones de registro calificado</t>
        </is>
      </c>
      <c r="C1649" s="5" t="inlineStr">
        <is>
          <t>Creación, modificación y cierre de programas académicos</t>
        </is>
      </c>
      <c r="D1649" s="5" t="inlineStr">
        <is>
          <t>Semestral</t>
        </is>
      </c>
      <c r="E1649" s="5" t="inlineStr">
        <is>
          <t>Positivo</t>
        </is>
      </c>
      <c r="F1649" s="108" t="n">
        <v>45291</v>
      </c>
      <c r="G1649" s="5" t="n">
        <v>2023</v>
      </c>
      <c r="H1649" s="5" t="inlineStr">
        <is>
          <t>Diciembre</t>
        </is>
      </c>
      <c r="I1649" s="6" t="inlineStr">
        <is>
          <t>2023-2</t>
        </is>
      </c>
      <c r="J1649" s="5" t="n">
        <v>100</v>
      </c>
      <c r="K1649" s="9" t="n">
        <v>100</v>
      </c>
      <c r="L1649" s="14" t="n">
        <v>1</v>
      </c>
      <c r="M1649" s="14" t="n">
        <v>1</v>
      </c>
      <c r="N1649" s="5" t="inlineStr">
        <is>
          <t>ENT</t>
        </is>
      </c>
      <c r="O1649" s="11" t="inlineStr">
        <is>
          <t>ENT</t>
        </is>
      </c>
      <c r="P1649" s="15" t="n">
        <v>0</v>
      </c>
      <c r="Q1649" s="15" t="n">
        <v>0</v>
      </c>
      <c r="R1649" s="5" t="inlineStr">
        <is>
          <t>323-2023-12-31</t>
        </is>
      </c>
    </row>
    <row r="1650" hidden="1">
      <c r="A1650" s="21" t="n">
        <v>323</v>
      </c>
      <c r="B1650" s="5" t="inlineStr">
        <is>
          <t>Número de renovaciones de registro calificado</t>
        </is>
      </c>
      <c r="C1650" s="5" t="inlineStr">
        <is>
          <t>Creación, modificación y cierre de programas académicos</t>
        </is>
      </c>
      <c r="D1650" s="5" t="inlineStr">
        <is>
          <t>Semestral</t>
        </is>
      </c>
      <c r="E1650" s="5" t="inlineStr">
        <is>
          <t>Positivo</t>
        </is>
      </c>
      <c r="F1650" s="109" t="n">
        <v>45473</v>
      </c>
      <c r="G1650" s="5" t="n">
        <v>2024</v>
      </c>
      <c r="H1650" s="5" t="inlineStr">
        <is>
          <t>Junio</t>
        </is>
      </c>
      <c r="I1650" s="6" t="inlineStr">
        <is>
          <t>2024-1</t>
        </is>
      </c>
      <c r="J1650" s="5" t="n">
        <v>100</v>
      </c>
      <c r="K1650" s="9" t="n">
        <v>100</v>
      </c>
      <c r="L1650" s="14" t="n">
        <v>1</v>
      </c>
      <c r="M1650" s="14" t="n">
        <v>1</v>
      </c>
      <c r="N1650" s="5" t="inlineStr">
        <is>
          <t>ENT</t>
        </is>
      </c>
      <c r="O1650" s="11" t="inlineStr">
        <is>
          <t>ENT</t>
        </is>
      </c>
      <c r="P1650" s="15" t="n">
        <v>0</v>
      </c>
      <c r="Q1650" s="15" t="n">
        <v>0</v>
      </c>
      <c r="R1650" s="5" t="inlineStr">
        <is>
          <t>323-2024-06-30</t>
        </is>
      </c>
    </row>
    <row r="1651" hidden="1">
      <c r="A1651" s="21" t="n">
        <v>323</v>
      </c>
      <c r="B1651" s="5" t="inlineStr">
        <is>
          <t>Número de renovaciones de registro calificado</t>
        </is>
      </c>
      <c r="C1651" s="5" t="inlineStr">
        <is>
          <t>Creación, modificación y cierre de programas académicos</t>
        </is>
      </c>
      <c r="D1651" s="5" t="inlineStr">
        <is>
          <t>Semestral</t>
        </is>
      </c>
      <c r="E1651" s="5" t="inlineStr">
        <is>
          <t>Positivo</t>
        </is>
      </c>
      <c r="F1651" s="109" t="n">
        <v>45657</v>
      </c>
      <c r="G1651" s="5" t="n">
        <v>2024</v>
      </c>
      <c r="H1651" s="5" t="inlineStr">
        <is>
          <t>Diciembre</t>
        </is>
      </c>
      <c r="I1651" s="6" t="inlineStr">
        <is>
          <t>2024-2</t>
        </is>
      </c>
      <c r="J1651" s="5" t="n">
        <v>100</v>
      </c>
      <c r="K1651" s="9" t="n">
        <v>0</v>
      </c>
      <c r="L1651" s="14" t="n">
        <v>0</v>
      </c>
      <c r="M1651" s="14" t="n">
        <v>0</v>
      </c>
      <c r="N1651" s="5" t="inlineStr">
        <is>
          <t>ENT</t>
        </is>
      </c>
      <c r="O1651" s="11" t="inlineStr">
        <is>
          <t>ENT</t>
        </is>
      </c>
      <c r="P1651" s="15" t="n">
        <v>0</v>
      </c>
      <c r="Q1651" s="15" t="n">
        <v>0</v>
      </c>
      <c r="R1651" s="5" t="inlineStr">
        <is>
          <t>323-2024-12-31</t>
        </is>
      </c>
    </row>
    <row r="1652" hidden="1">
      <c r="A1652" s="21" t="n">
        <v>323</v>
      </c>
      <c r="B1652" s="5" t="inlineStr">
        <is>
          <t>Número de renovaciones de registro calificado</t>
        </is>
      </c>
      <c r="C1652" s="5" t="inlineStr">
        <is>
          <t>Creación, modificación y cierre de programas académicos</t>
        </is>
      </c>
      <c r="D1652" s="5" t="inlineStr">
        <is>
          <t>Semestral</t>
        </is>
      </c>
      <c r="E1652" s="5" t="inlineStr">
        <is>
          <t>Positivo</t>
        </is>
      </c>
      <c r="F1652" s="109" t="n">
        <v>45838</v>
      </c>
      <c r="G1652" s="5" t="n">
        <v>2025</v>
      </c>
      <c r="H1652" s="5" t="inlineStr">
        <is>
          <t>Junio</t>
        </is>
      </c>
      <c r="I1652" s="6" t="inlineStr">
        <is>
          <t>2025-1</t>
        </is>
      </c>
      <c r="J1652" s="5" t="n">
        <v>100</v>
      </c>
      <c r="K1652" s="9" t="n">
        <v>100</v>
      </c>
      <c r="L1652" s="14" t="n">
        <v>1</v>
      </c>
      <c r="M1652" s="14" t="n">
        <v>1</v>
      </c>
      <c r="N1652" s="5" t="inlineStr">
        <is>
          <t>ENT</t>
        </is>
      </c>
      <c r="O1652" s="11" t="inlineStr">
        <is>
          <t>ENT</t>
        </is>
      </c>
      <c r="P1652" s="15" t="n">
        <v>0</v>
      </c>
      <c r="Q1652" s="15" t="n">
        <v>0</v>
      </c>
      <c r="R1652" s="5" t="inlineStr">
        <is>
          <t>323-2025-06-30</t>
        </is>
      </c>
    </row>
    <row r="1653" hidden="1">
      <c r="A1653" s="21" t="n">
        <v>323</v>
      </c>
      <c r="B1653" s="5" t="inlineStr">
        <is>
          <t>Número de renovaciones de registro calificado</t>
        </is>
      </c>
      <c r="C1653" s="5" t="inlineStr">
        <is>
          <t>Creación, modificación y cierre de programas académicos</t>
        </is>
      </c>
      <c r="D1653" s="5" t="inlineStr">
        <is>
          <t>Trimestral</t>
        </is>
      </c>
      <c r="E1653" s="5" t="inlineStr">
        <is>
          <t>Positivo</t>
        </is>
      </c>
      <c r="F1653" s="109" t="n">
        <v>46022</v>
      </c>
      <c r="G1653" s="5" t="n">
        <v>2025</v>
      </c>
      <c r="H1653" s="5" t="inlineStr">
        <is>
          <t>Diciembre</t>
        </is>
      </c>
      <c r="I1653" s="6" t="inlineStr">
        <is>
          <t>2025-2</t>
        </is>
      </c>
      <c r="J1653" s="5" t="n">
        <v>100</v>
      </c>
      <c r="K1653" s="9" t="n">
        <v>100</v>
      </c>
      <c r="L1653" s="14" t="n">
        <v>1</v>
      </c>
      <c r="M1653" s="14" t="n">
        <v>1</v>
      </c>
      <c r="N1653" s="5" t="inlineStr">
        <is>
          <t>ENT</t>
        </is>
      </c>
      <c r="O1653" s="11" t="inlineStr">
        <is>
          <t>ENT</t>
        </is>
      </c>
      <c r="P1653" s="15" t="n">
        <v>0</v>
      </c>
      <c r="Q1653" s="15" t="n">
        <v>0</v>
      </c>
      <c r="R1653" s="5" t="inlineStr">
        <is>
          <t>323-2025-12-31</t>
        </is>
      </c>
    </row>
    <row r="1654" hidden="1">
      <c r="A1654" s="21" t="n">
        <v>324</v>
      </c>
      <c r="B1654" s="5" t="inlineStr">
        <is>
          <t>Número de programas nuevos radicados en el Ministerio de Educación</t>
        </is>
      </c>
      <c r="C1654" s="5" t="inlineStr">
        <is>
          <t>Creación, modificación y cierre de programas académicos</t>
        </is>
      </c>
      <c r="D1654" s="5" t="inlineStr">
        <is>
          <t>Semestral</t>
        </is>
      </c>
      <c r="E1654" s="5" t="inlineStr">
        <is>
          <t>Positivo</t>
        </is>
      </c>
      <c r="F1654" s="109" t="n">
        <v>45107</v>
      </c>
      <c r="G1654" s="5" t="n">
        <v>2023</v>
      </c>
      <c r="H1654" s="5" t="inlineStr">
        <is>
          <t>Junio</t>
        </is>
      </c>
      <c r="I1654" s="6" t="inlineStr">
        <is>
          <t>2023-1</t>
        </is>
      </c>
      <c r="J1654" s="5" t="n">
        <v>100</v>
      </c>
      <c r="K1654" s="9" t="n">
        <v>0</v>
      </c>
      <c r="L1654" s="14" t="n">
        <v>0</v>
      </c>
      <c r="M1654" s="14" t="n">
        <v>0</v>
      </c>
      <c r="N1654" s="5" t="inlineStr">
        <is>
          <t>ENT</t>
        </is>
      </c>
      <c r="O1654" s="11" t="inlineStr">
        <is>
          <t>ENT</t>
        </is>
      </c>
      <c r="P1654" s="15" t="n">
        <v>0</v>
      </c>
      <c r="Q1654" s="15" t="n">
        <v>0</v>
      </c>
      <c r="R1654" s="5" t="inlineStr">
        <is>
          <t>324-2023-06-30</t>
        </is>
      </c>
    </row>
    <row r="1655" hidden="1">
      <c r="A1655" s="21" t="n">
        <v>324</v>
      </c>
      <c r="B1655" s="5" t="inlineStr">
        <is>
          <t>Número de programas nuevos radicados en el Ministerio de Educación</t>
        </is>
      </c>
      <c r="C1655" s="5" t="inlineStr">
        <is>
          <t>Creación, modificación y cierre de programas académicos</t>
        </is>
      </c>
      <c r="D1655" s="5" t="inlineStr">
        <is>
          <t>Semestral</t>
        </is>
      </c>
      <c r="E1655" s="5" t="inlineStr">
        <is>
          <t>Positivo</t>
        </is>
      </c>
      <c r="F1655" s="109" t="n">
        <v>45291</v>
      </c>
      <c r="G1655" s="5" t="n">
        <v>2023</v>
      </c>
      <c r="H1655" s="5" t="inlineStr">
        <is>
          <t>Diciembre</t>
        </is>
      </c>
      <c r="I1655" s="6" t="inlineStr">
        <is>
          <t>2023-2</t>
        </is>
      </c>
      <c r="J1655" s="5" t="n">
        <v>100</v>
      </c>
      <c r="K1655" s="9" t="n">
        <v>100</v>
      </c>
      <c r="L1655" s="14" t="n">
        <v>1</v>
      </c>
      <c r="M1655" s="14" t="n">
        <v>1</v>
      </c>
      <c r="N1655" s="5" t="inlineStr">
        <is>
          <t>ENT</t>
        </is>
      </c>
      <c r="O1655" s="11" t="inlineStr">
        <is>
          <t>ENT</t>
        </is>
      </c>
      <c r="P1655" s="15" t="n">
        <v>0</v>
      </c>
      <c r="Q1655" s="15" t="n">
        <v>0</v>
      </c>
      <c r="R1655" s="5" t="inlineStr">
        <is>
          <t>324-2023-12-31</t>
        </is>
      </c>
    </row>
    <row r="1656" hidden="1">
      <c r="A1656" s="21" t="n">
        <v>324</v>
      </c>
      <c r="B1656" s="5" t="inlineStr">
        <is>
          <t>Número de programas nuevos radicados en el Ministerio de Educación</t>
        </is>
      </c>
      <c r="C1656" s="5" t="inlineStr">
        <is>
          <t>Creación, modificación y cierre de programas académicos</t>
        </is>
      </c>
      <c r="D1656" s="5" t="inlineStr">
        <is>
          <t>Semestral</t>
        </is>
      </c>
      <c r="E1656" s="5" t="inlineStr">
        <is>
          <t>Positivo</t>
        </is>
      </c>
      <c r="F1656" s="109" t="n">
        <v>45473</v>
      </c>
      <c r="G1656" s="5" t="n">
        <v>2024</v>
      </c>
      <c r="H1656" s="5" t="inlineStr">
        <is>
          <t>Junio</t>
        </is>
      </c>
      <c r="I1656" s="6" t="inlineStr">
        <is>
          <t>2024-1</t>
        </is>
      </c>
      <c r="J1656" s="5" t="n">
        <v>100</v>
      </c>
      <c r="K1656" s="10" t="n">
        <v>0</v>
      </c>
      <c r="L1656" s="14" t="n">
        <v>0</v>
      </c>
      <c r="M1656" s="14" t="n">
        <v>0</v>
      </c>
      <c r="N1656" s="5" t="inlineStr">
        <is>
          <t>ENT</t>
        </is>
      </c>
      <c r="O1656" s="5" t="inlineStr">
        <is>
          <t>ENT</t>
        </is>
      </c>
      <c r="P1656" s="15" t="n">
        <v>0</v>
      </c>
      <c r="Q1656" s="15" t="n">
        <v>0</v>
      </c>
      <c r="R1656" s="5" t="inlineStr">
        <is>
          <t>324-2024-06-30</t>
        </is>
      </c>
    </row>
    <row r="1657" hidden="1">
      <c r="A1657" s="21" t="n">
        <v>324</v>
      </c>
      <c r="B1657" s="5" t="inlineStr">
        <is>
          <t>Número de programas nuevos radicados en el Ministerio de Educación</t>
        </is>
      </c>
      <c r="C1657" s="5" t="inlineStr">
        <is>
          <t>Creación, modificación y cierre de programas académicos</t>
        </is>
      </c>
      <c r="D1657" s="5" t="inlineStr">
        <is>
          <t>Semestral</t>
        </is>
      </c>
      <c r="E1657" s="5" t="inlineStr">
        <is>
          <t>Positivo</t>
        </is>
      </c>
      <c r="F1657" s="109" t="n">
        <v>45657</v>
      </c>
      <c r="G1657" s="5" t="n">
        <v>2024</v>
      </c>
      <c r="H1657" s="5" t="inlineStr">
        <is>
          <t>Diciembre</t>
        </is>
      </c>
      <c r="I1657" s="6" t="inlineStr">
        <is>
          <t>2024-2</t>
        </is>
      </c>
      <c r="J1657" s="5" t="n">
        <v>100</v>
      </c>
      <c r="K1657" s="10" t="n">
        <v>100</v>
      </c>
      <c r="L1657" s="14" t="n">
        <v>1</v>
      </c>
      <c r="M1657" s="14" t="n">
        <v>1</v>
      </c>
      <c r="N1657" s="5" t="inlineStr">
        <is>
          <t>ENT</t>
        </is>
      </c>
      <c r="O1657" s="5" t="inlineStr">
        <is>
          <t>ENT</t>
        </is>
      </c>
      <c r="P1657" s="15" t="n">
        <v>0</v>
      </c>
      <c r="Q1657" s="15" t="n">
        <v>0</v>
      </c>
      <c r="R1657" s="5" t="inlineStr">
        <is>
          <t>324-2024-12-31</t>
        </is>
      </c>
    </row>
    <row r="1658" hidden="1">
      <c r="A1658" s="21" t="n">
        <v>324</v>
      </c>
      <c r="B1658" s="5" t="inlineStr">
        <is>
          <t>Número de programas nuevos radicados en el Ministerio de Educación</t>
        </is>
      </c>
      <c r="C1658" s="5" t="inlineStr">
        <is>
          <t>Creación, modificación y cierre de programas académicos</t>
        </is>
      </c>
      <c r="D1658" s="5" t="inlineStr">
        <is>
          <t>Semestral</t>
        </is>
      </c>
      <c r="E1658" s="5" t="inlineStr">
        <is>
          <t>Positivo</t>
        </is>
      </c>
      <c r="F1658" s="109" t="n">
        <v>45838</v>
      </c>
      <c r="G1658" s="5" t="n">
        <v>2025</v>
      </c>
      <c r="H1658" s="5" t="inlineStr">
        <is>
          <t>Junio</t>
        </is>
      </c>
      <c r="I1658" s="6" t="inlineStr">
        <is>
          <t>2025-1</t>
        </is>
      </c>
      <c r="J1658" s="5" t="n">
        <v>100</v>
      </c>
      <c r="K1658" s="10" t="n">
        <v>100</v>
      </c>
      <c r="L1658" s="14" t="n">
        <v>1</v>
      </c>
      <c r="M1658" s="14" t="n">
        <v>1</v>
      </c>
      <c r="N1658" s="5" t="inlineStr">
        <is>
          <t>ENT</t>
        </is>
      </c>
      <c r="O1658" s="5" t="inlineStr">
        <is>
          <t>ENT</t>
        </is>
      </c>
      <c r="P1658" s="15" t="n">
        <v>0</v>
      </c>
      <c r="Q1658" s="15" t="n">
        <v>0</v>
      </c>
      <c r="R1658" s="5" t="inlineStr">
        <is>
          <t>324-2025-06-30</t>
        </is>
      </c>
    </row>
    <row r="1659" hidden="1">
      <c r="A1659" s="21" t="n">
        <v>324</v>
      </c>
      <c r="B1659" s="5" t="inlineStr">
        <is>
          <t>Número de programas nuevos radicados en el Ministerio de Educación</t>
        </is>
      </c>
      <c r="C1659" s="5" t="inlineStr">
        <is>
          <t>Creación, modificación y cierre de programas académicos</t>
        </is>
      </c>
      <c r="D1659" s="5" t="inlineStr">
        <is>
          <t>Trimestral</t>
        </is>
      </c>
      <c r="E1659" s="5" t="inlineStr">
        <is>
          <t>Positivo</t>
        </is>
      </c>
      <c r="F1659" s="109" t="n">
        <v>46022</v>
      </c>
      <c r="G1659" s="5" t="n">
        <v>2025</v>
      </c>
      <c r="H1659" s="5" t="inlineStr">
        <is>
          <t>Diciembre</t>
        </is>
      </c>
      <c r="I1659" s="6" t="inlineStr">
        <is>
          <t>2025-2</t>
        </is>
      </c>
      <c r="J1659" s="5" t="n">
        <v>100</v>
      </c>
      <c r="K1659" s="10" t="n">
        <v>200</v>
      </c>
      <c r="L1659" s="14" t="n">
        <v>1.3</v>
      </c>
      <c r="M1659" s="14" t="n">
        <v>2</v>
      </c>
      <c r="N1659" s="5" t="inlineStr">
        <is>
          <t>ENT</t>
        </is>
      </c>
      <c r="O1659" s="5" t="inlineStr">
        <is>
          <t>ENT</t>
        </is>
      </c>
      <c r="P1659" s="15" t="n">
        <v>0</v>
      </c>
      <c r="Q1659" s="15" t="n">
        <v>0</v>
      </c>
      <c r="R1659" s="5" t="inlineStr">
        <is>
          <t>324-2025-12-31</t>
        </is>
      </c>
    </row>
    <row r="1660" hidden="1">
      <c r="A1660" s="21" t="n">
        <v>325</v>
      </c>
      <c r="B1660" s="5" t="inlineStr">
        <is>
          <t>Número de programas nuevos con registro calificado aprobado</t>
        </is>
      </c>
      <c r="C1660" s="5" t="inlineStr">
        <is>
          <t>Creación, modificación y cierre de programas académicos</t>
        </is>
      </c>
      <c r="D1660" s="5" t="inlineStr">
        <is>
          <t>Semestral</t>
        </is>
      </c>
      <c r="E1660" s="5" t="inlineStr">
        <is>
          <t>Positivo</t>
        </is>
      </c>
      <c r="F1660" s="109" t="n">
        <v>45107</v>
      </c>
      <c r="G1660" s="5" t="n">
        <v>2023</v>
      </c>
      <c r="H1660" s="5" t="inlineStr">
        <is>
          <t>Junio</t>
        </is>
      </c>
      <c r="I1660" s="6" t="inlineStr">
        <is>
          <t>2023-1</t>
        </is>
      </c>
      <c r="J1660" s="5" t="n">
        <v>100</v>
      </c>
      <c r="K1660" s="10" t="n">
        <v>100</v>
      </c>
      <c r="L1660" s="14" t="n">
        <v>1</v>
      </c>
      <c r="M1660" s="14" t="n">
        <v>1</v>
      </c>
      <c r="N1660" s="5" t="inlineStr">
        <is>
          <t>ENT</t>
        </is>
      </c>
      <c r="O1660" s="5" t="inlineStr">
        <is>
          <t>ENT</t>
        </is>
      </c>
      <c r="P1660" s="15" t="n">
        <v>0</v>
      </c>
      <c r="Q1660" s="15" t="n">
        <v>0</v>
      </c>
      <c r="R1660" s="5" t="inlineStr">
        <is>
          <t>325-2023-06-30</t>
        </is>
      </c>
    </row>
    <row r="1661" hidden="1">
      <c r="A1661" s="21" t="n">
        <v>325</v>
      </c>
      <c r="B1661" s="5" t="inlineStr">
        <is>
          <t>Número de programas nuevos con registro calificado aprobado</t>
        </is>
      </c>
      <c r="C1661" s="5" t="inlineStr">
        <is>
          <t>Creación, modificación y cierre de programas académicos</t>
        </is>
      </c>
      <c r="D1661" s="5" t="inlineStr">
        <is>
          <t>Semestral</t>
        </is>
      </c>
      <c r="E1661" s="5" t="inlineStr">
        <is>
          <t>Positivo</t>
        </is>
      </c>
      <c r="F1661" s="109" t="n">
        <v>45291</v>
      </c>
      <c r="G1661" s="5" t="n">
        <v>2023</v>
      </c>
      <c r="H1661" s="5" t="inlineStr">
        <is>
          <t>Diciembre</t>
        </is>
      </c>
      <c r="I1661" s="6" t="inlineStr">
        <is>
          <t>2023-2</t>
        </is>
      </c>
      <c r="J1661" s="5" t="n">
        <v>100</v>
      </c>
      <c r="K1661" s="10" t="n">
        <v>0</v>
      </c>
      <c r="L1661" s="14" t="n">
        <v>0</v>
      </c>
      <c r="M1661" s="14" t="n">
        <v>0</v>
      </c>
      <c r="N1661" s="5" t="n"/>
      <c r="O1661" s="5" t="n"/>
      <c r="P1661" s="15" t="n">
        <v>0</v>
      </c>
      <c r="Q1661" s="15" t="n">
        <v>0</v>
      </c>
      <c r="R1661" s="5" t="inlineStr">
        <is>
          <t>325-2023-12-31</t>
        </is>
      </c>
    </row>
    <row r="1662" hidden="1">
      <c r="A1662" s="21" t="n">
        <v>325</v>
      </c>
      <c r="B1662" s="5" t="inlineStr">
        <is>
          <t>Número de programas nuevos con registro calificado aprobado</t>
        </is>
      </c>
      <c r="C1662" s="5" t="inlineStr">
        <is>
          <t>Creación, modificación y cierre de programas académicos</t>
        </is>
      </c>
      <c r="D1662" s="5" t="inlineStr">
        <is>
          <t>Semestral</t>
        </is>
      </c>
      <c r="E1662" s="5" t="inlineStr">
        <is>
          <t>Positivo</t>
        </is>
      </c>
      <c r="F1662" s="108" t="n">
        <v>45473</v>
      </c>
      <c r="G1662" s="5" t="n">
        <v>2024</v>
      </c>
      <c r="H1662" s="5" t="inlineStr">
        <is>
          <t>Junio</t>
        </is>
      </c>
      <c r="I1662" s="6" t="inlineStr">
        <is>
          <t>2024-1</t>
        </is>
      </c>
      <c r="J1662" s="5" t="n">
        <v>100</v>
      </c>
      <c r="K1662" s="5" t="n">
        <v>100</v>
      </c>
      <c r="L1662" s="14" t="n">
        <v>1</v>
      </c>
      <c r="M1662" s="14" t="n">
        <v>1</v>
      </c>
      <c r="N1662" s="5" t="inlineStr">
        <is>
          <t>ENT</t>
        </is>
      </c>
      <c r="O1662" s="5" t="inlineStr">
        <is>
          <t>ENT</t>
        </is>
      </c>
      <c r="P1662" s="15" t="n">
        <v>0</v>
      </c>
      <c r="Q1662" s="15" t="n">
        <v>0</v>
      </c>
      <c r="R1662" s="5" t="inlineStr">
        <is>
          <t>325-2024-06-30</t>
        </is>
      </c>
    </row>
    <row r="1663" hidden="1">
      <c r="A1663" s="5" t="n">
        <v>325</v>
      </c>
      <c r="B1663" s="5" t="inlineStr">
        <is>
          <t>Número de programas nuevos con registro calificado aprobado</t>
        </is>
      </c>
      <c r="C1663" s="5" t="inlineStr">
        <is>
          <t>Creación, modificación y cierre de programas académicos</t>
        </is>
      </c>
      <c r="D1663" s="5" t="inlineStr">
        <is>
          <t>Semestral</t>
        </is>
      </c>
      <c r="E1663" s="5" t="inlineStr">
        <is>
          <t>Positivo</t>
        </is>
      </c>
      <c r="F1663" s="109" t="n">
        <v>45657</v>
      </c>
      <c r="G1663" s="5" t="n">
        <v>2024</v>
      </c>
      <c r="H1663" s="5" t="inlineStr">
        <is>
          <t>Diciembre</t>
        </is>
      </c>
      <c r="I1663" s="6" t="inlineStr">
        <is>
          <t>2024-2</t>
        </is>
      </c>
      <c r="J1663" s="5" t="n">
        <v>100</v>
      </c>
      <c r="K1663" s="5" t="n">
        <v>100</v>
      </c>
      <c r="L1663" s="14" t="n">
        <v>1</v>
      </c>
      <c r="M1663" s="14" t="n">
        <v>1</v>
      </c>
      <c r="N1663" s="5" t="inlineStr">
        <is>
          <t>ENT</t>
        </is>
      </c>
      <c r="O1663" s="5" t="inlineStr">
        <is>
          <t>ENT</t>
        </is>
      </c>
      <c r="P1663" s="5" t="n">
        <v>0</v>
      </c>
      <c r="Q1663" s="5" t="n">
        <v>0</v>
      </c>
      <c r="R1663" s="5" t="inlineStr">
        <is>
          <t>325-2024-12-31</t>
        </is>
      </c>
    </row>
    <row r="1664" hidden="1">
      <c r="A1664" s="26" t="n">
        <v>325</v>
      </c>
      <c r="B1664" s="5" t="inlineStr">
        <is>
          <t>Número de programas nuevos con registro calificado aprobado</t>
        </is>
      </c>
      <c r="C1664" s="5" t="inlineStr">
        <is>
          <t>Creación, modificación y cierre de programas académicos</t>
        </is>
      </c>
      <c r="D1664" s="5" t="inlineStr">
        <is>
          <t>Semestral</t>
        </is>
      </c>
      <c r="E1664" s="5" t="inlineStr">
        <is>
          <t>Positivo</t>
        </is>
      </c>
      <c r="F1664" s="109" t="n">
        <v>45838</v>
      </c>
      <c r="G1664" s="5" t="n">
        <v>2025</v>
      </c>
      <c r="H1664" s="5" t="inlineStr">
        <is>
          <t>Junio</t>
        </is>
      </c>
      <c r="I1664" s="6" t="inlineStr">
        <is>
          <t>2025-1</t>
        </is>
      </c>
      <c r="J1664" s="5" t="n">
        <v>8</v>
      </c>
      <c r="K1664" s="9" t="n">
        <v>100</v>
      </c>
      <c r="L1664" s="14" t="n">
        <v>1.3</v>
      </c>
      <c r="M1664" s="14" t="n">
        <v>12.5</v>
      </c>
      <c r="N1664" s="5" t="inlineStr">
        <is>
          <t>ENT</t>
        </is>
      </c>
      <c r="O1664" s="5" t="inlineStr">
        <is>
          <t>ENT</t>
        </is>
      </c>
      <c r="P1664" s="15" t="n">
        <v>0</v>
      </c>
      <c r="Q1664" s="15" t="n">
        <v>0</v>
      </c>
      <c r="R1664" s="5" t="inlineStr">
        <is>
          <t>325-2025-06-30</t>
        </is>
      </c>
    </row>
    <row r="1665" hidden="1">
      <c r="A1665" s="21" t="n">
        <v>325</v>
      </c>
      <c r="B1665" s="5" t="inlineStr">
        <is>
          <t>Número de programas nuevos con registro calificado aprobado - Metrica</t>
        </is>
      </c>
      <c r="C1665" s="5" t="inlineStr">
        <is>
          <t>Creación, modificación y cierre de programas académicos</t>
        </is>
      </c>
      <c r="D1665" s="5" t="inlineStr">
        <is>
          <t>Trimestral</t>
        </is>
      </c>
      <c r="E1665" s="5" t="inlineStr">
        <is>
          <t>Positivo</t>
        </is>
      </c>
      <c r="F1665" s="109" t="n">
        <v>46022</v>
      </c>
      <c r="G1665" s="5" t="n">
        <v>2025</v>
      </c>
      <c r="H1665" s="5" t="inlineStr">
        <is>
          <t>Diciembre</t>
        </is>
      </c>
      <c r="I1665" s="6" t="inlineStr">
        <is>
          <t>2025-2</t>
        </is>
      </c>
      <c r="J1665" s="5" t="n">
        <v>4</v>
      </c>
      <c r="K1665" s="10" t="n">
        <v>100</v>
      </c>
      <c r="L1665" s="14" t="n">
        <v>1.3</v>
      </c>
      <c r="M1665" s="14" t="n">
        <v>25</v>
      </c>
      <c r="N1665" s="5" t="inlineStr">
        <is>
          <t>ENT</t>
        </is>
      </c>
      <c r="O1665" s="5" t="inlineStr">
        <is>
          <t>ENT</t>
        </is>
      </c>
      <c r="P1665" s="15" t="n">
        <v>0</v>
      </c>
      <c r="Q1665" s="15" t="n">
        <v>0</v>
      </c>
      <c r="R1665" s="5" t="inlineStr">
        <is>
          <t>325-2025-12-31</t>
        </is>
      </c>
      <c r="S1665" t="inlineStr">
        <is>
          <t>Metrica</t>
        </is>
      </c>
    </row>
    <row r="1666" hidden="1">
      <c r="A1666" s="26" t="n">
        <v>326</v>
      </c>
      <c r="B1666" s="5" t="inlineStr">
        <is>
          <t>Número de informes de autoevaluación con fines de acreditación en alta calidad radicados</t>
        </is>
      </c>
      <c r="C1666" s="5" t="inlineStr">
        <is>
          <t>Autoevaluación de programas académicos</t>
        </is>
      </c>
      <c r="D1666" s="5" t="inlineStr">
        <is>
          <t>Anual</t>
        </is>
      </c>
      <c r="E1666" s="5" t="inlineStr">
        <is>
          <t>Positivo</t>
        </is>
      </c>
      <c r="F1666" s="109" t="n">
        <v>45291</v>
      </c>
      <c r="G1666" s="5" t="n">
        <v>2023</v>
      </c>
      <c r="H1666" s="5" t="inlineStr">
        <is>
          <t>Diciembre</t>
        </is>
      </c>
      <c r="I1666" s="6" t="inlineStr">
        <is>
          <t>2023-2</t>
        </is>
      </c>
      <c r="J1666" s="5" t="n">
        <v>100</v>
      </c>
      <c r="K1666" s="5" t="n">
        <v>100</v>
      </c>
      <c r="L1666" s="14" t="n">
        <v>1</v>
      </c>
      <c r="M1666" s="14" t="n">
        <v>1</v>
      </c>
      <c r="N1666" s="5" t="inlineStr">
        <is>
          <t>DEC</t>
        </is>
      </c>
      <c r="O1666" s="5" t="inlineStr">
        <is>
          <t>DEC</t>
        </is>
      </c>
      <c r="P1666" s="15" t="n">
        <v>0</v>
      </c>
      <c r="Q1666" s="15" t="n">
        <v>0</v>
      </c>
      <c r="R1666" s="5" t="inlineStr">
        <is>
          <t>326-2023-12-31</t>
        </is>
      </c>
    </row>
    <row r="1667" hidden="1">
      <c r="A1667" s="26" t="n">
        <v>326</v>
      </c>
      <c r="B1667" s="5" t="inlineStr">
        <is>
          <t>Número de informes de autoevaluación con fines de acreditación en alta calidad radicados- Metrica</t>
        </is>
      </c>
      <c r="C1667" s="5" t="inlineStr">
        <is>
          <t>Autoevaluación de programas académicos</t>
        </is>
      </c>
      <c r="D1667" s="5" t="inlineStr">
        <is>
          <t>Anual</t>
        </is>
      </c>
      <c r="E1667" s="5" t="inlineStr">
        <is>
          <t>Positivo</t>
        </is>
      </c>
      <c r="F1667" s="109" t="n">
        <v>45657</v>
      </c>
      <c r="G1667" s="5" t="n">
        <v>2024</v>
      </c>
      <c r="H1667" s="5" t="inlineStr">
        <is>
          <t>Diciembre</t>
        </is>
      </c>
      <c r="I1667" s="6" t="inlineStr">
        <is>
          <t>2024-2</t>
        </is>
      </c>
      <c r="J1667" s="5" t="n">
        <v>0</v>
      </c>
      <c r="K1667" s="5" t="n">
        <v>0</v>
      </c>
      <c r="L1667" s="14" t="n">
        <v>1</v>
      </c>
      <c r="M1667" s="14" t="n">
        <v>1</v>
      </c>
      <c r="N1667" s="5" t="inlineStr">
        <is>
          <t>ENT</t>
        </is>
      </c>
      <c r="O1667" s="5" t="inlineStr">
        <is>
          <t>ENT</t>
        </is>
      </c>
      <c r="P1667" s="15" t="n">
        <v>0</v>
      </c>
      <c r="Q1667" s="15" t="n">
        <v>0</v>
      </c>
      <c r="R1667" s="5" t="inlineStr">
        <is>
          <t>326-2024-12-31</t>
        </is>
      </c>
      <c r="S1667" t="inlineStr">
        <is>
          <t>Metrica</t>
        </is>
      </c>
    </row>
    <row r="1668" hidden="1">
      <c r="A1668" s="5" t="n">
        <v>326</v>
      </c>
      <c r="B1668" s="5" t="inlineStr">
        <is>
          <t>Número de informes de autoevaluación con fines de acreditación en alta calidad radicados- Metrica</t>
        </is>
      </c>
      <c r="C1668" s="5" t="inlineStr">
        <is>
          <t>Autoevaluación de programas académicos</t>
        </is>
      </c>
      <c r="D1668" s="5" t="inlineStr">
        <is>
          <t>Anual</t>
        </is>
      </c>
      <c r="E1668" s="5" t="inlineStr">
        <is>
          <t>Positivo</t>
        </is>
      </c>
      <c r="F1668" s="109" t="n">
        <v>46022</v>
      </c>
      <c r="G1668" s="5" t="n">
        <v>2025</v>
      </c>
      <c r="H1668" s="5" t="inlineStr">
        <is>
          <t>Diciembre</t>
        </is>
      </c>
      <c r="I1668" s="6" t="inlineStr">
        <is>
          <t>2025-2</t>
        </is>
      </c>
      <c r="J1668" s="5" t="n">
        <v>3</v>
      </c>
      <c r="K1668" s="5" t="n">
        <v>100</v>
      </c>
      <c r="L1668" s="14" t="n">
        <v>1.3</v>
      </c>
      <c r="M1668" s="14" t="n">
        <v>33.33333333333334</v>
      </c>
      <c r="N1668" s="5" t="inlineStr">
        <is>
          <t>ENT</t>
        </is>
      </c>
      <c r="O1668" s="5" t="inlineStr">
        <is>
          <t>ENT</t>
        </is>
      </c>
      <c r="P1668" s="5" t="n">
        <v>0</v>
      </c>
      <c r="Q1668" s="5" t="n">
        <v>0</v>
      </c>
      <c r="R1668" s="5" t="inlineStr">
        <is>
          <t>326-2025-12-31</t>
        </is>
      </c>
      <c r="S1668" t="inlineStr">
        <is>
          <t>Metrica</t>
        </is>
      </c>
    </row>
    <row r="1669" hidden="1">
      <c r="A1669" s="5" t="n">
        <v>327</v>
      </c>
      <c r="B1669" s="5" t="inlineStr">
        <is>
          <t>Número de programas con obtención de acreditación por primera vez</t>
        </is>
      </c>
      <c r="C1669" s="5" t="inlineStr">
        <is>
          <t>Autoevaluación de programas académicos</t>
        </is>
      </c>
      <c r="D1669" s="5" t="inlineStr">
        <is>
          <t>Semestral</t>
        </is>
      </c>
      <c r="E1669" s="5" t="inlineStr">
        <is>
          <t>Positivo</t>
        </is>
      </c>
      <c r="F1669" s="109" t="n">
        <v>45107</v>
      </c>
      <c r="G1669" s="5" t="n">
        <v>2023</v>
      </c>
      <c r="H1669" s="5" t="inlineStr">
        <is>
          <t>Junio</t>
        </is>
      </c>
      <c r="I1669" s="6" t="inlineStr">
        <is>
          <t>2023-1</t>
        </is>
      </c>
      <c r="J1669" s="5" t="n">
        <v>100</v>
      </c>
      <c r="K1669" s="5" t="n">
        <v>0</v>
      </c>
      <c r="L1669" s="14" t="n">
        <v>0</v>
      </c>
      <c r="M1669" s="14" t="n">
        <v>0</v>
      </c>
      <c r="N1669" s="5" t="n"/>
      <c r="O1669" s="5" t="n"/>
      <c r="P1669" s="5" t="n">
        <v>0</v>
      </c>
      <c r="Q1669" s="5" t="n">
        <v>0</v>
      </c>
      <c r="R1669" s="5" t="inlineStr">
        <is>
          <t>327-2023-06-30</t>
        </is>
      </c>
    </row>
    <row r="1670" hidden="1">
      <c r="A1670" s="5" t="n">
        <v>327</v>
      </c>
      <c r="B1670" s="5" t="inlineStr">
        <is>
          <t>Número de programas con obtención de acreditación por primera vez</t>
        </is>
      </c>
      <c r="C1670" s="5" t="inlineStr">
        <is>
          <t>Autoevaluación de programas académicos</t>
        </is>
      </c>
      <c r="D1670" s="5" t="inlineStr">
        <is>
          <t>Semestral</t>
        </is>
      </c>
      <c r="E1670" s="5" t="inlineStr">
        <is>
          <t>Positivo</t>
        </is>
      </c>
      <c r="F1670" s="109" t="n">
        <v>45291</v>
      </c>
      <c r="G1670" s="5" t="n">
        <v>2023</v>
      </c>
      <c r="H1670" s="5" t="inlineStr">
        <is>
          <t>Diciembre</t>
        </is>
      </c>
      <c r="I1670" s="6" t="inlineStr">
        <is>
          <t>2023-2</t>
        </is>
      </c>
      <c r="J1670" s="5" t="n">
        <v>100</v>
      </c>
      <c r="K1670" s="5" t="n">
        <v>100</v>
      </c>
      <c r="L1670" s="14" t="n">
        <v>1</v>
      </c>
      <c r="M1670" s="14" t="n">
        <v>1</v>
      </c>
      <c r="N1670" s="5" t="n"/>
      <c r="O1670" s="5" t="n"/>
      <c r="P1670" s="5" t="n">
        <v>0</v>
      </c>
      <c r="Q1670" s="5" t="n">
        <v>0</v>
      </c>
      <c r="R1670" s="5" t="inlineStr">
        <is>
          <t>327-2023-12-31</t>
        </is>
      </c>
    </row>
    <row r="1671" hidden="1">
      <c r="A1671" s="5" t="n">
        <v>327</v>
      </c>
      <c r="B1671" s="5" t="inlineStr">
        <is>
          <t>Número de programas con obtención de acreditación por primera vez</t>
        </is>
      </c>
      <c r="C1671" s="5" t="inlineStr">
        <is>
          <t>Autoevaluación de programas académicos</t>
        </is>
      </c>
      <c r="D1671" s="5" t="inlineStr">
        <is>
          <t>Semestral</t>
        </is>
      </c>
      <c r="E1671" s="5" t="inlineStr">
        <is>
          <t>Positivo</t>
        </is>
      </c>
      <c r="F1671" s="109" t="n">
        <v>45473</v>
      </c>
      <c r="G1671" s="5" t="n">
        <v>2024</v>
      </c>
      <c r="H1671" s="5" t="inlineStr">
        <is>
          <t>Junio</t>
        </is>
      </c>
      <c r="I1671" s="6" t="inlineStr">
        <is>
          <t>2024-1</t>
        </is>
      </c>
      <c r="J1671" s="5" t="n">
        <v>100</v>
      </c>
      <c r="K1671" s="5" t="n">
        <v>0</v>
      </c>
      <c r="L1671" s="14" t="n">
        <v>0</v>
      </c>
      <c r="M1671" s="14" t="n">
        <v>0</v>
      </c>
      <c r="N1671" s="5" t="n"/>
      <c r="O1671" s="5" t="n"/>
      <c r="P1671" s="5" t="n">
        <v>0</v>
      </c>
      <c r="Q1671" s="5" t="n">
        <v>0</v>
      </c>
      <c r="R1671" s="5" t="inlineStr">
        <is>
          <t>327-2024-06-30</t>
        </is>
      </c>
    </row>
    <row r="1672" hidden="1">
      <c r="A1672" s="21" t="n">
        <v>327</v>
      </c>
      <c r="B1672" s="5" t="inlineStr">
        <is>
          <t>Número de programas con obtención de acreditación por primera vez</t>
        </is>
      </c>
      <c r="C1672" s="5" t="inlineStr">
        <is>
          <t>Autoevaluación de programas académicos</t>
        </is>
      </c>
      <c r="D1672" s="5" t="inlineStr">
        <is>
          <t>Semestral</t>
        </is>
      </c>
      <c r="E1672" s="5" t="inlineStr">
        <is>
          <t>Positivo</t>
        </is>
      </c>
      <c r="F1672" s="109" t="n">
        <v>45657</v>
      </c>
      <c r="G1672" s="5" t="n">
        <v>2024</v>
      </c>
      <c r="H1672" s="5" t="inlineStr">
        <is>
          <t>Diciembre</t>
        </is>
      </c>
      <c r="I1672" s="6" t="inlineStr">
        <is>
          <t>2024-2</t>
        </is>
      </c>
      <c r="J1672" s="5" t="n">
        <v>100</v>
      </c>
      <c r="K1672" s="10" t="n">
        <v>0</v>
      </c>
      <c r="L1672" s="14" t="n">
        <v>0</v>
      </c>
      <c r="M1672" s="14" t="n">
        <v>0</v>
      </c>
      <c r="N1672" s="5" t="n"/>
      <c r="O1672" s="5" t="n"/>
      <c r="P1672" s="15" t="n">
        <v>0</v>
      </c>
      <c r="Q1672" s="15" t="n">
        <v>0</v>
      </c>
      <c r="R1672" s="5" t="inlineStr">
        <is>
          <t>327-2024-12-31</t>
        </is>
      </c>
    </row>
    <row r="1673" hidden="1">
      <c r="A1673" s="5" t="n">
        <v>327</v>
      </c>
      <c r="B1673" s="5" t="inlineStr">
        <is>
          <t>Número de programas con obtención de acreditación por primera vez</t>
        </is>
      </c>
      <c r="C1673" s="5" t="inlineStr">
        <is>
          <t>Autoevaluación de programas académicos</t>
        </is>
      </c>
      <c r="D1673" s="5" t="inlineStr">
        <is>
          <t>Semestral</t>
        </is>
      </c>
      <c r="E1673" s="5" t="inlineStr">
        <is>
          <t>Positivo</t>
        </is>
      </c>
      <c r="F1673" s="109" t="n">
        <v>45838</v>
      </c>
      <c r="G1673" s="5" t="n">
        <v>2025</v>
      </c>
      <c r="H1673" s="5" t="inlineStr">
        <is>
          <t>Junio</t>
        </is>
      </c>
      <c r="I1673" s="6" t="inlineStr">
        <is>
          <t>2025-1</t>
        </is>
      </c>
      <c r="J1673" s="5" t="n">
        <v>100</v>
      </c>
      <c r="K1673" s="5" t="n">
        <v>100</v>
      </c>
      <c r="L1673" s="14" t="n">
        <v>1</v>
      </c>
      <c r="M1673" s="14" t="n">
        <v>1</v>
      </c>
      <c r="N1673" s="5" t="inlineStr">
        <is>
          <t>ENT</t>
        </is>
      </c>
      <c r="O1673" s="5" t="inlineStr">
        <is>
          <t>ENT</t>
        </is>
      </c>
      <c r="P1673" s="5" t="n">
        <v>0</v>
      </c>
      <c r="Q1673" s="5" t="n">
        <v>0</v>
      </c>
      <c r="R1673" s="5" t="inlineStr">
        <is>
          <t>327-2025-06-30</t>
        </is>
      </c>
    </row>
    <row r="1674" hidden="1">
      <c r="A1674" s="5" t="n">
        <v>327</v>
      </c>
      <c r="B1674" s="5" t="inlineStr">
        <is>
          <t>Número de programas con obtención de acreditación por primera vez- Metrica</t>
        </is>
      </c>
      <c r="C1674" s="5" t="inlineStr">
        <is>
          <t>Autoevaluación de programas académicos</t>
        </is>
      </c>
      <c r="D1674" s="5" t="inlineStr">
        <is>
          <t>Trimestral</t>
        </is>
      </c>
      <c r="E1674" s="5" t="inlineStr">
        <is>
          <t>Positivo</t>
        </is>
      </c>
      <c r="F1674" s="109" t="n">
        <v>46022</v>
      </c>
      <c r="G1674" s="5" t="n">
        <v>2025</v>
      </c>
      <c r="H1674" s="5" t="inlineStr">
        <is>
          <t>Diciembre</t>
        </is>
      </c>
      <c r="I1674" s="6" t="inlineStr">
        <is>
          <t>2025-2</t>
        </is>
      </c>
      <c r="J1674" s="5" t="n">
        <v>100</v>
      </c>
      <c r="K1674" s="5" t="n">
        <v>100</v>
      </c>
      <c r="L1674" s="14" t="n">
        <v>1</v>
      </c>
      <c r="M1674" s="14" t="n">
        <v>1</v>
      </c>
      <c r="N1674" s="5" t="inlineStr">
        <is>
          <t>ENT</t>
        </is>
      </c>
      <c r="O1674" s="5" t="inlineStr">
        <is>
          <t>ENT</t>
        </is>
      </c>
      <c r="P1674" s="5" t="n">
        <v>0</v>
      </c>
      <c r="Q1674" s="5" t="n">
        <v>0</v>
      </c>
      <c r="R1674" s="5" t="inlineStr">
        <is>
          <t>327-2025-12-31</t>
        </is>
      </c>
      <c r="S1674" t="inlineStr">
        <is>
          <t>Metrica</t>
        </is>
      </c>
    </row>
    <row r="1675" hidden="1">
      <c r="A1675" s="5" t="n">
        <v>328</v>
      </c>
      <c r="B1675" s="5" t="inlineStr">
        <is>
          <t>Nivel de encuestas obtenidas en el encuentro institucional de graduados</t>
        </is>
      </c>
      <c r="C1675" s="5" t="inlineStr">
        <is>
          <t>Gestión de Graduados</t>
        </is>
      </c>
      <c r="D1675" s="5" t="inlineStr">
        <is>
          <t>Anual</t>
        </is>
      </c>
      <c r="E1675" s="5" t="inlineStr">
        <is>
          <t>Positivo</t>
        </is>
      </c>
      <c r="F1675" s="109" t="n">
        <v>45291</v>
      </c>
      <c r="G1675" s="5" t="n">
        <v>2023</v>
      </c>
      <c r="H1675" s="5" t="inlineStr">
        <is>
          <t>Diciembre</t>
        </is>
      </c>
      <c r="I1675" s="6" t="inlineStr">
        <is>
          <t>2023-2</t>
        </is>
      </c>
      <c r="J1675" s="5" t="n">
        <v>800</v>
      </c>
      <c r="K1675" s="5" t="n">
        <v>1035</v>
      </c>
      <c r="L1675" s="14" t="n">
        <v>1.29375</v>
      </c>
      <c r="M1675" s="14" t="n">
        <v>1.29375</v>
      </c>
      <c r="N1675" s="5" t="n"/>
      <c r="O1675" s="5" t="n"/>
      <c r="P1675" s="5" t="n">
        <v>0</v>
      </c>
      <c r="Q1675" s="5" t="n">
        <v>0</v>
      </c>
      <c r="R1675" s="5" t="inlineStr">
        <is>
          <t>328-2023-12-31</t>
        </is>
      </c>
    </row>
    <row r="1676" hidden="1">
      <c r="A1676" s="24" t="n">
        <v>328</v>
      </c>
      <c r="B1676" s="16" t="inlineStr">
        <is>
          <t>Nivel de encuestas obtenidas en el encuentro institucional de graduados</t>
        </is>
      </c>
      <c r="C1676" s="16" t="inlineStr">
        <is>
          <t>Gestión de Graduados</t>
        </is>
      </c>
      <c r="D1676" s="16" t="inlineStr">
        <is>
          <t>Anual</t>
        </is>
      </c>
      <c r="E1676" s="16" t="inlineStr">
        <is>
          <t>Positivo</t>
        </is>
      </c>
      <c r="F1676" s="111" t="n">
        <v>45657</v>
      </c>
      <c r="G1676" s="5" t="n">
        <v>2024</v>
      </c>
      <c r="H1676" s="5" t="inlineStr">
        <is>
          <t>Diciembre</t>
        </is>
      </c>
      <c r="I1676" s="6" t="inlineStr">
        <is>
          <t>2024-2</t>
        </is>
      </c>
      <c r="J1676" s="5" t="n">
        <v>100</v>
      </c>
      <c r="K1676" s="5" t="n">
        <v>157</v>
      </c>
      <c r="L1676" s="14" t="n">
        <v>1.3</v>
      </c>
      <c r="M1676" s="14" t="n">
        <v>1.57</v>
      </c>
      <c r="N1676" s="16" t="n"/>
      <c r="O1676" s="16" t="n"/>
      <c r="P1676" s="15" t="n">
        <v>0</v>
      </c>
      <c r="Q1676" s="15" t="n">
        <v>0</v>
      </c>
      <c r="R1676" s="5" t="inlineStr">
        <is>
          <t>328-2024-12-31</t>
        </is>
      </c>
    </row>
    <row r="1677" hidden="1">
      <c r="A1677" s="5" t="n">
        <v>329</v>
      </c>
      <c r="B1677" s="5" t="inlineStr">
        <is>
          <t>Participación en actividades diseñadas para graduados</t>
        </is>
      </c>
      <c r="C1677" s="5" t="inlineStr">
        <is>
          <t>Gestión de Graduados</t>
        </is>
      </c>
      <c r="D1677" s="5" t="inlineStr">
        <is>
          <t>Anual</t>
        </is>
      </c>
      <c r="E1677" s="5" t="inlineStr">
        <is>
          <t>Positivo</t>
        </is>
      </c>
      <c r="F1677" s="109" t="n">
        <v>45291</v>
      </c>
      <c r="G1677" s="5" t="n">
        <v>2023</v>
      </c>
      <c r="H1677" s="5" t="inlineStr">
        <is>
          <t>Diciembre</t>
        </is>
      </c>
      <c r="I1677" s="6" t="inlineStr">
        <is>
          <t>2023-2</t>
        </is>
      </c>
      <c r="J1677" s="5" t="n">
        <v>3000</v>
      </c>
      <c r="K1677" s="5" t="n">
        <v>3315</v>
      </c>
      <c r="L1677" s="14" t="n">
        <v>1.105</v>
      </c>
      <c r="M1677" s="14" t="n">
        <v>1.105</v>
      </c>
      <c r="N1677" s="5" t="n"/>
      <c r="O1677" s="5" t="n"/>
      <c r="P1677" s="5" t="n">
        <v>0</v>
      </c>
      <c r="Q1677" s="5" t="n">
        <v>0</v>
      </c>
      <c r="R1677" s="5" t="inlineStr">
        <is>
          <t>329-2023-12-31</t>
        </is>
      </c>
    </row>
    <row r="1678" hidden="1">
      <c r="A1678" s="21" t="n">
        <v>329</v>
      </c>
      <c r="B1678" s="5" t="inlineStr">
        <is>
          <t>Participación en actividades diseñadas para graduados</t>
        </is>
      </c>
      <c r="C1678" s="5" t="inlineStr">
        <is>
          <t>Gestión de Graduados</t>
        </is>
      </c>
      <c r="D1678" s="5" t="inlineStr">
        <is>
          <t>Anual</t>
        </is>
      </c>
      <c r="E1678" s="5" t="inlineStr">
        <is>
          <t>Positivo</t>
        </is>
      </c>
      <c r="F1678" s="108" t="n">
        <v>45657</v>
      </c>
      <c r="G1678" s="5" t="n">
        <v>2024</v>
      </c>
      <c r="H1678" s="5" t="inlineStr">
        <is>
          <t>Diciembre</t>
        </is>
      </c>
      <c r="I1678" s="6" t="inlineStr">
        <is>
          <t>2024-2</t>
        </is>
      </c>
      <c r="J1678" s="5" t="n">
        <v>100</v>
      </c>
      <c r="K1678" s="5" t="n">
        <v>106.63</v>
      </c>
      <c r="L1678" s="14" t="n">
        <v>1.0663</v>
      </c>
      <c r="M1678" s="14" t="n">
        <v>1.0663</v>
      </c>
      <c r="N1678" s="5" t="n"/>
      <c r="O1678" s="5" t="n"/>
      <c r="P1678" s="15" t="n">
        <v>0</v>
      </c>
      <c r="Q1678" s="15" t="n">
        <v>0</v>
      </c>
      <c r="R1678" s="5" t="inlineStr">
        <is>
          <t>329-2024-12-31</t>
        </is>
      </c>
    </row>
    <row r="1679" hidden="1">
      <c r="A1679" s="5" t="n">
        <v>331</v>
      </c>
      <c r="B1679" s="5" t="inlineStr">
        <is>
          <t>Nivel de empleabilidad del graduado</t>
        </is>
      </c>
      <c r="C1679" s="5" t="inlineStr">
        <is>
          <t>Gestión de Graduados</t>
        </is>
      </c>
      <c r="D1679" s="5" t="inlineStr">
        <is>
          <t>Anual</t>
        </is>
      </c>
      <c r="E1679" s="5" t="inlineStr">
        <is>
          <t>Positivo</t>
        </is>
      </c>
      <c r="F1679" s="109" t="n">
        <v>45291</v>
      </c>
      <c r="G1679" s="5" t="n">
        <v>2023</v>
      </c>
      <c r="H1679" s="5" t="inlineStr">
        <is>
          <t>Diciembre</t>
        </is>
      </c>
      <c r="I1679" s="6" t="inlineStr">
        <is>
          <t>2023-2</t>
        </is>
      </c>
      <c r="J1679" s="5" t="n"/>
      <c r="K1679" s="5" t="n">
        <v>81</v>
      </c>
      <c r="L1679" s="14" t="n"/>
      <c r="M1679" s="14" t="n"/>
      <c r="N1679" s="5" t="inlineStr">
        <is>
          <t>Linea Base</t>
        </is>
      </c>
      <c r="O1679" s="5" t="inlineStr">
        <is>
          <t>%</t>
        </is>
      </c>
      <c r="P1679" s="5" t="n">
        <v>0</v>
      </c>
      <c r="Q1679" s="5" t="n">
        <v>0</v>
      </c>
      <c r="R1679" s="5" t="inlineStr">
        <is>
          <t>331-2023-12-31</t>
        </is>
      </c>
    </row>
    <row r="1680" hidden="1">
      <c r="A1680" s="5" t="n">
        <v>331</v>
      </c>
      <c r="B1680" s="5" t="inlineStr">
        <is>
          <t>Nivel de empleabilidad del graduado</t>
        </is>
      </c>
      <c r="C1680" s="5" t="inlineStr">
        <is>
          <t>Gestión de Graduados</t>
        </is>
      </c>
      <c r="D1680" s="5" t="inlineStr">
        <is>
          <t>Anual</t>
        </is>
      </c>
      <c r="E1680" s="5" t="inlineStr">
        <is>
          <t>Positivo</t>
        </is>
      </c>
      <c r="F1680" s="109" t="n">
        <v>45657</v>
      </c>
      <c r="G1680" s="5" t="n">
        <v>2024</v>
      </c>
      <c r="H1680" s="5" t="inlineStr">
        <is>
          <t>Diciembre</t>
        </is>
      </c>
      <c r="I1680" s="6" t="inlineStr">
        <is>
          <t>2024-2</t>
        </is>
      </c>
      <c r="J1680" s="5" t="n">
        <v>0</v>
      </c>
      <c r="K1680" s="5" t="n">
        <v>82</v>
      </c>
      <c r="L1680" s="14" t="n"/>
      <c r="M1680" s="14" t="n"/>
      <c r="N1680" s="5" t="inlineStr">
        <is>
          <t>Linea Base</t>
        </is>
      </c>
      <c r="O1680" s="5" t="inlineStr">
        <is>
          <t>%</t>
        </is>
      </c>
      <c r="P1680" s="5" t="n">
        <v>0</v>
      </c>
      <c r="Q1680" s="5" t="n">
        <v>0</v>
      </c>
      <c r="R1680" s="5" t="inlineStr">
        <is>
          <t>331-2024-12-31</t>
        </is>
      </c>
    </row>
    <row r="1681" hidden="1">
      <c r="A1681" s="5" t="n">
        <v>332</v>
      </c>
      <c r="B1681" s="5" t="inlineStr">
        <is>
          <t>Índice de rotación</t>
        </is>
      </c>
      <c r="C1681" s="5" t="inlineStr">
        <is>
          <t>GESTIÓN Y DESARROLLO DEL TALENTO HUMANO</t>
        </is>
      </c>
      <c r="D1681" s="5" t="inlineStr">
        <is>
          <t>Semestral</t>
        </is>
      </c>
      <c r="E1681" s="5" t="inlineStr">
        <is>
          <t>Negativo</t>
        </is>
      </c>
      <c r="F1681" s="109" t="n">
        <v>45107</v>
      </c>
      <c r="G1681" s="5" t="n">
        <v>2023</v>
      </c>
      <c r="H1681" s="5" t="inlineStr">
        <is>
          <t>Junio</t>
        </is>
      </c>
      <c r="I1681" s="6" t="inlineStr">
        <is>
          <t>2023-1</t>
        </is>
      </c>
      <c r="J1681" s="5" t="n">
        <v>1.8</v>
      </c>
      <c r="K1681" s="5" t="n">
        <v>1.57</v>
      </c>
      <c r="L1681" s="14" t="n">
        <v>1.146496815286624</v>
      </c>
      <c r="M1681" s="14" t="n">
        <v>1.146496815286624</v>
      </c>
      <c r="N1681" s="5" t="inlineStr">
        <is>
          <t>%</t>
        </is>
      </c>
      <c r="O1681" s="5" t="inlineStr">
        <is>
          <t>%</t>
        </is>
      </c>
      <c r="P1681" s="5" t="n">
        <v>2</v>
      </c>
      <c r="Q1681" s="5" t="n">
        <v>2</v>
      </c>
      <c r="R1681" s="5" t="inlineStr">
        <is>
          <t>332-2023-06-30</t>
        </is>
      </c>
    </row>
    <row r="1682" hidden="1">
      <c r="A1682" s="21" t="n">
        <v>332</v>
      </c>
      <c r="B1682" s="5" t="inlineStr">
        <is>
          <t>Índice de rotación</t>
        </is>
      </c>
      <c r="C1682" s="5" t="inlineStr">
        <is>
          <t>GESTIÓN Y DESARROLLO DEL TALENTO HUMANO</t>
        </is>
      </c>
      <c r="D1682" s="5" t="inlineStr">
        <is>
          <t>Semestral</t>
        </is>
      </c>
      <c r="E1682" s="5" t="inlineStr">
        <is>
          <t>Negativo</t>
        </is>
      </c>
      <c r="F1682" s="109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>
        <v>1.8</v>
      </c>
      <c r="K1682" s="10" t="n">
        <v>1.3</v>
      </c>
      <c r="L1682" s="14" t="n">
        <v>1.3</v>
      </c>
      <c r="M1682" s="14" t="n">
        <v>1.384615384615385</v>
      </c>
      <c r="N1682" s="5" t="inlineStr">
        <is>
          <t>%</t>
        </is>
      </c>
      <c r="O1682" s="5" t="inlineStr">
        <is>
          <t>%</t>
        </is>
      </c>
      <c r="P1682" s="15" t="n">
        <v>1</v>
      </c>
      <c r="Q1682" s="15" t="n">
        <v>1</v>
      </c>
      <c r="R1682" s="5" t="inlineStr">
        <is>
          <t>332-2023-12-31</t>
        </is>
      </c>
    </row>
    <row r="1683" hidden="1">
      <c r="A1683" s="21" t="n">
        <v>332</v>
      </c>
      <c r="B1683" s="5" t="inlineStr">
        <is>
          <t>Índice de rotación</t>
        </is>
      </c>
      <c r="C1683" s="5" t="inlineStr">
        <is>
          <t>GESTIÓN Y DESARROLLO DEL TALENTO HUMANO</t>
        </is>
      </c>
      <c r="D1683" s="5" t="inlineStr">
        <is>
          <t>Semestral</t>
        </is>
      </c>
      <c r="E1683" s="5" t="inlineStr">
        <is>
          <t>Negativo</t>
        </is>
      </c>
      <c r="F1683" s="109" t="n">
        <v>45473</v>
      </c>
      <c r="G1683" s="5" t="n">
        <v>2024</v>
      </c>
      <c r="H1683" s="5" t="inlineStr">
        <is>
          <t>Junio</t>
        </is>
      </c>
      <c r="I1683" s="6" t="inlineStr">
        <is>
          <t>2024-1</t>
        </is>
      </c>
      <c r="J1683" s="5" t="n">
        <v>1.5</v>
      </c>
      <c r="K1683" s="10" t="n">
        <v>1.48</v>
      </c>
      <c r="L1683" s="14" t="n">
        <v>1.013513513513514</v>
      </c>
      <c r="M1683" s="14" t="n">
        <v>1.013513513513514</v>
      </c>
      <c r="N1683" s="5" t="inlineStr">
        <is>
          <t>%</t>
        </is>
      </c>
      <c r="O1683" s="5" t="inlineStr">
        <is>
          <t>%</t>
        </is>
      </c>
      <c r="P1683" s="15" t="n">
        <v>2</v>
      </c>
      <c r="Q1683" s="15" t="n">
        <v>2</v>
      </c>
      <c r="R1683" s="5" t="inlineStr">
        <is>
          <t>332-2024-06-30</t>
        </is>
      </c>
    </row>
    <row r="1684" hidden="1">
      <c r="A1684" s="5" t="n">
        <v>332</v>
      </c>
      <c r="B1684" s="5" t="inlineStr">
        <is>
          <t>Índice de rotación</t>
        </is>
      </c>
      <c r="C1684" s="5" t="inlineStr">
        <is>
          <t>GESTIÓN Y DESARROLLO DEL TALENTO HUMANO</t>
        </is>
      </c>
      <c r="D1684" s="5" t="inlineStr">
        <is>
          <t>Semestral</t>
        </is>
      </c>
      <c r="E1684" s="5" t="inlineStr">
        <is>
          <t>Negativo</t>
        </is>
      </c>
      <c r="F1684" s="109" t="n">
        <v>45657</v>
      </c>
      <c r="G1684" s="5" t="n">
        <v>2024</v>
      </c>
      <c r="H1684" s="5" t="inlineStr">
        <is>
          <t>Diciembre</t>
        </is>
      </c>
      <c r="I1684" s="6" t="inlineStr">
        <is>
          <t>2024-2</t>
        </is>
      </c>
      <c r="J1684" s="5" t="n">
        <v>1.8</v>
      </c>
      <c r="K1684" s="5" t="n">
        <v>0.82</v>
      </c>
      <c r="L1684" s="14" t="n">
        <v>1.3</v>
      </c>
      <c r="M1684" s="14" t="n">
        <v>2.195121951219512</v>
      </c>
      <c r="N1684" s="5" t="inlineStr">
        <is>
          <t>%</t>
        </is>
      </c>
      <c r="O1684" s="5" t="inlineStr">
        <is>
          <t>%</t>
        </is>
      </c>
      <c r="P1684" s="5" t="n">
        <v>2</v>
      </c>
      <c r="Q1684" s="5" t="n">
        <v>2</v>
      </c>
      <c r="R1684" s="5" t="inlineStr">
        <is>
          <t>332-2024-12-31</t>
        </is>
      </c>
    </row>
    <row r="1685" hidden="1">
      <c r="A1685" s="21" t="n">
        <v>332</v>
      </c>
      <c r="B1685" s="5" t="inlineStr">
        <is>
          <t>Índice de rotación</t>
        </is>
      </c>
      <c r="C1685" s="5" t="inlineStr">
        <is>
          <t>GESTIÓN Y DESARROLLO DEL TALENTO HUMANO</t>
        </is>
      </c>
      <c r="D1685" s="5" t="inlineStr">
        <is>
          <t>Semestral</t>
        </is>
      </c>
      <c r="E1685" s="5" t="inlineStr">
        <is>
          <t>Negativo</t>
        </is>
      </c>
      <c r="F1685" s="109" t="n">
        <v>45838</v>
      </c>
      <c r="G1685" s="5" t="n">
        <v>2025</v>
      </c>
      <c r="H1685" s="5" t="inlineStr">
        <is>
          <t>Junio</t>
        </is>
      </c>
      <c r="I1685" s="6" t="inlineStr">
        <is>
          <t>2025-1</t>
        </is>
      </c>
      <c r="J1685" s="5" t="n">
        <v>1.18</v>
      </c>
      <c r="K1685" s="10" t="n">
        <v>0.85</v>
      </c>
      <c r="L1685" s="14" t="n">
        <v>1.3</v>
      </c>
      <c r="M1685" s="14" t="n">
        <v>1.388235294117647</v>
      </c>
      <c r="N1685" s="5" t="inlineStr">
        <is>
          <t>%</t>
        </is>
      </c>
      <c r="O1685" s="5" t="inlineStr">
        <is>
          <t>%</t>
        </is>
      </c>
      <c r="P1685" s="15" t="n">
        <v>2</v>
      </c>
      <c r="Q1685" s="15" t="n">
        <v>2</v>
      </c>
      <c r="R1685" s="5" t="inlineStr">
        <is>
          <t>332-2025-06-30</t>
        </is>
      </c>
    </row>
    <row r="1686" hidden="1">
      <c r="A1686" s="5" t="n">
        <v>332</v>
      </c>
      <c r="B1686" s="5" t="inlineStr">
        <is>
          <t>Índice de rotación</t>
        </is>
      </c>
      <c r="C1686" s="5" t="inlineStr">
        <is>
          <t>GESTIÓN Y DESARROLLO DEL TALENTO HUMANO</t>
        </is>
      </c>
      <c r="D1686" s="5" t="inlineStr">
        <is>
          <t>Trimestral</t>
        </is>
      </c>
      <c r="E1686" s="5" t="inlineStr">
        <is>
          <t>Negativo</t>
        </is>
      </c>
      <c r="F1686" s="109" t="n">
        <v>46022</v>
      </c>
      <c r="G1686" s="5" t="n">
        <v>2025</v>
      </c>
      <c r="H1686" s="5" t="inlineStr">
        <is>
          <t>Diciembre</t>
        </is>
      </c>
      <c r="I1686" s="6" t="inlineStr">
        <is>
          <t>2025-2</t>
        </is>
      </c>
      <c r="J1686" s="5" t="n">
        <v>1.18</v>
      </c>
      <c r="K1686" s="5" t="n">
        <v>0.93</v>
      </c>
      <c r="L1686" s="14" t="n">
        <v>1.268817204301075</v>
      </c>
      <c r="M1686" s="14" t="n">
        <v>1.268817204301075</v>
      </c>
      <c r="N1686" s="5" t="inlineStr">
        <is>
          <t>DEC</t>
        </is>
      </c>
      <c r="O1686" s="5" t="inlineStr">
        <is>
          <t>DEC</t>
        </is>
      </c>
      <c r="P1686" s="5" t="n">
        <v>2</v>
      </c>
      <c r="Q1686" s="5" t="n">
        <v>2</v>
      </c>
      <c r="R1686" s="5" t="inlineStr">
        <is>
          <t>332-2025-12-31</t>
        </is>
      </c>
    </row>
    <row r="1687" hidden="1">
      <c r="A1687" s="5" t="n">
        <v>334</v>
      </c>
      <c r="B1687" s="5" t="inlineStr">
        <is>
          <t>Resultado de la evaluación 360 (evaluación por competencias)</t>
        </is>
      </c>
      <c r="C1687" s="5" t="inlineStr">
        <is>
          <t>GESTIÓN Y DESARROLLO DEL TALENTO HUMANO</t>
        </is>
      </c>
      <c r="D1687" s="5" t="inlineStr">
        <is>
          <t>Anual</t>
        </is>
      </c>
      <c r="E1687" s="5" t="inlineStr">
        <is>
          <t>Positivo</t>
        </is>
      </c>
      <c r="F1687" s="109" t="n">
        <v>45291</v>
      </c>
      <c r="G1687" s="5" t="n">
        <v>2023</v>
      </c>
      <c r="H1687" s="5" t="inlineStr">
        <is>
          <t>Diciembre</t>
        </is>
      </c>
      <c r="I1687" s="6" t="inlineStr">
        <is>
          <t>2023-2</t>
        </is>
      </c>
      <c r="J1687" s="5" t="n">
        <v>88</v>
      </c>
      <c r="K1687" s="5" t="n">
        <v>88.39</v>
      </c>
      <c r="L1687" s="14" t="n">
        <v>1.004431818181818</v>
      </c>
      <c r="M1687" s="14" t="n">
        <v>1.004431818181818</v>
      </c>
      <c r="N1687" s="5" t="inlineStr">
        <is>
          <t>ENT</t>
        </is>
      </c>
      <c r="O1687" s="5" t="inlineStr">
        <is>
          <t>ENT</t>
        </is>
      </c>
      <c r="P1687" s="5" t="n">
        <v>0</v>
      </c>
      <c r="Q1687" s="5" t="n">
        <v>0</v>
      </c>
      <c r="R1687" s="5" t="inlineStr">
        <is>
          <t>334-2023-12-31</t>
        </is>
      </c>
    </row>
    <row r="1688" hidden="1">
      <c r="A1688" s="5" t="n">
        <v>334</v>
      </c>
      <c r="B1688" s="5" t="inlineStr">
        <is>
          <t>Resultado de la evaluación 360 (evaluación por competencias)</t>
        </is>
      </c>
      <c r="C1688" s="5" t="inlineStr">
        <is>
          <t>GESTIÓN Y DESARROLLO DEL TALENTO HUMANO</t>
        </is>
      </c>
      <c r="D1688" s="5" t="inlineStr">
        <is>
          <t>Anual</t>
        </is>
      </c>
      <c r="E1688" s="5" t="inlineStr">
        <is>
          <t>Positivo</t>
        </is>
      </c>
      <c r="F1688" s="109" t="n">
        <v>45657</v>
      </c>
      <c r="G1688" s="5" t="n">
        <v>2024</v>
      </c>
      <c r="H1688" s="5" t="inlineStr">
        <is>
          <t>Diciembre</t>
        </is>
      </c>
      <c r="I1688" s="6" t="inlineStr">
        <is>
          <t>2024-2</t>
        </is>
      </c>
      <c r="J1688" s="5" t="n">
        <v>88</v>
      </c>
      <c r="K1688" s="5" t="n">
        <v>88.84</v>
      </c>
      <c r="L1688" s="14" t="n">
        <v>1.009545454545455</v>
      </c>
      <c r="M1688" s="14" t="n">
        <v>1.009545454545455</v>
      </c>
      <c r="N1688" s="5" t="inlineStr">
        <is>
          <t>ENT</t>
        </is>
      </c>
      <c r="O1688" s="5" t="inlineStr">
        <is>
          <t>ENT</t>
        </is>
      </c>
      <c r="P1688" s="5" t="n">
        <v>0</v>
      </c>
      <c r="Q1688" s="5" t="n">
        <v>0</v>
      </c>
      <c r="R1688" s="5" t="inlineStr">
        <is>
          <t>334-2024-12-31</t>
        </is>
      </c>
    </row>
    <row r="1689" hidden="1">
      <c r="A1689" s="21" t="n">
        <v>334</v>
      </c>
      <c r="B1689" s="5" t="inlineStr">
        <is>
          <t>Resultado de la evaluación 360 (evaluación por competencias)</t>
        </is>
      </c>
      <c r="C1689" s="5" t="inlineStr">
        <is>
          <t>GESTIÓN Y DESARROLLO DEL TALENTO HUMANO</t>
        </is>
      </c>
      <c r="D1689" s="5" t="inlineStr">
        <is>
          <t>Anual</t>
        </is>
      </c>
      <c r="E1689" s="5" t="inlineStr">
        <is>
          <t>Positivo</t>
        </is>
      </c>
      <c r="F1689" s="108" t="n">
        <v>46022</v>
      </c>
      <c r="G1689" s="5" t="n">
        <v>2025</v>
      </c>
      <c r="H1689" s="5" t="inlineStr">
        <is>
          <t>Diciembre</t>
        </is>
      </c>
      <c r="I1689" s="6" t="inlineStr">
        <is>
          <t>2025-2</t>
        </is>
      </c>
      <c r="J1689" s="5" t="n">
        <v>89</v>
      </c>
      <c r="K1689" s="9" t="n">
        <v>90.09999999999999</v>
      </c>
      <c r="L1689" s="14" t="n">
        <v>1.012359550561798</v>
      </c>
      <c r="M1689" s="14" t="n">
        <v>1.012359550561798</v>
      </c>
      <c r="N1689" s="5" t="inlineStr">
        <is>
          <t>ENT</t>
        </is>
      </c>
      <c r="O1689" s="5" t="inlineStr">
        <is>
          <t>DEC</t>
        </is>
      </c>
      <c r="P1689" s="15" t="n">
        <v>0</v>
      </c>
      <c r="Q1689" s="15" t="n">
        <v>1</v>
      </c>
      <c r="R1689" s="5" t="inlineStr">
        <is>
          <t>334-2025-12-31</t>
        </is>
      </c>
    </row>
    <row r="1690" hidden="1">
      <c r="A1690" s="21" t="n">
        <v>335</v>
      </c>
      <c r="B1690" s="5" t="inlineStr">
        <is>
          <t>Cumplimiento de diagnóstico necesidades de capacitación por área</t>
        </is>
      </c>
      <c r="C1690" s="5" t="inlineStr">
        <is>
          <t>GESTIÓN Y DESARROLLO DEL TALENTO HUMANO</t>
        </is>
      </c>
      <c r="D1690" s="5" t="inlineStr">
        <is>
          <t>Anual</t>
        </is>
      </c>
      <c r="E1690" s="5" t="inlineStr">
        <is>
          <t>Positivo</t>
        </is>
      </c>
      <c r="F1690" s="108" t="n">
        <v>45291</v>
      </c>
      <c r="G1690" s="5" t="n">
        <v>2023</v>
      </c>
      <c r="H1690" s="5" t="inlineStr">
        <is>
          <t>Diciembre</t>
        </is>
      </c>
      <c r="I1690" s="6" t="inlineStr">
        <is>
          <t>2023-2</t>
        </is>
      </c>
      <c r="J1690" s="5" t="n">
        <v>80</v>
      </c>
      <c r="K1690" s="96" t="n">
        <v>93.84999999999999</v>
      </c>
      <c r="L1690" s="14" t="n">
        <v>1.173125</v>
      </c>
      <c r="M1690" s="14" t="n">
        <v>1.173125</v>
      </c>
      <c r="N1690" s="5" t="inlineStr">
        <is>
          <t>%</t>
        </is>
      </c>
      <c r="O1690" s="5" t="inlineStr">
        <is>
          <t>%</t>
        </is>
      </c>
      <c r="P1690" s="15" t="n">
        <v>0</v>
      </c>
      <c r="Q1690" s="15" t="n">
        <v>0</v>
      </c>
      <c r="R1690" s="5" t="inlineStr">
        <is>
          <t>335-2023-12-31</t>
        </is>
      </c>
    </row>
    <row r="1691" hidden="1">
      <c r="A1691" s="5" t="n">
        <v>335</v>
      </c>
      <c r="B1691" s="5" t="inlineStr">
        <is>
          <t>Cumplimiento de diagnóstico necesidades de capacitación por área</t>
        </is>
      </c>
      <c r="C1691" s="5" t="inlineStr">
        <is>
          <t>GESTIÓN Y DESARROLLO DEL TALENTO HUMANO</t>
        </is>
      </c>
      <c r="D1691" s="5" t="inlineStr">
        <is>
          <t>Anual</t>
        </is>
      </c>
      <c r="E1691" s="5" t="inlineStr">
        <is>
          <t>Positivo</t>
        </is>
      </c>
      <c r="F1691" s="109" t="n">
        <v>45657</v>
      </c>
      <c r="G1691" s="5" t="n">
        <v>2024</v>
      </c>
      <c r="H1691" s="5" t="inlineStr">
        <is>
          <t>Diciembre</t>
        </is>
      </c>
      <c r="I1691" s="6" t="inlineStr">
        <is>
          <t>2024-2</t>
        </is>
      </c>
      <c r="J1691" s="5" t="n">
        <v>82</v>
      </c>
      <c r="K1691" s="5" t="n">
        <v>80.95</v>
      </c>
      <c r="L1691" s="14" t="n">
        <v>0.9871951219512195</v>
      </c>
      <c r="M1691" s="14" t="n">
        <v>0.9871951219512195</v>
      </c>
      <c r="N1691" s="5" t="inlineStr">
        <is>
          <t>%</t>
        </is>
      </c>
      <c r="O1691" s="5" t="inlineStr">
        <is>
          <t>%</t>
        </is>
      </c>
      <c r="P1691" s="5" t="n">
        <v>0</v>
      </c>
      <c r="Q1691" s="5" t="n">
        <v>0</v>
      </c>
      <c r="R1691" s="5" t="inlineStr">
        <is>
          <t>335-2024-12-31</t>
        </is>
      </c>
    </row>
    <row r="1692" hidden="1">
      <c r="A1692" s="5" t="n">
        <v>336</v>
      </c>
      <c r="B1692" s="5" t="inlineStr">
        <is>
          <t>Materiales bibliográficos en formato físico con estado de perdida</t>
        </is>
      </c>
      <c r="C1692" s="5" t="inlineStr">
        <is>
          <t>Biblioteca Institucional</t>
        </is>
      </c>
      <c r="D1692" s="5" t="inlineStr">
        <is>
          <t>Anual</t>
        </is>
      </c>
      <c r="E1692" s="5" t="inlineStr">
        <is>
          <t>Negativo</t>
        </is>
      </c>
      <c r="F1692" s="109" t="n">
        <v>45291</v>
      </c>
      <c r="G1692" s="5" t="n">
        <v>2023</v>
      </c>
      <c r="H1692" s="5" t="inlineStr">
        <is>
          <t>Diciembre</t>
        </is>
      </c>
      <c r="I1692" s="6" t="inlineStr">
        <is>
          <t>2023-2</t>
        </is>
      </c>
      <c r="J1692" s="73" t="n">
        <v>2</v>
      </c>
      <c r="K1692" s="9" t="n">
        <v>1.742198218602321</v>
      </c>
      <c r="L1692" s="14" t="n">
        <v>1.147975</v>
      </c>
      <c r="M1692" s="14" t="n">
        <v>1.147975</v>
      </c>
      <c r="N1692" s="5" t="inlineStr">
        <is>
          <t>%</t>
        </is>
      </c>
      <c r="O1692" s="5" t="inlineStr">
        <is>
          <t>%</t>
        </is>
      </c>
      <c r="P1692" s="5" t="n">
        <v>0</v>
      </c>
      <c r="Q1692" s="5" t="n">
        <v>0</v>
      </c>
      <c r="R1692" s="5" t="inlineStr">
        <is>
          <t>336-2023-12-31</t>
        </is>
      </c>
    </row>
    <row r="1693" hidden="1">
      <c r="A1693" s="5" t="n">
        <v>336</v>
      </c>
      <c r="B1693" s="5" t="inlineStr">
        <is>
          <t>Materiales bibliográficos en formato físico con estado de perdida</t>
        </is>
      </c>
      <c r="C1693" s="5" t="inlineStr">
        <is>
          <t>Biblioteca Institucional</t>
        </is>
      </c>
      <c r="D1693" s="5" t="inlineStr">
        <is>
          <t>Anual</t>
        </is>
      </c>
      <c r="E1693" s="5" t="inlineStr">
        <is>
          <t>Negativo</t>
        </is>
      </c>
      <c r="F1693" s="109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2</v>
      </c>
      <c r="K1693" s="5" t="n">
        <v>0.79</v>
      </c>
      <c r="L1693" s="14" t="n">
        <v>1.3</v>
      </c>
      <c r="M1693" s="14" t="n">
        <v>2.531645569620253</v>
      </c>
      <c r="N1693" s="5" t="n"/>
      <c r="O1693" s="5" t="n"/>
      <c r="P1693" s="5" t="n">
        <v>0</v>
      </c>
      <c r="Q1693" s="5" t="n">
        <v>0</v>
      </c>
      <c r="R1693" s="5" t="inlineStr">
        <is>
          <t>336-2024-12-31</t>
        </is>
      </c>
    </row>
    <row r="1694" hidden="1">
      <c r="A1694" s="21" t="n">
        <v>336</v>
      </c>
      <c r="B1694" s="5" t="inlineStr">
        <is>
          <t>Materiales bibliográficos en formato físico con estado de perdida</t>
        </is>
      </c>
      <c r="C1694" s="5" t="inlineStr">
        <is>
          <t>Biblioteca Institucional</t>
        </is>
      </c>
      <c r="D1694" s="5" t="inlineStr">
        <is>
          <t>Anual</t>
        </is>
      </c>
      <c r="E1694" s="5" t="inlineStr">
        <is>
          <t>Negativo</t>
        </is>
      </c>
      <c r="F1694" s="109" t="n">
        <v>46022</v>
      </c>
      <c r="G1694" s="5" t="n">
        <v>2025</v>
      </c>
      <c r="H1694" s="5" t="inlineStr">
        <is>
          <t>Diciembre</t>
        </is>
      </c>
      <c r="I1694" s="6" t="inlineStr">
        <is>
          <t>2025-2</t>
        </is>
      </c>
      <c r="J1694" s="5" t="n">
        <v>2</v>
      </c>
      <c r="K1694" s="10" t="n">
        <v>0.36</v>
      </c>
      <c r="L1694" s="14" t="n">
        <v>1.3</v>
      </c>
      <c r="M1694" s="14" t="n">
        <v>5.555555555555555</v>
      </c>
      <c r="N1694" s="5" t="inlineStr">
        <is>
          <t>%</t>
        </is>
      </c>
      <c r="O1694" s="5" t="inlineStr">
        <is>
          <t>%</t>
        </is>
      </c>
      <c r="P1694" s="15" t="n">
        <v>0</v>
      </c>
      <c r="Q1694" s="15" t="n">
        <v>0</v>
      </c>
      <c r="R1694" s="5" t="inlineStr">
        <is>
          <t>336-2025-12-31</t>
        </is>
      </c>
    </row>
    <row r="1695" hidden="1">
      <c r="A1695" s="5" t="n">
        <v>337</v>
      </c>
      <c r="B1695" s="5" t="inlineStr">
        <is>
          <t>Número de programas con renovación de acreditación en alta calidad - Metrica</t>
        </is>
      </c>
      <c r="C1695" s="5" t="inlineStr">
        <is>
          <t>Autoevaluación de programas académicos</t>
        </is>
      </c>
      <c r="D1695" s="5" t="inlineStr">
        <is>
          <t>Trimestral</t>
        </is>
      </c>
      <c r="E1695" s="5" t="inlineStr">
        <is>
          <t>Positivo</t>
        </is>
      </c>
      <c r="F1695" s="109" t="n">
        <v>45107</v>
      </c>
      <c r="G1695" s="5" t="n">
        <v>2023</v>
      </c>
      <c r="H1695" s="5" t="inlineStr">
        <is>
          <t>Junio</t>
        </is>
      </c>
      <c r="I1695" s="6" t="inlineStr">
        <is>
          <t>2023-1</t>
        </is>
      </c>
      <c r="J1695" s="5" t="n">
        <v>100</v>
      </c>
      <c r="K1695" s="5" t="n">
        <v>0</v>
      </c>
      <c r="L1695" s="14" t="n">
        <v>0</v>
      </c>
      <c r="M1695" s="14" t="n">
        <v>0</v>
      </c>
      <c r="N1695" s="5" t="n"/>
      <c r="O1695" s="5" t="n"/>
      <c r="P1695" s="5" t="n">
        <v>0</v>
      </c>
      <c r="Q1695" s="5" t="n">
        <v>0</v>
      </c>
      <c r="R1695" s="5" t="inlineStr">
        <is>
          <t>337-2023-06-30</t>
        </is>
      </c>
      <c r="S1695" t="inlineStr">
        <is>
          <t>Metrica</t>
        </is>
      </c>
    </row>
    <row r="1696" hidden="1">
      <c r="A1696" s="21" t="n">
        <v>337</v>
      </c>
      <c r="B1696" s="5" t="inlineStr">
        <is>
          <t>Número de programas con renovación de acreditación en alta calidad</t>
        </is>
      </c>
      <c r="C1696" s="5" t="inlineStr">
        <is>
          <t>Autoevaluación de programas académicos</t>
        </is>
      </c>
      <c r="D1696" s="5" t="inlineStr">
        <is>
          <t>Semestral</t>
        </is>
      </c>
      <c r="E1696" s="5" t="inlineStr">
        <is>
          <t>Positivo</t>
        </is>
      </c>
      <c r="F1696" s="109" t="n">
        <v>45291</v>
      </c>
      <c r="G1696" s="5" t="n">
        <v>2023</v>
      </c>
      <c r="H1696" s="5" t="inlineStr">
        <is>
          <t>Diciembre</t>
        </is>
      </c>
      <c r="I1696" s="6" t="inlineStr">
        <is>
          <t>2023-2</t>
        </is>
      </c>
      <c r="J1696" s="5" t="n">
        <v>100</v>
      </c>
      <c r="K1696" s="10" t="n">
        <v>100</v>
      </c>
      <c r="L1696" s="14" t="n">
        <v>1</v>
      </c>
      <c r="M1696" s="14" t="n">
        <v>1</v>
      </c>
      <c r="N1696" s="5" t="n"/>
      <c r="O1696" s="5" t="n"/>
      <c r="P1696" s="15" t="n">
        <v>0</v>
      </c>
      <c r="Q1696" s="15" t="n">
        <v>0</v>
      </c>
      <c r="R1696" s="5" t="inlineStr">
        <is>
          <t>337-2023-12-31</t>
        </is>
      </c>
    </row>
    <row r="1697" hidden="1">
      <c r="A1697" s="5" t="n">
        <v>337</v>
      </c>
      <c r="B1697" s="5" t="inlineStr">
        <is>
          <t>Número de programas con renovación de acreditación en alta calidad</t>
        </is>
      </c>
      <c r="C1697" s="5" t="inlineStr">
        <is>
          <t>Autoevaluación de programas académicos</t>
        </is>
      </c>
      <c r="D1697" s="5" t="inlineStr">
        <is>
          <t>Semestral</t>
        </is>
      </c>
      <c r="E1697" s="5" t="inlineStr">
        <is>
          <t>Positivo</t>
        </is>
      </c>
      <c r="F1697" s="109" t="n">
        <v>45473</v>
      </c>
      <c r="G1697" s="5" t="n">
        <v>2024</v>
      </c>
      <c r="H1697" s="5" t="inlineStr">
        <is>
          <t>Junio</t>
        </is>
      </c>
      <c r="I1697" s="6" t="inlineStr">
        <is>
          <t>2024-1</t>
        </is>
      </c>
      <c r="J1697" s="5" t="n">
        <v>100</v>
      </c>
      <c r="K1697" s="5" t="n">
        <v>100</v>
      </c>
      <c r="L1697" s="14" t="n">
        <v>1</v>
      </c>
      <c r="M1697" s="14" t="n">
        <v>1</v>
      </c>
      <c r="N1697" s="5" t="inlineStr">
        <is>
          <t>ENT</t>
        </is>
      </c>
      <c r="O1697" s="5" t="inlineStr">
        <is>
          <t>ENT</t>
        </is>
      </c>
      <c r="P1697" s="5" t="n">
        <v>0</v>
      </c>
      <c r="Q1697" s="5" t="n">
        <v>0</v>
      </c>
      <c r="R1697" s="5" t="inlineStr">
        <is>
          <t>337-2024-06-30</t>
        </is>
      </c>
    </row>
    <row r="1698" hidden="1">
      <c r="A1698" s="21" t="n">
        <v>337</v>
      </c>
      <c r="B1698" s="5" t="inlineStr">
        <is>
          <t>Número de programas con renovación de acreditación en alta calidad - Metrica</t>
        </is>
      </c>
      <c r="C1698" s="5" t="inlineStr">
        <is>
          <t>Autoevaluación de programas académicos</t>
        </is>
      </c>
      <c r="D1698" s="5" t="inlineStr">
        <is>
          <t>Trimestral</t>
        </is>
      </c>
      <c r="E1698" s="5" t="inlineStr">
        <is>
          <t>Positivo</t>
        </is>
      </c>
      <c r="F1698" s="109" t="n">
        <v>45657</v>
      </c>
      <c r="G1698" s="5" t="n">
        <v>2024</v>
      </c>
      <c r="H1698" s="5" t="inlineStr">
        <is>
          <t>Diciembre</t>
        </is>
      </c>
      <c r="I1698" s="6" t="inlineStr">
        <is>
          <t>2024-2</t>
        </is>
      </c>
      <c r="J1698" s="5" t="n">
        <v>100</v>
      </c>
      <c r="K1698" s="10" t="n">
        <v>0</v>
      </c>
      <c r="L1698" s="14" t="n">
        <v>0</v>
      </c>
      <c r="M1698" s="14" t="n">
        <v>0</v>
      </c>
      <c r="N1698" s="5" t="n"/>
      <c r="O1698" s="5" t="n"/>
      <c r="P1698" s="15" t="n">
        <v>0</v>
      </c>
      <c r="Q1698" s="15" t="n">
        <v>0</v>
      </c>
      <c r="R1698" s="5" t="inlineStr">
        <is>
          <t>337-2024-12-31</t>
        </is>
      </c>
      <c r="S1698" t="inlineStr">
        <is>
          <t>Metrica</t>
        </is>
      </c>
    </row>
    <row r="1699" hidden="1">
      <c r="A1699" s="5" t="n">
        <v>337</v>
      </c>
      <c r="B1699" s="5" t="inlineStr">
        <is>
          <t>Número de programas con renovación de acreditación en alta calidad - Metrica</t>
        </is>
      </c>
      <c r="C1699" s="5" t="inlineStr">
        <is>
          <t>Autoevaluación de programas académicos</t>
        </is>
      </c>
      <c r="D1699" s="5" t="inlineStr">
        <is>
          <t>Trimestral</t>
        </is>
      </c>
      <c r="E1699" s="5" t="inlineStr">
        <is>
          <t>Positivo</t>
        </is>
      </c>
      <c r="F1699" s="109" t="n">
        <v>45838</v>
      </c>
      <c r="G1699" s="5" t="n">
        <v>2025</v>
      </c>
      <c r="H1699" s="5" t="inlineStr">
        <is>
          <t>Junio</t>
        </is>
      </c>
      <c r="I1699" s="6" t="inlineStr">
        <is>
          <t>2025-1</t>
        </is>
      </c>
      <c r="J1699" s="5" t="n">
        <v>100</v>
      </c>
      <c r="K1699" s="5" t="n">
        <v>0</v>
      </c>
      <c r="L1699" s="14" t="n">
        <v>0</v>
      </c>
      <c r="M1699" s="14" t="n">
        <v>0</v>
      </c>
      <c r="N1699" s="5" t="n"/>
      <c r="O1699" s="5" t="n"/>
      <c r="P1699" s="15" t="n">
        <v>0</v>
      </c>
      <c r="Q1699" s="5" t="n">
        <v>0</v>
      </c>
      <c r="R1699" s="5" t="inlineStr">
        <is>
          <t>337-2025-06-30</t>
        </is>
      </c>
      <c r="S1699" t="inlineStr">
        <is>
          <t>Metrica</t>
        </is>
      </c>
    </row>
    <row r="1700" hidden="1">
      <c r="A1700" s="21" t="n">
        <v>337</v>
      </c>
      <c r="B1700" s="5" t="inlineStr">
        <is>
          <t>Número de programas con renovación de acreditación en alta calidad - Metrica</t>
        </is>
      </c>
      <c r="C1700" s="5" t="inlineStr">
        <is>
          <t>Autoevaluación de programas académicos</t>
        </is>
      </c>
      <c r="D1700" s="5" t="inlineStr">
        <is>
          <t>Trimestral</t>
        </is>
      </c>
      <c r="E1700" s="5" t="inlineStr">
        <is>
          <t>Positivo</t>
        </is>
      </c>
      <c r="F1700" s="109" t="n">
        <v>46022</v>
      </c>
      <c r="G1700" s="5" t="n">
        <v>2025</v>
      </c>
      <c r="H1700" s="5" t="inlineStr">
        <is>
          <t>Diciembre</t>
        </is>
      </c>
      <c r="I1700" s="6" t="inlineStr">
        <is>
          <t>2025-2</t>
        </is>
      </c>
      <c r="J1700" s="5" t="n">
        <v>100</v>
      </c>
      <c r="K1700" s="104" t="n">
        <v>0</v>
      </c>
      <c r="L1700" s="14" t="n">
        <v>0</v>
      </c>
      <c r="M1700" s="14" t="n">
        <v>0</v>
      </c>
      <c r="N1700" s="5" t="n"/>
      <c r="O1700" s="5" t="n"/>
      <c r="P1700" s="15" t="n">
        <v>0</v>
      </c>
      <c r="Q1700" s="15" t="n">
        <v>0</v>
      </c>
      <c r="R1700" s="5" t="inlineStr">
        <is>
          <t>337-2025-12-31</t>
        </is>
      </c>
      <c r="S1700" t="inlineStr">
        <is>
          <t>Metrica</t>
        </is>
      </c>
    </row>
    <row r="1701" hidden="1">
      <c r="A1701" s="5" t="n">
        <v>338</v>
      </c>
      <c r="B1701" s="5" t="inlineStr">
        <is>
          <t>Número de programas con condiciones iniciales aprobadas (indicador externo)</t>
        </is>
      </c>
      <c r="C1701" s="5" t="inlineStr">
        <is>
          <t>Autoevaluación de programas académicos</t>
        </is>
      </c>
      <c r="D1701" s="5" t="inlineStr">
        <is>
          <t>Semestral</t>
        </is>
      </c>
      <c r="E1701" s="5" t="inlineStr">
        <is>
          <t>Positivo</t>
        </is>
      </c>
      <c r="F1701" s="109" t="n">
        <v>45107</v>
      </c>
      <c r="G1701" s="5" t="n">
        <v>2023</v>
      </c>
      <c r="H1701" s="5" t="inlineStr">
        <is>
          <t>Junio</t>
        </is>
      </c>
      <c r="I1701" s="6" t="inlineStr">
        <is>
          <t>2023-1</t>
        </is>
      </c>
      <c r="J1701" s="5" t="n">
        <v>100</v>
      </c>
      <c r="K1701" s="104" t="n">
        <v>100</v>
      </c>
      <c r="L1701" s="14" t="n">
        <v>1</v>
      </c>
      <c r="M1701" s="14" t="n">
        <v>1</v>
      </c>
      <c r="N1701" s="5" t="inlineStr">
        <is>
          <t>ENT</t>
        </is>
      </c>
      <c r="O1701" s="5" t="inlineStr">
        <is>
          <t>ENT</t>
        </is>
      </c>
      <c r="P1701" s="15" t="n">
        <v>0</v>
      </c>
      <c r="Q1701" s="5" t="n">
        <v>0</v>
      </c>
      <c r="R1701" s="5" t="inlineStr">
        <is>
          <t>338-2023-06-30</t>
        </is>
      </c>
    </row>
    <row r="1702" hidden="1">
      <c r="A1702" s="21" t="n">
        <v>338</v>
      </c>
      <c r="B1702" s="5" t="inlineStr">
        <is>
          <t>Número de programas con condiciones iniciales aprobadas (indicador externo)- Metrica</t>
        </is>
      </c>
      <c r="C1702" s="5" t="inlineStr">
        <is>
          <t>Autoevaluación de programas académicos</t>
        </is>
      </c>
      <c r="D1702" s="5" t="inlineStr">
        <is>
          <t>Trimestral</t>
        </is>
      </c>
      <c r="E1702" s="5" t="inlineStr">
        <is>
          <t>Positivo</t>
        </is>
      </c>
      <c r="F1702" s="109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>
        <v>0</v>
      </c>
      <c r="K1702" s="10" t="n"/>
      <c r="L1702" s="14" t="n"/>
      <c r="M1702" s="14" t="n"/>
      <c r="N1702" s="11" t="inlineStr">
        <is>
          <t>ENT</t>
        </is>
      </c>
      <c r="O1702" s="11" t="inlineStr">
        <is>
          <t>No Aplica</t>
        </is>
      </c>
      <c r="P1702" s="15" t="n">
        <v>0</v>
      </c>
      <c r="Q1702" s="15" t="n">
        <v>0</v>
      </c>
      <c r="R1702" s="5" t="inlineStr">
        <is>
          <t>338-2023-12-31</t>
        </is>
      </c>
      <c r="S1702" t="inlineStr">
        <is>
          <t>Metrica</t>
        </is>
      </c>
    </row>
    <row r="1703" hidden="1">
      <c r="A1703" s="5" t="n">
        <v>338</v>
      </c>
      <c r="B1703" s="5" t="inlineStr">
        <is>
          <t>Número de programas con condiciones iniciales aprobadas</t>
        </is>
      </c>
      <c r="C1703" s="5" t="inlineStr">
        <is>
          <t>Autoevaluación de programas académicos</t>
        </is>
      </c>
      <c r="D1703" s="5" t="inlineStr">
        <is>
          <t>Semestral</t>
        </is>
      </c>
      <c r="E1703" s="5" t="inlineStr">
        <is>
          <t>Positivo</t>
        </is>
      </c>
      <c r="F1703" s="109" t="n">
        <v>45473</v>
      </c>
      <c r="G1703" s="5" t="n">
        <v>2024</v>
      </c>
      <c r="H1703" s="5" t="inlineStr">
        <is>
          <t>Junio</t>
        </is>
      </c>
      <c r="I1703" s="6" t="inlineStr">
        <is>
          <t>2024-1</t>
        </is>
      </c>
      <c r="J1703" s="5" t="n">
        <v>100</v>
      </c>
      <c r="K1703" s="5" t="n">
        <v>100</v>
      </c>
      <c r="L1703" s="14" t="n">
        <v>1</v>
      </c>
      <c r="M1703" s="14" t="n">
        <v>1</v>
      </c>
      <c r="N1703" s="5" t="inlineStr">
        <is>
          <t>ENT</t>
        </is>
      </c>
      <c r="O1703" s="17" t="inlineStr">
        <is>
          <t>ENT</t>
        </is>
      </c>
      <c r="P1703" s="5" t="n">
        <v>0</v>
      </c>
      <c r="Q1703" s="5" t="n">
        <v>0</v>
      </c>
      <c r="R1703" s="5" t="inlineStr">
        <is>
          <t>338-2024-06-30</t>
        </is>
      </c>
    </row>
    <row r="1704" hidden="1">
      <c r="A1704" s="21" t="n">
        <v>338</v>
      </c>
      <c r="B1704" s="5" t="inlineStr">
        <is>
          <t>Número de programas con condiciones iniciales aprobadas (indicador externo)- Metrica</t>
        </is>
      </c>
      <c r="C1704" s="5" t="inlineStr">
        <is>
          <t>Autoevaluación de programas académicos</t>
        </is>
      </c>
      <c r="D1704" s="5" t="inlineStr">
        <is>
          <t>Trimestral</t>
        </is>
      </c>
      <c r="E1704" s="5" t="inlineStr">
        <is>
          <t>Positivo</t>
        </is>
      </c>
      <c r="F1704" s="109" t="n">
        <v>45657</v>
      </c>
      <c r="G1704" s="5" t="n">
        <v>2024</v>
      </c>
      <c r="H1704" s="5" t="inlineStr">
        <is>
          <t>Diciembre</t>
        </is>
      </c>
      <c r="I1704" s="6" t="inlineStr">
        <is>
          <t>2024-2</t>
        </is>
      </c>
      <c r="J1704" s="5" t="n">
        <v>100</v>
      </c>
      <c r="K1704" s="10" t="n">
        <v>0</v>
      </c>
      <c r="L1704" s="14" t="n">
        <v>0</v>
      </c>
      <c r="M1704" s="14" t="n">
        <v>0</v>
      </c>
      <c r="N1704" s="5" t="inlineStr">
        <is>
          <t>ENT</t>
        </is>
      </c>
      <c r="O1704" s="5" t="inlineStr">
        <is>
          <t>ENT</t>
        </is>
      </c>
      <c r="P1704" s="15" t="n">
        <v>0</v>
      </c>
      <c r="Q1704" s="15" t="n">
        <v>0</v>
      </c>
      <c r="R1704" s="5" t="inlineStr">
        <is>
          <t>338-2024-12-31</t>
        </is>
      </c>
      <c r="S1704" t="inlineStr">
        <is>
          <t>Metrica</t>
        </is>
      </c>
    </row>
    <row r="1705" hidden="1">
      <c r="A1705" s="21" t="n">
        <v>338</v>
      </c>
      <c r="B1705" s="5" t="inlineStr">
        <is>
          <t>Número de programas con condiciones iniciales aprobadas</t>
        </is>
      </c>
      <c r="C1705" s="5" t="inlineStr">
        <is>
          <t>Autoevaluación de programas académicos</t>
        </is>
      </c>
      <c r="D1705" s="5" t="inlineStr">
        <is>
          <t>Semestral</t>
        </is>
      </c>
      <c r="E1705" s="5" t="inlineStr">
        <is>
          <t>Positivo</t>
        </is>
      </c>
      <c r="F1705" s="109" t="n">
        <v>45838</v>
      </c>
      <c r="G1705" s="5" t="n">
        <v>2025</v>
      </c>
      <c r="H1705" s="5" t="inlineStr">
        <is>
          <t>Junio</t>
        </is>
      </c>
      <c r="I1705" s="6" t="inlineStr">
        <is>
          <t>2025-1</t>
        </is>
      </c>
      <c r="J1705" s="5" t="n">
        <v>100</v>
      </c>
      <c r="K1705" s="10" t="n">
        <v>100</v>
      </c>
      <c r="L1705" s="14" t="n">
        <v>1</v>
      </c>
      <c r="M1705" s="14" t="n">
        <v>1</v>
      </c>
      <c r="N1705" s="5" t="inlineStr">
        <is>
          <t>ENT</t>
        </is>
      </c>
      <c r="O1705" s="5" t="inlineStr">
        <is>
          <t>ENT</t>
        </is>
      </c>
      <c r="P1705" s="15" t="n">
        <v>0</v>
      </c>
      <c r="Q1705" s="15" t="n">
        <v>0</v>
      </c>
      <c r="R1705" s="5" t="inlineStr">
        <is>
          <t>338-2025-06-30</t>
        </is>
      </c>
    </row>
    <row r="1706" hidden="1">
      <c r="A1706" s="21" t="n">
        <v>338</v>
      </c>
      <c r="B1706" s="5" t="inlineStr">
        <is>
          <t>Número de programas con condiciones iniciales aprobadas (indicador externo)- Metrica</t>
        </is>
      </c>
      <c r="C1706" s="5" t="inlineStr">
        <is>
          <t>Autoevaluación de programas académicos</t>
        </is>
      </c>
      <c r="D1706" s="5" t="inlineStr">
        <is>
          <t>Trimestral</t>
        </is>
      </c>
      <c r="E1706" s="5" t="inlineStr">
        <is>
          <t>Positivo</t>
        </is>
      </c>
      <c r="F1706" s="109" t="n">
        <v>46022</v>
      </c>
      <c r="G1706" s="5" t="n">
        <v>2025</v>
      </c>
      <c r="H1706" s="5" t="inlineStr">
        <is>
          <t>Diciembre</t>
        </is>
      </c>
      <c r="I1706" s="6" t="inlineStr">
        <is>
          <t>2025-2</t>
        </is>
      </c>
      <c r="J1706" s="5" t="n">
        <v>100</v>
      </c>
      <c r="K1706" s="5" t="n">
        <v>100</v>
      </c>
      <c r="L1706" s="14" t="n">
        <v>1</v>
      </c>
      <c r="M1706" s="14" t="n">
        <v>1</v>
      </c>
      <c r="N1706" s="5" t="inlineStr">
        <is>
          <t>ENT</t>
        </is>
      </c>
      <c r="O1706" s="5" t="inlineStr">
        <is>
          <t>ENT</t>
        </is>
      </c>
      <c r="P1706" s="15" t="n">
        <v>0</v>
      </c>
      <c r="Q1706" s="15" t="n">
        <v>0</v>
      </c>
      <c r="R1706" s="5" t="inlineStr">
        <is>
          <t>338-2025-12-31</t>
        </is>
      </c>
      <c r="S1706" t="inlineStr">
        <is>
          <t>Metrica</t>
        </is>
      </c>
    </row>
    <row r="1707" hidden="1">
      <c r="A1707" s="21" t="n">
        <v>339</v>
      </c>
      <c r="B1707" s="5" t="inlineStr">
        <is>
          <t>Programas acreditables acreditados Sede Bogotá</t>
        </is>
      </c>
      <c r="C1707" s="5" t="inlineStr">
        <is>
          <t>Autoevaluación institucional</t>
        </is>
      </c>
      <c r="D1707" s="5" t="inlineStr">
        <is>
          <t>Anual</t>
        </is>
      </c>
      <c r="E1707" s="5" t="inlineStr">
        <is>
          <t>Positivo</t>
        </is>
      </c>
      <c r="F1707" s="109" t="n">
        <v>45291</v>
      </c>
      <c r="G1707" s="5" t="n">
        <v>2023</v>
      </c>
      <c r="H1707" s="5" t="inlineStr">
        <is>
          <t>Diciembre</t>
        </is>
      </c>
      <c r="I1707" s="6" t="inlineStr">
        <is>
          <t>2023-2</t>
        </is>
      </c>
      <c r="J1707" s="5" t="n">
        <v>30</v>
      </c>
      <c r="K1707" s="10" t="n">
        <v>28.57142857142857</v>
      </c>
      <c r="L1707" s="14" t="n">
        <v>0.9523809523809523</v>
      </c>
      <c r="M1707" s="14" t="n">
        <v>0.9523809523809523</v>
      </c>
      <c r="N1707" s="5" t="inlineStr">
        <is>
          <t>%</t>
        </is>
      </c>
      <c r="O1707" s="5" t="inlineStr">
        <is>
          <t>%</t>
        </is>
      </c>
      <c r="P1707" s="15" t="n">
        <v>2</v>
      </c>
      <c r="Q1707" s="15" t="n">
        <v>2</v>
      </c>
      <c r="R1707" s="5" t="inlineStr">
        <is>
          <t>339-2023-12-31</t>
        </is>
      </c>
    </row>
    <row r="1708" hidden="1">
      <c r="A1708" s="5" t="n">
        <v>339</v>
      </c>
      <c r="B1708" s="5" t="inlineStr">
        <is>
          <t>Programas acreditables acreditados Sede Bogotá</t>
        </is>
      </c>
      <c r="C1708" s="5" t="inlineStr">
        <is>
          <t>Autoevaluación institucional</t>
        </is>
      </c>
      <c r="D1708" s="5" t="inlineStr">
        <is>
          <t>Anual</t>
        </is>
      </c>
      <c r="E1708" s="5" t="inlineStr">
        <is>
          <t>Positivo</t>
        </is>
      </c>
      <c r="F1708" s="109" t="n">
        <v>45657</v>
      </c>
      <c r="G1708" s="5" t="n">
        <v>2024</v>
      </c>
      <c r="H1708" s="5" t="inlineStr">
        <is>
          <t>Diciembre</t>
        </is>
      </c>
      <c r="I1708" s="6" t="inlineStr">
        <is>
          <t>2024-2</t>
        </is>
      </c>
      <c r="J1708" s="5" t="n">
        <v>30</v>
      </c>
      <c r="K1708" s="5" t="n">
        <v>30.3</v>
      </c>
      <c r="L1708" s="14" t="n">
        <v>1.01</v>
      </c>
      <c r="M1708" s="14" t="n">
        <v>1.01</v>
      </c>
      <c r="N1708" s="5" t="inlineStr">
        <is>
          <t>%</t>
        </is>
      </c>
      <c r="O1708" s="5" t="inlineStr">
        <is>
          <t>%</t>
        </is>
      </c>
      <c r="P1708" s="5" t="n">
        <v>2</v>
      </c>
      <c r="Q1708" s="5" t="n">
        <v>2</v>
      </c>
      <c r="R1708" s="5" t="inlineStr">
        <is>
          <t>339-2024-12-31</t>
        </is>
      </c>
    </row>
    <row r="1709" hidden="1">
      <c r="A1709" s="21" t="n">
        <v>339</v>
      </c>
      <c r="B1709" s="5" t="inlineStr">
        <is>
          <t>Programas acreditables acreditados Sede Bogotá</t>
        </is>
      </c>
      <c r="C1709" s="5" t="inlineStr">
        <is>
          <t>Autoevaluación institucional</t>
        </is>
      </c>
      <c r="D1709" s="5" t="inlineStr">
        <is>
          <t>Anual</t>
        </is>
      </c>
      <c r="E1709" s="5" t="inlineStr">
        <is>
          <t>Positivo</t>
        </is>
      </c>
      <c r="F1709" s="109" t="n">
        <v>46022</v>
      </c>
      <c r="G1709" s="5" t="n">
        <v>2025</v>
      </c>
      <c r="H1709" s="5" t="inlineStr">
        <is>
          <t>Diciembre</t>
        </is>
      </c>
      <c r="I1709" s="6" t="inlineStr">
        <is>
          <t>2025-2</t>
        </is>
      </c>
      <c r="J1709" s="5" t="n">
        <v>30</v>
      </c>
      <c r="K1709" s="10" t="n">
        <v>35.29</v>
      </c>
      <c r="L1709" s="14" t="n">
        <v>1.176333333333333</v>
      </c>
      <c r="M1709" s="14" t="n">
        <v>1.176333333333333</v>
      </c>
      <c r="N1709" s="5" t="inlineStr">
        <is>
          <t>%</t>
        </is>
      </c>
      <c r="O1709" s="5" t="inlineStr">
        <is>
          <t>%</t>
        </is>
      </c>
      <c r="P1709" s="15" t="n">
        <v>0</v>
      </c>
      <c r="Q1709" s="15" t="n">
        <v>1</v>
      </c>
      <c r="R1709" s="5" t="inlineStr">
        <is>
          <t>339-2025-12-31</t>
        </is>
      </c>
    </row>
    <row r="1710" hidden="1">
      <c r="A1710" s="21" t="n">
        <v>340</v>
      </c>
      <c r="B1710" s="5" t="inlineStr">
        <is>
          <t>Cumplimiento cronograma revisiones locativas</t>
        </is>
      </c>
      <c r="C1710" s="5" t="inlineStr">
        <is>
          <t>Gestión Infraestructura Física</t>
        </is>
      </c>
      <c r="D1710" s="5" t="inlineStr">
        <is>
          <t>Trimestral</t>
        </is>
      </c>
      <c r="E1710" s="5" t="inlineStr">
        <is>
          <t>Positivo</t>
        </is>
      </c>
      <c r="F1710" s="109" t="n">
        <v>45016</v>
      </c>
      <c r="G1710" s="5" t="n">
        <v>2023</v>
      </c>
      <c r="H1710" s="5" t="inlineStr">
        <is>
          <t>Marzo</t>
        </is>
      </c>
      <c r="I1710" s="6" t="inlineStr">
        <is>
          <t>2023-1</t>
        </is>
      </c>
      <c r="J1710" s="5" t="n">
        <v>90</v>
      </c>
      <c r="K1710" s="10" t="n">
        <v>100</v>
      </c>
      <c r="L1710" s="14" t="n">
        <v>1.111111111111111</v>
      </c>
      <c r="M1710" s="14" t="n">
        <v>1.111111111111111</v>
      </c>
      <c r="N1710" s="5" t="inlineStr">
        <is>
          <t>%</t>
        </is>
      </c>
      <c r="O1710" s="5" t="inlineStr">
        <is>
          <t>%</t>
        </is>
      </c>
      <c r="P1710" s="15" t="n">
        <v>0</v>
      </c>
      <c r="Q1710" s="15" t="n">
        <v>0</v>
      </c>
      <c r="R1710" s="5" t="inlineStr">
        <is>
          <t>340-2023-03-31</t>
        </is>
      </c>
    </row>
    <row r="1711" hidden="1">
      <c r="A1711" s="5" t="n">
        <v>340</v>
      </c>
      <c r="B1711" s="5" t="inlineStr">
        <is>
          <t>Cumplimiento cronograma revisiones locativas</t>
        </is>
      </c>
      <c r="C1711" s="5" t="inlineStr">
        <is>
          <t>Gestión Infraestructura Física</t>
        </is>
      </c>
      <c r="D1711" s="5" t="inlineStr">
        <is>
          <t>Trimestral</t>
        </is>
      </c>
      <c r="E1711" s="5" t="inlineStr">
        <is>
          <t>Positivo</t>
        </is>
      </c>
      <c r="F1711" s="109" t="n">
        <v>45107</v>
      </c>
      <c r="G1711" s="5" t="n">
        <v>2023</v>
      </c>
      <c r="H1711" s="5" t="inlineStr">
        <is>
          <t>Junio</t>
        </is>
      </c>
      <c r="I1711" s="6" t="inlineStr">
        <is>
          <t>2023-1</t>
        </is>
      </c>
      <c r="J1711" s="5" t="n">
        <v>90</v>
      </c>
      <c r="K1711" s="5" t="n">
        <v>100</v>
      </c>
      <c r="L1711" s="14" t="n">
        <v>1.111111111111111</v>
      </c>
      <c r="M1711" s="14" t="n">
        <v>1.111111111111111</v>
      </c>
      <c r="N1711" s="5" t="inlineStr">
        <is>
          <t>%</t>
        </is>
      </c>
      <c r="O1711" s="5" t="inlineStr">
        <is>
          <t>%</t>
        </is>
      </c>
      <c r="P1711" s="5" t="n">
        <v>0</v>
      </c>
      <c r="Q1711" s="5" t="n">
        <v>0</v>
      </c>
      <c r="R1711" s="5" t="inlineStr">
        <is>
          <t>340-2023-06-30</t>
        </is>
      </c>
    </row>
    <row r="1712" hidden="1">
      <c r="A1712" s="5" t="n">
        <v>340</v>
      </c>
      <c r="B1712" s="5" t="inlineStr">
        <is>
          <t>Cumplimiento cronograma revisiones locativas</t>
        </is>
      </c>
      <c r="C1712" s="5" t="inlineStr">
        <is>
          <t>Gestión Infraestructura Física</t>
        </is>
      </c>
      <c r="D1712" s="5" t="inlineStr">
        <is>
          <t>Trimestral</t>
        </is>
      </c>
      <c r="E1712" s="5" t="inlineStr">
        <is>
          <t>Positivo</t>
        </is>
      </c>
      <c r="F1712" s="109" t="n">
        <v>45199</v>
      </c>
      <c r="G1712" s="5" t="n">
        <v>2023</v>
      </c>
      <c r="H1712" s="5" t="inlineStr">
        <is>
          <t>Septiembre</t>
        </is>
      </c>
      <c r="I1712" s="6" t="inlineStr">
        <is>
          <t>2023-2</t>
        </is>
      </c>
      <c r="J1712" s="5" t="n">
        <v>90</v>
      </c>
      <c r="K1712" s="5" t="n">
        <v>100</v>
      </c>
      <c r="L1712" s="14" t="n">
        <v>1.111111111111111</v>
      </c>
      <c r="M1712" s="14" t="n">
        <v>1.111111111111111</v>
      </c>
      <c r="N1712" s="5" t="inlineStr">
        <is>
          <t>%</t>
        </is>
      </c>
      <c r="O1712" s="5" t="inlineStr">
        <is>
          <t>%</t>
        </is>
      </c>
      <c r="P1712" s="15" t="n">
        <v>0</v>
      </c>
      <c r="Q1712" s="5" t="n">
        <v>0</v>
      </c>
      <c r="R1712" s="5" t="inlineStr">
        <is>
          <t>340-2023-09-30</t>
        </is>
      </c>
    </row>
    <row r="1713" hidden="1">
      <c r="A1713" s="21" t="n">
        <v>340</v>
      </c>
      <c r="B1713" s="5" t="inlineStr">
        <is>
          <t>Cumplimiento cronograma revisiones locativas</t>
        </is>
      </c>
      <c r="C1713" s="5" t="inlineStr">
        <is>
          <t>Gestión Infraestructura Física</t>
        </is>
      </c>
      <c r="D1713" s="5" t="inlineStr">
        <is>
          <t>Trimestral</t>
        </is>
      </c>
      <c r="E1713" s="5" t="inlineStr">
        <is>
          <t>Positivo</t>
        </is>
      </c>
      <c r="F1713" s="109" t="n">
        <v>45291</v>
      </c>
      <c r="G1713" s="5" t="n">
        <v>2023</v>
      </c>
      <c r="H1713" s="5" t="inlineStr">
        <is>
          <t>Diciembre</t>
        </is>
      </c>
      <c r="I1713" s="6" t="inlineStr">
        <is>
          <t>2023-2</t>
        </is>
      </c>
      <c r="J1713" s="73" t="n">
        <v>90</v>
      </c>
      <c r="K1713" s="9" t="n">
        <v>100</v>
      </c>
      <c r="L1713" s="14" t="n">
        <v>1.111111111111111</v>
      </c>
      <c r="M1713" s="14" t="n">
        <v>1.111111111111111</v>
      </c>
      <c r="N1713" s="5" t="inlineStr">
        <is>
          <t>%</t>
        </is>
      </c>
      <c r="O1713" s="5" t="inlineStr">
        <is>
          <t>%</t>
        </is>
      </c>
      <c r="P1713" s="15" t="n">
        <v>0</v>
      </c>
      <c r="Q1713" s="15" t="n">
        <v>0</v>
      </c>
      <c r="R1713" s="5" t="inlineStr">
        <is>
          <t>340-2023-12-31</t>
        </is>
      </c>
    </row>
    <row r="1714" hidden="1">
      <c r="A1714" s="21" t="n">
        <v>340</v>
      </c>
      <c r="B1714" s="5" t="inlineStr">
        <is>
          <t>Cumplimiento cronograma revisiones locativas</t>
        </is>
      </c>
      <c r="C1714" s="5" t="inlineStr">
        <is>
          <t>Gestión Infraestructura Física</t>
        </is>
      </c>
      <c r="D1714" s="5" t="inlineStr">
        <is>
          <t>Trimestral</t>
        </is>
      </c>
      <c r="E1714" s="5" t="inlineStr">
        <is>
          <t>Positivo</t>
        </is>
      </c>
      <c r="F1714" s="109" t="n">
        <v>45382</v>
      </c>
      <c r="G1714" s="5" t="n">
        <v>2024</v>
      </c>
      <c r="H1714" s="5" t="inlineStr">
        <is>
          <t>Marzo</t>
        </is>
      </c>
      <c r="I1714" s="6" t="inlineStr">
        <is>
          <t>2024-1</t>
        </is>
      </c>
      <c r="J1714" s="5" t="n">
        <v>95</v>
      </c>
      <c r="K1714" s="5" t="n">
        <v>100</v>
      </c>
      <c r="L1714" s="14" t="n">
        <v>1.052631578947368</v>
      </c>
      <c r="M1714" s="14" t="n">
        <v>1.052631578947368</v>
      </c>
      <c r="N1714" s="5" t="inlineStr">
        <is>
          <t>%</t>
        </is>
      </c>
      <c r="O1714" s="5" t="inlineStr">
        <is>
          <t>%</t>
        </is>
      </c>
      <c r="P1714" s="15" t="n">
        <v>0</v>
      </c>
      <c r="Q1714" s="15" t="n">
        <v>0</v>
      </c>
      <c r="R1714" s="5" t="inlineStr">
        <is>
          <t>340-2024-03-31</t>
        </is>
      </c>
    </row>
    <row r="1715" hidden="1">
      <c r="A1715" s="21" t="n">
        <v>340</v>
      </c>
      <c r="B1715" s="5" t="inlineStr">
        <is>
          <t>Cumplimiento cronograma revisiones locativas</t>
        </is>
      </c>
      <c r="C1715" s="5" t="inlineStr">
        <is>
          <t>Gestión Infraestructura Física</t>
        </is>
      </c>
      <c r="D1715" s="5" t="inlineStr">
        <is>
          <t>Trimestral</t>
        </is>
      </c>
      <c r="E1715" s="5" t="inlineStr">
        <is>
          <t>Positivo</t>
        </is>
      </c>
      <c r="F1715" s="109" t="n">
        <v>45473</v>
      </c>
      <c r="G1715" s="5" t="n">
        <v>2024</v>
      </c>
      <c r="H1715" s="5" t="inlineStr">
        <is>
          <t>Junio</t>
        </is>
      </c>
      <c r="I1715" s="6" t="inlineStr">
        <is>
          <t>2024-1</t>
        </is>
      </c>
      <c r="J1715" s="5" t="n">
        <v>95</v>
      </c>
      <c r="K1715" s="5" t="n">
        <v>100</v>
      </c>
      <c r="L1715" s="14" t="n">
        <v>1.052631578947368</v>
      </c>
      <c r="M1715" s="14" t="n">
        <v>1.052631578947368</v>
      </c>
      <c r="N1715" s="5" t="inlineStr">
        <is>
          <t>%</t>
        </is>
      </c>
      <c r="O1715" s="5" t="inlineStr">
        <is>
          <t>%</t>
        </is>
      </c>
      <c r="P1715" s="15" t="n">
        <v>0</v>
      </c>
      <c r="Q1715" s="15" t="n">
        <v>0</v>
      </c>
      <c r="R1715" s="5" t="inlineStr">
        <is>
          <t>340-2024-06-30</t>
        </is>
      </c>
    </row>
    <row r="1716" hidden="1">
      <c r="A1716" s="5" t="n">
        <v>340</v>
      </c>
      <c r="B1716" s="5" t="inlineStr">
        <is>
          <t>Cumplimiento cronograma revisiones locativas</t>
        </is>
      </c>
      <c r="C1716" s="5" t="inlineStr">
        <is>
          <t>Gestión Infraestructura Física</t>
        </is>
      </c>
      <c r="D1716" s="5" t="inlineStr">
        <is>
          <t>Trimestral</t>
        </is>
      </c>
      <c r="E1716" s="5" t="inlineStr">
        <is>
          <t>Positivo</t>
        </is>
      </c>
      <c r="F1716" s="108" t="n">
        <v>45565</v>
      </c>
      <c r="G1716" s="5" t="n">
        <v>2024</v>
      </c>
      <c r="H1716" s="5" t="inlineStr">
        <is>
          <t>Septiembre</t>
        </is>
      </c>
      <c r="I1716" s="6" t="inlineStr">
        <is>
          <t>2024-2</t>
        </is>
      </c>
      <c r="J1716" s="5" t="n">
        <v>95</v>
      </c>
      <c r="K1716" s="9" t="n">
        <v>100</v>
      </c>
      <c r="L1716" s="14" t="n">
        <v>1.052631578947368</v>
      </c>
      <c r="M1716" s="14" t="n">
        <v>1.052631578947368</v>
      </c>
      <c r="N1716" s="5" t="inlineStr">
        <is>
          <t>%</t>
        </is>
      </c>
      <c r="O1716" s="5" t="inlineStr">
        <is>
          <t>%</t>
        </is>
      </c>
      <c r="P1716" s="15" t="n">
        <v>0</v>
      </c>
      <c r="Q1716" s="15" t="n">
        <v>0</v>
      </c>
      <c r="R1716" s="5" t="inlineStr">
        <is>
          <t>340-2024-09-30</t>
        </is>
      </c>
    </row>
    <row r="1717" hidden="1">
      <c r="A1717" s="28" t="n">
        <v>340</v>
      </c>
      <c r="B1717" s="5" t="inlineStr">
        <is>
          <t>Cumplimiento cronograma revisiones locativas</t>
        </is>
      </c>
      <c r="C1717" s="5" t="inlineStr">
        <is>
          <t>Gestión Infraestructura Física</t>
        </is>
      </c>
      <c r="D1717" s="5" t="inlineStr">
        <is>
          <t>Trimestral</t>
        </is>
      </c>
      <c r="E1717" s="5" t="inlineStr">
        <is>
          <t>Positivo</t>
        </is>
      </c>
      <c r="F1717" s="108" t="n">
        <v>45657</v>
      </c>
      <c r="G1717" s="5" t="n">
        <v>2024</v>
      </c>
      <c r="H1717" s="5" t="inlineStr">
        <is>
          <t>Diciembre</t>
        </is>
      </c>
      <c r="I1717" s="6" t="inlineStr">
        <is>
          <t>2024-2</t>
        </is>
      </c>
      <c r="J1717" s="3" t="n">
        <v>95</v>
      </c>
      <c r="K1717" s="9" t="n">
        <v>100</v>
      </c>
      <c r="L1717" s="14" t="n">
        <v>1.052631578947368</v>
      </c>
      <c r="M1717" s="14" t="n">
        <v>1.052631578947368</v>
      </c>
      <c r="N1717" s="5" t="inlineStr">
        <is>
          <t>%</t>
        </is>
      </c>
      <c r="O1717" s="5" t="inlineStr">
        <is>
          <t>%</t>
        </is>
      </c>
      <c r="P1717" s="15" t="n">
        <v>0</v>
      </c>
      <c r="Q1717" s="15" t="n">
        <v>0</v>
      </c>
      <c r="R1717" s="5" t="inlineStr">
        <is>
          <t>340-2024-12-31</t>
        </is>
      </c>
    </row>
    <row r="1718" hidden="1">
      <c r="A1718" s="21" t="n">
        <v>341</v>
      </c>
      <c r="B1718" s="5" t="inlineStr">
        <is>
          <t>Monto total de ahorro en gestión de abastecimiento</t>
        </is>
      </c>
      <c r="C1718" s="5" t="inlineStr">
        <is>
          <t>GESTIÓN DE ABASTECIMIENTO</t>
        </is>
      </c>
      <c r="D1718" s="5" t="inlineStr">
        <is>
          <t>Semestral</t>
        </is>
      </c>
      <c r="E1718" s="5" t="inlineStr">
        <is>
          <t>Positivo</t>
        </is>
      </c>
      <c r="F1718" s="109" t="n">
        <v>45107</v>
      </c>
      <c r="G1718" s="5" t="n">
        <v>2023</v>
      </c>
      <c r="H1718" s="5" t="inlineStr">
        <is>
          <t>Junio</t>
        </is>
      </c>
      <c r="I1718" s="6" t="inlineStr">
        <is>
          <t>2023-1</t>
        </is>
      </c>
      <c r="J1718" s="5" t="n">
        <v>100</v>
      </c>
      <c r="K1718" s="10" t="n">
        <v>123.86966666667</v>
      </c>
      <c r="L1718" s="14" t="n">
        <v>1.2386966666667</v>
      </c>
      <c r="M1718" s="14" t="n">
        <v>1.2386966666667</v>
      </c>
      <c r="N1718" s="5" t="inlineStr">
        <is>
          <t>$</t>
        </is>
      </c>
      <c r="O1718" s="5" t="inlineStr">
        <is>
          <t>$</t>
        </is>
      </c>
      <c r="P1718" s="15" t="n">
        <v>0</v>
      </c>
      <c r="Q1718" s="15" t="n">
        <v>0</v>
      </c>
      <c r="R1718" s="5" t="inlineStr">
        <is>
          <t>341-2023-06-30</t>
        </is>
      </c>
    </row>
    <row r="1719" hidden="1">
      <c r="A1719" s="28" t="n">
        <v>341</v>
      </c>
      <c r="B1719" s="5" t="inlineStr">
        <is>
          <t>Monto total de ahorro en gestión de abastecimiento</t>
        </is>
      </c>
      <c r="C1719" s="5" t="inlineStr">
        <is>
          <t>GESTIÓN DE ABASTECIMIENTO</t>
        </is>
      </c>
      <c r="D1719" s="5" t="inlineStr">
        <is>
          <t>Semestral</t>
        </is>
      </c>
      <c r="E1719" s="5" t="inlineStr">
        <is>
          <t>Positivo</t>
        </is>
      </c>
      <c r="F1719" s="109" t="n">
        <v>45291</v>
      </c>
      <c r="G1719" s="5" t="n">
        <v>2023</v>
      </c>
      <c r="H1719" s="5" t="inlineStr">
        <is>
          <t>Diciembre</t>
        </is>
      </c>
      <c r="I1719" s="6" t="inlineStr">
        <is>
          <t>2023-2</t>
        </is>
      </c>
      <c r="J1719" s="5" t="n">
        <v>100</v>
      </c>
      <c r="K1719" s="5" t="n">
        <v>130.57</v>
      </c>
      <c r="L1719" s="14" t="n">
        <v>1.3</v>
      </c>
      <c r="M1719" s="14" t="n">
        <v>1.3057</v>
      </c>
      <c r="N1719" s="5" t="inlineStr">
        <is>
          <t>$</t>
        </is>
      </c>
      <c r="O1719" s="5" t="inlineStr">
        <is>
          <t>$</t>
        </is>
      </c>
      <c r="P1719" s="15" t="n">
        <v>0</v>
      </c>
      <c r="Q1719" s="15" t="n">
        <v>0</v>
      </c>
      <c r="R1719" s="5" t="inlineStr">
        <is>
          <t>341-2023-12-31</t>
        </is>
      </c>
    </row>
    <row r="1720" hidden="1">
      <c r="A1720" s="21" t="n">
        <v>341</v>
      </c>
      <c r="B1720" s="5" t="inlineStr">
        <is>
          <t>Reducción de costos en gestión de abastecimiento</t>
        </is>
      </c>
      <c r="C1720" s="5" t="inlineStr">
        <is>
          <t>GESTIÓN DE ABASTECIMIENTO</t>
        </is>
      </c>
      <c r="D1720" s="5" t="inlineStr">
        <is>
          <t>Semestral</t>
        </is>
      </c>
      <c r="E1720" s="5" t="inlineStr">
        <is>
          <t>Positivo</t>
        </is>
      </c>
      <c r="F1720" s="109" t="n">
        <v>45473</v>
      </c>
      <c r="G1720" s="5" t="n">
        <v>2024</v>
      </c>
      <c r="H1720" s="5" t="inlineStr">
        <is>
          <t>Junio</t>
        </is>
      </c>
      <c r="I1720" s="6" t="inlineStr">
        <is>
          <t>2024-1</t>
        </is>
      </c>
      <c r="J1720" s="73" t="n">
        <v>100</v>
      </c>
      <c r="K1720" s="9" t="n">
        <v>125</v>
      </c>
      <c r="L1720" s="14" t="n">
        <v>1.25</v>
      </c>
      <c r="M1720" s="14" t="n">
        <v>1.25</v>
      </c>
      <c r="N1720" s="5" t="inlineStr">
        <is>
          <t>$</t>
        </is>
      </c>
      <c r="O1720" s="5" t="inlineStr">
        <is>
          <t>$</t>
        </is>
      </c>
      <c r="P1720" s="15" t="n">
        <v>0</v>
      </c>
      <c r="Q1720" s="15" t="n">
        <v>0</v>
      </c>
      <c r="R1720" s="5" t="inlineStr">
        <is>
          <t>341-2024-06-30</t>
        </is>
      </c>
    </row>
    <row r="1721" hidden="1">
      <c r="A1721" s="21" t="n">
        <v>341</v>
      </c>
      <c r="B1721" s="5" t="inlineStr">
        <is>
          <t>Reducción de costos en gestión de abastecimiento</t>
        </is>
      </c>
      <c r="C1721" s="5" t="inlineStr">
        <is>
          <t>GESTIÓN DE ABASTECIMIENTO</t>
        </is>
      </c>
      <c r="D1721" s="5" t="inlineStr">
        <is>
          <t>Semestral</t>
        </is>
      </c>
      <c r="E1721" s="5" t="inlineStr">
        <is>
          <t>Positivo</t>
        </is>
      </c>
      <c r="F1721" s="109" t="n">
        <v>45657</v>
      </c>
      <c r="G1721" s="5" t="n">
        <v>2024</v>
      </c>
      <c r="H1721" s="5" t="inlineStr">
        <is>
          <t>Diciembre</t>
        </is>
      </c>
      <c r="I1721" s="6" t="inlineStr">
        <is>
          <t>2024-2</t>
        </is>
      </c>
      <c r="J1721" s="5" t="n">
        <v>100</v>
      </c>
      <c r="K1721" s="10" t="n">
        <v>102.44</v>
      </c>
      <c r="L1721" s="14" t="n">
        <v>1.0244</v>
      </c>
      <c r="M1721" s="14" t="n">
        <v>1.0244</v>
      </c>
      <c r="N1721" s="5" t="inlineStr">
        <is>
          <t>$</t>
        </is>
      </c>
      <c r="O1721" s="5" t="inlineStr">
        <is>
          <t>$</t>
        </is>
      </c>
      <c r="P1721" s="15" t="n">
        <v>0</v>
      </c>
      <c r="Q1721" s="15" t="n">
        <v>0</v>
      </c>
      <c r="R1721" s="5" t="inlineStr">
        <is>
          <t>341-2024-12-31</t>
        </is>
      </c>
    </row>
    <row r="1722" hidden="1">
      <c r="A1722" s="21" t="n">
        <v>341</v>
      </c>
      <c r="B1722" s="5" t="inlineStr">
        <is>
          <t>Reducción de costos en gestión de abastecimiento</t>
        </is>
      </c>
      <c r="C1722" s="5" t="inlineStr">
        <is>
          <t>GESTIÓN DE ABASTECIMIENTO</t>
        </is>
      </c>
      <c r="D1722" s="5" t="inlineStr">
        <is>
          <t>Semestral</t>
        </is>
      </c>
      <c r="E1722" s="5" t="inlineStr">
        <is>
          <t>Positivo</t>
        </is>
      </c>
      <c r="F1722" s="109" t="n">
        <v>45838</v>
      </c>
      <c r="G1722" s="5" t="n">
        <v>2025</v>
      </c>
      <c r="H1722" s="5" t="inlineStr">
        <is>
          <t>Junio</t>
        </is>
      </c>
      <c r="I1722" s="6" t="inlineStr">
        <is>
          <t>2025-1</t>
        </is>
      </c>
      <c r="J1722" s="5" t="n">
        <v>100</v>
      </c>
      <c r="K1722" s="10" t="n">
        <v>102.25</v>
      </c>
      <c r="L1722" s="14" t="n">
        <v>1.0225</v>
      </c>
      <c r="M1722" s="14" t="n">
        <v>1.0225</v>
      </c>
      <c r="N1722" s="5" t="inlineStr">
        <is>
          <t>$</t>
        </is>
      </c>
      <c r="O1722" s="5" t="inlineStr">
        <is>
          <t>$</t>
        </is>
      </c>
      <c r="P1722" s="15" t="n">
        <v>0</v>
      </c>
      <c r="Q1722" s="15" t="n">
        <v>0</v>
      </c>
      <c r="R1722" s="5" t="inlineStr">
        <is>
          <t>341-2025-06-30</t>
        </is>
      </c>
    </row>
    <row r="1723" hidden="1">
      <c r="A1723" s="5" t="n">
        <v>341</v>
      </c>
      <c r="B1723" s="5" t="inlineStr">
        <is>
          <t>Eficiencia en la reducción de costos en la gestión del abastecimiento</t>
        </is>
      </c>
      <c r="C1723" s="5" t="inlineStr">
        <is>
          <t>GESTIÓN DE ABASTECIMIENTO</t>
        </is>
      </c>
      <c r="D1723" s="5" t="inlineStr">
        <is>
          <t>Trimestral</t>
        </is>
      </c>
      <c r="E1723" s="5" t="inlineStr">
        <is>
          <t>Positivo</t>
        </is>
      </c>
      <c r="F1723" s="109" t="n">
        <v>46022</v>
      </c>
      <c r="G1723" s="5" t="n">
        <v>2025</v>
      </c>
      <c r="H1723" s="5" t="inlineStr">
        <is>
          <t>Diciembre</t>
        </is>
      </c>
      <c r="I1723" s="6" t="inlineStr">
        <is>
          <t>2025-2</t>
        </is>
      </c>
      <c r="J1723" s="5" t="n">
        <v>100</v>
      </c>
      <c r="K1723" s="5" t="n">
        <v>102.65</v>
      </c>
      <c r="L1723" s="14" t="n">
        <v>1.0265</v>
      </c>
      <c r="M1723" s="14" t="n">
        <v>1.0265</v>
      </c>
      <c r="N1723" s="5" t="inlineStr">
        <is>
          <t>$</t>
        </is>
      </c>
      <c r="O1723" s="5" t="inlineStr">
        <is>
          <t>$</t>
        </is>
      </c>
      <c r="P1723" s="5" t="n">
        <v>0</v>
      </c>
      <c r="Q1723" s="5" t="n">
        <v>0</v>
      </c>
      <c r="R1723" s="5" t="inlineStr">
        <is>
          <t>341-2025-12-31</t>
        </is>
      </c>
    </row>
    <row r="1724" hidden="1">
      <c r="A1724" s="5" t="n">
        <v>344</v>
      </c>
      <c r="B1724" s="5" t="inlineStr">
        <is>
          <t>Cumplimiento del plan de Inducción institucional</t>
        </is>
      </c>
      <c r="C1724" s="5" t="inlineStr">
        <is>
          <t>GESTIÓN Y DESARROLLO DEL TALENTO HUMANO</t>
        </is>
      </c>
      <c r="D1724" s="5" t="inlineStr">
        <is>
          <t>Semestral</t>
        </is>
      </c>
      <c r="E1724" s="5" t="inlineStr">
        <is>
          <t>Positivo</t>
        </is>
      </c>
      <c r="F1724" s="109" t="n">
        <v>45107</v>
      </c>
      <c r="G1724" s="5" t="n">
        <v>2023</v>
      </c>
      <c r="H1724" s="5" t="inlineStr">
        <is>
          <t>Junio</t>
        </is>
      </c>
      <c r="I1724" s="6" t="inlineStr">
        <is>
          <t>2023-1</t>
        </is>
      </c>
      <c r="J1724" s="5" t="n">
        <v>90</v>
      </c>
      <c r="K1724" s="5" t="n">
        <v>97.74436090225601</v>
      </c>
      <c r="L1724" s="14" t="n">
        <v>1.086048454469511</v>
      </c>
      <c r="M1724" s="14" t="n">
        <v>1.086048454469511</v>
      </c>
      <c r="N1724" s="5" t="inlineStr">
        <is>
          <t>%</t>
        </is>
      </c>
      <c r="O1724" s="5" t="inlineStr">
        <is>
          <t>%</t>
        </is>
      </c>
      <c r="P1724" s="5" t="n">
        <v>0</v>
      </c>
      <c r="Q1724" s="5" t="n">
        <v>0</v>
      </c>
      <c r="R1724" s="5" t="inlineStr">
        <is>
          <t>344-2023-06-30</t>
        </is>
      </c>
    </row>
    <row r="1725" hidden="1">
      <c r="A1725" s="5" t="n">
        <v>344</v>
      </c>
      <c r="B1725" s="5" t="inlineStr">
        <is>
          <t>Cumplimiento del plan de Inducción institucional</t>
        </is>
      </c>
      <c r="C1725" s="5" t="inlineStr">
        <is>
          <t>GESTIÓN Y DESARROLLO DEL TALENTO HUMANO</t>
        </is>
      </c>
      <c r="D1725" s="5" t="inlineStr">
        <is>
          <t>Semestral</t>
        </is>
      </c>
      <c r="E1725" s="5" t="inlineStr">
        <is>
          <t>Positivo</t>
        </is>
      </c>
      <c r="F1725" s="109" t="n">
        <v>45291</v>
      </c>
      <c r="G1725" s="5" t="n">
        <v>2023</v>
      </c>
      <c r="H1725" s="5" t="inlineStr">
        <is>
          <t>Diciembre</t>
        </is>
      </c>
      <c r="I1725" s="6" t="inlineStr">
        <is>
          <t>2023-2</t>
        </is>
      </c>
      <c r="J1725" s="5" t="n">
        <v>90</v>
      </c>
      <c r="K1725" s="5" t="n">
        <v>97.76000000000001</v>
      </c>
      <c r="L1725" s="14" t="n">
        <v>1.086222222222222</v>
      </c>
      <c r="M1725" s="14" t="n">
        <v>1.086222222222222</v>
      </c>
      <c r="N1725" s="5" t="inlineStr">
        <is>
          <t>%</t>
        </is>
      </c>
      <c r="O1725" s="5" t="inlineStr">
        <is>
          <t>%</t>
        </is>
      </c>
      <c r="P1725" s="5" t="n">
        <v>0</v>
      </c>
      <c r="Q1725" s="5" t="n">
        <v>0</v>
      </c>
      <c r="R1725" s="5" t="inlineStr">
        <is>
          <t>344-2023-12-31</t>
        </is>
      </c>
    </row>
    <row r="1726" hidden="1">
      <c r="A1726" s="5" t="n">
        <v>344</v>
      </c>
      <c r="B1726" s="5" t="inlineStr">
        <is>
          <t>Cumplimiento del plan de Inducción institucional</t>
        </is>
      </c>
      <c r="C1726" s="5" t="inlineStr">
        <is>
          <t>GESTIÓN Y DESARROLLO DEL TALENTO HUMANO</t>
        </is>
      </c>
      <c r="D1726" s="5" t="inlineStr">
        <is>
          <t>Semestral</t>
        </is>
      </c>
      <c r="E1726" s="5" t="inlineStr">
        <is>
          <t>Positivo</t>
        </is>
      </c>
      <c r="F1726" s="109" t="n">
        <v>45473</v>
      </c>
      <c r="G1726" s="5" t="n">
        <v>2024</v>
      </c>
      <c r="H1726" s="5" t="inlineStr">
        <is>
          <t>Junio</t>
        </is>
      </c>
      <c r="I1726" s="6" t="inlineStr">
        <is>
          <t>2024-1</t>
        </is>
      </c>
      <c r="J1726" s="5" t="n">
        <v>93</v>
      </c>
      <c r="K1726" s="5" t="n">
        <v>97.34</v>
      </c>
      <c r="L1726" s="14" t="n">
        <v>1.046666666666667</v>
      </c>
      <c r="M1726" s="14" t="n">
        <v>1.046666666666667</v>
      </c>
      <c r="N1726" s="5" t="inlineStr">
        <is>
          <t>%</t>
        </is>
      </c>
      <c r="O1726" s="5" t="inlineStr">
        <is>
          <t>%</t>
        </is>
      </c>
      <c r="P1726" s="5" t="n">
        <v>0</v>
      </c>
      <c r="Q1726" s="5" t="n">
        <v>0</v>
      </c>
      <c r="R1726" s="5" t="inlineStr">
        <is>
          <t>344-2024-06-30</t>
        </is>
      </c>
    </row>
    <row r="1727" hidden="1">
      <c r="A1727" s="5" t="n">
        <v>344</v>
      </c>
      <c r="B1727" s="5" t="inlineStr">
        <is>
          <t>Cumplimiento del plan de Inducción institucional</t>
        </is>
      </c>
      <c r="C1727" s="5" t="inlineStr">
        <is>
          <t>GESTIÓN Y DESARROLLO DEL TALENTO HUMANO</t>
        </is>
      </c>
      <c r="D1727" s="5" t="inlineStr">
        <is>
          <t>Semestral</t>
        </is>
      </c>
      <c r="E1727" s="5" t="inlineStr">
        <is>
          <t>Positivo</t>
        </is>
      </c>
      <c r="F1727" s="109" t="n">
        <v>45657</v>
      </c>
      <c r="G1727" s="5" t="n">
        <v>2024</v>
      </c>
      <c r="H1727" s="5" t="inlineStr">
        <is>
          <t>Diciembre</t>
        </is>
      </c>
      <c r="I1727" s="6" t="inlineStr">
        <is>
          <t>2024-2</t>
        </is>
      </c>
      <c r="J1727" s="5" t="n">
        <v>93</v>
      </c>
      <c r="K1727" s="5" t="n">
        <v>99.19</v>
      </c>
      <c r="L1727" s="14" t="n">
        <v>1.066559139784946</v>
      </c>
      <c r="M1727" s="14" t="n">
        <v>1.066559139784946</v>
      </c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0</v>
      </c>
      <c r="R1727" s="5" t="inlineStr">
        <is>
          <t>344-2024-12-31</t>
        </is>
      </c>
    </row>
    <row r="1728" hidden="1">
      <c r="A1728" s="21" t="n">
        <v>344</v>
      </c>
      <c r="B1728" s="5" t="inlineStr">
        <is>
          <t>Cumplimiento del plan de Inducción institucional</t>
        </is>
      </c>
      <c r="C1728" s="5" t="inlineStr">
        <is>
          <t>GESTIÓN Y DESARROLLO DEL TALENTO HUMANO</t>
        </is>
      </c>
      <c r="D1728" s="5" t="inlineStr">
        <is>
          <t>Semestral</t>
        </is>
      </c>
      <c r="E1728" s="5" t="inlineStr">
        <is>
          <t>Positivo</t>
        </is>
      </c>
      <c r="F1728" s="109" t="n">
        <v>45838</v>
      </c>
      <c r="G1728" s="5" t="n">
        <v>2025</v>
      </c>
      <c r="H1728" s="5" t="inlineStr">
        <is>
          <t>Junio</t>
        </is>
      </c>
      <c r="I1728" s="6" t="inlineStr">
        <is>
          <t>2025-1</t>
        </is>
      </c>
      <c r="J1728" s="5" t="n">
        <v>93</v>
      </c>
      <c r="K1728" s="10" t="n">
        <v>99.43000000000001</v>
      </c>
      <c r="L1728" s="14" t="n">
        <v>1.069139784946237</v>
      </c>
      <c r="M1728" s="55" t="n">
        <v>1.069139784946237</v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0</v>
      </c>
      <c r="R1728" s="5" t="inlineStr">
        <is>
          <t>344-2025-06-30</t>
        </is>
      </c>
    </row>
    <row r="1729" hidden="1">
      <c r="A1729" s="5" t="n">
        <v>344</v>
      </c>
      <c r="B1729" s="5" t="inlineStr">
        <is>
          <t>Cumplimiento del plan de Inducción institucional</t>
        </is>
      </c>
      <c r="C1729" s="5" t="inlineStr">
        <is>
          <t>GESTIÓN Y DESARROLLO DEL TALENTO HUMANO</t>
        </is>
      </c>
      <c r="D1729" s="5" t="inlineStr">
        <is>
          <t>Trimestral</t>
        </is>
      </c>
      <c r="E1729" s="5" t="inlineStr">
        <is>
          <t>Positivo</t>
        </is>
      </c>
      <c r="F1729" s="109" t="n">
        <v>46022</v>
      </c>
      <c r="G1729" s="5" t="n">
        <v>2025</v>
      </c>
      <c r="H1729" s="5" t="inlineStr">
        <is>
          <t>Diciembre</t>
        </is>
      </c>
      <c r="I1729" s="6" t="inlineStr">
        <is>
          <t>2025-2</t>
        </is>
      </c>
      <c r="J1729" s="5" t="n">
        <v>93</v>
      </c>
      <c r="K1729" s="5" t="n">
        <v>100</v>
      </c>
      <c r="L1729" s="14" t="n">
        <v>1.075268817204301</v>
      </c>
      <c r="M1729" s="14" t="n">
        <v>1.075268817204301</v>
      </c>
      <c r="N1729" s="5" t="inlineStr">
        <is>
          <t>%</t>
        </is>
      </c>
      <c r="O1729" s="5" t="inlineStr">
        <is>
          <t>%</t>
        </is>
      </c>
      <c r="P1729" s="5" t="n">
        <v>0</v>
      </c>
      <c r="Q1729" s="5" t="n">
        <v>0</v>
      </c>
      <c r="R1729" s="5" t="inlineStr">
        <is>
          <t>344-2025-12-31</t>
        </is>
      </c>
    </row>
    <row r="1730" hidden="1">
      <c r="A1730" s="5" t="n">
        <v>345</v>
      </c>
      <c r="B1730" s="5" t="inlineStr">
        <is>
          <t>% de profesores impactados plan de desarrollo docente</t>
        </is>
      </c>
      <c r="C1730" s="5" t="inlineStr">
        <is>
          <t>GESTIÓN Y DESARROLLO DEL TALENTO HUMANO</t>
        </is>
      </c>
      <c r="D1730" s="5" t="inlineStr">
        <is>
          <t>Anual</t>
        </is>
      </c>
      <c r="E1730" s="5" t="inlineStr">
        <is>
          <t>Positivo</t>
        </is>
      </c>
      <c r="F1730" s="109" t="n">
        <v>45291</v>
      </c>
      <c r="G1730" s="5" t="n">
        <v>2023</v>
      </c>
      <c r="H1730" s="5" t="inlineStr">
        <is>
          <t>Diciembre</t>
        </is>
      </c>
      <c r="I1730" s="6" t="inlineStr">
        <is>
          <t>2023-2</t>
        </is>
      </c>
      <c r="J1730" s="5" t="n"/>
      <c r="K1730" s="5" t="n">
        <v>94.84999999999999</v>
      </c>
      <c r="L1730" s="14" t="n"/>
      <c r="M1730" s="14" t="n"/>
      <c r="N1730" s="5" t="inlineStr">
        <is>
          <t>Linea Base</t>
        </is>
      </c>
      <c r="O1730" s="5" t="inlineStr">
        <is>
          <t>%</t>
        </is>
      </c>
      <c r="P1730" s="5" t="n">
        <v>0</v>
      </c>
      <c r="Q1730" s="5" t="n">
        <v>0</v>
      </c>
      <c r="R1730" s="5" t="inlineStr">
        <is>
          <t>345-2023-12-31</t>
        </is>
      </c>
    </row>
    <row r="1731" hidden="1">
      <c r="A1731" s="21" t="n">
        <v>346</v>
      </c>
      <c r="B1731" s="5" t="inlineStr">
        <is>
          <t>% de profesores impactados en actividades de Bienestar</t>
        </is>
      </c>
      <c r="C1731" s="5" t="inlineStr">
        <is>
          <t>GESTIÓN Y DESARROLLO DEL TALENTO HUMANO</t>
        </is>
      </c>
      <c r="D1731" s="5" t="inlineStr">
        <is>
          <t>Anual</t>
        </is>
      </c>
      <c r="E1731" s="5" t="inlineStr">
        <is>
          <t>Positivo</t>
        </is>
      </c>
      <c r="F1731" s="109" t="n">
        <v>45291</v>
      </c>
      <c r="G1731" s="5" t="n">
        <v>2023</v>
      </c>
      <c r="H1731" s="5" t="inlineStr">
        <is>
          <t>Diciembre</t>
        </is>
      </c>
      <c r="I1731" s="6" t="inlineStr">
        <is>
          <t>2023-2</t>
        </is>
      </c>
      <c r="J1731" s="5" t="n"/>
      <c r="K1731" s="105" t="n">
        <v>83.91608391608392</v>
      </c>
      <c r="L1731" s="14" t="n"/>
      <c r="M1731" s="14" t="n"/>
      <c r="N1731" s="5" t="inlineStr">
        <is>
          <t>Linea Base</t>
        </is>
      </c>
      <c r="O1731" s="5" t="inlineStr">
        <is>
          <t>%</t>
        </is>
      </c>
      <c r="P1731" s="15" t="n">
        <v>0</v>
      </c>
      <c r="Q1731" s="15" t="n">
        <v>0</v>
      </c>
      <c r="R1731" s="5" t="inlineStr">
        <is>
          <t>346-2023-12-31</t>
        </is>
      </c>
    </row>
    <row r="1732" hidden="1">
      <c r="A1732" s="21" t="n">
        <v>346</v>
      </c>
      <c r="B1732" s="5" t="inlineStr">
        <is>
          <t>% de profesores impactados en actividades de Bienestar</t>
        </is>
      </c>
      <c r="C1732" s="5" t="inlineStr">
        <is>
          <t>GESTIÓN Y DESARROLLO DEL TALENTO HUMANO</t>
        </is>
      </c>
      <c r="D1732" s="5" t="inlineStr">
        <is>
          <t>Anual</t>
        </is>
      </c>
      <c r="E1732" s="5" t="inlineStr">
        <is>
          <t>Positivo</t>
        </is>
      </c>
      <c r="F1732" s="109" t="n">
        <v>45657</v>
      </c>
      <c r="G1732" s="5" t="n">
        <v>2024</v>
      </c>
      <c r="H1732" s="5" t="inlineStr">
        <is>
          <t>Diciembre</t>
        </is>
      </c>
      <c r="I1732" s="6" t="inlineStr">
        <is>
          <t>2024-2</t>
        </is>
      </c>
      <c r="J1732" s="5" t="n">
        <v>85</v>
      </c>
      <c r="K1732" s="105" t="n">
        <v>91.88</v>
      </c>
      <c r="L1732" s="14" t="n">
        <v>1.080941176470588</v>
      </c>
      <c r="M1732" s="14" t="n">
        <v>1.080941176470588</v>
      </c>
      <c r="N1732" s="5" t="inlineStr">
        <is>
          <t>Linea Base</t>
        </is>
      </c>
      <c r="O1732" s="5" t="inlineStr">
        <is>
          <t>%</t>
        </is>
      </c>
      <c r="P1732" s="15" t="n">
        <v>0</v>
      </c>
      <c r="Q1732" s="15" t="n">
        <v>0</v>
      </c>
      <c r="R1732" s="5" t="inlineStr">
        <is>
          <t>346-2024-12-31</t>
        </is>
      </c>
    </row>
    <row r="1733" hidden="1">
      <c r="A1733" s="21" t="n">
        <v>346</v>
      </c>
      <c r="B1733" s="5" t="inlineStr">
        <is>
          <t>% de profesores impactados en actividades de Bienestar</t>
        </is>
      </c>
      <c r="C1733" s="5" t="inlineStr">
        <is>
          <t>GESTIÓN Y DESARROLLO DEL TALENTO HUMANO</t>
        </is>
      </c>
      <c r="D1733" s="5" t="inlineStr">
        <is>
          <t>Anual</t>
        </is>
      </c>
      <c r="E1733" s="5" t="inlineStr">
        <is>
          <t>Positivo</t>
        </is>
      </c>
      <c r="F1733" s="109" t="n">
        <v>46022</v>
      </c>
      <c r="G1733" s="5" t="n">
        <v>2025</v>
      </c>
      <c r="H1733" s="5" t="inlineStr">
        <is>
          <t>Diciembre</t>
        </is>
      </c>
      <c r="I1733" s="6" t="inlineStr">
        <is>
          <t>2025-2</t>
        </is>
      </c>
      <c r="J1733" s="5" t="n">
        <v>85</v>
      </c>
      <c r="K1733" s="105" t="n">
        <v>97.28</v>
      </c>
      <c r="L1733" s="14" t="n">
        <v>1.144470588235294</v>
      </c>
      <c r="M1733" s="14" t="n">
        <v>1.144470588235294</v>
      </c>
      <c r="N1733" s="5" t="inlineStr">
        <is>
          <t>Linea Base</t>
        </is>
      </c>
      <c r="O1733" s="5" t="inlineStr">
        <is>
          <t>%</t>
        </is>
      </c>
      <c r="P1733" s="15" t="n">
        <v>0</v>
      </c>
      <c r="Q1733" s="15" t="n">
        <v>0</v>
      </c>
      <c r="R1733" s="5" t="inlineStr">
        <is>
          <t>346-2025-12-31</t>
        </is>
      </c>
    </row>
    <row r="1734" hidden="1">
      <c r="A1734" s="21" t="n">
        <v>347</v>
      </c>
      <c r="B1734" s="5" t="inlineStr">
        <is>
          <t>Legalizaciones y anticipos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09" t="n">
        <v>45016</v>
      </c>
      <c r="G1734" s="5" t="n">
        <v>2023</v>
      </c>
      <c r="H1734" s="5" t="inlineStr">
        <is>
          <t>Marzo</t>
        </is>
      </c>
      <c r="I1734" s="6" t="inlineStr">
        <is>
          <t>2023-1</t>
        </is>
      </c>
      <c r="J1734" s="5" t="n">
        <v>0</v>
      </c>
      <c r="K1734" s="105" t="n">
        <v>5</v>
      </c>
      <c r="L1734" s="14" t="n"/>
      <c r="M1734" s="14" t="n"/>
      <c r="N1734" s="5" t="inlineStr">
        <is>
          <t>ENT</t>
        </is>
      </c>
      <c r="O1734" s="5" t="inlineStr">
        <is>
          <t>ENT</t>
        </is>
      </c>
      <c r="P1734" s="15" t="n">
        <v>0</v>
      </c>
      <c r="Q1734" s="15" t="n">
        <v>0</v>
      </c>
      <c r="R1734" s="5" t="inlineStr">
        <is>
          <t>347-2023-03-31</t>
        </is>
      </c>
    </row>
    <row r="1735" hidden="1">
      <c r="A1735" s="21" t="n">
        <v>347</v>
      </c>
      <c r="B1735" s="5" t="inlineStr">
        <is>
          <t>Legalizaciones y anticipos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09" t="n">
        <v>45107</v>
      </c>
      <c r="G1735" s="5" t="n">
        <v>2023</v>
      </c>
      <c r="H1735" s="5" t="inlineStr">
        <is>
          <t>Junio</t>
        </is>
      </c>
      <c r="I1735" s="6" t="inlineStr">
        <is>
          <t>2023-1</t>
        </is>
      </c>
      <c r="J1735" s="5" t="n">
        <v>0</v>
      </c>
      <c r="K1735" s="105" t="n">
        <v>8</v>
      </c>
      <c r="L1735" s="14" t="n"/>
      <c r="M1735" s="14" t="n"/>
      <c r="N1735" s="5" t="inlineStr">
        <is>
          <t>ENT</t>
        </is>
      </c>
      <c r="O1735" s="5" t="inlineStr">
        <is>
          <t>ENT</t>
        </is>
      </c>
      <c r="P1735" s="15" t="n">
        <v>0</v>
      </c>
      <c r="Q1735" s="15" t="n">
        <v>0</v>
      </c>
      <c r="R1735" s="5" t="inlineStr">
        <is>
          <t>347-2023-06-30</t>
        </is>
      </c>
    </row>
    <row r="1736" hidden="1">
      <c r="A1736" s="21" t="n">
        <v>347</v>
      </c>
      <c r="B1736" s="5" t="inlineStr">
        <is>
          <t>Legalizaciones y anticipos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09" t="n">
        <v>45199</v>
      </c>
      <c r="G1736" s="5" t="n">
        <v>2023</v>
      </c>
      <c r="H1736" s="5" t="inlineStr">
        <is>
          <t>Septiembre</t>
        </is>
      </c>
      <c r="I1736" s="6" t="inlineStr">
        <is>
          <t>2023-2</t>
        </is>
      </c>
      <c r="J1736" s="5" t="n">
        <v>0</v>
      </c>
      <c r="K1736" s="105" t="n">
        <v>12</v>
      </c>
      <c r="L1736" s="14" t="n"/>
      <c r="M1736" s="14" t="n"/>
      <c r="N1736" s="5" t="inlineStr">
        <is>
          <t>ENT</t>
        </is>
      </c>
      <c r="O1736" s="5" t="inlineStr">
        <is>
          <t>ENT</t>
        </is>
      </c>
      <c r="P1736" s="15" t="n">
        <v>0</v>
      </c>
      <c r="Q1736" s="15" t="n">
        <v>0</v>
      </c>
      <c r="R1736" s="5" t="inlineStr">
        <is>
          <t>347-2023-09-30</t>
        </is>
      </c>
    </row>
    <row r="1737" hidden="1">
      <c r="A1737" s="21" t="n">
        <v>347</v>
      </c>
      <c r="B1737" s="5" t="inlineStr">
        <is>
          <t>Legalizaciones y anticipos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09" t="n">
        <v>45291</v>
      </c>
      <c r="G1737" s="5" t="n">
        <v>2023</v>
      </c>
      <c r="H1737" s="5" t="inlineStr">
        <is>
          <t>Diciembre</t>
        </is>
      </c>
      <c r="I1737" s="6" t="inlineStr">
        <is>
          <t>2023-2</t>
        </is>
      </c>
      <c r="J1737" s="5" t="n">
        <v>0</v>
      </c>
      <c r="K1737" s="105" t="n">
        <v>2</v>
      </c>
      <c r="L1737" s="14" t="n"/>
      <c r="M1737" s="14" t="n"/>
      <c r="N1737" s="5" t="inlineStr">
        <is>
          <t>ENT</t>
        </is>
      </c>
      <c r="O1737" s="5" t="inlineStr">
        <is>
          <t>ENT</t>
        </is>
      </c>
      <c r="P1737" s="15" t="n">
        <v>0</v>
      </c>
      <c r="Q1737" s="15" t="n">
        <v>0</v>
      </c>
      <c r="R1737" s="5" t="inlineStr">
        <is>
          <t>347-2023-12-31</t>
        </is>
      </c>
    </row>
    <row r="1738" hidden="1">
      <c r="A1738" s="21" t="n">
        <v>347</v>
      </c>
      <c r="B1738" s="5" t="inlineStr">
        <is>
          <t>Legalizaciones y anticipos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09" t="n">
        <v>45382</v>
      </c>
      <c r="G1738" s="5" t="n">
        <v>2024</v>
      </c>
      <c r="H1738" s="5" t="inlineStr">
        <is>
          <t>Marzo</t>
        </is>
      </c>
      <c r="I1738" s="6" t="inlineStr">
        <is>
          <t>2024-1</t>
        </is>
      </c>
      <c r="J1738" s="5" t="n">
        <v>5</v>
      </c>
      <c r="K1738" s="10" t="n">
        <v>0</v>
      </c>
      <c r="L1738" s="14" t="n">
        <v>1</v>
      </c>
      <c r="M1738" s="14" t="n">
        <v>1</v>
      </c>
      <c r="N1738" s="5" t="inlineStr">
        <is>
          <t>ENT</t>
        </is>
      </c>
      <c r="O1738" s="5" t="inlineStr">
        <is>
          <t>ENT</t>
        </is>
      </c>
      <c r="P1738" s="15" t="n">
        <v>0</v>
      </c>
      <c r="Q1738" s="15" t="n">
        <v>0</v>
      </c>
      <c r="R1738" s="5" t="inlineStr">
        <is>
          <t>347-2024-03-31</t>
        </is>
      </c>
    </row>
    <row r="1739" hidden="1">
      <c r="A1739" s="21" t="n">
        <v>347</v>
      </c>
      <c r="B1739" s="5" t="inlineStr">
        <is>
          <t>Legalizaciones y anticipos</t>
        </is>
      </c>
      <c r="C1739" s="5" t="inlineStr">
        <is>
          <t>Contabilidad</t>
        </is>
      </c>
      <c r="D1739" s="5" t="inlineStr">
        <is>
          <t>Trimestral</t>
        </is>
      </c>
      <c r="E1739" s="5" t="inlineStr">
        <is>
          <t>Negativo</t>
        </is>
      </c>
      <c r="F1739" s="109" t="n">
        <v>45473</v>
      </c>
      <c r="G1739" s="5" t="n">
        <v>2024</v>
      </c>
      <c r="H1739" s="5" t="inlineStr">
        <is>
          <t>Junio</t>
        </is>
      </c>
      <c r="I1739" s="6" t="inlineStr">
        <is>
          <t>2024-1</t>
        </is>
      </c>
      <c r="J1739" s="5" t="n">
        <v>5</v>
      </c>
      <c r="K1739" s="10" t="n">
        <v>3</v>
      </c>
      <c r="L1739" s="14" t="n">
        <v>1.3</v>
      </c>
      <c r="M1739" s="14" t="n">
        <v>1.666666666666667</v>
      </c>
      <c r="N1739" s="5" t="inlineStr">
        <is>
          <t>ENT</t>
        </is>
      </c>
      <c r="O1739" s="5" t="inlineStr">
        <is>
          <t>ENT</t>
        </is>
      </c>
      <c r="P1739" s="15" t="n">
        <v>0</v>
      </c>
      <c r="Q1739" s="15" t="n">
        <v>0</v>
      </c>
      <c r="R1739" s="5" t="inlineStr">
        <is>
          <t>347-2024-06-30</t>
        </is>
      </c>
    </row>
    <row r="1740" hidden="1">
      <c r="A1740" s="21" t="n">
        <v>347</v>
      </c>
      <c r="B1740" s="5" t="inlineStr">
        <is>
          <t>Legalizaciones y anticipos</t>
        </is>
      </c>
      <c r="C1740" s="5" t="inlineStr">
        <is>
          <t>Contabilidad</t>
        </is>
      </c>
      <c r="D1740" s="5" t="inlineStr">
        <is>
          <t>Trimestral</t>
        </is>
      </c>
      <c r="E1740" s="5" t="inlineStr">
        <is>
          <t>Negativo</t>
        </is>
      </c>
      <c r="F1740" s="109" t="n">
        <v>45565</v>
      </c>
      <c r="G1740" s="5" t="n">
        <v>2024</v>
      </c>
      <c r="H1740" s="5" t="inlineStr">
        <is>
          <t>Septiembre</t>
        </is>
      </c>
      <c r="I1740" s="6" t="inlineStr">
        <is>
          <t>2024-2</t>
        </is>
      </c>
      <c r="J1740" s="5" t="n">
        <v>5</v>
      </c>
      <c r="K1740" s="10" t="n">
        <v>0</v>
      </c>
      <c r="L1740" s="14" t="n">
        <v>1</v>
      </c>
      <c r="M1740" s="14" t="n">
        <v>1</v>
      </c>
      <c r="N1740" s="5" t="inlineStr">
        <is>
          <t>ENT</t>
        </is>
      </c>
      <c r="O1740" s="5" t="inlineStr">
        <is>
          <t>ENT</t>
        </is>
      </c>
      <c r="P1740" s="15" t="n">
        <v>0</v>
      </c>
      <c r="Q1740" s="15" t="n">
        <v>0</v>
      </c>
      <c r="R1740" s="5" t="inlineStr">
        <is>
          <t>347-2024-09-30</t>
        </is>
      </c>
    </row>
    <row r="1741" hidden="1">
      <c r="A1741" s="21" t="n">
        <v>347</v>
      </c>
      <c r="B1741" s="5" t="inlineStr">
        <is>
          <t>Legalizaciones y anticipos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09" t="n">
        <v>45657</v>
      </c>
      <c r="G1741" s="5" t="n">
        <v>2024</v>
      </c>
      <c r="H1741" s="5" t="inlineStr">
        <is>
          <t>Diciembre</t>
        </is>
      </c>
      <c r="I1741" s="6" t="inlineStr">
        <is>
          <t>2024-2</t>
        </is>
      </c>
      <c r="J1741" s="5" t="n">
        <v>5</v>
      </c>
      <c r="K1741" s="10" t="n">
        <v>0</v>
      </c>
      <c r="L1741" s="14" t="n">
        <v>1</v>
      </c>
      <c r="M1741" s="14" t="n">
        <v>1</v>
      </c>
      <c r="N1741" s="5" t="inlineStr">
        <is>
          <t>ENT</t>
        </is>
      </c>
      <c r="O1741" s="5" t="inlineStr">
        <is>
          <t>ENT</t>
        </is>
      </c>
      <c r="P1741" s="15" t="n">
        <v>0</v>
      </c>
      <c r="Q1741" s="15" t="n">
        <v>0</v>
      </c>
      <c r="R1741" s="5" t="inlineStr">
        <is>
          <t>347-2024-12-31</t>
        </is>
      </c>
    </row>
    <row r="1742" hidden="1">
      <c r="A1742" s="21" t="n">
        <v>347</v>
      </c>
      <c r="B1742" s="5" t="inlineStr">
        <is>
          <t>Legalizaciones y anticipos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09" t="n">
        <v>45747</v>
      </c>
      <c r="G1742" s="5" t="n">
        <v>2025</v>
      </c>
      <c r="H1742" s="5" t="inlineStr">
        <is>
          <t>Marzo</t>
        </is>
      </c>
      <c r="I1742" s="6" t="inlineStr">
        <is>
          <t>2025-1</t>
        </is>
      </c>
      <c r="J1742" s="5" t="n">
        <v>5</v>
      </c>
      <c r="K1742" s="10" t="n">
        <v>1</v>
      </c>
      <c r="L1742" s="14" t="n">
        <v>1.3</v>
      </c>
      <c r="M1742" s="14" t="n">
        <v>5</v>
      </c>
      <c r="N1742" s="5" t="inlineStr">
        <is>
          <t>ENT</t>
        </is>
      </c>
      <c r="O1742" s="5" t="inlineStr">
        <is>
          <t>ENT</t>
        </is>
      </c>
      <c r="P1742" s="15" t="n">
        <v>0</v>
      </c>
      <c r="Q1742" s="15" t="n">
        <v>0</v>
      </c>
      <c r="R1742" s="5" t="inlineStr">
        <is>
          <t>347-2025-03-31</t>
        </is>
      </c>
    </row>
    <row r="1743" hidden="1">
      <c r="A1743" s="21" t="n">
        <v>347</v>
      </c>
      <c r="B1743" s="5" t="inlineStr">
        <is>
          <t>Legalizaciones y anticipos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09" t="n">
        <v>45838</v>
      </c>
      <c r="G1743" s="5" t="n">
        <v>2025</v>
      </c>
      <c r="H1743" s="5" t="inlineStr">
        <is>
          <t>Junio</t>
        </is>
      </c>
      <c r="I1743" s="6" t="inlineStr">
        <is>
          <t>2025-1</t>
        </is>
      </c>
      <c r="J1743" s="5" t="n">
        <v>5</v>
      </c>
      <c r="K1743" s="10" t="n">
        <v>1</v>
      </c>
      <c r="L1743" s="14" t="n">
        <v>1.3</v>
      </c>
      <c r="M1743" s="14" t="n">
        <v>5</v>
      </c>
      <c r="N1743" s="5" t="inlineStr">
        <is>
          <t>ENT</t>
        </is>
      </c>
      <c r="O1743" s="5" t="inlineStr">
        <is>
          <t>ENT</t>
        </is>
      </c>
      <c r="P1743" s="15" t="n">
        <v>0</v>
      </c>
      <c r="Q1743" s="15" t="n">
        <v>0</v>
      </c>
      <c r="R1743" s="5" t="inlineStr">
        <is>
          <t>347-2025-06-30</t>
        </is>
      </c>
    </row>
    <row r="1744" hidden="1">
      <c r="A1744" s="21" t="n">
        <v>347</v>
      </c>
      <c r="B1744" s="5" t="inlineStr">
        <is>
          <t>Legalizaciones y anticipos</t>
        </is>
      </c>
      <c r="C1744" s="5" t="inlineStr">
        <is>
          <t>Contabilidad</t>
        </is>
      </c>
      <c r="D1744" s="5" t="inlineStr">
        <is>
          <t>Semestral</t>
        </is>
      </c>
      <c r="E1744" s="5" t="inlineStr">
        <is>
          <t>Negativo</t>
        </is>
      </c>
      <c r="F1744" s="109" t="n">
        <v>45930</v>
      </c>
      <c r="G1744" s="5" t="n">
        <v>2025</v>
      </c>
      <c r="H1744" s="5" t="inlineStr">
        <is>
          <t>Septiembre</t>
        </is>
      </c>
      <c r="I1744" s="6" t="inlineStr">
        <is>
          <t>2025-2</t>
        </is>
      </c>
      <c r="J1744" s="5" t="n">
        <v>5</v>
      </c>
      <c r="K1744" s="10" t="n">
        <v>6</v>
      </c>
      <c r="L1744" s="14" t="n">
        <v>0.8333333333333334</v>
      </c>
      <c r="M1744" s="14" t="n">
        <v>0.8333333333333334</v>
      </c>
      <c r="N1744" s="5" t="inlineStr">
        <is>
          <t>ENT</t>
        </is>
      </c>
      <c r="O1744" s="5" t="inlineStr">
        <is>
          <t>ENT</t>
        </is>
      </c>
      <c r="P1744" s="15" t="n">
        <v>0</v>
      </c>
      <c r="Q1744" s="15" t="n">
        <v>0</v>
      </c>
      <c r="R1744" s="5" t="inlineStr">
        <is>
          <t>347-2025-09-30</t>
        </is>
      </c>
    </row>
    <row r="1745" hidden="1">
      <c r="A1745" s="21" t="n">
        <v>347</v>
      </c>
      <c r="B1745" s="5" t="inlineStr">
        <is>
          <t>Legalizaciones y anticipos</t>
        </is>
      </c>
      <c r="C1745" s="5" t="inlineStr">
        <is>
          <t>Contabilidad</t>
        </is>
      </c>
      <c r="D1745" s="5" t="inlineStr">
        <is>
          <t>Semestral</t>
        </is>
      </c>
      <c r="E1745" s="5" t="inlineStr">
        <is>
          <t>Negativo</t>
        </is>
      </c>
      <c r="F1745" s="109" t="n">
        <v>46022</v>
      </c>
      <c r="G1745" s="5" t="n">
        <v>2025</v>
      </c>
      <c r="H1745" s="5" t="inlineStr">
        <is>
          <t>Diciembre</t>
        </is>
      </c>
      <c r="I1745" s="6" t="inlineStr">
        <is>
          <t>2025-2</t>
        </is>
      </c>
      <c r="J1745" s="5" t="n">
        <v>5</v>
      </c>
      <c r="K1745" s="10" t="n">
        <v>1</v>
      </c>
      <c r="L1745" s="14" t="n">
        <v>1.3</v>
      </c>
      <c r="M1745" s="14" t="n">
        <v>5</v>
      </c>
      <c r="N1745" s="5" t="inlineStr">
        <is>
          <t>ENT</t>
        </is>
      </c>
      <c r="O1745" s="5" t="inlineStr">
        <is>
          <t>ENT</t>
        </is>
      </c>
      <c r="P1745" s="15" t="n">
        <v>0</v>
      </c>
      <c r="Q1745" s="15" t="n">
        <v>0</v>
      </c>
      <c r="R1745" s="5" t="inlineStr">
        <is>
          <t>347-2025-12-31</t>
        </is>
      </c>
    </row>
    <row r="1746" hidden="1">
      <c r="A1746" s="21" t="n">
        <v>347</v>
      </c>
      <c r="B1746" s="5" t="inlineStr">
        <is>
          <t>Legalizaciones y anticipos</t>
        </is>
      </c>
      <c r="C1746" s="5" t="inlineStr">
        <is>
          <t>Contabilidad</t>
        </is>
      </c>
      <c r="D1746" s="5" t="inlineStr">
        <is>
          <t>Semestral</t>
        </is>
      </c>
      <c r="E1746" s="5" t="inlineStr">
        <is>
          <t>Negativo</t>
        </is>
      </c>
      <c r="F1746" s="109" t="n">
        <v>46112</v>
      </c>
      <c r="G1746" s="5" t="n">
        <v>2026</v>
      </c>
      <c r="H1746" s="5" t="inlineStr">
        <is>
          <t>Marzo</t>
        </is>
      </c>
      <c r="I1746" s="6" t="inlineStr">
        <is>
          <t>2026-1</t>
        </is>
      </c>
      <c r="J1746" s="5" t="n">
        <v>5</v>
      </c>
      <c r="K1746" s="10" t="n">
        <v>1</v>
      </c>
      <c r="L1746" s="14" t="n">
        <v>1.3</v>
      </c>
      <c r="M1746" s="14" t="n">
        <v>5</v>
      </c>
      <c r="N1746" s="5" t="inlineStr">
        <is>
          <t>ENT</t>
        </is>
      </c>
      <c r="O1746" s="5" t="inlineStr">
        <is>
          <t>ENT</t>
        </is>
      </c>
      <c r="P1746" s="15" t="n">
        <v>0</v>
      </c>
      <c r="Q1746" s="15" t="n">
        <v>0</v>
      </c>
      <c r="R1746" s="5" t="inlineStr">
        <is>
          <t>347-2026-03-31</t>
        </is>
      </c>
    </row>
    <row r="1747" hidden="1">
      <c r="A1747" s="21" t="n">
        <v>348</v>
      </c>
      <c r="B1747" s="5" t="inlineStr">
        <is>
          <t>Cuentas por pagar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Positivo</t>
        </is>
      </c>
      <c r="F1747" s="109" t="n">
        <v>45016</v>
      </c>
      <c r="G1747" s="5" t="n">
        <v>2023</v>
      </c>
      <c r="H1747" s="5" t="inlineStr">
        <is>
          <t>Marzo</t>
        </is>
      </c>
      <c r="I1747" s="6" t="inlineStr">
        <is>
          <t>2023-1</t>
        </is>
      </c>
      <c r="J1747" s="5" t="n">
        <v>99</v>
      </c>
      <c r="K1747" s="10" t="n">
        <v>99.936143039591</v>
      </c>
      <c r="L1747" s="14" t="n">
        <v>1.009455990298899</v>
      </c>
      <c r="M1747" s="14" t="n">
        <v>1.009455990298899</v>
      </c>
      <c r="N1747" s="5" t="inlineStr">
        <is>
          <t>%</t>
        </is>
      </c>
      <c r="O1747" s="5" t="inlineStr">
        <is>
          <t>%</t>
        </is>
      </c>
      <c r="P1747" s="15" t="n">
        <v>0</v>
      </c>
      <c r="Q1747" s="15" t="n">
        <v>0</v>
      </c>
      <c r="R1747" s="5" t="inlineStr">
        <is>
          <t>348-2023-03-31</t>
        </is>
      </c>
    </row>
    <row r="1748" hidden="1">
      <c r="A1748" s="21" t="n">
        <v>348</v>
      </c>
      <c r="B1748" s="5" t="inlineStr">
        <is>
          <t>Cuentas por pagar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Positivo</t>
        </is>
      </c>
      <c r="F1748" s="109" t="n">
        <v>45107</v>
      </c>
      <c r="G1748" s="5" t="n">
        <v>2023</v>
      </c>
      <c r="H1748" s="5" t="inlineStr">
        <is>
          <t>Junio</t>
        </is>
      </c>
      <c r="I1748" s="6" t="inlineStr">
        <is>
          <t>2023-1</t>
        </is>
      </c>
      <c r="J1748" s="5" t="n">
        <v>99</v>
      </c>
      <c r="K1748" s="10" t="n">
        <v>99.69924812030099</v>
      </c>
      <c r="L1748" s="14" t="n">
        <v>1.007063112326273</v>
      </c>
      <c r="M1748" s="14" t="n">
        <v>1.007063112326273</v>
      </c>
      <c r="N1748" s="5" t="inlineStr">
        <is>
          <t>%</t>
        </is>
      </c>
      <c r="O1748" s="5" t="inlineStr">
        <is>
          <t>%</t>
        </is>
      </c>
      <c r="P1748" s="15" t="n">
        <v>0</v>
      </c>
      <c r="Q1748" s="15" t="n">
        <v>0</v>
      </c>
      <c r="R1748" s="5" t="inlineStr">
        <is>
          <t>348-2023-06-30</t>
        </is>
      </c>
    </row>
    <row r="1749" hidden="1">
      <c r="A1749" s="21" t="n">
        <v>348</v>
      </c>
      <c r="B1749" s="5" t="inlineStr">
        <is>
          <t>Cuentas por pagar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Positivo</t>
        </is>
      </c>
      <c r="F1749" s="109" t="n">
        <v>45199</v>
      </c>
      <c r="G1749" s="5" t="n">
        <v>2023</v>
      </c>
      <c r="H1749" s="5" t="inlineStr">
        <is>
          <t>Septiembre</t>
        </is>
      </c>
      <c r="I1749" s="6" t="inlineStr">
        <is>
          <t>2023-2</t>
        </is>
      </c>
      <c r="J1749" s="5" t="n">
        <v>99</v>
      </c>
      <c r="K1749" s="10" t="n">
        <v>100</v>
      </c>
      <c r="L1749" s="14" t="n">
        <v>1.01010101010101</v>
      </c>
      <c r="M1749" s="14" t="n">
        <v>1.01010101010101</v>
      </c>
      <c r="N1749" s="5" t="inlineStr">
        <is>
          <t>%</t>
        </is>
      </c>
      <c r="O1749" s="5" t="inlineStr">
        <is>
          <t>%</t>
        </is>
      </c>
      <c r="P1749" s="15" t="n">
        <v>0</v>
      </c>
      <c r="Q1749" s="15" t="n">
        <v>0</v>
      </c>
      <c r="R1749" s="5" t="inlineStr">
        <is>
          <t>348-2023-09-30</t>
        </is>
      </c>
    </row>
    <row r="1750" hidden="1">
      <c r="A1750" s="21" t="n">
        <v>348</v>
      </c>
      <c r="B1750" s="5" t="inlineStr">
        <is>
          <t>Cuentas por pagar</t>
        </is>
      </c>
      <c r="C1750" s="5" t="inlineStr">
        <is>
          <t>Contabilidad</t>
        </is>
      </c>
      <c r="D1750" s="5" t="inlineStr">
        <is>
          <t>Trimestral</t>
        </is>
      </c>
      <c r="E1750" s="5" t="inlineStr">
        <is>
          <t>Positivo</t>
        </is>
      </c>
      <c r="F1750" s="109" t="n">
        <v>45291</v>
      </c>
      <c r="G1750" s="5" t="n">
        <v>2023</v>
      </c>
      <c r="H1750" s="5" t="inlineStr">
        <is>
          <t>Diciembre</t>
        </is>
      </c>
      <c r="I1750" s="6" t="inlineStr">
        <is>
          <t>2023-2</t>
        </is>
      </c>
      <c r="J1750" s="5" t="n">
        <v>99</v>
      </c>
      <c r="K1750" s="10" t="n">
        <v>100</v>
      </c>
      <c r="L1750" s="14" t="n">
        <v>1.01010101010101</v>
      </c>
      <c r="M1750" s="14" t="n">
        <v>1.01010101010101</v>
      </c>
      <c r="N1750" s="5" t="inlineStr">
        <is>
          <t>%</t>
        </is>
      </c>
      <c r="O1750" s="5" t="inlineStr">
        <is>
          <t>%</t>
        </is>
      </c>
      <c r="P1750" s="15" t="n">
        <v>0</v>
      </c>
      <c r="Q1750" s="15" t="n">
        <v>0</v>
      </c>
      <c r="R1750" s="5" t="inlineStr">
        <is>
          <t>348-2023-12-31</t>
        </is>
      </c>
    </row>
    <row r="1751" hidden="1">
      <c r="A1751" s="21" t="n">
        <v>348</v>
      </c>
      <c r="B1751" s="5" t="inlineStr">
        <is>
          <t>Cuentas por pagar</t>
        </is>
      </c>
      <c r="C1751" s="5" t="inlineStr">
        <is>
          <t>Contabilidad</t>
        </is>
      </c>
      <c r="D1751" s="5" t="inlineStr">
        <is>
          <t>Trimestral</t>
        </is>
      </c>
      <c r="E1751" s="5" t="inlineStr">
        <is>
          <t>Positivo</t>
        </is>
      </c>
      <c r="F1751" s="109" t="n">
        <v>45382</v>
      </c>
      <c r="G1751" s="5" t="n">
        <v>2024</v>
      </c>
      <c r="H1751" s="5" t="inlineStr">
        <is>
          <t>Marzo</t>
        </is>
      </c>
      <c r="I1751" s="6" t="inlineStr">
        <is>
          <t>2024-1</t>
        </is>
      </c>
      <c r="J1751" s="5" t="n">
        <v>99</v>
      </c>
      <c r="K1751" s="10" t="n">
        <v>99.95</v>
      </c>
      <c r="L1751" s="14" t="n">
        <v>1.00959595959596</v>
      </c>
      <c r="M1751" s="14" t="n">
        <v>1.00959595959596</v>
      </c>
      <c r="N1751" s="5" t="inlineStr">
        <is>
          <t>%</t>
        </is>
      </c>
      <c r="O1751" s="5" t="inlineStr">
        <is>
          <t>%</t>
        </is>
      </c>
      <c r="P1751" s="15" t="n">
        <v>0</v>
      </c>
      <c r="Q1751" s="15" t="n">
        <v>0</v>
      </c>
      <c r="R1751" s="5" t="inlineStr">
        <is>
          <t>348-2024-03-31</t>
        </is>
      </c>
    </row>
    <row r="1752" hidden="1">
      <c r="A1752" s="21" t="n">
        <v>348</v>
      </c>
      <c r="B1752" s="5" t="inlineStr">
        <is>
          <t>Cuentas por pagar</t>
        </is>
      </c>
      <c r="C1752" s="5" t="inlineStr">
        <is>
          <t>Contabilidad</t>
        </is>
      </c>
      <c r="D1752" s="5" t="inlineStr">
        <is>
          <t>Trimestral</t>
        </is>
      </c>
      <c r="E1752" s="5" t="inlineStr">
        <is>
          <t>Positivo</t>
        </is>
      </c>
      <c r="F1752" s="109" t="n">
        <v>45473</v>
      </c>
      <c r="G1752" s="5" t="n">
        <v>2024</v>
      </c>
      <c r="H1752" s="5" t="inlineStr">
        <is>
          <t>Junio</t>
        </is>
      </c>
      <c r="I1752" s="6" t="inlineStr">
        <is>
          <t>2024-1</t>
        </is>
      </c>
      <c r="J1752" s="5" t="n">
        <v>99</v>
      </c>
      <c r="K1752" s="10" t="n">
        <v>99.90000000000001</v>
      </c>
      <c r="L1752" s="14" t="n">
        <v>1.009090909090909</v>
      </c>
      <c r="M1752" s="14" t="n">
        <v>1.009090909090909</v>
      </c>
      <c r="N1752" s="5" t="inlineStr">
        <is>
          <t>%</t>
        </is>
      </c>
      <c r="O1752" s="5" t="inlineStr">
        <is>
          <t>%</t>
        </is>
      </c>
      <c r="P1752" s="15" t="n">
        <v>1</v>
      </c>
      <c r="Q1752" s="15" t="n">
        <v>1</v>
      </c>
      <c r="R1752" s="5" t="inlineStr">
        <is>
          <t>348-2024-06-30</t>
        </is>
      </c>
    </row>
    <row r="1753" hidden="1">
      <c r="A1753" s="21" t="n">
        <v>348</v>
      </c>
      <c r="B1753" s="5" t="inlineStr">
        <is>
          <t>Cuentas por pagar</t>
        </is>
      </c>
      <c r="C1753" s="5" t="inlineStr">
        <is>
          <t>Contabilidad</t>
        </is>
      </c>
      <c r="D1753" s="5" t="inlineStr">
        <is>
          <t>Trimestral</t>
        </is>
      </c>
      <c r="E1753" s="5" t="inlineStr">
        <is>
          <t>Positivo</t>
        </is>
      </c>
      <c r="F1753" s="109" t="n">
        <v>45565</v>
      </c>
      <c r="G1753" s="5" t="n">
        <v>2024</v>
      </c>
      <c r="H1753" s="5" t="inlineStr">
        <is>
          <t>Septiembre</t>
        </is>
      </c>
      <c r="I1753" s="6" t="inlineStr">
        <is>
          <t>2024-2</t>
        </is>
      </c>
      <c r="J1753" s="5" t="n">
        <v>99</v>
      </c>
      <c r="K1753" s="10" t="n">
        <v>100</v>
      </c>
      <c r="L1753" s="14" t="n">
        <v>1.01010101010101</v>
      </c>
      <c r="M1753" s="14" t="n">
        <v>1.01010101010101</v>
      </c>
      <c r="N1753" s="5" t="inlineStr">
        <is>
          <t>%</t>
        </is>
      </c>
      <c r="O1753" s="5" t="inlineStr">
        <is>
          <t>%</t>
        </is>
      </c>
      <c r="P1753" s="15" t="n">
        <v>1</v>
      </c>
      <c r="Q1753" s="15" t="n">
        <v>1</v>
      </c>
      <c r="R1753" s="5" t="inlineStr">
        <is>
          <t>348-2024-09-30</t>
        </is>
      </c>
    </row>
    <row r="1754" hidden="1">
      <c r="A1754" s="21" t="n">
        <v>348</v>
      </c>
      <c r="B1754" s="5" t="inlineStr">
        <is>
          <t>Cuentas por pagar</t>
        </is>
      </c>
      <c r="C1754" s="5" t="inlineStr">
        <is>
          <t>Contabilidad</t>
        </is>
      </c>
      <c r="D1754" s="5" t="inlineStr">
        <is>
          <t>Trimestral</t>
        </is>
      </c>
      <c r="E1754" s="5" t="inlineStr">
        <is>
          <t>Positivo</t>
        </is>
      </c>
      <c r="F1754" s="109" t="n">
        <v>45657</v>
      </c>
      <c r="G1754" s="5" t="n">
        <v>2024</v>
      </c>
      <c r="H1754" s="5" t="inlineStr">
        <is>
          <t>Diciembre</t>
        </is>
      </c>
      <c r="I1754" s="6" t="inlineStr">
        <is>
          <t>2024-2</t>
        </is>
      </c>
      <c r="J1754" s="5" t="n">
        <v>99</v>
      </c>
      <c r="K1754" s="10" t="n">
        <v>100</v>
      </c>
      <c r="L1754" s="14" t="n">
        <v>1.01010101010101</v>
      </c>
      <c r="M1754" s="14" t="n">
        <v>1.01010101010101</v>
      </c>
      <c r="N1754" s="5" t="inlineStr">
        <is>
          <t>%</t>
        </is>
      </c>
      <c r="O1754" s="5" t="inlineStr">
        <is>
          <t>%</t>
        </is>
      </c>
      <c r="P1754" s="15" t="n">
        <v>1</v>
      </c>
      <c r="Q1754" s="15" t="n">
        <v>1</v>
      </c>
      <c r="R1754" s="5" t="inlineStr">
        <is>
          <t>348-2024-12-31</t>
        </is>
      </c>
    </row>
    <row r="1755" hidden="1">
      <c r="A1755" s="21" t="n">
        <v>348</v>
      </c>
      <c r="B1755" s="5" t="inlineStr">
        <is>
          <t>Cuentas por pagar</t>
        </is>
      </c>
      <c r="C1755" s="5" t="inlineStr">
        <is>
          <t>Contabilidad</t>
        </is>
      </c>
      <c r="D1755" s="5" t="inlineStr">
        <is>
          <t>Trimestral</t>
        </is>
      </c>
      <c r="E1755" s="5" t="inlineStr">
        <is>
          <t>Positivo</t>
        </is>
      </c>
      <c r="F1755" s="109" t="n">
        <v>45747</v>
      </c>
      <c r="G1755" s="5" t="n">
        <v>2025</v>
      </c>
      <c r="H1755" s="5" t="inlineStr">
        <is>
          <t>Marzo</t>
        </is>
      </c>
      <c r="I1755" s="6" t="inlineStr">
        <is>
          <t>2025-1</t>
        </is>
      </c>
      <c r="J1755" s="5" t="n">
        <v>99</v>
      </c>
      <c r="K1755" s="10" t="n">
        <v>100</v>
      </c>
      <c r="L1755" s="14" t="n">
        <v>1.01010101010101</v>
      </c>
      <c r="M1755" s="14" t="n">
        <v>1.01010101010101</v>
      </c>
      <c r="N1755" s="5" t="inlineStr">
        <is>
          <t>%</t>
        </is>
      </c>
      <c r="O1755" s="5" t="inlineStr">
        <is>
          <t>%</t>
        </is>
      </c>
      <c r="P1755" s="15" t="n">
        <v>0</v>
      </c>
      <c r="Q1755" s="15" t="n">
        <v>0</v>
      </c>
      <c r="R1755" s="5" t="inlineStr">
        <is>
          <t>348-2025-03-31</t>
        </is>
      </c>
    </row>
    <row r="1756" hidden="1">
      <c r="A1756" s="21" t="n">
        <v>348</v>
      </c>
      <c r="B1756" s="5" t="inlineStr">
        <is>
          <t>Cuentas por pagar</t>
        </is>
      </c>
      <c r="C1756" s="5" t="inlineStr">
        <is>
          <t>Contabilidad</t>
        </is>
      </c>
      <c r="D1756" s="5" t="inlineStr">
        <is>
          <t>Trimestral</t>
        </is>
      </c>
      <c r="E1756" s="5" t="inlineStr">
        <is>
          <t>Positivo</t>
        </is>
      </c>
      <c r="F1756" s="109" t="n">
        <v>45838</v>
      </c>
      <c r="G1756" s="5" t="n">
        <v>2025</v>
      </c>
      <c r="H1756" s="5" t="inlineStr">
        <is>
          <t>Junio</t>
        </is>
      </c>
      <c r="I1756" s="6" t="inlineStr">
        <is>
          <t>2025-1</t>
        </is>
      </c>
      <c r="J1756" s="5" t="n">
        <v>99</v>
      </c>
      <c r="K1756" s="10" t="n">
        <v>100</v>
      </c>
      <c r="L1756" s="14" t="n">
        <v>1.01010101010101</v>
      </c>
      <c r="M1756" s="14" t="n">
        <v>1.01010101010101</v>
      </c>
      <c r="N1756" s="5" t="inlineStr">
        <is>
          <t>%</t>
        </is>
      </c>
      <c r="O1756" s="5" t="inlineStr">
        <is>
          <t>%</t>
        </is>
      </c>
      <c r="P1756" s="15" t="n">
        <v>1</v>
      </c>
      <c r="Q1756" s="15" t="n">
        <v>1</v>
      </c>
      <c r="R1756" s="5" t="inlineStr">
        <is>
          <t>348-2025-06-30</t>
        </is>
      </c>
    </row>
    <row r="1757" hidden="1">
      <c r="A1757" s="21" t="n">
        <v>348</v>
      </c>
      <c r="B1757" s="5" t="inlineStr">
        <is>
          <t>Cuentas por pagar</t>
        </is>
      </c>
      <c r="C1757" s="5" t="inlineStr">
        <is>
          <t>Contabilidad</t>
        </is>
      </c>
      <c r="D1757" s="5" t="inlineStr">
        <is>
          <t>Semestral</t>
        </is>
      </c>
      <c r="E1757" s="5" t="inlineStr">
        <is>
          <t>Positivo</t>
        </is>
      </c>
      <c r="F1757" s="109" t="n">
        <v>45930</v>
      </c>
      <c r="G1757" s="5" t="n">
        <v>2025</v>
      </c>
      <c r="H1757" s="5" t="inlineStr">
        <is>
          <t>Septiembre</t>
        </is>
      </c>
      <c r="I1757" s="6" t="inlineStr">
        <is>
          <t>2025-2</t>
        </is>
      </c>
      <c r="J1757" s="5" t="n">
        <v>99</v>
      </c>
      <c r="K1757" s="10" t="n">
        <v>100</v>
      </c>
      <c r="L1757" s="14" t="n">
        <v>1.01010101010101</v>
      </c>
      <c r="M1757" s="14" t="n">
        <v>1.01010101010101</v>
      </c>
      <c r="N1757" s="5" t="inlineStr">
        <is>
          <t>%</t>
        </is>
      </c>
      <c r="O1757" s="5" t="inlineStr">
        <is>
          <t>%</t>
        </is>
      </c>
      <c r="P1757" s="15" t="n">
        <v>0</v>
      </c>
      <c r="Q1757" s="15" t="n">
        <v>0</v>
      </c>
      <c r="R1757" s="5" t="inlineStr">
        <is>
          <t>348-2025-09-30</t>
        </is>
      </c>
    </row>
    <row r="1758" hidden="1">
      <c r="A1758" s="21" t="n">
        <v>348</v>
      </c>
      <c r="B1758" s="5" t="inlineStr">
        <is>
          <t>Cuentas por pagar</t>
        </is>
      </c>
      <c r="C1758" s="5" t="inlineStr">
        <is>
          <t>Contabilidad</t>
        </is>
      </c>
      <c r="D1758" s="5" t="inlineStr">
        <is>
          <t>Semestral</t>
        </is>
      </c>
      <c r="E1758" s="5" t="inlineStr">
        <is>
          <t>Positivo</t>
        </is>
      </c>
      <c r="F1758" s="109" t="n">
        <v>46022</v>
      </c>
      <c r="G1758" s="5" t="n">
        <v>2025</v>
      </c>
      <c r="H1758" s="5" t="inlineStr">
        <is>
          <t>Diciembre</t>
        </is>
      </c>
      <c r="I1758" s="6" t="inlineStr">
        <is>
          <t>2025-2</t>
        </is>
      </c>
      <c r="J1758" s="5" t="n">
        <v>99</v>
      </c>
      <c r="K1758" s="10" t="n">
        <v>100</v>
      </c>
      <c r="L1758" s="14" t="n">
        <v>1.01010101010101</v>
      </c>
      <c r="M1758" s="14" t="n">
        <v>1.01010101010101</v>
      </c>
      <c r="N1758" s="5" t="inlineStr">
        <is>
          <t>%</t>
        </is>
      </c>
      <c r="O1758" s="5" t="inlineStr">
        <is>
          <t>%</t>
        </is>
      </c>
      <c r="P1758" s="15" t="n">
        <v>0</v>
      </c>
      <c r="Q1758" s="15" t="n">
        <v>0</v>
      </c>
      <c r="R1758" s="5" t="inlineStr">
        <is>
          <t>348-2025-12-31</t>
        </is>
      </c>
    </row>
    <row r="1759" hidden="1">
      <c r="A1759" s="21" t="n">
        <v>348</v>
      </c>
      <c r="B1759" s="5" t="inlineStr">
        <is>
          <t>Cuentas por pagar</t>
        </is>
      </c>
      <c r="C1759" s="5" t="inlineStr">
        <is>
          <t>Contabilidad</t>
        </is>
      </c>
      <c r="D1759" s="5" t="inlineStr">
        <is>
          <t>Semestral</t>
        </is>
      </c>
      <c r="E1759" s="5" t="inlineStr">
        <is>
          <t>Positivo</t>
        </is>
      </c>
      <c r="F1759" s="109" t="n">
        <v>46112</v>
      </c>
      <c r="G1759" s="5" t="n">
        <v>2026</v>
      </c>
      <c r="H1759" s="5" t="inlineStr">
        <is>
          <t>Marzo</t>
        </is>
      </c>
      <c r="I1759" s="6" t="inlineStr">
        <is>
          <t>2026-1</t>
        </is>
      </c>
      <c r="J1759" s="5" t="n">
        <v>99</v>
      </c>
      <c r="K1759" s="10" t="n">
        <v>100</v>
      </c>
      <c r="L1759" s="14" t="n">
        <v>1.01010101010101</v>
      </c>
      <c r="M1759" s="14" t="n">
        <v>1.01010101010101</v>
      </c>
      <c r="N1759" s="5" t="inlineStr">
        <is>
          <t>%</t>
        </is>
      </c>
      <c r="O1759" s="5" t="inlineStr">
        <is>
          <t>%</t>
        </is>
      </c>
      <c r="P1759" s="15" t="n">
        <v>0</v>
      </c>
      <c r="Q1759" s="15" t="n">
        <v>0</v>
      </c>
      <c r="R1759" s="5" t="inlineStr">
        <is>
          <t>348-2026-03-31</t>
        </is>
      </c>
    </row>
    <row r="1760" hidden="1">
      <c r="A1760" s="21" t="n">
        <v>351</v>
      </c>
      <c r="B1760" s="5" t="inlineStr">
        <is>
          <t>Partidas conciliatorias de bancos</t>
        </is>
      </c>
      <c r="C1760" s="5" t="inlineStr">
        <is>
          <t>Contabilidad</t>
        </is>
      </c>
      <c r="D1760" s="5" t="inlineStr">
        <is>
          <t>Trimestral</t>
        </is>
      </c>
      <c r="E1760" s="5" t="inlineStr">
        <is>
          <t>Negativo</t>
        </is>
      </c>
      <c r="F1760" s="109" t="n">
        <v>45016</v>
      </c>
      <c r="G1760" s="5" t="n">
        <v>2023</v>
      </c>
      <c r="H1760" s="5" t="inlineStr">
        <is>
          <t>Marzo</t>
        </is>
      </c>
      <c r="I1760" s="6" t="inlineStr">
        <is>
          <t>2023-1</t>
        </is>
      </c>
      <c r="J1760" s="5" t="n">
        <v>0</v>
      </c>
      <c r="K1760" s="10" t="n">
        <v>11.41868512110727</v>
      </c>
      <c r="L1760" s="14" t="n"/>
      <c r="M1760" s="14" t="n"/>
      <c r="N1760" s="5" t="inlineStr">
        <is>
          <t>ENT</t>
        </is>
      </c>
      <c r="O1760" s="5" t="inlineStr">
        <is>
          <t>DEC</t>
        </is>
      </c>
      <c r="P1760" s="15" t="n">
        <v>0</v>
      </c>
      <c r="Q1760" s="15" t="n">
        <v>0</v>
      </c>
      <c r="R1760" s="5" t="inlineStr">
        <is>
          <t>351-2023-03-31</t>
        </is>
      </c>
    </row>
    <row r="1761" hidden="1">
      <c r="A1761" s="21" t="n">
        <v>351</v>
      </c>
      <c r="B1761" s="5" t="inlineStr">
        <is>
          <t>Partidas conciliatorias de bancos</t>
        </is>
      </c>
      <c r="C1761" s="5" t="inlineStr">
        <is>
          <t>Contabilidad</t>
        </is>
      </c>
      <c r="D1761" s="5" t="inlineStr">
        <is>
          <t>Trimestral</t>
        </is>
      </c>
      <c r="E1761" s="5" t="inlineStr">
        <is>
          <t>Negativo</t>
        </is>
      </c>
      <c r="F1761" s="109" t="n">
        <v>45107</v>
      </c>
      <c r="G1761" s="5" t="n">
        <v>2023</v>
      </c>
      <c r="H1761" s="5" t="inlineStr">
        <is>
          <t>Junio</t>
        </is>
      </c>
      <c r="I1761" s="6" t="inlineStr">
        <is>
          <t>2023-1</t>
        </is>
      </c>
      <c r="J1761" s="5" t="n">
        <v>0</v>
      </c>
      <c r="K1761" s="10" t="n">
        <v>8.233398961875784</v>
      </c>
      <c r="L1761" s="14" t="n"/>
      <c r="M1761" s="14" t="n"/>
      <c r="N1761" s="5" t="inlineStr">
        <is>
          <t>ENT</t>
        </is>
      </c>
      <c r="O1761" s="5" t="inlineStr">
        <is>
          <t>DEC</t>
        </is>
      </c>
      <c r="P1761" s="15" t="n">
        <v>0</v>
      </c>
      <c r="Q1761" s="15" t="n">
        <v>0</v>
      </c>
      <c r="R1761" s="5" t="inlineStr">
        <is>
          <t>351-2023-06-30</t>
        </is>
      </c>
    </row>
    <row r="1762" hidden="1">
      <c r="A1762" s="21" t="n">
        <v>351</v>
      </c>
      <c r="B1762" s="5" t="inlineStr">
        <is>
          <t>Partidas conciliatorias de bancos</t>
        </is>
      </c>
      <c r="C1762" s="5" t="inlineStr">
        <is>
          <t>Contabilidad</t>
        </is>
      </c>
      <c r="D1762" s="5" t="inlineStr">
        <is>
          <t>Trimestral</t>
        </is>
      </c>
      <c r="E1762" s="5" t="inlineStr">
        <is>
          <t>Negativo</t>
        </is>
      </c>
      <c r="F1762" s="109" t="n">
        <v>45199</v>
      </c>
      <c r="G1762" s="5" t="n">
        <v>2023</v>
      </c>
      <c r="H1762" s="5" t="inlineStr">
        <is>
          <t>Septiembre</t>
        </is>
      </c>
      <c r="I1762" s="6" t="inlineStr">
        <is>
          <t>2023-2</t>
        </is>
      </c>
      <c r="J1762" s="5" t="n">
        <v>0</v>
      </c>
      <c r="K1762" s="10" t="n">
        <v>10.29796131730267</v>
      </c>
      <c r="L1762" s="14" t="n"/>
      <c r="M1762" s="14" t="n"/>
      <c r="N1762" s="5" t="inlineStr">
        <is>
          <t>ENT</t>
        </is>
      </c>
      <c r="O1762" s="5" t="inlineStr">
        <is>
          <t>DEC</t>
        </is>
      </c>
      <c r="P1762" s="15" t="n">
        <v>0</v>
      </c>
      <c r="Q1762" s="15" t="n">
        <v>0</v>
      </c>
      <c r="R1762" s="5" t="inlineStr">
        <is>
          <t>351-2023-09-30</t>
        </is>
      </c>
    </row>
    <row r="1763" hidden="1">
      <c r="A1763" s="21" t="n">
        <v>351</v>
      </c>
      <c r="B1763" s="5" t="inlineStr">
        <is>
          <t>Partidas conciliatorias de bancos</t>
        </is>
      </c>
      <c r="C1763" s="5" t="inlineStr">
        <is>
          <t>Contabilidad</t>
        </is>
      </c>
      <c r="D1763" s="5" t="inlineStr">
        <is>
          <t>Trimestral</t>
        </is>
      </c>
      <c r="E1763" s="5" t="inlineStr">
        <is>
          <t>Negativo</t>
        </is>
      </c>
      <c r="F1763" s="109" t="n">
        <v>45291</v>
      </c>
      <c r="G1763" s="5" t="n">
        <v>2023</v>
      </c>
      <c r="H1763" s="5" t="inlineStr">
        <is>
          <t>Diciembre</t>
        </is>
      </c>
      <c r="I1763" s="6" t="inlineStr">
        <is>
          <t>2023-2</t>
        </is>
      </c>
      <c r="J1763" s="5" t="n">
        <v>0</v>
      </c>
      <c r="K1763" s="10" t="n">
        <v>3.544282881692003</v>
      </c>
      <c r="L1763" s="14" t="n"/>
      <c r="M1763" s="14" t="n"/>
      <c r="N1763" s="5" t="inlineStr">
        <is>
          <t>ENT</t>
        </is>
      </c>
      <c r="O1763" s="5" t="inlineStr">
        <is>
          <t>DEC</t>
        </is>
      </c>
      <c r="P1763" s="15" t="n">
        <v>0</v>
      </c>
      <c r="Q1763" s="15" t="n">
        <v>0</v>
      </c>
      <c r="R1763" s="5" t="inlineStr">
        <is>
          <t>351-2023-12-31</t>
        </is>
      </c>
    </row>
    <row r="1764" hidden="1">
      <c r="A1764" s="21" t="n">
        <v>351</v>
      </c>
      <c r="B1764" s="5" t="inlineStr">
        <is>
          <t>Partidas conciliatorias de bancos</t>
        </is>
      </c>
      <c r="C1764" s="5" t="inlineStr">
        <is>
          <t>Contabilidad</t>
        </is>
      </c>
      <c r="D1764" s="5" t="inlineStr">
        <is>
          <t>Trimestral</t>
        </is>
      </c>
      <c r="E1764" s="5" t="inlineStr">
        <is>
          <t>Negativo</t>
        </is>
      </c>
      <c r="F1764" s="109" t="n">
        <v>45382</v>
      </c>
      <c r="G1764" s="5" t="n">
        <v>2024</v>
      </c>
      <c r="H1764" s="5" t="inlineStr">
        <is>
          <t>Marzo</t>
        </is>
      </c>
      <c r="I1764" s="6" t="inlineStr">
        <is>
          <t>2024-1</t>
        </is>
      </c>
      <c r="J1764" s="5" t="n">
        <v>0</v>
      </c>
      <c r="K1764" s="10" t="n">
        <v>4.999240813847555</v>
      </c>
      <c r="L1764" s="14" t="n"/>
      <c r="M1764" s="14" t="n"/>
      <c r="N1764" s="5" t="inlineStr">
        <is>
          <t>ENT</t>
        </is>
      </c>
      <c r="O1764" s="5" t="inlineStr">
        <is>
          <t>DEC</t>
        </is>
      </c>
      <c r="P1764" s="15" t="n">
        <v>0</v>
      </c>
      <c r="Q1764" s="15" t="n">
        <v>0</v>
      </c>
      <c r="R1764" s="5" t="inlineStr">
        <is>
          <t>351-2024-03-31</t>
        </is>
      </c>
    </row>
    <row r="1765" hidden="1">
      <c r="A1765" s="21" t="n">
        <v>351</v>
      </c>
      <c r="B1765" s="5" t="inlineStr">
        <is>
          <t>Partidas conciliatorias de bancos</t>
        </is>
      </c>
      <c r="C1765" s="5" t="inlineStr">
        <is>
          <t>Contabilidad</t>
        </is>
      </c>
      <c r="D1765" s="5" t="inlineStr">
        <is>
          <t>Trimestral</t>
        </is>
      </c>
      <c r="E1765" s="5" t="inlineStr">
        <is>
          <t>Negativo</t>
        </is>
      </c>
      <c r="F1765" s="109" t="n">
        <v>45473</v>
      </c>
      <c r="G1765" s="5" t="n">
        <v>2024</v>
      </c>
      <c r="H1765" s="5" t="inlineStr">
        <is>
          <t>Junio</t>
        </is>
      </c>
      <c r="I1765" s="6" t="inlineStr">
        <is>
          <t>2024-1</t>
        </is>
      </c>
      <c r="J1765" s="5" t="n">
        <v>0</v>
      </c>
      <c r="K1765" s="10" t="n">
        <v>12.52996115381436</v>
      </c>
      <c r="L1765" s="14" t="n"/>
      <c r="M1765" s="14" t="n"/>
      <c r="N1765" s="5" t="inlineStr">
        <is>
          <t>ENT</t>
        </is>
      </c>
      <c r="O1765" s="5" t="inlineStr">
        <is>
          <t>DEC</t>
        </is>
      </c>
      <c r="P1765" s="15" t="n">
        <v>0</v>
      </c>
      <c r="Q1765" s="15" t="n">
        <v>1</v>
      </c>
      <c r="R1765" s="5" t="inlineStr">
        <is>
          <t>351-2024-06-30</t>
        </is>
      </c>
    </row>
    <row r="1766" hidden="1">
      <c r="A1766" s="21" t="n">
        <v>351</v>
      </c>
      <c r="B1766" s="5" t="inlineStr">
        <is>
          <t>Partidas conciliatorias de bancos</t>
        </is>
      </c>
      <c r="C1766" s="5" t="inlineStr">
        <is>
          <t>Contabilidad</t>
        </is>
      </c>
      <c r="D1766" s="5" t="inlineStr">
        <is>
          <t>Trimestral</t>
        </is>
      </c>
      <c r="E1766" s="5" t="inlineStr">
        <is>
          <t>Negativo</t>
        </is>
      </c>
      <c r="F1766" s="109" t="n">
        <v>45565</v>
      </c>
      <c r="G1766" s="5" t="n">
        <v>2024</v>
      </c>
      <c r="H1766" s="5" t="inlineStr">
        <is>
          <t>Septiembre</t>
        </is>
      </c>
      <c r="I1766" s="6" t="inlineStr">
        <is>
          <t>2024-2</t>
        </is>
      </c>
      <c r="J1766" s="5" t="n">
        <v>0</v>
      </c>
      <c r="K1766" s="10" t="n">
        <v>3.179572169536261</v>
      </c>
      <c r="L1766" s="14" t="n"/>
      <c r="M1766" s="14" t="n"/>
      <c r="N1766" s="5" t="inlineStr">
        <is>
          <t>ENT</t>
        </is>
      </c>
      <c r="O1766" s="5" t="inlineStr">
        <is>
          <t>DEC</t>
        </is>
      </c>
      <c r="P1766" s="15" t="n">
        <v>0</v>
      </c>
      <c r="Q1766" s="15" t="n">
        <v>1</v>
      </c>
      <c r="R1766" s="5" t="inlineStr">
        <is>
          <t>351-2024-09-30</t>
        </is>
      </c>
    </row>
    <row r="1767" hidden="1">
      <c r="A1767" s="21" t="n">
        <v>351</v>
      </c>
      <c r="B1767" s="5" t="inlineStr">
        <is>
          <t>Partidas conciliatorias de bancos</t>
        </is>
      </c>
      <c r="C1767" s="5" t="inlineStr">
        <is>
          <t>Contabilidad</t>
        </is>
      </c>
      <c r="D1767" s="5" t="inlineStr">
        <is>
          <t>Trimestral</t>
        </is>
      </c>
      <c r="E1767" s="5" t="inlineStr">
        <is>
          <t>Negativo</t>
        </is>
      </c>
      <c r="F1767" s="109" t="n">
        <v>45657</v>
      </c>
      <c r="G1767" s="5" t="n">
        <v>2024</v>
      </c>
      <c r="H1767" s="5" t="inlineStr">
        <is>
          <t>Diciembre</t>
        </is>
      </c>
      <c r="I1767" s="6" t="inlineStr">
        <is>
          <t>2024-2</t>
        </is>
      </c>
      <c r="J1767" s="5" t="n">
        <v>0</v>
      </c>
      <c r="K1767" s="10" t="n">
        <v>1.497983483771846</v>
      </c>
      <c r="L1767" s="14" t="n"/>
      <c r="M1767" s="14" t="n"/>
      <c r="N1767" s="5" t="inlineStr">
        <is>
          <t>ENT</t>
        </is>
      </c>
      <c r="O1767" s="5" t="inlineStr">
        <is>
          <t>DEC</t>
        </is>
      </c>
      <c r="P1767" s="15" t="n">
        <v>0</v>
      </c>
      <c r="Q1767" s="15" t="n">
        <v>1</v>
      </c>
      <c r="R1767" s="5" t="inlineStr">
        <is>
          <t>351-2024-12-31</t>
        </is>
      </c>
    </row>
    <row r="1768" hidden="1">
      <c r="A1768" s="21" t="n">
        <v>351</v>
      </c>
      <c r="B1768" s="5" t="inlineStr">
        <is>
          <t>Partidas conciliatorias de bancos</t>
        </is>
      </c>
      <c r="C1768" s="5" t="inlineStr">
        <is>
          <t>Contabilidad</t>
        </is>
      </c>
      <c r="D1768" s="5" t="inlineStr">
        <is>
          <t>Trimestral</t>
        </is>
      </c>
      <c r="E1768" s="5" t="inlineStr">
        <is>
          <t>Negativo</t>
        </is>
      </c>
      <c r="F1768" s="109" t="n">
        <v>45747</v>
      </c>
      <c r="G1768" s="5" t="n">
        <v>2025</v>
      </c>
      <c r="H1768" s="5" t="inlineStr">
        <is>
          <t>Marzo</t>
        </is>
      </c>
      <c r="I1768" s="6" t="inlineStr">
        <is>
          <t>2025-1</t>
        </is>
      </c>
      <c r="J1768" s="5" t="n">
        <v>0</v>
      </c>
      <c r="K1768" s="10" t="n">
        <v>0.47</v>
      </c>
      <c r="L1768" s="14" t="n"/>
      <c r="M1768" s="14" t="n"/>
      <c r="N1768" s="5" t="inlineStr">
        <is>
          <t>ENT</t>
        </is>
      </c>
      <c r="O1768" s="5" t="inlineStr">
        <is>
          <t>DEC</t>
        </is>
      </c>
      <c r="P1768" s="15" t="n">
        <v>0</v>
      </c>
      <c r="Q1768" s="15" t="n">
        <v>0</v>
      </c>
      <c r="R1768" s="5" t="inlineStr">
        <is>
          <t>351-2025-03-31</t>
        </is>
      </c>
    </row>
    <row r="1769" hidden="1">
      <c r="A1769" s="21" t="n">
        <v>351</v>
      </c>
      <c r="B1769" s="5" t="inlineStr">
        <is>
          <t>Partidas conciliatorias de bancos</t>
        </is>
      </c>
      <c r="C1769" s="5" t="inlineStr">
        <is>
          <t>Contabilidad</t>
        </is>
      </c>
      <c r="D1769" s="5" t="inlineStr">
        <is>
          <t>Trimestral</t>
        </is>
      </c>
      <c r="E1769" s="5" t="inlineStr">
        <is>
          <t>Negativo</t>
        </is>
      </c>
      <c r="F1769" s="109" t="n">
        <v>45838</v>
      </c>
      <c r="G1769" s="5" t="n">
        <v>2025</v>
      </c>
      <c r="H1769" s="5" t="inlineStr">
        <is>
          <t>Junio</t>
        </is>
      </c>
      <c r="I1769" s="6" t="inlineStr">
        <is>
          <t>2025-1</t>
        </is>
      </c>
      <c r="J1769" s="5" t="n">
        <v>0</v>
      </c>
      <c r="K1769" s="10" t="n">
        <v>0.65</v>
      </c>
      <c r="L1769" s="14" t="n"/>
      <c r="M1769" s="14" t="n"/>
      <c r="N1769" s="5" t="inlineStr">
        <is>
          <t>ENT</t>
        </is>
      </c>
      <c r="O1769" s="5" t="inlineStr">
        <is>
          <t>DEC</t>
        </is>
      </c>
      <c r="P1769" s="15" t="n">
        <v>0</v>
      </c>
      <c r="Q1769" s="15" t="n">
        <v>1</v>
      </c>
      <c r="R1769" s="5" t="inlineStr">
        <is>
          <t>351-2025-06-30</t>
        </is>
      </c>
    </row>
    <row r="1770" hidden="1">
      <c r="A1770" s="21" t="n">
        <v>351</v>
      </c>
      <c r="B1770" s="5" t="inlineStr">
        <is>
          <t>Partidas conciliatorias de bancos</t>
        </is>
      </c>
      <c r="C1770" s="5" t="inlineStr">
        <is>
          <t>Contabilidad</t>
        </is>
      </c>
      <c r="D1770" s="5" t="inlineStr">
        <is>
          <t>Semestral</t>
        </is>
      </c>
      <c r="E1770" s="5" t="inlineStr">
        <is>
          <t>Negativo</t>
        </is>
      </c>
      <c r="F1770" s="109" t="n">
        <v>45930</v>
      </c>
      <c r="G1770" s="5" t="n">
        <v>2025</v>
      </c>
      <c r="H1770" s="5" t="inlineStr">
        <is>
          <t>Septiembre</t>
        </is>
      </c>
      <c r="I1770" s="6" t="inlineStr">
        <is>
          <t>2025-2</t>
        </is>
      </c>
      <c r="J1770" s="5" t="n">
        <v>0</v>
      </c>
      <c r="K1770" s="10" t="n">
        <v>0.26</v>
      </c>
      <c r="L1770" s="14" t="n"/>
      <c r="M1770" s="14" t="n"/>
      <c r="N1770" s="5" t="inlineStr">
        <is>
          <t>ENT</t>
        </is>
      </c>
      <c r="O1770" s="5" t="inlineStr">
        <is>
          <t>DEC</t>
        </is>
      </c>
      <c r="P1770" s="15" t="n">
        <v>0</v>
      </c>
      <c r="Q1770" s="15" t="n">
        <v>1</v>
      </c>
      <c r="R1770" s="5" t="inlineStr">
        <is>
          <t>351-2025-09-30</t>
        </is>
      </c>
    </row>
    <row r="1771" hidden="1">
      <c r="A1771" s="21" t="n">
        <v>351</v>
      </c>
      <c r="B1771" s="5" t="inlineStr">
        <is>
          <t>Partidas conciliatorias de bancos</t>
        </is>
      </c>
      <c r="C1771" s="5" t="inlineStr">
        <is>
          <t>Contabilidad</t>
        </is>
      </c>
      <c r="D1771" s="5" t="inlineStr">
        <is>
          <t>Semestral</t>
        </is>
      </c>
      <c r="E1771" s="5" t="inlineStr">
        <is>
          <t>Negativo</t>
        </is>
      </c>
      <c r="F1771" s="109" t="n">
        <v>46112</v>
      </c>
      <c r="G1771" s="5" t="n">
        <v>2026</v>
      </c>
      <c r="H1771" s="5" t="inlineStr">
        <is>
          <t>Marzo</t>
        </is>
      </c>
      <c r="I1771" s="6" t="inlineStr">
        <is>
          <t>2026-1</t>
        </is>
      </c>
      <c r="J1771" s="5" t="n">
        <v>0</v>
      </c>
      <c r="K1771" s="10" t="n">
        <v>0</v>
      </c>
      <c r="L1771" s="14" t="n">
        <v>1</v>
      </c>
      <c r="M1771" s="14" t="n">
        <v>1</v>
      </c>
      <c r="N1771" s="5" t="inlineStr">
        <is>
          <t>%</t>
        </is>
      </c>
      <c r="O1771" s="5" t="inlineStr">
        <is>
          <t>%</t>
        </is>
      </c>
      <c r="P1771" s="15" t="n">
        <v>0</v>
      </c>
      <c r="Q1771" s="15" t="n">
        <v>1</v>
      </c>
      <c r="R1771" s="5" t="inlineStr">
        <is>
          <t>351-2026-03-31</t>
        </is>
      </c>
    </row>
    <row r="1772" hidden="1">
      <c r="A1772" s="21" t="n">
        <v>352</v>
      </c>
      <c r="B1772" s="5" t="inlineStr">
        <is>
          <t>Nivel de facturas generadas con error</t>
        </is>
      </c>
      <c r="C1772" s="5" t="inlineStr">
        <is>
          <t>Contabilidad</t>
        </is>
      </c>
      <c r="D1772" s="5" t="inlineStr">
        <is>
          <t>Trimestral</t>
        </is>
      </c>
      <c r="E1772" s="5" t="inlineStr">
        <is>
          <t>Negativo</t>
        </is>
      </c>
      <c r="F1772" s="109" t="n">
        <v>45016</v>
      </c>
      <c r="G1772" s="5" t="n">
        <v>2023</v>
      </c>
      <c r="H1772" s="5" t="inlineStr">
        <is>
          <t>Marzo</t>
        </is>
      </c>
      <c r="I1772" s="6" t="inlineStr">
        <is>
          <t>2023-1</t>
        </is>
      </c>
      <c r="J1772" s="5" t="n">
        <v>0</v>
      </c>
      <c r="K1772" s="10" t="n">
        <v>0.0103859685564802</v>
      </c>
      <c r="L1772" s="14" t="n"/>
      <c r="M1772" s="14" t="n"/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2</v>
      </c>
      <c r="R1772" s="5" t="inlineStr">
        <is>
          <t>352-2023-03-31</t>
        </is>
      </c>
    </row>
    <row r="1773" hidden="1">
      <c r="A1773" s="21" t="n">
        <v>352</v>
      </c>
      <c r="B1773" s="5" t="inlineStr">
        <is>
          <t>Nivel de facturas generadas con error</t>
        </is>
      </c>
      <c r="C1773" s="5" t="inlineStr">
        <is>
          <t>Contabilidad</t>
        </is>
      </c>
      <c r="D1773" s="5" t="inlineStr">
        <is>
          <t>Trimestral</t>
        </is>
      </c>
      <c r="E1773" s="5" t="inlineStr">
        <is>
          <t>Negativo</t>
        </is>
      </c>
      <c r="F1773" s="109" t="n">
        <v>45107</v>
      </c>
      <c r="G1773" s="5" t="n">
        <v>2023</v>
      </c>
      <c r="H1773" s="5" t="inlineStr">
        <is>
          <t>Junio</t>
        </is>
      </c>
      <c r="I1773" s="6" t="inlineStr">
        <is>
          <t>2023-1</t>
        </is>
      </c>
      <c r="J1773" s="5" t="n">
        <v>0</v>
      </c>
      <c r="K1773" s="10" t="n">
        <v>0.0277008310249307</v>
      </c>
      <c r="L1773" s="14" t="n"/>
      <c r="M1773" s="14" t="n"/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2</v>
      </c>
      <c r="R1773" s="5" t="inlineStr">
        <is>
          <t>352-2023-06-30</t>
        </is>
      </c>
    </row>
    <row r="1774" hidden="1">
      <c r="A1774" s="21" t="n">
        <v>352</v>
      </c>
      <c r="B1774" s="5" t="inlineStr">
        <is>
          <t>Nivel de facturas generadas con error</t>
        </is>
      </c>
      <c r="C1774" s="5" t="inlineStr">
        <is>
          <t>Contabilidad</t>
        </is>
      </c>
      <c r="D1774" s="5" t="inlineStr">
        <is>
          <t>Trimestral</t>
        </is>
      </c>
      <c r="E1774" s="5" t="inlineStr">
        <is>
          <t>Negativo</t>
        </is>
      </c>
      <c r="F1774" s="109" t="n">
        <v>45199</v>
      </c>
      <c r="G1774" s="5" t="n">
        <v>2023</v>
      </c>
      <c r="H1774" s="5" t="inlineStr">
        <is>
          <t>Septiembre</t>
        </is>
      </c>
      <c r="I1774" s="6" t="inlineStr">
        <is>
          <t>2023-2</t>
        </is>
      </c>
      <c r="J1774" s="5" t="n">
        <v>0</v>
      </c>
      <c r="K1774" s="10" t="n">
        <v>0.0251173450966232</v>
      </c>
      <c r="L1774" s="14" t="n"/>
      <c r="M1774" s="14" t="n"/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2</v>
      </c>
      <c r="R1774" s="5" t="inlineStr">
        <is>
          <t>352-2023-09-30</t>
        </is>
      </c>
    </row>
    <row r="1775" hidden="1">
      <c r="A1775" s="21" t="n">
        <v>352</v>
      </c>
      <c r="B1775" s="5" t="inlineStr">
        <is>
          <t>Nivel de facturas generadas con error</t>
        </is>
      </c>
      <c r="C1775" s="5" t="inlineStr">
        <is>
          <t>Contabilidad</t>
        </is>
      </c>
      <c r="D1775" s="5" t="inlineStr">
        <is>
          <t>Trimestral</t>
        </is>
      </c>
      <c r="E1775" s="5" t="inlineStr">
        <is>
          <t>Negativo</t>
        </is>
      </c>
      <c r="F1775" s="109" t="n">
        <v>45291</v>
      </c>
      <c r="G1775" s="5" t="n">
        <v>2023</v>
      </c>
      <c r="H1775" s="5" t="inlineStr">
        <is>
          <t>Diciembre</t>
        </is>
      </c>
      <c r="I1775" s="6" t="inlineStr">
        <is>
          <t>2023-2</t>
        </is>
      </c>
      <c r="J1775" s="5" t="n">
        <v>0</v>
      </c>
      <c r="K1775" s="10" t="n">
        <v>0.2832748164698372</v>
      </c>
      <c r="L1775" s="14" t="n"/>
      <c r="M1775" s="14" t="n"/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2</v>
      </c>
      <c r="R1775" s="5" t="inlineStr">
        <is>
          <t>352-2023-12-31</t>
        </is>
      </c>
    </row>
    <row r="1776" hidden="1">
      <c r="A1776" s="21" t="n">
        <v>352</v>
      </c>
      <c r="B1776" s="5" t="inlineStr">
        <is>
          <t>Nivel de facturas generadas con error</t>
        </is>
      </c>
      <c r="C1776" s="5" t="inlineStr">
        <is>
          <t>Contabilidad</t>
        </is>
      </c>
      <c r="D1776" s="5" t="inlineStr">
        <is>
          <t>Trimestral</t>
        </is>
      </c>
      <c r="E1776" s="5" t="inlineStr">
        <is>
          <t>Negativo</t>
        </is>
      </c>
      <c r="F1776" s="109" t="n">
        <v>45382</v>
      </c>
      <c r="G1776" s="5" t="n">
        <v>2024</v>
      </c>
      <c r="H1776" s="5" t="inlineStr">
        <is>
          <t>Marzo</t>
        </is>
      </c>
      <c r="I1776" s="6" t="inlineStr">
        <is>
          <t>2024-1</t>
        </is>
      </c>
      <c r="J1776" s="5" t="n">
        <v>0</v>
      </c>
      <c r="K1776" s="10" t="n">
        <v>0.0244043805863152</v>
      </c>
      <c r="L1776" s="14" t="n"/>
      <c r="M1776" s="14" t="n"/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2</v>
      </c>
      <c r="R1776" s="5" t="inlineStr">
        <is>
          <t>352-2024-03-31</t>
        </is>
      </c>
    </row>
    <row r="1777" hidden="1">
      <c r="A1777" s="21" t="n">
        <v>352</v>
      </c>
      <c r="B1777" s="5" t="inlineStr">
        <is>
          <t>Nivel de facturas generadas con error</t>
        </is>
      </c>
      <c r="C1777" s="5" t="inlineStr">
        <is>
          <t>Contabilidad</t>
        </is>
      </c>
      <c r="D1777" s="5" t="inlineStr">
        <is>
          <t>Trimestral</t>
        </is>
      </c>
      <c r="E1777" s="5" t="inlineStr">
        <is>
          <t>Negativo</t>
        </is>
      </c>
      <c r="F1777" s="109" t="n">
        <v>45473</v>
      </c>
      <c r="G1777" s="5" t="n">
        <v>2024</v>
      </c>
      <c r="H1777" s="5" t="inlineStr">
        <is>
          <t>Junio</t>
        </is>
      </c>
      <c r="I1777" s="6" t="inlineStr">
        <is>
          <t>2024-1</t>
        </is>
      </c>
      <c r="J1777" s="5" t="n">
        <v>0</v>
      </c>
      <c r="K1777" s="10" t="n">
        <v>0.1487989796641394</v>
      </c>
      <c r="L1777" s="14" t="n"/>
      <c r="M1777" s="14" t="n"/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2</v>
      </c>
      <c r="R1777" s="5" t="inlineStr">
        <is>
          <t>352-2024-06-30</t>
        </is>
      </c>
    </row>
    <row r="1778" hidden="1">
      <c r="A1778" s="21" t="n">
        <v>352</v>
      </c>
      <c r="B1778" s="5" t="inlineStr">
        <is>
          <t>Nivel de facturas generadas con error</t>
        </is>
      </c>
      <c r="C1778" s="5" t="inlineStr">
        <is>
          <t>Contabilidad</t>
        </is>
      </c>
      <c r="D1778" s="5" t="inlineStr">
        <is>
          <t>Trimestral</t>
        </is>
      </c>
      <c r="E1778" s="5" t="inlineStr">
        <is>
          <t>Negativo</t>
        </is>
      </c>
      <c r="F1778" s="109" t="n">
        <v>45565</v>
      </c>
      <c r="G1778" s="5" t="n">
        <v>2024</v>
      </c>
      <c r="H1778" s="5" t="inlineStr">
        <is>
          <t>Septiembre</t>
        </is>
      </c>
      <c r="I1778" s="6" t="inlineStr">
        <is>
          <t>2024-2</t>
        </is>
      </c>
      <c r="J1778" s="5" t="n">
        <v>0</v>
      </c>
      <c r="K1778" s="10" t="n">
        <v>0.0009651857499975</v>
      </c>
      <c r="L1778" s="14" t="n"/>
      <c r="M1778" s="14" t="n"/>
      <c r="N1778" s="5" t="inlineStr">
        <is>
          <t>%</t>
        </is>
      </c>
      <c r="O1778" s="5" t="inlineStr">
        <is>
          <t>%</t>
        </is>
      </c>
      <c r="P1778" s="15" t="n">
        <v>0</v>
      </c>
      <c r="Q1778" s="15" t="n">
        <v>2</v>
      </c>
      <c r="R1778" s="5" t="inlineStr">
        <is>
          <t>352-2024-09-30</t>
        </is>
      </c>
    </row>
    <row r="1779" hidden="1">
      <c r="A1779" s="21" t="n">
        <v>352</v>
      </c>
      <c r="B1779" s="5" t="inlineStr">
        <is>
          <t>Nivel de facturas generadas con error</t>
        </is>
      </c>
      <c r="C1779" s="5" t="inlineStr">
        <is>
          <t>Contabilidad</t>
        </is>
      </c>
      <c r="D1779" s="5" t="inlineStr">
        <is>
          <t>Trimestral</t>
        </is>
      </c>
      <c r="E1779" s="5" t="inlineStr">
        <is>
          <t>Negativo</t>
        </is>
      </c>
      <c r="F1779" s="109" t="n">
        <v>45657</v>
      </c>
      <c r="G1779" s="5" t="n">
        <v>2024</v>
      </c>
      <c r="H1779" s="5" t="inlineStr">
        <is>
          <t>Diciembre</t>
        </is>
      </c>
      <c r="I1779" s="6" t="inlineStr">
        <is>
          <t>2024-2</t>
        </is>
      </c>
      <c r="J1779" s="5" t="n">
        <v>0</v>
      </c>
      <c r="K1779" s="10" t="n">
        <v>0</v>
      </c>
      <c r="L1779" s="14" t="n">
        <v>1</v>
      </c>
      <c r="M1779" s="14" t="n">
        <v>1</v>
      </c>
      <c r="N1779" s="5" t="inlineStr">
        <is>
          <t>%</t>
        </is>
      </c>
      <c r="O1779" s="5" t="inlineStr">
        <is>
          <t>%</t>
        </is>
      </c>
      <c r="P1779" s="15" t="n">
        <v>0</v>
      </c>
      <c r="Q1779" s="15" t="n">
        <v>2</v>
      </c>
      <c r="R1779" s="5" t="inlineStr">
        <is>
          <t>352-2024-12-31</t>
        </is>
      </c>
    </row>
    <row r="1780" hidden="1">
      <c r="A1780" s="21" t="n">
        <v>352</v>
      </c>
      <c r="B1780" s="5" t="inlineStr">
        <is>
          <t>Nivel de facturas generadas con error</t>
        </is>
      </c>
      <c r="C1780" s="5" t="inlineStr">
        <is>
          <t>Contabilidad</t>
        </is>
      </c>
      <c r="D1780" s="5" t="inlineStr">
        <is>
          <t>Trimestral</t>
        </is>
      </c>
      <c r="E1780" s="5" t="inlineStr">
        <is>
          <t>Negativo</t>
        </is>
      </c>
      <c r="F1780" s="109" t="n">
        <v>45747</v>
      </c>
      <c r="G1780" s="5" t="n">
        <v>2025</v>
      </c>
      <c r="H1780" s="5" t="inlineStr">
        <is>
          <t>Marzo</t>
        </is>
      </c>
      <c r="I1780" s="6" t="inlineStr">
        <is>
          <t>2025-1</t>
        </is>
      </c>
      <c r="J1780" s="5" t="n">
        <v>0</v>
      </c>
      <c r="K1780" s="10" t="n">
        <v>0</v>
      </c>
      <c r="L1780" s="14" t="n">
        <v>1</v>
      </c>
      <c r="M1780" s="14" t="n">
        <v>1</v>
      </c>
      <c r="N1780" s="5" t="inlineStr">
        <is>
          <t>%</t>
        </is>
      </c>
      <c r="O1780" s="5" t="inlineStr">
        <is>
          <t>%</t>
        </is>
      </c>
      <c r="P1780" s="15" t="n">
        <v>0</v>
      </c>
      <c r="Q1780" s="15" t="n">
        <v>2</v>
      </c>
      <c r="R1780" s="5" t="inlineStr">
        <is>
          <t>352-2025-03-31</t>
        </is>
      </c>
    </row>
    <row r="1781" hidden="1">
      <c r="A1781" t="n">
        <v>352</v>
      </c>
      <c r="B1781" t="inlineStr">
        <is>
          <t>Nivel de facturas generadas con error</t>
        </is>
      </c>
      <c r="C1781" t="inlineStr">
        <is>
          <t>Contabilidad</t>
        </is>
      </c>
      <c r="D1781" t="inlineStr">
        <is>
          <t>Trimestral</t>
        </is>
      </c>
      <c r="E1781" t="inlineStr">
        <is>
          <t>Negativo</t>
        </is>
      </c>
      <c r="F1781" s="113" t="n">
        <v>45838</v>
      </c>
      <c r="G1781" t="n">
        <v>2025</v>
      </c>
      <c r="H1781" t="inlineStr">
        <is>
          <t>Junio</t>
        </is>
      </c>
      <c r="I1781" t="inlineStr">
        <is>
          <t>2025-1</t>
        </is>
      </c>
      <c r="J1781" t="n">
        <v>0</v>
      </c>
      <c r="K1781" t="n">
        <v>0.01</v>
      </c>
      <c r="L1781" s="39" t="n"/>
      <c r="M1781" s="39" t="n"/>
      <c r="N1781" t="inlineStr">
        <is>
          <t>%</t>
        </is>
      </c>
      <c r="O1781" t="inlineStr">
        <is>
          <t>%</t>
        </is>
      </c>
      <c r="P1781" t="n">
        <v>0</v>
      </c>
      <c r="Q1781" t="n">
        <v>2</v>
      </c>
      <c r="R1781" t="inlineStr">
        <is>
          <t>352-2025-06-30</t>
        </is>
      </c>
    </row>
    <row r="1782" hidden="1">
      <c r="A1782" t="n">
        <v>352</v>
      </c>
      <c r="B1782" t="inlineStr">
        <is>
          <t>Nivel de facturas generadas con error</t>
        </is>
      </c>
      <c r="C1782" t="inlineStr">
        <is>
          <t>Contabilidad</t>
        </is>
      </c>
      <c r="D1782" t="inlineStr">
        <is>
          <t>Semestral</t>
        </is>
      </c>
      <c r="E1782" t="inlineStr">
        <is>
          <t>Negativo</t>
        </is>
      </c>
      <c r="F1782" s="113" t="n">
        <v>45930</v>
      </c>
      <c r="G1782" t="n">
        <v>2025</v>
      </c>
      <c r="H1782" t="inlineStr">
        <is>
          <t>Septiembre</t>
        </is>
      </c>
      <c r="I1782" t="inlineStr">
        <is>
          <t>2025-2</t>
        </is>
      </c>
      <c r="J1782" t="n">
        <v>0</v>
      </c>
      <c r="K1782" t="n">
        <v>0.01</v>
      </c>
      <c r="L1782" s="39" t="n"/>
      <c r="M1782" s="39" t="n"/>
      <c r="N1782" t="inlineStr">
        <is>
          <t>%</t>
        </is>
      </c>
      <c r="O1782" t="inlineStr">
        <is>
          <t>%</t>
        </is>
      </c>
      <c r="P1782" t="n">
        <v>0</v>
      </c>
      <c r="Q1782" t="n">
        <v>2</v>
      </c>
      <c r="R1782" t="inlineStr">
        <is>
          <t>352-2025-09-30</t>
        </is>
      </c>
    </row>
    <row r="1783" hidden="1">
      <c r="A1783" t="n">
        <v>352</v>
      </c>
      <c r="B1783" t="inlineStr">
        <is>
          <t>Nivel de facturas generadas con error</t>
        </is>
      </c>
      <c r="C1783" t="inlineStr">
        <is>
          <t>Contabilidad</t>
        </is>
      </c>
      <c r="D1783" t="inlineStr">
        <is>
          <t>Semestral</t>
        </is>
      </c>
      <c r="E1783" t="inlineStr">
        <is>
          <t>Negativo</t>
        </is>
      </c>
      <c r="F1783" s="113" t="n">
        <v>46112</v>
      </c>
      <c r="G1783" t="n">
        <v>2026</v>
      </c>
      <c r="H1783" t="inlineStr">
        <is>
          <t>Marzo</t>
        </is>
      </c>
      <c r="I1783" t="inlineStr">
        <is>
          <t>2026-1</t>
        </is>
      </c>
      <c r="J1783" t="n">
        <v>0</v>
      </c>
      <c r="K1783" t="n">
        <v>0.01</v>
      </c>
      <c r="L1783" s="39" t="n"/>
      <c r="M1783" s="39" t="n"/>
      <c r="N1783" t="inlineStr">
        <is>
          <t>%</t>
        </is>
      </c>
      <c r="O1783" t="inlineStr">
        <is>
          <t>%</t>
        </is>
      </c>
      <c r="P1783" t="n">
        <v>0</v>
      </c>
      <c r="Q1783" t="n">
        <v>2</v>
      </c>
      <c r="R1783" t="inlineStr">
        <is>
          <t>352-2026-03-31</t>
        </is>
      </c>
    </row>
    <row r="1784" hidden="1">
      <c r="A1784" t="n">
        <v>353</v>
      </c>
      <c r="B1784" t="inlineStr">
        <is>
          <t>Cobertura de tableros BI en procesos</t>
        </is>
      </c>
      <c r="C1784" t="inlineStr">
        <is>
          <t>DATOS Y ANALÍTICA</t>
        </is>
      </c>
      <c r="D1784" t="inlineStr">
        <is>
          <t>Semestral</t>
        </is>
      </c>
      <c r="E1784" t="inlineStr">
        <is>
          <t>Positivo</t>
        </is>
      </c>
      <c r="F1784" s="113" t="n">
        <v>45107</v>
      </c>
      <c r="G1784" t="n">
        <v>2023</v>
      </c>
      <c r="H1784" t="inlineStr">
        <is>
          <t>Junio</t>
        </is>
      </c>
      <c r="I1784" t="inlineStr">
        <is>
          <t>2023-1</t>
        </is>
      </c>
      <c r="J1784" t="n">
        <v>35</v>
      </c>
      <c r="K1784" t="n">
        <v>40.384615384615</v>
      </c>
      <c r="L1784" s="39" t="n">
        <v>1.153846153846143</v>
      </c>
      <c r="M1784" s="39" t="n">
        <v>1.153846153846143</v>
      </c>
      <c r="N1784" t="inlineStr">
        <is>
          <t>DEC</t>
        </is>
      </c>
      <c r="O1784" t="inlineStr">
        <is>
          <t>DEC</t>
        </is>
      </c>
      <c r="P1784" t="n">
        <v>0</v>
      </c>
      <c r="Q1784" t="n">
        <v>0</v>
      </c>
      <c r="R1784" t="inlineStr">
        <is>
          <t>353-2023-06-30</t>
        </is>
      </c>
    </row>
    <row r="1785" hidden="1">
      <c r="A1785" t="n">
        <v>353</v>
      </c>
      <c r="B1785" t="inlineStr">
        <is>
          <t>Cobertura de tableros BI en procesos</t>
        </is>
      </c>
      <c r="C1785" t="inlineStr">
        <is>
          <t>DATOS Y ANALÍTICA</t>
        </is>
      </c>
      <c r="D1785" t="inlineStr">
        <is>
          <t>Semestral</t>
        </is>
      </c>
      <c r="E1785" t="inlineStr">
        <is>
          <t>Positivo</t>
        </is>
      </c>
      <c r="F1785" s="113" t="n">
        <v>45291</v>
      </c>
      <c r="G1785" t="n">
        <v>2023</v>
      </c>
      <c r="H1785" t="inlineStr">
        <is>
          <t>Diciembre</t>
        </is>
      </c>
      <c r="I1785" t="inlineStr">
        <is>
          <t>2023-2</t>
        </is>
      </c>
      <c r="J1785" t="n">
        <v>35</v>
      </c>
      <c r="K1785" t="n">
        <v>40.3846153846154</v>
      </c>
      <c r="L1785" s="39" t="n">
        <v>1.153846153846154</v>
      </c>
      <c r="M1785" s="39" t="n">
        <v>1.153846153846154</v>
      </c>
      <c r="N1785" t="inlineStr">
        <is>
          <t>DEC</t>
        </is>
      </c>
      <c r="O1785" t="inlineStr">
        <is>
          <t>DEC</t>
        </is>
      </c>
      <c r="P1785" t="n">
        <v>0</v>
      </c>
      <c r="Q1785" t="n">
        <v>0</v>
      </c>
      <c r="R1785" t="inlineStr">
        <is>
          <t>353-2023-12-31</t>
        </is>
      </c>
    </row>
    <row r="1786" hidden="1">
      <c r="A1786" t="n">
        <v>354</v>
      </c>
      <c r="B1786" t="inlineStr">
        <is>
          <t>Plan de formación en analitica</t>
        </is>
      </c>
      <c r="C1786" t="inlineStr">
        <is>
          <t>DATOS Y ANALÍTICA</t>
        </is>
      </c>
      <c r="D1786" t="inlineStr">
        <is>
          <t>Semestral</t>
        </is>
      </c>
      <c r="E1786" t="inlineStr">
        <is>
          <t>Positivo</t>
        </is>
      </c>
      <c r="F1786" s="113" t="n">
        <v>45107</v>
      </c>
      <c r="G1786" t="n">
        <v>2023</v>
      </c>
      <c r="H1786" t="inlineStr">
        <is>
          <t>Junio</t>
        </is>
      </c>
      <c r="I1786" t="inlineStr">
        <is>
          <t>2023-1</t>
        </is>
      </c>
      <c r="J1786" t="n">
        <v>10</v>
      </c>
      <c r="K1786" t="n">
        <v>5.07</v>
      </c>
      <c r="L1786" s="39" t="n">
        <v>0.507</v>
      </c>
      <c r="M1786" s="39" t="n">
        <v>0.507</v>
      </c>
      <c r="N1786" t="inlineStr">
        <is>
          <t>DEC</t>
        </is>
      </c>
      <c r="O1786" t="inlineStr">
        <is>
          <t>DEC</t>
        </is>
      </c>
      <c r="P1786" t="n">
        <v>2</v>
      </c>
      <c r="Q1786" t="n">
        <v>2</v>
      </c>
      <c r="R1786" t="inlineStr">
        <is>
          <t>354-2023-06-30</t>
        </is>
      </c>
    </row>
    <row r="1787" hidden="1">
      <c r="A1787" t="n">
        <v>354</v>
      </c>
      <c r="B1787" t="inlineStr">
        <is>
          <t>Plan de formación en analitica</t>
        </is>
      </c>
      <c r="C1787" t="inlineStr">
        <is>
          <t>DATOS Y ANALÍTICA</t>
        </is>
      </c>
      <c r="D1787" t="inlineStr">
        <is>
          <t>Semestral</t>
        </is>
      </c>
      <c r="E1787" t="inlineStr">
        <is>
          <t>Positivo</t>
        </is>
      </c>
      <c r="F1787" s="113" t="n">
        <v>45291</v>
      </c>
      <c r="G1787" t="n">
        <v>2023</v>
      </c>
      <c r="H1787" t="inlineStr">
        <is>
          <t>Diciembre</t>
        </is>
      </c>
      <c r="I1787" t="inlineStr">
        <is>
          <t>2023-2</t>
        </is>
      </c>
      <c r="J1787" t="n">
        <v>10</v>
      </c>
      <c r="K1787" t="n">
        <v>31.77</v>
      </c>
      <c r="L1787" s="39" t="n">
        <v>1.3</v>
      </c>
      <c r="M1787" s="39" t="n">
        <v>3.177</v>
      </c>
      <c r="N1787" t="inlineStr">
        <is>
          <t>DEC</t>
        </is>
      </c>
      <c r="O1787" t="inlineStr">
        <is>
          <t>DEC</t>
        </is>
      </c>
      <c r="P1787" t="n">
        <v>0</v>
      </c>
      <c r="Q1787" t="n">
        <v>0</v>
      </c>
      <c r="R1787" t="inlineStr">
        <is>
          <t>354-2023-12-31</t>
        </is>
      </c>
    </row>
    <row r="1788" hidden="1">
      <c r="A1788" t="n">
        <v>355</v>
      </c>
      <c r="B1788" t="inlineStr">
        <is>
          <t>Indice de liquidez</t>
        </is>
      </c>
      <c r="C1788" t="inlineStr">
        <is>
          <t>Tesorería</t>
        </is>
      </c>
      <c r="D1788" t="inlineStr">
        <is>
          <t>Anual</t>
        </is>
      </c>
      <c r="E1788" t="inlineStr">
        <is>
          <t>Positivo</t>
        </is>
      </c>
      <c r="F1788" s="113" t="n">
        <v>45107</v>
      </c>
      <c r="G1788" t="n">
        <v>2023</v>
      </c>
      <c r="H1788" t="inlineStr">
        <is>
          <t>Junio</t>
        </is>
      </c>
      <c r="I1788" t="inlineStr">
        <is>
          <t>2023-1</t>
        </is>
      </c>
      <c r="J1788" t="n">
        <v>1</v>
      </c>
      <c r="K1788" t="n">
        <v>0.31754780991781</v>
      </c>
      <c r="L1788" s="39" t="n">
        <v>0.31754780991781</v>
      </c>
      <c r="M1788" s="39" t="n">
        <v>0.31754780991781</v>
      </c>
      <c r="N1788" t="inlineStr">
        <is>
          <t>ENT</t>
        </is>
      </c>
      <c r="O1788" t="inlineStr">
        <is>
          <t>DEC</t>
        </is>
      </c>
      <c r="P1788" t="n">
        <v>1</v>
      </c>
      <c r="Q1788" t="n">
        <v>1</v>
      </c>
      <c r="R1788" t="inlineStr">
        <is>
          <t>355-2023-06-30</t>
        </is>
      </c>
    </row>
    <row r="1789" hidden="1">
      <c r="A1789" t="n">
        <v>355</v>
      </c>
      <c r="B1789" t="inlineStr">
        <is>
          <t>Indice de liquidez</t>
        </is>
      </c>
      <c r="C1789" t="inlineStr">
        <is>
          <t>Tesorería</t>
        </is>
      </c>
      <c r="D1789" t="inlineStr">
        <is>
          <t>Anual</t>
        </is>
      </c>
      <c r="E1789" t="inlineStr">
        <is>
          <t>Positivo</t>
        </is>
      </c>
      <c r="F1789" s="113" t="n">
        <v>45291</v>
      </c>
      <c r="G1789" t="n">
        <v>2023</v>
      </c>
      <c r="H1789" t="inlineStr">
        <is>
          <t>Diciembre</t>
        </is>
      </c>
      <c r="I1789" t="inlineStr">
        <is>
          <t>2023-2</t>
        </is>
      </c>
      <c r="J1789" t="n">
        <v>1</v>
      </c>
      <c r="K1789" t="n">
        <v>1.64916004403234</v>
      </c>
      <c r="L1789" s="39" t="n">
        <v>1.3</v>
      </c>
      <c r="M1789" s="39" t="n">
        <v>1.64916004403234</v>
      </c>
      <c r="N1789" t="inlineStr">
        <is>
          <t>DEC</t>
        </is>
      </c>
      <c r="O1789" t="inlineStr">
        <is>
          <t>DEC</t>
        </is>
      </c>
      <c r="P1789" t="n">
        <v>0</v>
      </c>
      <c r="Q1789" t="n">
        <v>0</v>
      </c>
      <c r="R1789" t="inlineStr">
        <is>
          <t>355-2023-12-31</t>
        </is>
      </c>
    </row>
    <row r="1790" hidden="1">
      <c r="A1790" t="n">
        <v>355</v>
      </c>
      <c r="B1790" t="inlineStr">
        <is>
          <t>Indice de liquidez</t>
        </is>
      </c>
      <c r="C1790" t="inlineStr">
        <is>
          <t>Tesorería</t>
        </is>
      </c>
      <c r="D1790" t="inlineStr">
        <is>
          <t>Anual</t>
        </is>
      </c>
      <c r="E1790" t="inlineStr">
        <is>
          <t>Positivo</t>
        </is>
      </c>
      <c r="F1790" s="113" t="n">
        <v>45657</v>
      </c>
      <c r="G1790" t="n">
        <v>2024</v>
      </c>
      <c r="H1790" t="inlineStr">
        <is>
          <t>Diciembre</t>
        </is>
      </c>
      <c r="I1790" t="inlineStr">
        <is>
          <t>2024-2</t>
        </is>
      </c>
      <c r="J1790" t="n">
        <v>1.7</v>
      </c>
      <c r="K1790" t="n">
        <v>1.69</v>
      </c>
      <c r="L1790" s="39" t="n">
        <v>0.9941176470588236</v>
      </c>
      <c r="M1790" s="39" t="n">
        <v>0.9941176470588236</v>
      </c>
      <c r="P1790" t="n">
        <v>0</v>
      </c>
      <c r="Q1790" t="n">
        <v>0</v>
      </c>
      <c r="R1790" t="inlineStr">
        <is>
          <t>355-2024-12-31</t>
        </is>
      </c>
    </row>
    <row r="1791" hidden="1">
      <c r="A1791" t="n">
        <v>355</v>
      </c>
      <c r="B1791" t="inlineStr">
        <is>
          <t>Indice de liquidez</t>
        </is>
      </c>
      <c r="C1791" t="inlineStr">
        <is>
          <t>Tesorería</t>
        </is>
      </c>
      <c r="D1791" t="inlineStr">
        <is>
          <t>Anual</t>
        </is>
      </c>
      <c r="E1791" t="inlineStr">
        <is>
          <t>Positivo</t>
        </is>
      </c>
      <c r="F1791" s="113" t="n">
        <v>46022</v>
      </c>
      <c r="G1791" t="n">
        <v>2025</v>
      </c>
      <c r="H1791" t="inlineStr">
        <is>
          <t>Diciembre</t>
        </is>
      </c>
      <c r="I1791" t="inlineStr">
        <is>
          <t>2025-2</t>
        </is>
      </c>
      <c r="J1791" t="n">
        <v>1.4</v>
      </c>
      <c r="K1791" t="n">
        <v>1.56</v>
      </c>
      <c r="L1791" s="39" t="n">
        <v>1.114285714285714</v>
      </c>
      <c r="M1791" s="39" t="n">
        <v>1.114285714285714</v>
      </c>
      <c r="N1791" t="inlineStr">
        <is>
          <t>ENT</t>
        </is>
      </c>
      <c r="O1791" t="inlineStr">
        <is>
          <t>DEC</t>
        </is>
      </c>
      <c r="P1791" t="n">
        <v>1</v>
      </c>
      <c r="Q1791" t="n">
        <v>1</v>
      </c>
      <c r="R1791" t="inlineStr">
        <is>
          <t>355-2025-12-31</t>
        </is>
      </c>
    </row>
    <row r="1792" hidden="1">
      <c r="A1792" t="n">
        <v>356</v>
      </c>
      <c r="B1792" t="inlineStr">
        <is>
          <t>Indice de Endeudamiento</t>
        </is>
      </c>
      <c r="C1792" t="inlineStr">
        <is>
          <t>Tesorería</t>
        </is>
      </c>
      <c r="D1792" t="inlineStr">
        <is>
          <t>Semestral</t>
        </is>
      </c>
      <c r="E1792" t="inlineStr">
        <is>
          <t>Negativo</t>
        </is>
      </c>
      <c r="F1792" s="113" t="n">
        <v>45107</v>
      </c>
      <c r="G1792" t="n">
        <v>2023</v>
      </c>
      <c r="H1792" t="inlineStr">
        <is>
          <t>Junio</t>
        </is>
      </c>
      <c r="I1792" t="inlineStr">
        <is>
          <t>2023-1</t>
        </is>
      </c>
      <c r="J1792" t="n">
        <v>60</v>
      </c>
      <c r="K1792" t="n">
        <v>49.213961407602</v>
      </c>
      <c r="L1792" s="39" t="n">
        <v>1.219166234212796</v>
      </c>
      <c r="M1792" s="39" t="n">
        <v>1.219166234212796</v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356-2023-06-30</t>
        </is>
      </c>
    </row>
    <row r="1793" hidden="1">
      <c r="A1793" t="n">
        <v>356</v>
      </c>
      <c r="B1793" t="inlineStr">
        <is>
          <t>Indice de Endeudamiento</t>
        </is>
      </c>
      <c r="C1793" t="inlineStr">
        <is>
          <t>Tesorería</t>
        </is>
      </c>
      <c r="D1793" t="inlineStr">
        <is>
          <t>Semestral</t>
        </is>
      </c>
      <c r="E1793" t="inlineStr">
        <is>
          <t>Negativo</t>
        </is>
      </c>
      <c r="F1793" s="113" t="n">
        <v>45291</v>
      </c>
      <c r="G1793" t="n">
        <v>2023</v>
      </c>
      <c r="H1793" t="inlineStr">
        <is>
          <t>Diciembre</t>
        </is>
      </c>
      <c r="I1793" t="inlineStr">
        <is>
          <t>2023-2</t>
        </is>
      </c>
      <c r="J1793" t="n">
        <v>60</v>
      </c>
      <c r="K1793" t="n">
        <v>61.54</v>
      </c>
      <c r="L1793" s="39" t="n">
        <v>0.9749756256093598</v>
      </c>
      <c r="M1793" s="39" t="n">
        <v>0.9749756256093598</v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356-2023-12-31</t>
        </is>
      </c>
    </row>
    <row r="1794" hidden="1">
      <c r="A1794" t="n">
        <v>356</v>
      </c>
      <c r="B1794" t="inlineStr">
        <is>
          <t>Indice de Endeudamiento</t>
        </is>
      </c>
      <c r="C1794" t="inlineStr">
        <is>
          <t>Tesorería</t>
        </is>
      </c>
      <c r="D1794" t="inlineStr">
        <is>
          <t>Semestral</t>
        </is>
      </c>
      <c r="E1794" t="inlineStr">
        <is>
          <t>Negativo</t>
        </is>
      </c>
      <c r="F1794" s="113" t="n">
        <v>45473</v>
      </c>
      <c r="G1794" t="n">
        <v>2024</v>
      </c>
      <c r="H1794" t="inlineStr">
        <is>
          <t>Junio</t>
        </is>
      </c>
      <c r="I1794" t="inlineStr">
        <is>
          <t>2024-1</t>
        </is>
      </c>
      <c r="J1794" t="n">
        <v>60</v>
      </c>
      <c r="K1794" t="n">
        <v>54.08</v>
      </c>
      <c r="L1794" s="39" t="n">
        <v>1.109467455621302</v>
      </c>
      <c r="M1794" s="39" t="n">
        <v>1.109467455621302</v>
      </c>
      <c r="N1794" t="inlineStr">
        <is>
          <t>%</t>
        </is>
      </c>
      <c r="O1794" t="inlineStr">
        <is>
          <t>%</t>
        </is>
      </c>
      <c r="P1794" t="n">
        <v>1</v>
      </c>
      <c r="Q1794" t="n">
        <v>1</v>
      </c>
      <c r="R1794" t="inlineStr">
        <is>
          <t>356-2024-06-30</t>
        </is>
      </c>
    </row>
    <row r="1795" hidden="1">
      <c r="A1795" t="n">
        <v>356</v>
      </c>
      <c r="B1795" t="inlineStr">
        <is>
          <t>Indice de Endeudamiento</t>
        </is>
      </c>
      <c r="C1795" t="inlineStr">
        <is>
          <t>Tesorería</t>
        </is>
      </c>
      <c r="D1795" t="inlineStr">
        <is>
          <t>Semestral</t>
        </is>
      </c>
      <c r="E1795" t="inlineStr">
        <is>
          <t>Negativo</t>
        </is>
      </c>
      <c r="F1795" s="113" t="n">
        <v>45657</v>
      </c>
      <c r="G1795" t="n">
        <v>2024</v>
      </c>
      <c r="H1795" t="inlineStr">
        <is>
          <t>Diciembre</t>
        </is>
      </c>
      <c r="I1795" t="inlineStr">
        <is>
          <t>2024-2</t>
        </is>
      </c>
      <c r="J1795" t="n">
        <v>60</v>
      </c>
      <c r="K1795" t="n">
        <v>65.55</v>
      </c>
      <c r="L1795" s="39" t="n">
        <v>0.9153318077803204</v>
      </c>
      <c r="M1795" s="39" t="n">
        <v>0.9153318077803204</v>
      </c>
      <c r="N1795" t="inlineStr">
        <is>
          <t>%</t>
        </is>
      </c>
      <c r="O1795" t="inlineStr">
        <is>
          <t>%</t>
        </is>
      </c>
      <c r="P1795" t="n">
        <v>1</v>
      </c>
      <c r="Q1795" t="n">
        <v>1</v>
      </c>
      <c r="R1795" t="inlineStr">
        <is>
          <t>356-2024-12-31</t>
        </is>
      </c>
    </row>
    <row r="1796" hidden="1">
      <c r="A1796" t="n">
        <v>356</v>
      </c>
      <c r="B1796" t="inlineStr">
        <is>
          <t>Indice de Endeudamiento</t>
        </is>
      </c>
      <c r="C1796" t="inlineStr">
        <is>
          <t>Tesorería</t>
        </is>
      </c>
      <c r="D1796" t="inlineStr">
        <is>
          <t>Semestral</t>
        </is>
      </c>
      <c r="E1796" t="inlineStr">
        <is>
          <t>Negativo</t>
        </is>
      </c>
      <c r="F1796" s="113" t="n">
        <v>45838</v>
      </c>
      <c r="G1796" t="n">
        <v>2025</v>
      </c>
      <c r="H1796" t="inlineStr">
        <is>
          <t>Junio</t>
        </is>
      </c>
      <c r="I1796" t="inlineStr">
        <is>
          <t>2025-1</t>
        </is>
      </c>
      <c r="J1796" t="n">
        <v>60</v>
      </c>
      <c r="K1796" t="n">
        <v>49.14</v>
      </c>
      <c r="L1796" s="39" t="n">
        <v>1.221001221001221</v>
      </c>
      <c r="M1796" s="39" t="n">
        <v>1.221001221001221</v>
      </c>
      <c r="N1796" t="inlineStr">
        <is>
          <t>%</t>
        </is>
      </c>
      <c r="O1796" t="inlineStr">
        <is>
          <t>%</t>
        </is>
      </c>
      <c r="P1796" t="n">
        <v>1</v>
      </c>
      <c r="Q1796" t="n">
        <v>1</v>
      </c>
      <c r="R1796" t="inlineStr">
        <is>
          <t>356-2025-06-30</t>
        </is>
      </c>
    </row>
    <row r="1797" hidden="1">
      <c r="A1797" t="n">
        <v>356</v>
      </c>
      <c r="B1797" t="inlineStr">
        <is>
          <t>Indice de Endeudamiento</t>
        </is>
      </c>
      <c r="C1797" t="inlineStr">
        <is>
          <t>Tesorería</t>
        </is>
      </c>
      <c r="D1797" t="inlineStr">
        <is>
          <t>Trimestral</t>
        </is>
      </c>
      <c r="E1797" t="inlineStr">
        <is>
          <t>Negativo</t>
        </is>
      </c>
      <c r="F1797" s="113" t="n">
        <v>46022</v>
      </c>
      <c r="G1797" t="n">
        <v>2025</v>
      </c>
      <c r="H1797" t="inlineStr">
        <is>
          <t>Diciembre</t>
        </is>
      </c>
      <c r="I1797" t="inlineStr">
        <is>
          <t>2025-2</t>
        </is>
      </c>
      <c r="J1797" t="n">
        <v>60</v>
      </c>
      <c r="K1797" t="n">
        <v>64.77</v>
      </c>
      <c r="L1797" s="39" t="n">
        <v>0.9263547938860585</v>
      </c>
      <c r="M1797" s="39" t="n">
        <v>0.9263547938860585</v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1</v>
      </c>
      <c r="R1797" t="inlineStr">
        <is>
          <t>356-2025-12-31</t>
        </is>
      </c>
    </row>
    <row r="1798" hidden="1">
      <c r="A1798" t="n">
        <v>357</v>
      </c>
      <c r="B1798" t="inlineStr">
        <is>
          <t>Cartera</t>
        </is>
      </c>
      <c r="C1798" t="inlineStr">
        <is>
          <t>Tesorería</t>
        </is>
      </c>
      <c r="D1798" t="inlineStr">
        <is>
          <t>Semestral</t>
        </is>
      </c>
      <c r="E1798" t="inlineStr">
        <is>
          <t>Positivo</t>
        </is>
      </c>
      <c r="F1798" s="113" t="n">
        <v>45107</v>
      </c>
      <c r="G1798" t="n">
        <v>2023</v>
      </c>
      <c r="H1798" t="inlineStr">
        <is>
          <t>Junio</t>
        </is>
      </c>
      <c r="I1798" t="inlineStr">
        <is>
          <t>2023-1</t>
        </is>
      </c>
      <c r="K1798" t="n">
        <v>3.0055354363176</v>
      </c>
      <c r="L1798" s="39" t="n"/>
      <c r="M1798" s="39" t="n"/>
      <c r="N1798" t="inlineStr">
        <is>
          <t>Metrica</t>
        </is>
      </c>
      <c r="O1798" t="inlineStr">
        <is>
          <t>DEC</t>
        </is>
      </c>
      <c r="P1798" t="n">
        <v>2</v>
      </c>
      <c r="Q1798" t="n">
        <v>2</v>
      </c>
      <c r="R1798" t="inlineStr">
        <is>
          <t>357-2023-06-30</t>
        </is>
      </c>
    </row>
    <row r="1799" hidden="1">
      <c r="A1799" t="n">
        <v>357</v>
      </c>
      <c r="B1799" t="inlineStr">
        <is>
          <t>Cartera</t>
        </is>
      </c>
      <c r="C1799" t="inlineStr">
        <is>
          <t>Tesorería</t>
        </is>
      </c>
      <c r="D1799" t="inlineStr">
        <is>
          <t>Semestral</t>
        </is>
      </c>
      <c r="E1799" t="inlineStr">
        <is>
          <t>Positivo</t>
        </is>
      </c>
      <c r="F1799" s="113" t="n">
        <v>45291</v>
      </c>
      <c r="G1799" t="n">
        <v>2023</v>
      </c>
      <c r="H1799" t="inlineStr">
        <is>
          <t>Diciembre</t>
        </is>
      </c>
      <c r="I1799" t="inlineStr">
        <is>
          <t>2023-2</t>
        </is>
      </c>
      <c r="K1799" t="n">
        <v>4.45</v>
      </c>
      <c r="L1799" s="39" t="n"/>
      <c r="M1799" s="39" t="n"/>
      <c r="N1799" t="inlineStr">
        <is>
          <t>Metrica</t>
        </is>
      </c>
      <c r="O1799" t="inlineStr">
        <is>
          <t>DEC</t>
        </is>
      </c>
      <c r="P1799" t="n">
        <v>0</v>
      </c>
      <c r="Q1799" t="n">
        <v>0</v>
      </c>
      <c r="R1799" t="inlineStr">
        <is>
          <t>357-2023-12-31</t>
        </is>
      </c>
    </row>
    <row r="1800" hidden="1">
      <c r="A1800" t="n">
        <v>357</v>
      </c>
      <c r="B1800" t="inlineStr">
        <is>
          <t>Cartera</t>
        </is>
      </c>
      <c r="C1800" t="inlineStr">
        <is>
          <t>Tesorería</t>
        </is>
      </c>
      <c r="D1800" t="inlineStr">
        <is>
          <t>Semestral</t>
        </is>
      </c>
      <c r="E1800" t="inlineStr">
        <is>
          <t>Positivo</t>
        </is>
      </c>
      <c r="F1800" s="113" t="n">
        <v>45473</v>
      </c>
      <c r="G1800" t="n">
        <v>2024</v>
      </c>
      <c r="H1800" t="inlineStr">
        <is>
          <t>Junio</t>
        </is>
      </c>
      <c r="I1800" t="inlineStr">
        <is>
          <t>2024-1</t>
        </is>
      </c>
      <c r="K1800" t="n">
        <v>3.87</v>
      </c>
      <c r="L1800" s="39" t="n"/>
      <c r="M1800" s="39" t="n"/>
      <c r="N1800" t="inlineStr">
        <is>
          <t>Metrica</t>
        </is>
      </c>
      <c r="O1800" t="inlineStr">
        <is>
          <t>DEC</t>
        </is>
      </c>
      <c r="P1800" t="n">
        <v>2</v>
      </c>
      <c r="Q1800" t="n">
        <v>2</v>
      </c>
      <c r="R1800" t="inlineStr">
        <is>
          <t>357-2024-06-30</t>
        </is>
      </c>
    </row>
    <row r="1801" hidden="1">
      <c r="A1801" t="n">
        <v>357</v>
      </c>
      <c r="B1801" t="inlineStr">
        <is>
          <t>Cartera</t>
        </is>
      </c>
      <c r="C1801" t="inlineStr">
        <is>
          <t>Tesorería</t>
        </is>
      </c>
      <c r="D1801" t="inlineStr">
        <is>
          <t>Semestral</t>
        </is>
      </c>
      <c r="E1801" t="inlineStr">
        <is>
          <t>Positivo</t>
        </is>
      </c>
      <c r="F1801" s="113" t="n">
        <v>45657</v>
      </c>
      <c r="G1801" t="n">
        <v>2024</v>
      </c>
      <c r="H1801" t="inlineStr">
        <is>
          <t>Diciembre</t>
        </is>
      </c>
      <c r="I1801" t="inlineStr">
        <is>
          <t>2024-2</t>
        </is>
      </c>
      <c r="K1801" t="n">
        <v>0.51</v>
      </c>
      <c r="L1801" s="39" t="n"/>
      <c r="M1801" s="39" t="n"/>
      <c r="N1801" t="inlineStr">
        <is>
          <t>Metrica</t>
        </is>
      </c>
      <c r="O1801" t="inlineStr">
        <is>
          <t>DEC</t>
        </is>
      </c>
      <c r="P1801" t="n">
        <v>2</v>
      </c>
      <c r="Q1801" t="n">
        <v>2</v>
      </c>
      <c r="R1801" t="inlineStr">
        <is>
          <t>357-2024-12-31</t>
        </is>
      </c>
    </row>
    <row r="1802" hidden="1">
      <c r="A1802" t="n">
        <v>357</v>
      </c>
      <c r="B1802" t="inlineStr">
        <is>
          <t>Cartera</t>
        </is>
      </c>
      <c r="C1802" t="inlineStr">
        <is>
          <t>Tesorería</t>
        </is>
      </c>
      <c r="D1802" t="inlineStr">
        <is>
          <t>Semestral</t>
        </is>
      </c>
      <c r="E1802" t="inlineStr">
        <is>
          <t>Positivo</t>
        </is>
      </c>
      <c r="F1802" s="113" t="n">
        <v>45838</v>
      </c>
      <c r="G1802" t="n">
        <v>2025</v>
      </c>
      <c r="H1802" t="inlineStr">
        <is>
          <t>Junio</t>
        </is>
      </c>
      <c r="I1802" t="inlineStr">
        <is>
          <t>2025-1</t>
        </is>
      </c>
      <c r="K1802" t="n">
        <v>0.85</v>
      </c>
      <c r="L1802" s="39" t="n"/>
      <c r="M1802" s="39" t="n"/>
      <c r="N1802" t="inlineStr">
        <is>
          <t>Metrica</t>
        </is>
      </c>
      <c r="O1802" t="inlineStr">
        <is>
          <t>DEC</t>
        </is>
      </c>
      <c r="P1802" t="n">
        <v>2</v>
      </c>
      <c r="Q1802" t="n">
        <v>2</v>
      </c>
      <c r="R1802" t="inlineStr">
        <is>
          <t>357-2025-06-30</t>
        </is>
      </c>
    </row>
    <row r="1803" hidden="1">
      <c r="A1803" t="n">
        <v>357</v>
      </c>
      <c r="B1803" t="inlineStr">
        <is>
          <t>Cartera - Metrica</t>
        </is>
      </c>
      <c r="C1803" t="inlineStr">
        <is>
          <t>Tesorería</t>
        </is>
      </c>
      <c r="D1803" t="inlineStr">
        <is>
          <t>Trimestral</t>
        </is>
      </c>
      <c r="E1803" t="inlineStr">
        <is>
          <t>Positivo</t>
        </is>
      </c>
      <c r="F1803" s="113" t="n">
        <v>46022</v>
      </c>
      <c r="G1803" t="n">
        <v>2025</v>
      </c>
      <c r="H1803" t="inlineStr">
        <is>
          <t>Diciembre</t>
        </is>
      </c>
      <c r="I1803" t="inlineStr">
        <is>
          <t>2025-2</t>
        </is>
      </c>
      <c r="J1803" t="n">
        <v>10049277970</v>
      </c>
      <c r="K1803" t="n">
        <v>0.44</v>
      </c>
      <c r="L1803" s="39" t="n">
        <v>4.378424015272811e-11</v>
      </c>
      <c r="M1803" s="39" t="n">
        <v>4.378424015272811e-11</v>
      </c>
      <c r="N1803" t="inlineStr">
        <is>
          <t>Metrica</t>
        </is>
      </c>
      <c r="P1803" t="n">
        <v>0</v>
      </c>
      <c r="Q1803" t="n">
        <v>2</v>
      </c>
      <c r="R1803" t="inlineStr">
        <is>
          <t>357-2025-12-31</t>
        </is>
      </c>
      <c r="S1803" t="inlineStr">
        <is>
          <t>Metrica</t>
        </is>
      </c>
    </row>
    <row r="1804" hidden="1">
      <c r="A1804" t="n">
        <v>358</v>
      </c>
      <c r="B1804" t="inlineStr">
        <is>
          <t>Acompañamiento a estudiantes en practicas</t>
        </is>
      </c>
      <c r="C1804" t="inlineStr">
        <is>
          <t>Prácticas</t>
        </is>
      </c>
      <c r="D1804" t="inlineStr">
        <is>
          <t>Semestral</t>
        </is>
      </c>
      <c r="E1804" t="inlineStr">
        <is>
          <t>Positivo</t>
        </is>
      </c>
      <c r="F1804" s="113" t="n">
        <v>45107</v>
      </c>
      <c r="G1804" t="n">
        <v>2023</v>
      </c>
      <c r="H1804" t="inlineStr">
        <is>
          <t>Junio</t>
        </is>
      </c>
      <c r="I1804" t="inlineStr">
        <is>
          <t>2023-1</t>
        </is>
      </c>
      <c r="J1804" t="n">
        <v>87</v>
      </c>
      <c r="K1804" t="n">
        <v>86.98453608247399</v>
      </c>
      <c r="L1804" s="39" t="n">
        <v>0.9998222538215401</v>
      </c>
      <c r="M1804" s="39" t="n">
        <v>0.9998222538215401</v>
      </c>
      <c r="N1804" t="inlineStr">
        <is>
          <t>%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358-2023-06-30</t>
        </is>
      </c>
    </row>
    <row r="1805" hidden="1">
      <c r="A1805" t="n">
        <v>358</v>
      </c>
      <c r="B1805" t="inlineStr">
        <is>
          <t>Acompañamiento a estudiantes en practicas</t>
        </is>
      </c>
      <c r="C1805" t="inlineStr">
        <is>
          <t>Prácticas</t>
        </is>
      </c>
      <c r="D1805" t="inlineStr">
        <is>
          <t>Semestral</t>
        </is>
      </c>
      <c r="E1805" t="inlineStr">
        <is>
          <t>Positivo</t>
        </is>
      </c>
      <c r="F1805" s="113" t="n">
        <v>45291</v>
      </c>
      <c r="G1805" t="n">
        <v>2023</v>
      </c>
      <c r="H1805" t="inlineStr">
        <is>
          <t>Diciembre</t>
        </is>
      </c>
      <c r="I1805" t="inlineStr">
        <is>
          <t>2023-2</t>
        </is>
      </c>
      <c r="J1805" t="n">
        <v>87</v>
      </c>
      <c r="K1805" t="n">
        <v>95</v>
      </c>
      <c r="L1805" s="39" t="n">
        <v>1.091954022988506</v>
      </c>
      <c r="M1805" s="39" t="n">
        <v>1.091954022988506</v>
      </c>
      <c r="N1805" t="inlineStr">
        <is>
          <t>%</t>
        </is>
      </c>
      <c r="O1805" t="inlineStr">
        <is>
          <t>%</t>
        </is>
      </c>
      <c r="P1805" t="n">
        <v>0</v>
      </c>
      <c r="Q1805" t="n">
        <v>0</v>
      </c>
      <c r="R1805" t="inlineStr">
        <is>
          <t>358-2023-12-31</t>
        </is>
      </c>
    </row>
    <row r="1806" hidden="1">
      <c r="A1806" t="n">
        <v>358</v>
      </c>
      <c r="B1806" t="inlineStr">
        <is>
          <t>Acompañamiento a estudiantes en practicas</t>
        </is>
      </c>
      <c r="C1806" t="inlineStr">
        <is>
          <t>Prácticas</t>
        </is>
      </c>
      <c r="D1806" t="inlineStr">
        <is>
          <t>Semestral</t>
        </is>
      </c>
      <c r="E1806" t="inlineStr">
        <is>
          <t>Positivo</t>
        </is>
      </c>
      <c r="F1806" s="113" t="n">
        <v>45473</v>
      </c>
      <c r="G1806" t="n">
        <v>2024</v>
      </c>
      <c r="H1806" t="inlineStr">
        <is>
          <t>Junio</t>
        </is>
      </c>
      <c r="I1806" t="inlineStr">
        <is>
          <t>2024-1</t>
        </is>
      </c>
      <c r="J1806" t="n">
        <v>87</v>
      </c>
      <c r="K1806" t="n">
        <v>97.98999999999999</v>
      </c>
      <c r="L1806" s="39" t="n">
        <v>1.12632183908046</v>
      </c>
      <c r="M1806" s="39" t="n">
        <v>1.12632183908046</v>
      </c>
      <c r="N1806" t="inlineStr">
        <is>
          <t>%</t>
        </is>
      </c>
      <c r="O1806" t="inlineStr">
        <is>
          <t>%</t>
        </is>
      </c>
      <c r="P1806" t="n">
        <v>0</v>
      </c>
      <c r="Q1806" t="n">
        <v>0</v>
      </c>
      <c r="R1806" t="inlineStr">
        <is>
          <t>358-2024-06-30</t>
        </is>
      </c>
    </row>
    <row r="1807" hidden="1">
      <c r="A1807" t="n">
        <v>358</v>
      </c>
      <c r="B1807" t="inlineStr">
        <is>
          <t>Acompañamiento a estudiantes en practicas</t>
        </is>
      </c>
      <c r="C1807" t="inlineStr">
        <is>
          <t>Prácticas</t>
        </is>
      </c>
      <c r="D1807" t="inlineStr">
        <is>
          <t>Semestral</t>
        </is>
      </c>
      <c r="E1807" t="inlineStr">
        <is>
          <t>Positivo</t>
        </is>
      </c>
      <c r="F1807" s="113" t="n">
        <v>45657</v>
      </c>
      <c r="G1807" t="n">
        <v>2024</v>
      </c>
      <c r="H1807" t="inlineStr">
        <is>
          <t>Diciembre</t>
        </is>
      </c>
      <c r="I1807" t="inlineStr">
        <is>
          <t>2024-2</t>
        </is>
      </c>
      <c r="J1807" t="n">
        <v>87</v>
      </c>
      <c r="K1807" t="n">
        <v>100</v>
      </c>
      <c r="L1807" s="39" t="n">
        <v>1.149425287356322</v>
      </c>
      <c r="M1807" s="39" t="n">
        <v>1.149425287356322</v>
      </c>
      <c r="N1807" t="inlineStr">
        <is>
          <t>%</t>
        </is>
      </c>
      <c r="O1807" t="inlineStr">
        <is>
          <t>%</t>
        </is>
      </c>
      <c r="P1807" t="n">
        <v>0</v>
      </c>
      <c r="Q1807" t="n">
        <v>0</v>
      </c>
      <c r="R1807" t="inlineStr">
        <is>
          <t>358-2024-12-31</t>
        </is>
      </c>
    </row>
    <row r="1808" hidden="1">
      <c r="A1808" t="n">
        <v>358</v>
      </c>
      <c r="B1808" t="inlineStr">
        <is>
          <t>Nivel de acompañamiento a estudiantes en práctica</t>
        </is>
      </c>
      <c r="C1808" t="inlineStr">
        <is>
          <t>Prácticas</t>
        </is>
      </c>
      <c r="D1808" t="inlineStr">
        <is>
          <t>Trimestral</t>
        </is>
      </c>
      <c r="E1808" t="inlineStr">
        <is>
          <t>Positivo</t>
        </is>
      </c>
      <c r="F1808" s="113" t="n">
        <v>45838</v>
      </c>
      <c r="G1808" t="n">
        <v>2025</v>
      </c>
      <c r="H1808" t="inlineStr">
        <is>
          <t>Junio</t>
        </is>
      </c>
      <c r="I1808" t="inlineStr">
        <is>
          <t>2025-1</t>
        </is>
      </c>
      <c r="J1808" t="n">
        <v>100</v>
      </c>
      <c r="K1808" t="n">
        <v>100</v>
      </c>
      <c r="L1808" s="39" t="n">
        <v>1</v>
      </c>
      <c r="M1808" s="39" t="n">
        <v>1</v>
      </c>
      <c r="N1808" t="inlineStr">
        <is>
          <t>%</t>
        </is>
      </c>
      <c r="O1808" t="inlineStr">
        <is>
          <t>%</t>
        </is>
      </c>
      <c r="P1808" t="n">
        <v>0</v>
      </c>
      <c r="Q1808" t="n">
        <v>0</v>
      </c>
      <c r="R1808" t="inlineStr">
        <is>
          <t>358-2025-06-30</t>
        </is>
      </c>
    </row>
    <row r="1809" hidden="1">
      <c r="A1809" t="n">
        <v>358</v>
      </c>
      <c r="B1809" t="inlineStr">
        <is>
          <t>Acompañamiento a estudiantes en practicas</t>
        </is>
      </c>
      <c r="C1809" t="inlineStr">
        <is>
          <t>Prácticas</t>
        </is>
      </c>
      <c r="D1809" t="inlineStr">
        <is>
          <t>Semestral</t>
        </is>
      </c>
      <c r="E1809" t="inlineStr">
        <is>
          <t>Positivo</t>
        </is>
      </c>
      <c r="F1809" s="113" t="n">
        <v>46022</v>
      </c>
      <c r="G1809" t="n">
        <v>2025</v>
      </c>
      <c r="H1809" t="inlineStr">
        <is>
          <t>Diciembre</t>
        </is>
      </c>
      <c r="I1809" t="inlineStr">
        <is>
          <t>2025-2</t>
        </is>
      </c>
      <c r="J1809" t="n">
        <v>100</v>
      </c>
      <c r="K1809" t="n">
        <v>100</v>
      </c>
      <c r="L1809" s="39" t="n">
        <v>1</v>
      </c>
      <c r="M1809" s="39" t="n">
        <v>1</v>
      </c>
      <c r="N1809" t="inlineStr">
        <is>
          <t>%</t>
        </is>
      </c>
      <c r="O1809" t="inlineStr">
        <is>
          <t>%</t>
        </is>
      </c>
      <c r="P1809" t="n">
        <v>0</v>
      </c>
      <c r="Q1809" t="n">
        <v>0</v>
      </c>
      <c r="R1809" t="inlineStr">
        <is>
          <t>358-2025-12-31</t>
        </is>
      </c>
    </row>
    <row r="1810" hidden="1">
      <c r="A1810" t="n">
        <v>359</v>
      </c>
      <c r="B1810" t="inlineStr">
        <is>
          <t>Satisfacción Institucional CSAT</t>
        </is>
      </c>
      <c r="C1810" t="inlineStr">
        <is>
          <t>EXPERIENCIA INSTITUCIONAL</t>
        </is>
      </c>
      <c r="D1810" t="inlineStr">
        <is>
          <t>Trimestral</t>
        </is>
      </c>
      <c r="E1810" t="inlineStr">
        <is>
          <t>Positivo</t>
        </is>
      </c>
      <c r="F1810" s="113" t="n">
        <v>45473</v>
      </c>
      <c r="G1810" t="n">
        <v>2024</v>
      </c>
      <c r="H1810" t="inlineStr">
        <is>
          <t>Junio</t>
        </is>
      </c>
      <c r="I1810" t="inlineStr">
        <is>
          <t>2024-1</t>
        </is>
      </c>
      <c r="J1810" t="n">
        <v>80</v>
      </c>
      <c r="K1810" t="n">
        <v>0</v>
      </c>
      <c r="L1810" s="39" t="n">
        <v>0</v>
      </c>
      <c r="M1810" s="39" t="n">
        <v>0</v>
      </c>
      <c r="N1810" t="inlineStr">
        <is>
          <t>%</t>
        </is>
      </c>
      <c r="O1810" t="inlineStr">
        <is>
          <t>%</t>
        </is>
      </c>
      <c r="P1810" t="n">
        <v>0</v>
      </c>
      <c r="Q1810" t="n">
        <v>0</v>
      </c>
      <c r="R1810" t="inlineStr">
        <is>
          <t>359-2024-06-30</t>
        </is>
      </c>
    </row>
    <row r="1811" hidden="1">
      <c r="A1811" t="n">
        <v>359</v>
      </c>
      <c r="B1811" t="inlineStr">
        <is>
          <t>Satisfacción Institucional</t>
        </is>
      </c>
      <c r="C1811" t="inlineStr">
        <is>
          <t>EXPERIENCIA INSTITUCIONAL</t>
        </is>
      </c>
      <c r="D1811" t="inlineStr">
        <is>
          <t>Semestral</t>
        </is>
      </c>
      <c r="E1811" t="inlineStr">
        <is>
          <t>Positivo</t>
        </is>
      </c>
      <c r="F1811" s="113" t="n">
        <v>45657</v>
      </c>
      <c r="G1811" t="n">
        <v>2024</v>
      </c>
      <c r="H1811" t="inlineStr">
        <is>
          <t>Diciembre</t>
        </is>
      </c>
      <c r="I1811" t="inlineStr">
        <is>
          <t>2024-2</t>
        </is>
      </c>
      <c r="J1811" t="n">
        <v>80</v>
      </c>
      <c r="K1811" t="n">
        <v>86</v>
      </c>
      <c r="L1811" s="39" t="n">
        <v>1.075</v>
      </c>
      <c r="M1811" s="39" t="n">
        <v>1.075</v>
      </c>
      <c r="N1811" t="inlineStr">
        <is>
          <t>%</t>
        </is>
      </c>
      <c r="O1811" t="inlineStr">
        <is>
          <t>%</t>
        </is>
      </c>
      <c r="P1811" t="n">
        <v>0</v>
      </c>
      <c r="Q1811" t="n">
        <v>0</v>
      </c>
      <c r="R1811" t="inlineStr">
        <is>
          <t>359-2024-12-31</t>
        </is>
      </c>
    </row>
    <row r="1812" hidden="1">
      <c r="A1812" t="n">
        <v>359</v>
      </c>
      <c r="B1812" t="inlineStr">
        <is>
          <t>Satisfacción Institucional</t>
        </is>
      </c>
      <c r="C1812" t="inlineStr">
        <is>
          <t>EXPERIENCIA INSTITUCIONAL</t>
        </is>
      </c>
      <c r="D1812" t="inlineStr">
        <is>
          <t>Semestral</t>
        </is>
      </c>
      <c r="E1812" t="inlineStr">
        <is>
          <t>Positivo</t>
        </is>
      </c>
      <c r="F1812" s="113" t="n">
        <v>45838</v>
      </c>
      <c r="G1812" t="n">
        <v>2025</v>
      </c>
      <c r="H1812" t="inlineStr">
        <is>
          <t>Junio</t>
        </is>
      </c>
      <c r="I1812" t="inlineStr">
        <is>
          <t>2025-1</t>
        </is>
      </c>
      <c r="J1812" t="n">
        <v>80</v>
      </c>
      <c r="K1812" t="n">
        <v>90</v>
      </c>
      <c r="L1812" s="39" t="n">
        <v>1.125</v>
      </c>
      <c r="M1812" s="39" t="n">
        <v>1.125</v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359-2025-06-30</t>
        </is>
      </c>
    </row>
    <row r="1813" hidden="1">
      <c r="A1813" t="n">
        <v>359</v>
      </c>
      <c r="B1813" t="inlineStr">
        <is>
          <t>Satisfacción Institucional CSAT</t>
        </is>
      </c>
      <c r="C1813" t="inlineStr">
        <is>
          <t>EXPERIENCIA INSTITUCIONAL</t>
        </is>
      </c>
      <c r="D1813" t="inlineStr">
        <is>
          <t>Trimestral</t>
        </is>
      </c>
      <c r="E1813" t="inlineStr">
        <is>
          <t>Positivo</t>
        </is>
      </c>
      <c r="F1813" s="113" t="n">
        <v>46022</v>
      </c>
      <c r="G1813" t="n">
        <v>2025</v>
      </c>
      <c r="H1813" t="inlineStr">
        <is>
          <t>Diciembre</t>
        </is>
      </c>
      <c r="I1813" t="inlineStr">
        <is>
          <t>2025-2</t>
        </is>
      </c>
      <c r="J1813" t="n">
        <v>85</v>
      </c>
      <c r="K1813" t="n">
        <v>89.90000000000001</v>
      </c>
      <c r="L1813" s="39" t="n">
        <v>1.057647058823529</v>
      </c>
      <c r="M1813" s="39" t="n">
        <v>1.057647058823529</v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359-2025-12-31</t>
        </is>
      </c>
    </row>
    <row r="1814" hidden="1">
      <c r="A1814" t="n">
        <v>360</v>
      </c>
      <c r="B1814" t="inlineStr">
        <is>
          <t>Cumplimiento de cronogramas</t>
        </is>
      </c>
      <c r="C1814" t="inlineStr">
        <is>
          <t>Experiencia institucional</t>
        </is>
      </c>
      <c r="D1814" t="inlineStr">
        <is>
          <t>Semestral</t>
        </is>
      </c>
      <c r="E1814" t="inlineStr">
        <is>
          <t>Positivo</t>
        </is>
      </c>
      <c r="F1814" s="113" t="n">
        <v>45107</v>
      </c>
      <c r="G1814" t="n">
        <v>2023</v>
      </c>
      <c r="H1814" t="inlineStr">
        <is>
          <t>Junio</t>
        </is>
      </c>
      <c r="I1814" t="inlineStr">
        <is>
          <t>2023-1</t>
        </is>
      </c>
      <c r="J1814" t="n">
        <v>0</v>
      </c>
      <c r="K1814" t="n">
        <v>0</v>
      </c>
      <c r="L1814" s="39" t="n">
        <v>1</v>
      </c>
      <c r="M1814" s="39" t="n">
        <v>1</v>
      </c>
      <c r="P1814" t="n">
        <v>0</v>
      </c>
      <c r="Q1814" t="n">
        <v>0</v>
      </c>
      <c r="R1814" t="inlineStr">
        <is>
          <t>360-2023-06-30</t>
        </is>
      </c>
    </row>
    <row r="1815" hidden="1">
      <c r="A1815" t="n">
        <v>360</v>
      </c>
      <c r="B1815" t="inlineStr">
        <is>
          <t>Cumplimiento de cronogramas</t>
        </is>
      </c>
      <c r="C1815" t="inlineStr">
        <is>
          <t>EXPERIENCIA INSTITUCIONAL</t>
        </is>
      </c>
      <c r="D1815" t="inlineStr">
        <is>
          <t>Semestral</t>
        </is>
      </c>
      <c r="E1815" t="inlineStr">
        <is>
          <t>Positivo</t>
        </is>
      </c>
      <c r="F1815" s="113" t="n">
        <v>45291</v>
      </c>
      <c r="G1815" t="n">
        <v>2023</v>
      </c>
      <c r="H1815" t="inlineStr">
        <is>
          <t>Diciembre</t>
        </is>
      </c>
      <c r="I1815" t="inlineStr">
        <is>
          <t>2023-2</t>
        </is>
      </c>
      <c r="J1815" t="n">
        <v>0</v>
      </c>
      <c r="K1815" t="n">
        <v>0</v>
      </c>
      <c r="L1815" s="39" t="n">
        <v>1</v>
      </c>
      <c r="M1815" s="39" t="n">
        <v>1</v>
      </c>
      <c r="P1815" t="n">
        <v>0</v>
      </c>
      <c r="Q1815" t="n">
        <v>0</v>
      </c>
      <c r="R1815" t="inlineStr">
        <is>
          <t>360-2023-12-31</t>
        </is>
      </c>
    </row>
    <row r="1816" hidden="1">
      <c r="A1816" t="n">
        <v>361</v>
      </c>
      <c r="B1816" t="inlineStr">
        <is>
          <t>% Inclusión</t>
        </is>
      </c>
      <c r="C1816" t="inlineStr">
        <is>
          <t>Gestión de la Responsabilidad Social</t>
        </is>
      </c>
      <c r="D1816" t="inlineStr">
        <is>
          <t>Anual</t>
        </is>
      </c>
      <c r="E1816" t="inlineStr">
        <is>
          <t>Positivo</t>
        </is>
      </c>
      <c r="F1816" s="113" t="n">
        <v>45291</v>
      </c>
      <c r="G1816" t="n">
        <v>2023</v>
      </c>
      <c r="H1816" t="inlineStr">
        <is>
          <t>Diciembre</t>
        </is>
      </c>
      <c r="I1816" t="inlineStr">
        <is>
          <t>2023-2</t>
        </is>
      </c>
      <c r="J1816" t="n">
        <v>4.5</v>
      </c>
      <c r="K1816" t="n">
        <v>4.56</v>
      </c>
      <c r="L1816" s="39" t="n">
        <v>1.013333333333333</v>
      </c>
      <c r="M1816" s="39" t="n">
        <v>1.013333333333333</v>
      </c>
      <c r="P1816" t="n">
        <v>2</v>
      </c>
      <c r="Q1816" t="n">
        <v>2</v>
      </c>
      <c r="R1816" t="inlineStr">
        <is>
          <t>361-2023-12-31</t>
        </is>
      </c>
    </row>
    <row r="1817" hidden="1">
      <c r="A1817" t="n">
        <v>361</v>
      </c>
      <c r="B1817" t="inlineStr">
        <is>
          <t>Índice de Inclusión</t>
        </is>
      </c>
      <c r="C1817" t="inlineStr">
        <is>
          <t>Gestión de la Responsabilidad Social</t>
        </is>
      </c>
      <c r="D1817" t="inlineStr">
        <is>
          <t>Anual</t>
        </is>
      </c>
      <c r="E1817" t="inlineStr">
        <is>
          <t>Positivo</t>
        </is>
      </c>
      <c r="F1817" s="113" t="n">
        <v>45657</v>
      </c>
      <c r="G1817" t="n">
        <v>2024</v>
      </c>
      <c r="H1817" t="inlineStr">
        <is>
          <t>Diciembre</t>
        </is>
      </c>
      <c r="I1817" t="inlineStr">
        <is>
          <t>2024-2</t>
        </is>
      </c>
      <c r="L1817" s="39" t="n"/>
      <c r="M1817" s="39" t="n"/>
      <c r="N1817" t="inlineStr">
        <is>
          <t>DEC</t>
        </is>
      </c>
      <c r="O1817" t="inlineStr">
        <is>
          <t>No Aplica</t>
        </is>
      </c>
      <c r="P1817" t="n">
        <v>1</v>
      </c>
      <c r="Q1817" t="n">
        <v>2</v>
      </c>
      <c r="R1817" t="inlineStr">
        <is>
          <t>361-2024-12-31</t>
        </is>
      </c>
      <c r="S1817" t="inlineStr">
        <is>
          <t>No Aplica</t>
        </is>
      </c>
    </row>
    <row r="1818">
      <c r="A1818" t="n">
        <v>361</v>
      </c>
      <c r="B1818" t="inlineStr">
        <is>
          <t>Índice de Inclusión</t>
        </is>
      </c>
      <c r="C1818" t="inlineStr">
        <is>
          <t>Gestión de la Responsabilidad Social</t>
        </is>
      </c>
      <c r="D1818" t="inlineStr">
        <is>
          <t>Anual</t>
        </is>
      </c>
      <c r="E1818" t="inlineStr">
        <is>
          <t>Positivo</t>
        </is>
      </c>
      <c r="F1818" s="113" t="n">
        <v>46022</v>
      </c>
      <c r="G1818" t="n">
        <v>2025</v>
      </c>
      <c r="H1818" t="inlineStr">
        <is>
          <t>Diciembre</t>
        </is>
      </c>
      <c r="I1818" t="inlineStr">
        <is>
          <t>2025-2</t>
        </is>
      </c>
      <c r="J1818" t="n">
        <v>4.6</v>
      </c>
      <c r="K1818" t="n">
        <v>4.78</v>
      </c>
      <c r="L1818" s="39" t="n">
        <v>1.039130434782609</v>
      </c>
      <c r="M1818" s="39" t="n">
        <v>1.039130434782609</v>
      </c>
      <c r="N1818" t="inlineStr">
        <is>
          <t>DEC</t>
        </is>
      </c>
      <c r="O1818" t="inlineStr">
        <is>
          <t>DEC</t>
        </is>
      </c>
      <c r="P1818" t="n">
        <v>1</v>
      </c>
      <c r="Q1818" t="n">
        <v>2</v>
      </c>
      <c r="R1818" t="inlineStr">
        <is>
          <t>361-2025-12-31</t>
        </is>
      </c>
    </row>
    <row r="1819">
      <c r="A1819" t="n">
        <v>362</v>
      </c>
      <c r="B1819" t="inlineStr">
        <is>
          <t>Aseguramiento de matricula académica presencial</t>
        </is>
      </c>
      <c r="C1819" t="inlineStr">
        <is>
          <t>Operaciones Académicas</t>
        </is>
      </c>
      <c r="D1819" t="inlineStr">
        <is>
          <t>Trimestral</t>
        </is>
      </c>
      <c r="E1819" t="inlineStr">
        <is>
          <t>Positivo</t>
        </is>
      </c>
      <c r="F1819" s="113" t="n">
        <v>45016</v>
      </c>
      <c r="G1819" t="n">
        <v>2023</v>
      </c>
      <c r="H1819" t="inlineStr">
        <is>
          <t>Marzo</t>
        </is>
      </c>
      <c r="I1819" t="inlineStr">
        <is>
          <t>2023-1</t>
        </is>
      </c>
      <c r="L1819" s="39" t="n"/>
      <c r="M1819" s="39" t="n"/>
      <c r="N1819" t="inlineStr">
        <is>
          <t>%</t>
        </is>
      </c>
      <c r="O1819" t="inlineStr">
        <is>
          <t>No Aplica</t>
        </is>
      </c>
      <c r="P1819" t="n">
        <v>0</v>
      </c>
      <c r="Q1819" t="n">
        <v>0</v>
      </c>
      <c r="R1819" t="inlineStr">
        <is>
          <t>362-2023-03-31</t>
        </is>
      </c>
      <c r="S1819" t="inlineStr">
        <is>
          <t>No Aplica</t>
        </is>
      </c>
    </row>
    <row r="1820">
      <c r="A1820" t="n">
        <v>362</v>
      </c>
      <c r="B1820" t="inlineStr">
        <is>
          <t>Aseguramiento de matricula académica presencial</t>
        </is>
      </c>
      <c r="C1820" t="inlineStr">
        <is>
          <t>Operaciones Académicas</t>
        </is>
      </c>
      <c r="D1820" t="inlineStr">
        <is>
          <t>Trimestral</t>
        </is>
      </c>
      <c r="E1820" t="inlineStr">
        <is>
          <t>Positivo</t>
        </is>
      </c>
      <c r="F1820" s="113" t="n">
        <v>45107</v>
      </c>
      <c r="G1820" t="n">
        <v>2023</v>
      </c>
      <c r="H1820" t="inlineStr">
        <is>
          <t>Junio</t>
        </is>
      </c>
      <c r="I1820" t="inlineStr">
        <is>
          <t>2023-1</t>
        </is>
      </c>
      <c r="L1820" s="39" t="n"/>
      <c r="M1820" s="39" t="n"/>
      <c r="N1820" t="inlineStr">
        <is>
          <t>%</t>
        </is>
      </c>
      <c r="O1820" t="inlineStr">
        <is>
          <t>No Aplica</t>
        </is>
      </c>
      <c r="P1820" t="n">
        <v>0</v>
      </c>
      <c r="Q1820" t="n">
        <v>0</v>
      </c>
      <c r="R1820" t="inlineStr">
        <is>
          <t>362-2023-06-30</t>
        </is>
      </c>
      <c r="S1820" t="inlineStr">
        <is>
          <t>No Aplica</t>
        </is>
      </c>
    </row>
    <row r="1821">
      <c r="A1821" t="n">
        <v>362</v>
      </c>
      <c r="B1821" t="inlineStr">
        <is>
          <t>Aseguramiento de matricula académica presencial</t>
        </is>
      </c>
      <c r="C1821" t="inlineStr">
        <is>
          <t>Operaciones Académicas</t>
        </is>
      </c>
      <c r="D1821" t="inlineStr">
        <is>
          <t>Semestral</t>
        </is>
      </c>
      <c r="E1821" t="inlineStr">
        <is>
          <t>Positivo</t>
        </is>
      </c>
      <c r="F1821" s="113" t="n">
        <v>45291</v>
      </c>
      <c r="G1821" t="n">
        <v>2023</v>
      </c>
      <c r="H1821" t="inlineStr">
        <is>
          <t>Diciembre</t>
        </is>
      </c>
      <c r="I1821" t="inlineStr">
        <is>
          <t>2023-2</t>
        </is>
      </c>
      <c r="J1821" t="n">
        <v>100</v>
      </c>
      <c r="K1821" t="n">
        <v>99.156641448592</v>
      </c>
      <c r="L1821" s="39" t="n">
        <v>0.99156641448592</v>
      </c>
      <c r="M1821" s="39" t="n">
        <v>0.99156641448592</v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362-2023-12-31</t>
        </is>
      </c>
    </row>
    <row r="1822">
      <c r="A1822" t="n">
        <v>362</v>
      </c>
      <c r="B1822" t="inlineStr">
        <is>
          <t>Aseguramiento de matricula académica presencial</t>
        </is>
      </c>
      <c r="C1822" t="inlineStr">
        <is>
          <t>Operaciones Académicas</t>
        </is>
      </c>
      <c r="D1822" t="inlineStr">
        <is>
          <t>Semestral</t>
        </is>
      </c>
      <c r="E1822" t="inlineStr">
        <is>
          <t>Positivo</t>
        </is>
      </c>
      <c r="F1822" s="113" t="n">
        <v>45473</v>
      </c>
      <c r="G1822" t="n">
        <v>2024</v>
      </c>
      <c r="H1822" t="inlineStr">
        <is>
          <t>Junio</t>
        </is>
      </c>
      <c r="I1822" t="inlineStr">
        <is>
          <t>2024-1</t>
        </is>
      </c>
      <c r="J1822" t="n">
        <v>98</v>
      </c>
      <c r="K1822" t="n">
        <v>99.58432304038006</v>
      </c>
      <c r="L1822" s="39" t="n">
        <v>1.016166561636531</v>
      </c>
      <c r="M1822" s="39" t="n">
        <v>1.016166561636531</v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362-2024-06-30</t>
        </is>
      </c>
    </row>
    <row r="1823">
      <c r="A1823" t="n">
        <v>362</v>
      </c>
      <c r="B1823" t="inlineStr">
        <is>
          <t>Aseguramiento de matricula académica presencial</t>
        </is>
      </c>
      <c r="C1823" t="inlineStr">
        <is>
          <t>Operaciones Académicas</t>
        </is>
      </c>
      <c r="D1823" t="inlineStr">
        <is>
          <t>Semestral</t>
        </is>
      </c>
      <c r="E1823" t="inlineStr">
        <is>
          <t>Positivo</t>
        </is>
      </c>
      <c r="F1823" s="113" t="n">
        <v>45657</v>
      </c>
      <c r="G1823" t="n">
        <v>2024</v>
      </c>
      <c r="H1823" t="inlineStr">
        <is>
          <t>Diciembre</t>
        </is>
      </c>
      <c r="I1823" t="inlineStr">
        <is>
          <t>2024-2</t>
        </is>
      </c>
      <c r="J1823" t="n">
        <v>98</v>
      </c>
      <c r="K1823" t="n">
        <v>99.48999999999999</v>
      </c>
      <c r="L1823" s="39" t="n">
        <v>1.015204081632653</v>
      </c>
      <c r="M1823" s="39" t="n">
        <v>1.015204081632653</v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362-2024-12-31</t>
        </is>
      </c>
    </row>
    <row r="1824">
      <c r="A1824" t="n">
        <v>362</v>
      </c>
      <c r="B1824" t="inlineStr">
        <is>
          <t>Aseguramiento de matricula académica presencial</t>
        </is>
      </c>
      <c r="C1824" t="inlineStr">
        <is>
          <t>Operaciones Académicas</t>
        </is>
      </c>
      <c r="D1824" t="inlineStr">
        <is>
          <t>Semestral</t>
        </is>
      </c>
      <c r="E1824" t="inlineStr">
        <is>
          <t>Positivo</t>
        </is>
      </c>
      <c r="F1824" s="113" t="n">
        <v>45838</v>
      </c>
      <c r="G1824" t="n">
        <v>2025</v>
      </c>
      <c r="H1824" t="inlineStr">
        <is>
          <t>Junio</t>
        </is>
      </c>
      <c r="I1824" t="inlineStr">
        <is>
          <t>2025-1</t>
        </is>
      </c>
      <c r="J1824" t="n">
        <v>98</v>
      </c>
      <c r="K1824" t="n">
        <v>99.63</v>
      </c>
      <c r="L1824" s="39" t="n">
        <v>1.016632653061224</v>
      </c>
      <c r="M1824" s="39" t="n">
        <v>1.016632653061224</v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362-2025-06-30</t>
        </is>
      </c>
    </row>
    <row r="1825">
      <c r="A1825" t="n">
        <v>362</v>
      </c>
      <c r="B1825" t="inlineStr">
        <is>
          <t>Aseguramiento de matricula académica presencial</t>
        </is>
      </c>
      <c r="C1825" t="inlineStr">
        <is>
          <t>Operaciones Académicas</t>
        </is>
      </c>
      <c r="D1825" t="inlineStr">
        <is>
          <t>Trimestral</t>
        </is>
      </c>
      <c r="E1825" t="inlineStr">
        <is>
          <t>Positivo</t>
        </is>
      </c>
      <c r="F1825" s="113" t="n">
        <v>46022</v>
      </c>
      <c r="G1825" t="n">
        <v>2025</v>
      </c>
      <c r="H1825" t="inlineStr">
        <is>
          <t>Diciembre</t>
        </is>
      </c>
      <c r="I1825" t="inlineStr">
        <is>
          <t>2025-2</t>
        </is>
      </c>
      <c r="J1825" t="n">
        <v>98</v>
      </c>
      <c r="K1825" t="n">
        <v>99.7</v>
      </c>
      <c r="L1825" s="39" t="n">
        <v>1.01734693877551</v>
      </c>
      <c r="M1825" s="39" t="n">
        <v>1.01734693877551</v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362-2025-12-31</t>
        </is>
      </c>
    </row>
    <row r="1826">
      <c r="A1826" t="n">
        <v>363</v>
      </c>
      <c r="B1826" t="inlineStr">
        <is>
          <t>Seguimiento a la parametrización de aulas master y secciones de asignaturas</t>
        </is>
      </c>
      <c r="C1826" t="inlineStr">
        <is>
          <t>Operaciones Académicas</t>
        </is>
      </c>
      <c r="D1826" t="inlineStr">
        <is>
          <t>Semestral</t>
        </is>
      </c>
      <c r="E1826" t="inlineStr">
        <is>
          <t>Positivo</t>
        </is>
      </c>
      <c r="F1826" s="113" t="n">
        <v>45291</v>
      </c>
      <c r="G1826" t="n">
        <v>2023</v>
      </c>
      <c r="H1826" t="inlineStr">
        <is>
          <t>Diciembre</t>
        </is>
      </c>
      <c r="I1826" t="inlineStr">
        <is>
          <t>2023-2</t>
        </is>
      </c>
      <c r="J1826" t="n">
        <v>100</v>
      </c>
      <c r="K1826" t="n">
        <v>100</v>
      </c>
      <c r="L1826" s="39" t="n">
        <v>1</v>
      </c>
      <c r="M1826" s="39" t="n">
        <v>1</v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363-2023-12-31</t>
        </is>
      </c>
    </row>
    <row r="1827">
      <c r="A1827" t="n">
        <v>363</v>
      </c>
      <c r="B1827" t="inlineStr">
        <is>
          <t>Seguimiento a la parametrización de aulas master y secciones de asignaturas</t>
        </is>
      </c>
      <c r="C1827" t="inlineStr">
        <is>
          <t>Operaciones Académicas</t>
        </is>
      </c>
      <c r="D1827" t="inlineStr">
        <is>
          <t>Semestral</t>
        </is>
      </c>
      <c r="E1827" t="inlineStr">
        <is>
          <t>Positivo</t>
        </is>
      </c>
      <c r="F1827" s="113" t="n">
        <v>45473</v>
      </c>
      <c r="G1827" t="n">
        <v>2024</v>
      </c>
      <c r="H1827" t="inlineStr">
        <is>
          <t>Junio</t>
        </is>
      </c>
      <c r="I1827" t="inlineStr">
        <is>
          <t>2024-1</t>
        </is>
      </c>
      <c r="J1827" t="n">
        <v>100</v>
      </c>
      <c r="K1827" t="n">
        <v>100</v>
      </c>
      <c r="L1827" s="39" t="n">
        <v>1</v>
      </c>
      <c r="M1827" s="39" t="n">
        <v>1</v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363-2024-06-30</t>
        </is>
      </c>
    </row>
    <row r="1828">
      <c r="A1828" t="n">
        <v>363</v>
      </c>
      <c r="B1828" t="inlineStr">
        <is>
          <t>Seguimiento a la parametrización de aulas master y secciones de asignaturas</t>
        </is>
      </c>
      <c r="C1828" t="inlineStr">
        <is>
          <t>Operaciones Académicas</t>
        </is>
      </c>
      <c r="D1828" t="inlineStr">
        <is>
          <t>Semestral</t>
        </is>
      </c>
      <c r="E1828" t="inlineStr">
        <is>
          <t>Positivo</t>
        </is>
      </c>
      <c r="F1828" s="113" t="n">
        <v>45657</v>
      </c>
      <c r="G1828" t="n">
        <v>2024</v>
      </c>
      <c r="H1828" t="inlineStr">
        <is>
          <t>Diciembre</t>
        </is>
      </c>
      <c r="I1828" t="inlineStr">
        <is>
          <t>2024-2</t>
        </is>
      </c>
      <c r="J1828" t="n">
        <v>100</v>
      </c>
      <c r="K1828" t="n">
        <v>100</v>
      </c>
      <c r="L1828" s="39" t="n">
        <v>1</v>
      </c>
      <c r="M1828" s="39" t="n">
        <v>1</v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363-2024-12-31</t>
        </is>
      </c>
    </row>
    <row r="1829" hidden="1">
      <c r="A1829" t="n">
        <v>363</v>
      </c>
      <c r="B1829" t="inlineStr">
        <is>
          <t>Seguimiento a la parametrización de aulas master y secciones de asignaturas</t>
        </is>
      </c>
      <c r="C1829" t="inlineStr">
        <is>
          <t>Operaciones Académicas</t>
        </is>
      </c>
      <c r="D1829" t="inlineStr">
        <is>
          <t>Trimestral</t>
        </is>
      </c>
      <c r="E1829" t="inlineStr">
        <is>
          <t>Positivo</t>
        </is>
      </c>
      <c r="F1829" s="113" t="n">
        <v>45838</v>
      </c>
      <c r="G1829" t="n">
        <v>2025</v>
      </c>
      <c r="H1829" t="inlineStr">
        <is>
          <t>Junio</t>
        </is>
      </c>
      <c r="I1829" t="inlineStr">
        <is>
          <t>2025-1</t>
        </is>
      </c>
      <c r="J1829" t="n">
        <v>100</v>
      </c>
      <c r="K1829" t="n">
        <v>100</v>
      </c>
      <c r="L1829" s="39" t="n">
        <v>1</v>
      </c>
      <c r="M1829" s="39" t="n">
        <v>1</v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363-2025-06-30</t>
        </is>
      </c>
    </row>
    <row r="1830" hidden="1">
      <c r="A1830" t="n">
        <v>363</v>
      </c>
      <c r="B1830" t="inlineStr">
        <is>
          <t>Seguimiento a la parametrización de aulas master y secciones de asignaturas</t>
        </is>
      </c>
      <c r="C1830" t="inlineStr">
        <is>
          <t>Operaciones Académicas</t>
        </is>
      </c>
      <c r="D1830" t="inlineStr">
        <is>
          <t>Trimestral</t>
        </is>
      </c>
      <c r="E1830" t="inlineStr">
        <is>
          <t>Positivo</t>
        </is>
      </c>
      <c r="F1830" s="113" t="n">
        <v>46022</v>
      </c>
      <c r="G1830" t="n">
        <v>2025</v>
      </c>
      <c r="H1830" t="inlineStr">
        <is>
          <t>Diciembre</t>
        </is>
      </c>
      <c r="I1830" t="inlineStr">
        <is>
          <t>2025-2</t>
        </is>
      </c>
      <c r="J1830" t="n">
        <v>100</v>
      </c>
      <c r="K1830" t="n">
        <v>100</v>
      </c>
      <c r="L1830" s="39" t="n">
        <v>1</v>
      </c>
      <c r="M1830" s="39" t="n">
        <v>1</v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363-2025-12-31</t>
        </is>
      </c>
    </row>
    <row r="1831" hidden="1">
      <c r="A1831" t="n">
        <v>364</v>
      </c>
      <c r="B1831" t="inlineStr">
        <is>
          <t>Impacto de actividades de Responsabilidad y proyección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Negativo</t>
        </is>
      </c>
      <c r="F1831" s="113" t="n">
        <v>45107</v>
      </c>
      <c r="G1831" t="n">
        <v>2023</v>
      </c>
      <c r="H1831" t="inlineStr">
        <is>
          <t>Junio</t>
        </is>
      </c>
      <c r="I1831" t="inlineStr">
        <is>
          <t>2023-1</t>
        </is>
      </c>
      <c r="J1831" t="n">
        <v>0</v>
      </c>
      <c r="K1831" t="n">
        <v>30244</v>
      </c>
      <c r="L1831" s="39" t="n"/>
      <c r="M1831" s="39" t="n"/>
      <c r="P1831" t="n">
        <v>0</v>
      </c>
      <c r="Q1831" t="n">
        <v>0</v>
      </c>
      <c r="R1831" t="inlineStr">
        <is>
          <t>364-2023-06-30</t>
        </is>
      </c>
    </row>
    <row r="1832" hidden="1">
      <c r="A1832" t="n">
        <v>364</v>
      </c>
      <c r="B1832" t="inlineStr">
        <is>
          <t>Impacto de actividades de Responsabilidad y proyección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Negativo</t>
        </is>
      </c>
      <c r="F1832" s="113" t="n">
        <v>45291</v>
      </c>
      <c r="G1832" t="n">
        <v>2023</v>
      </c>
      <c r="H1832" t="inlineStr">
        <is>
          <t>Diciembre</t>
        </is>
      </c>
      <c r="I1832" t="inlineStr">
        <is>
          <t>2023-2</t>
        </is>
      </c>
      <c r="J1832" t="n">
        <v>0</v>
      </c>
      <c r="K1832" t="n">
        <v>78450</v>
      </c>
      <c r="L1832" s="39" t="n"/>
      <c r="M1832" s="39" t="n"/>
      <c r="P1832" t="n">
        <v>0</v>
      </c>
      <c r="Q1832" t="n">
        <v>0</v>
      </c>
      <c r="R1832" t="inlineStr">
        <is>
          <t>364-2023-12-31</t>
        </is>
      </c>
    </row>
    <row r="1833" hidden="1">
      <c r="A1833" t="n">
        <v>364</v>
      </c>
      <c r="B1833" t="inlineStr">
        <is>
          <t>Impacto de actividades de Responsabilidad y proyección</t>
        </is>
      </c>
      <c r="C1833" t="inlineStr">
        <is>
          <t>Gestión de la Responsabilidad Social</t>
        </is>
      </c>
      <c r="D1833" t="inlineStr">
        <is>
          <t>Semestral</t>
        </is>
      </c>
      <c r="E1833" t="inlineStr">
        <is>
          <t>Negativo</t>
        </is>
      </c>
      <c r="F1833" s="113" t="n">
        <v>45473</v>
      </c>
      <c r="G1833" t="n">
        <v>2024</v>
      </c>
      <c r="H1833" t="inlineStr">
        <is>
          <t>Junio</t>
        </is>
      </c>
      <c r="I1833" t="inlineStr">
        <is>
          <t>2024-1</t>
        </is>
      </c>
      <c r="J1833" t="n">
        <v>100</v>
      </c>
      <c r="K1833" t="n">
        <v>132.73</v>
      </c>
      <c r="L1833" s="39" t="n">
        <v>0.7534091765237702</v>
      </c>
      <c r="M1833" s="39" t="n">
        <v>0.7534091765237702</v>
      </c>
      <c r="P1833" t="n">
        <v>0</v>
      </c>
      <c r="Q1833" t="n">
        <v>0</v>
      </c>
      <c r="R1833" t="inlineStr">
        <is>
          <t>364-2024-06-30</t>
        </is>
      </c>
    </row>
    <row r="1834" hidden="1">
      <c r="A1834" t="n">
        <v>364</v>
      </c>
      <c r="B1834" t="inlineStr">
        <is>
          <t>Impacto de actividades de Responsabilidad y proyección</t>
        </is>
      </c>
      <c r="C1834" t="inlineStr">
        <is>
          <t>Gestión de la Responsabilidad Social</t>
        </is>
      </c>
      <c r="D1834" t="inlineStr">
        <is>
          <t>Semestral</t>
        </is>
      </c>
      <c r="E1834" t="inlineStr">
        <is>
          <t>Positivo</t>
        </is>
      </c>
      <c r="F1834" s="113" t="n">
        <v>45657</v>
      </c>
      <c r="G1834" t="n">
        <v>2024</v>
      </c>
      <c r="H1834" t="inlineStr">
        <is>
          <t>Diciembre</t>
        </is>
      </c>
      <c r="I1834" t="inlineStr">
        <is>
          <t>2024-2</t>
        </is>
      </c>
      <c r="J1834" t="n">
        <v>100</v>
      </c>
      <c r="K1834" t="n">
        <v>98.09</v>
      </c>
      <c r="L1834" s="39" t="n">
        <v>0.9809</v>
      </c>
      <c r="M1834" s="39" t="n">
        <v>0.9809</v>
      </c>
      <c r="P1834" t="n">
        <v>0</v>
      </c>
      <c r="Q1834" t="n">
        <v>0</v>
      </c>
      <c r="R1834" t="inlineStr">
        <is>
          <t>364-2024-12-31</t>
        </is>
      </c>
    </row>
    <row r="1835" hidden="1">
      <c r="A1835" t="n">
        <v>364</v>
      </c>
      <c r="B1835" t="inlineStr">
        <is>
          <t>Impacto de actividades de Responsabilidad y proyección</t>
        </is>
      </c>
      <c r="C1835" t="inlineStr">
        <is>
          <t>Gestión de la Responsabilidad Social</t>
        </is>
      </c>
      <c r="D1835" t="inlineStr">
        <is>
          <t>Trimestral</t>
        </is>
      </c>
      <c r="E1835" t="inlineStr">
        <is>
          <t>Positivo</t>
        </is>
      </c>
      <c r="F1835" s="113" t="n">
        <v>45838</v>
      </c>
      <c r="G1835" t="n">
        <v>2025</v>
      </c>
      <c r="H1835" t="inlineStr">
        <is>
          <t>Junio</t>
        </is>
      </c>
      <c r="I1835" t="inlineStr">
        <is>
          <t>2025-1</t>
        </is>
      </c>
      <c r="J1835" t="n">
        <v>100</v>
      </c>
      <c r="K1835" t="n">
        <v>93.89</v>
      </c>
      <c r="L1835" s="39" t="n">
        <v>0.9389</v>
      </c>
      <c r="M1835" s="39" t="n">
        <v>0.9389</v>
      </c>
      <c r="N1835" t="inlineStr">
        <is>
          <t>ENT</t>
        </is>
      </c>
      <c r="O1835" t="inlineStr">
        <is>
          <t>ENT</t>
        </is>
      </c>
      <c r="P1835" t="n">
        <v>0</v>
      </c>
      <c r="Q1835" t="n">
        <v>0</v>
      </c>
      <c r="R1835" t="inlineStr">
        <is>
          <t>364-2025-06-30</t>
        </is>
      </c>
    </row>
    <row r="1836" hidden="1">
      <c r="A1836" t="n">
        <v>364</v>
      </c>
      <c r="B1836" t="inlineStr">
        <is>
          <t>Impacto de actividades de Responsabilidad y proyección</t>
        </is>
      </c>
      <c r="C1836" t="inlineStr">
        <is>
          <t>Gestión de la Responsabilidad Social</t>
        </is>
      </c>
      <c r="D1836" t="inlineStr">
        <is>
          <t>Trimestral</t>
        </is>
      </c>
      <c r="E1836" t="inlineStr">
        <is>
          <t>Positivo</t>
        </is>
      </c>
      <c r="F1836" s="113" t="n">
        <v>46022</v>
      </c>
      <c r="G1836" t="n">
        <v>2025</v>
      </c>
      <c r="H1836" t="inlineStr">
        <is>
          <t>Diciembre</t>
        </is>
      </c>
      <c r="I1836" t="inlineStr">
        <is>
          <t>2025-2</t>
        </is>
      </c>
      <c r="J1836" t="n">
        <v>100</v>
      </c>
      <c r="K1836" t="n">
        <v>78.11</v>
      </c>
      <c r="L1836" s="39" t="n">
        <v>0.7811</v>
      </c>
      <c r="M1836" s="39" t="n">
        <v>0.7811</v>
      </c>
      <c r="N1836" t="inlineStr">
        <is>
          <t>ENT</t>
        </is>
      </c>
      <c r="O1836" t="inlineStr">
        <is>
          <t>ENT</t>
        </is>
      </c>
      <c r="P1836" t="n">
        <v>0</v>
      </c>
      <c r="Q1836" t="n">
        <v>0</v>
      </c>
      <c r="R1836" t="inlineStr">
        <is>
          <t>364-2025-12-31</t>
        </is>
      </c>
    </row>
    <row r="1837" hidden="1">
      <c r="A1837" t="n">
        <v>365</v>
      </c>
      <c r="B1837" t="inlineStr">
        <is>
          <t>Seguimiento de asignación docente a NRC Pregrado-Posgrado Presencial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13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39" t="n">
        <v>1</v>
      </c>
      <c r="M1837" s="39" t="n">
        <v>1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365-2023-12-31</t>
        </is>
      </c>
    </row>
    <row r="1838" hidden="1">
      <c r="A1838" t="n">
        <v>366</v>
      </c>
      <c r="B1838" t="inlineStr">
        <is>
          <t>Normalización de cobros pecuniarios</t>
        </is>
      </c>
      <c r="C1838" t="inlineStr">
        <is>
          <t>Operaciones Académicas</t>
        </is>
      </c>
      <c r="D1838" t="inlineStr">
        <is>
          <t>Anual</t>
        </is>
      </c>
      <c r="E1838" t="inlineStr">
        <is>
          <t>Positivo</t>
        </is>
      </c>
      <c r="F1838" s="113" t="n">
        <v>45291</v>
      </c>
      <c r="G1838" t="n">
        <v>2023</v>
      </c>
      <c r="H1838" t="inlineStr">
        <is>
          <t>Diciembre</t>
        </is>
      </c>
      <c r="I1838" t="inlineStr">
        <is>
          <t>2023-2</t>
        </is>
      </c>
      <c r="J1838" t="n">
        <v>100</v>
      </c>
      <c r="K1838" t="n">
        <v>100</v>
      </c>
      <c r="L1838" s="39" t="n">
        <v>1</v>
      </c>
      <c r="M1838" s="39" t="n">
        <v>1</v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366-2023-12-31</t>
        </is>
      </c>
    </row>
    <row r="1839" hidden="1">
      <c r="A1839" t="n">
        <v>366</v>
      </c>
      <c r="B1839" t="inlineStr">
        <is>
          <t>Normalización de cobros pecuniarios</t>
        </is>
      </c>
      <c r="C1839" t="inlineStr">
        <is>
          <t>Operaciones Académicas</t>
        </is>
      </c>
      <c r="D1839" t="inlineStr">
        <is>
          <t>Anual</t>
        </is>
      </c>
      <c r="E1839" t="inlineStr">
        <is>
          <t>Positivo</t>
        </is>
      </c>
      <c r="F1839" s="113" t="n">
        <v>45657</v>
      </c>
      <c r="G1839" t="n">
        <v>2024</v>
      </c>
      <c r="H1839" t="inlineStr">
        <is>
          <t>Diciembre</t>
        </is>
      </c>
      <c r="I1839" t="inlineStr">
        <is>
          <t>2024-2</t>
        </is>
      </c>
      <c r="J1839" t="n">
        <v>100</v>
      </c>
      <c r="K1839" t="n">
        <v>100</v>
      </c>
      <c r="L1839" s="39" t="n">
        <v>1</v>
      </c>
      <c r="M1839" s="39" t="n">
        <v>1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366-2024-12-31</t>
        </is>
      </c>
    </row>
    <row r="1840" hidden="1">
      <c r="A1840" t="n">
        <v>366</v>
      </c>
      <c r="B1840" t="inlineStr">
        <is>
          <t>Normalización de cobros pecuniarios</t>
        </is>
      </c>
      <c r="C1840" t="inlineStr">
        <is>
          <t>Operaciones Académicas</t>
        </is>
      </c>
      <c r="D1840" t="inlineStr">
        <is>
          <t>Anual</t>
        </is>
      </c>
      <c r="E1840" t="inlineStr">
        <is>
          <t>Positivo</t>
        </is>
      </c>
      <c r="F1840" s="113" t="n">
        <v>46022</v>
      </c>
      <c r="G1840" t="n">
        <v>2025</v>
      </c>
      <c r="H1840" t="inlineStr">
        <is>
          <t>Diciembre</t>
        </is>
      </c>
      <c r="I1840" t="inlineStr">
        <is>
          <t>2025-2</t>
        </is>
      </c>
      <c r="J1840" t="n">
        <v>100</v>
      </c>
      <c r="K1840" t="n">
        <v>100</v>
      </c>
      <c r="L1840" s="39" t="n">
        <v>1</v>
      </c>
      <c r="M1840" s="39" t="n">
        <v>1</v>
      </c>
      <c r="N1840" t="inlineStr">
        <is>
          <t>ENT</t>
        </is>
      </c>
      <c r="O1840" t="inlineStr">
        <is>
          <t>ENT</t>
        </is>
      </c>
      <c r="P1840" t="n">
        <v>0</v>
      </c>
      <c r="Q1840" t="n">
        <v>0</v>
      </c>
      <c r="R1840" t="inlineStr">
        <is>
          <t>366-2025-12-31</t>
        </is>
      </c>
    </row>
    <row r="1841" hidden="1">
      <c r="A1841" t="n">
        <v>367</v>
      </c>
      <c r="B1841" t="inlineStr">
        <is>
          <t>% Estudiantes con Becas</t>
        </is>
      </c>
      <c r="C1841" t="inlineStr">
        <is>
          <t>Gestión de la Responsabilidad Social</t>
        </is>
      </c>
      <c r="D1841" t="inlineStr">
        <is>
          <t>Anual</t>
        </is>
      </c>
      <c r="E1841" t="inlineStr">
        <is>
          <t>Positivo</t>
        </is>
      </c>
      <c r="F1841" s="113" t="n">
        <v>45291</v>
      </c>
      <c r="G1841" t="n">
        <v>2023</v>
      </c>
      <c r="H1841" t="inlineStr">
        <is>
          <t>Diciembre</t>
        </is>
      </c>
      <c r="I1841" t="inlineStr">
        <is>
          <t>2023-2</t>
        </is>
      </c>
      <c r="J1841" t="n">
        <v>5</v>
      </c>
      <c r="K1841" t="n">
        <v>6.249756705204562</v>
      </c>
      <c r="L1841" s="39" t="n">
        <v>1.249951341040912</v>
      </c>
      <c r="M1841" s="39" t="n">
        <v>1.249951341040912</v>
      </c>
      <c r="N1841" t="inlineStr">
        <is>
          <t>%</t>
        </is>
      </c>
      <c r="O1841" t="inlineStr">
        <is>
          <t>%</t>
        </is>
      </c>
      <c r="P1841" t="n">
        <v>2</v>
      </c>
      <c r="Q1841" t="n">
        <v>2</v>
      </c>
      <c r="R1841" t="inlineStr">
        <is>
          <t>367-2023-12-31</t>
        </is>
      </c>
    </row>
    <row r="1842" hidden="1">
      <c r="A1842" t="n">
        <v>367</v>
      </c>
      <c r="B1842" t="inlineStr">
        <is>
          <t>Estudiantes con Becas</t>
        </is>
      </c>
      <c r="C1842" t="inlineStr">
        <is>
          <t>Gestión de la Responsabilidad Social</t>
        </is>
      </c>
      <c r="D1842" t="inlineStr">
        <is>
          <t>Anual</t>
        </is>
      </c>
      <c r="E1842" t="inlineStr">
        <is>
          <t>Positivo</t>
        </is>
      </c>
      <c r="F1842" s="113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5</v>
      </c>
      <c r="K1842" t="n">
        <v>4.96</v>
      </c>
      <c r="L1842" s="39" t="n">
        <v>0.992</v>
      </c>
      <c r="M1842" s="39" t="n">
        <v>0.992</v>
      </c>
      <c r="N1842" t="inlineStr">
        <is>
          <t>%</t>
        </is>
      </c>
      <c r="O1842" t="inlineStr">
        <is>
          <t>%</t>
        </is>
      </c>
      <c r="P1842" t="n">
        <v>2</v>
      </c>
      <c r="Q1842" t="n">
        <v>2</v>
      </c>
      <c r="R1842" t="inlineStr">
        <is>
          <t>367-2024-12-31</t>
        </is>
      </c>
    </row>
    <row r="1843" hidden="1">
      <c r="A1843" t="n">
        <v>367</v>
      </c>
      <c r="B1843" t="inlineStr">
        <is>
          <t>Estudiantes con Becas</t>
        </is>
      </c>
      <c r="C1843" t="inlineStr">
        <is>
          <t>Gestión de la Responsabilidad Social</t>
        </is>
      </c>
      <c r="D1843" t="inlineStr">
        <is>
          <t>Anual</t>
        </is>
      </c>
      <c r="E1843" t="inlineStr">
        <is>
          <t>Positivo</t>
        </is>
      </c>
      <c r="F1843" s="113" t="n">
        <v>46022</v>
      </c>
      <c r="G1843" t="n">
        <v>2025</v>
      </c>
      <c r="H1843" t="inlineStr">
        <is>
          <t>Diciembre</t>
        </is>
      </c>
      <c r="I1843" t="inlineStr">
        <is>
          <t>2025-2</t>
        </is>
      </c>
      <c r="J1843" t="n">
        <v>5</v>
      </c>
      <c r="K1843" t="n">
        <v>3.82</v>
      </c>
      <c r="L1843" s="39" t="n">
        <v>0.764</v>
      </c>
      <c r="M1843" s="39" t="n">
        <v>0.764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2</v>
      </c>
      <c r="R1843" t="inlineStr">
        <is>
          <t>367-2025-12-31</t>
        </is>
      </c>
    </row>
    <row r="1844" hidden="1">
      <c r="A1844" t="n">
        <v>368</v>
      </c>
      <c r="B1844" t="inlineStr">
        <is>
          <t>Satisfacción de los estudiantes de Educación para toda la vida</t>
        </is>
      </c>
      <c r="C1844" t="inlineStr">
        <is>
          <t>Operación de Educación no Formal</t>
        </is>
      </c>
      <c r="D1844" t="inlineStr">
        <is>
          <t>Trimestral</t>
        </is>
      </c>
      <c r="E1844" t="inlineStr">
        <is>
          <t>Positivo</t>
        </is>
      </c>
      <c r="F1844" s="113" t="n">
        <v>45199</v>
      </c>
      <c r="G1844" t="n">
        <v>2023</v>
      </c>
      <c r="H1844" t="inlineStr">
        <is>
          <t>Septiembre</t>
        </is>
      </c>
      <c r="I1844" t="inlineStr">
        <is>
          <t>2023-2</t>
        </is>
      </c>
      <c r="J1844" t="n">
        <v>90</v>
      </c>
      <c r="K1844" t="n">
        <v>95</v>
      </c>
      <c r="L1844" s="39" t="n">
        <v>1.055555555555556</v>
      </c>
      <c r="M1844" s="39" t="n">
        <v>1.055555555555556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368-2023-09-30</t>
        </is>
      </c>
    </row>
    <row r="1845" hidden="1">
      <c r="A1845" t="n">
        <v>368</v>
      </c>
      <c r="B1845" t="inlineStr">
        <is>
          <t>Satisfacción de los estudiantes de Educación para toda la vida</t>
        </is>
      </c>
      <c r="C1845" t="inlineStr">
        <is>
          <t>Operación de Educación no Formal</t>
        </is>
      </c>
      <c r="D1845" t="inlineStr">
        <is>
          <t>Trimestral</t>
        </is>
      </c>
      <c r="E1845" t="inlineStr">
        <is>
          <t>Positivo</t>
        </is>
      </c>
      <c r="F1845" s="113" t="n">
        <v>45291</v>
      </c>
      <c r="G1845" t="n">
        <v>2023</v>
      </c>
      <c r="H1845" t="inlineStr">
        <is>
          <t>Diciembre</t>
        </is>
      </c>
      <c r="I1845" t="inlineStr">
        <is>
          <t>2023-2</t>
        </is>
      </c>
      <c r="J1845" t="n">
        <v>90</v>
      </c>
      <c r="K1845" t="n">
        <v>94</v>
      </c>
      <c r="L1845" s="39" t="n">
        <v>1.044444444444445</v>
      </c>
      <c r="M1845" s="39" t="n">
        <v>1.044444444444445</v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368-2023-12-31</t>
        </is>
      </c>
    </row>
    <row r="1846" hidden="1">
      <c r="A1846" t="n">
        <v>368</v>
      </c>
      <c r="B1846" t="inlineStr">
        <is>
          <t>Satisfacción de los estudiantes de Educación para toda la vida</t>
        </is>
      </c>
      <c r="C1846" t="inlineStr">
        <is>
          <t>Operación de Educación no Formal</t>
        </is>
      </c>
      <c r="D1846" t="inlineStr">
        <is>
          <t>Trimestral</t>
        </is>
      </c>
      <c r="E1846" t="inlineStr">
        <is>
          <t>Positivo</t>
        </is>
      </c>
      <c r="F1846" s="113" t="n">
        <v>45382</v>
      </c>
      <c r="G1846" t="n">
        <v>2024</v>
      </c>
      <c r="H1846" t="inlineStr">
        <is>
          <t>Marzo</t>
        </is>
      </c>
      <c r="I1846" t="inlineStr">
        <is>
          <t>2024-1</t>
        </is>
      </c>
      <c r="J1846" t="n">
        <v>90</v>
      </c>
      <c r="K1846" t="n">
        <v>94</v>
      </c>
      <c r="L1846" s="39" t="n">
        <v>1.044444444444445</v>
      </c>
      <c r="M1846" s="39" t="n">
        <v>1.044444444444445</v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368-2024-03-31</t>
        </is>
      </c>
    </row>
    <row r="1847" hidden="1">
      <c r="A1847" t="n">
        <v>368</v>
      </c>
      <c r="B1847" t="inlineStr">
        <is>
          <t>Satisfacción de los estudiantes de Educación para toda la vida</t>
        </is>
      </c>
      <c r="C1847" t="inlineStr">
        <is>
          <t>Operación de Educación no Formal</t>
        </is>
      </c>
      <c r="D1847" t="inlineStr">
        <is>
          <t>Trimestral</t>
        </is>
      </c>
      <c r="E1847" t="inlineStr">
        <is>
          <t>Positivo</t>
        </is>
      </c>
      <c r="F1847" s="113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90</v>
      </c>
      <c r="K1847" t="n">
        <v>95</v>
      </c>
      <c r="L1847" s="39" t="n">
        <v>1.055555555555556</v>
      </c>
      <c r="M1847" s="39" t="n">
        <v>1.055555555555556</v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368-2024-06-30</t>
        </is>
      </c>
    </row>
    <row r="1848" hidden="1">
      <c r="A1848" t="n">
        <v>368</v>
      </c>
      <c r="B1848" t="inlineStr">
        <is>
          <t>Satisfacción de los estudiantes de Educación para toda la vida</t>
        </is>
      </c>
      <c r="C1848" t="inlineStr">
        <is>
          <t>Operación de Educación no Formal</t>
        </is>
      </c>
      <c r="D1848" t="inlineStr">
        <is>
          <t>Trimestral</t>
        </is>
      </c>
      <c r="E1848" t="inlineStr">
        <is>
          <t>Positivo</t>
        </is>
      </c>
      <c r="F1848" s="113" t="n">
        <v>45565</v>
      </c>
      <c r="G1848" t="n">
        <v>2024</v>
      </c>
      <c r="H1848" t="inlineStr">
        <is>
          <t>Septiembre</t>
        </is>
      </c>
      <c r="I1848" t="inlineStr">
        <is>
          <t>2024-2</t>
        </is>
      </c>
      <c r="J1848" t="n">
        <v>90</v>
      </c>
      <c r="K1848" t="n">
        <v>94</v>
      </c>
      <c r="L1848" s="39" t="n">
        <v>1.044444444444445</v>
      </c>
      <c r="M1848" s="39" t="n">
        <v>1.044444444444445</v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368-2024-09-30</t>
        </is>
      </c>
    </row>
    <row r="1849" hidden="1">
      <c r="A1849" t="n">
        <v>368</v>
      </c>
      <c r="B1849" t="inlineStr">
        <is>
          <t>Satisfacción de los estudiantes de Educación para toda la vida</t>
        </is>
      </c>
      <c r="C1849" t="inlineStr">
        <is>
          <t>Operación de Educación no Formal</t>
        </is>
      </c>
      <c r="D1849" t="inlineStr">
        <is>
          <t>Trimestral</t>
        </is>
      </c>
      <c r="E1849" t="inlineStr">
        <is>
          <t>Positivo</t>
        </is>
      </c>
      <c r="F1849" s="113" t="n">
        <v>45657</v>
      </c>
      <c r="G1849" t="n">
        <v>2024</v>
      </c>
      <c r="H1849" t="inlineStr">
        <is>
          <t>Diciembre</t>
        </is>
      </c>
      <c r="I1849" t="inlineStr">
        <is>
          <t>2024-2</t>
        </is>
      </c>
      <c r="J1849" t="n">
        <v>90</v>
      </c>
      <c r="K1849" t="n">
        <v>94</v>
      </c>
      <c r="L1849" s="39" t="n">
        <v>1.044444444444445</v>
      </c>
      <c r="M1849" s="39" t="n">
        <v>1.044444444444445</v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368-2024-12-31</t>
        </is>
      </c>
    </row>
    <row r="1850" hidden="1">
      <c r="A1850" t="n">
        <v>368</v>
      </c>
      <c r="B1850" t="inlineStr">
        <is>
          <t>Satisfacción de los estudiantes de Educación para toda la vida</t>
        </is>
      </c>
      <c r="C1850" t="inlineStr">
        <is>
          <t>Operación de Educación no Formal</t>
        </is>
      </c>
      <c r="D1850" t="inlineStr">
        <is>
          <t>Trimestral</t>
        </is>
      </c>
      <c r="E1850" t="inlineStr">
        <is>
          <t>Positivo</t>
        </is>
      </c>
      <c r="F1850" s="113" t="n">
        <v>45747</v>
      </c>
      <c r="G1850" t="n">
        <v>2025</v>
      </c>
      <c r="H1850" t="inlineStr">
        <is>
          <t>Marzo</t>
        </is>
      </c>
      <c r="I1850" t="inlineStr">
        <is>
          <t>2025-1</t>
        </is>
      </c>
      <c r="J1850" t="n">
        <v>93</v>
      </c>
      <c r="K1850" t="n">
        <v>94</v>
      </c>
      <c r="L1850" s="39" t="n">
        <v>1.010752688172043</v>
      </c>
      <c r="M1850" s="39" t="n">
        <v>1.010752688172043</v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368-2025-03-31</t>
        </is>
      </c>
    </row>
    <row r="1851" hidden="1">
      <c r="A1851" t="n">
        <v>368</v>
      </c>
      <c r="B1851" t="inlineStr">
        <is>
          <t>Satisfacción de los estudiantes de Educación para toda la vida</t>
        </is>
      </c>
      <c r="C1851" t="inlineStr">
        <is>
          <t>Operación de Educación no Formal</t>
        </is>
      </c>
      <c r="D1851" t="inlineStr">
        <is>
          <t>Trimestral</t>
        </is>
      </c>
      <c r="E1851" t="inlineStr">
        <is>
          <t>Positivo</t>
        </is>
      </c>
      <c r="F1851" s="113" t="n">
        <v>45838</v>
      </c>
      <c r="G1851" t="n">
        <v>2025</v>
      </c>
      <c r="H1851" t="inlineStr">
        <is>
          <t>Junio</t>
        </is>
      </c>
      <c r="I1851" t="inlineStr">
        <is>
          <t>2025-1</t>
        </is>
      </c>
      <c r="J1851" t="n">
        <v>93</v>
      </c>
      <c r="K1851" t="n">
        <v>96</v>
      </c>
      <c r="L1851" s="39" t="n">
        <v>1.032258064516129</v>
      </c>
      <c r="M1851" s="39" t="n">
        <v>1.032258064516129</v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368-2025-06-30</t>
        </is>
      </c>
    </row>
    <row r="1852" hidden="1">
      <c r="A1852" t="n">
        <v>368</v>
      </c>
      <c r="B1852" t="inlineStr">
        <is>
          <t>Satisfacción de los estudiantes de Educación para toda la vida</t>
        </is>
      </c>
      <c r="C1852" t="inlineStr">
        <is>
          <t>Operación de nuevos negocios y CI</t>
        </is>
      </c>
      <c r="D1852" t="inlineStr">
        <is>
          <t>Semestral</t>
        </is>
      </c>
      <c r="E1852" t="inlineStr">
        <is>
          <t>Positivo</t>
        </is>
      </c>
      <c r="F1852" s="113" t="n">
        <v>45930</v>
      </c>
      <c r="G1852" t="n">
        <v>2025</v>
      </c>
      <c r="H1852" t="inlineStr">
        <is>
          <t>Septiembre</t>
        </is>
      </c>
      <c r="I1852" t="inlineStr">
        <is>
          <t>2025-2</t>
        </is>
      </c>
      <c r="J1852" t="n">
        <v>93</v>
      </c>
      <c r="K1852" t="n">
        <v>95</v>
      </c>
      <c r="L1852" s="39" t="n">
        <v>1.021505376344086</v>
      </c>
      <c r="M1852" s="39" t="n">
        <v>1.021505376344086</v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368-2025-09-30</t>
        </is>
      </c>
    </row>
    <row r="1853" hidden="1">
      <c r="A1853" t="n">
        <v>368</v>
      </c>
      <c r="B1853" t="inlineStr">
        <is>
          <t>Satisfacción de los estudiantes de Educación para toda la vida</t>
        </is>
      </c>
      <c r="C1853" t="inlineStr">
        <is>
          <t>Operación de nuevos negocios y CI</t>
        </is>
      </c>
      <c r="D1853" t="inlineStr">
        <is>
          <t>Semestral</t>
        </is>
      </c>
      <c r="E1853" t="inlineStr">
        <is>
          <t>Positivo</t>
        </is>
      </c>
      <c r="F1853" s="113" t="n">
        <v>46022</v>
      </c>
      <c r="G1853" t="n">
        <v>2025</v>
      </c>
      <c r="H1853" t="inlineStr">
        <is>
          <t>Diciembre</t>
        </is>
      </c>
      <c r="I1853" t="inlineStr">
        <is>
          <t>2025-2</t>
        </is>
      </c>
      <c r="J1853" t="n">
        <v>93</v>
      </c>
      <c r="K1853" t="n">
        <v>95</v>
      </c>
      <c r="L1853" s="39" t="n">
        <v>1.021505376344086</v>
      </c>
      <c r="M1853" s="39" t="n">
        <v>1.021505376344086</v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368-2025-12-31</t>
        </is>
      </c>
    </row>
    <row r="1854" hidden="1">
      <c r="A1854" t="n">
        <v>369</v>
      </c>
      <c r="B1854" t="inlineStr">
        <is>
          <t>Participación de POLI- voluntariados (Estudiantes- Colaboradores)</t>
        </is>
      </c>
      <c r="C1854" t="inlineStr">
        <is>
          <t>Gestión de la Responsabilidad Social</t>
        </is>
      </c>
      <c r="D1854" t="inlineStr">
        <is>
          <t>Semestral</t>
        </is>
      </c>
      <c r="E1854" t="inlineStr">
        <is>
          <t>Positivo</t>
        </is>
      </c>
      <c r="F1854" s="113" t="n">
        <v>45107</v>
      </c>
      <c r="G1854" t="n">
        <v>2023</v>
      </c>
      <c r="H1854" t="inlineStr">
        <is>
          <t>Junio</t>
        </is>
      </c>
      <c r="I1854" t="inlineStr">
        <is>
          <t>2023-1</t>
        </is>
      </c>
      <c r="J1854" t="n">
        <v>0</v>
      </c>
      <c r="K1854" t="n">
        <v>78</v>
      </c>
      <c r="L1854" s="39" t="n"/>
      <c r="M1854" s="39" t="n"/>
      <c r="N1854" t="inlineStr">
        <is>
          <t>Linea Base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369-2023-06-30</t>
        </is>
      </c>
    </row>
    <row r="1855" hidden="1">
      <c r="A1855" t="n">
        <v>369</v>
      </c>
      <c r="B1855" t="inlineStr">
        <is>
          <t>Participación de POLI- voluntariados (Estudiantes- Colaboradores)</t>
        </is>
      </c>
      <c r="C1855" t="inlineStr">
        <is>
          <t>Gestión de la Responsabilidad Social</t>
        </is>
      </c>
      <c r="D1855" t="inlineStr">
        <is>
          <t>Semestral</t>
        </is>
      </c>
      <c r="E1855" t="inlineStr">
        <is>
          <t>Positivo</t>
        </is>
      </c>
      <c r="F1855" s="113" t="n">
        <v>45291</v>
      </c>
      <c r="G1855" t="n">
        <v>2023</v>
      </c>
      <c r="H1855" t="inlineStr">
        <is>
          <t>Diciembre</t>
        </is>
      </c>
      <c r="I1855" t="inlineStr">
        <is>
          <t>2023-2</t>
        </is>
      </c>
      <c r="J1855" t="n">
        <v>0</v>
      </c>
      <c r="K1855" t="n">
        <v>96</v>
      </c>
      <c r="L1855" s="39" t="n"/>
      <c r="M1855" s="39" t="n"/>
      <c r="N1855" t="inlineStr">
        <is>
          <t>Linea Base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369-2023-12-31</t>
        </is>
      </c>
    </row>
    <row r="1856" hidden="1">
      <c r="A1856" t="n">
        <v>369</v>
      </c>
      <c r="B1856" t="inlineStr">
        <is>
          <t>Participación de POLI- voluntariados (Estudiantes- Colaboradores)</t>
        </is>
      </c>
      <c r="C1856" t="inlineStr">
        <is>
          <t>Gestión de la Responsabilidad Social</t>
        </is>
      </c>
      <c r="D1856" t="inlineStr">
        <is>
          <t>Semestral</t>
        </is>
      </c>
      <c r="E1856" t="inlineStr">
        <is>
          <t>Positivo</t>
        </is>
      </c>
      <c r="F1856" s="113" t="n">
        <v>45473</v>
      </c>
      <c r="G1856" t="n">
        <v>2024</v>
      </c>
      <c r="H1856" t="inlineStr">
        <is>
          <t>Junio</t>
        </is>
      </c>
      <c r="I1856" t="inlineStr">
        <is>
          <t>2024-1</t>
        </is>
      </c>
      <c r="J1856" t="n">
        <v>100</v>
      </c>
      <c r="K1856" t="n">
        <v>76.25</v>
      </c>
      <c r="L1856" s="39" t="n">
        <v>0.7625</v>
      </c>
      <c r="M1856" s="39" t="n">
        <v>0.7625</v>
      </c>
      <c r="N1856" t="inlineStr">
        <is>
          <t>Linea Base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369-2024-06-30</t>
        </is>
      </c>
    </row>
    <row r="1857" hidden="1">
      <c r="A1857" t="n">
        <v>369</v>
      </c>
      <c r="B1857" t="inlineStr">
        <is>
          <t>Participación de POLI- voluntariados (Estudiantes- Colaboradores)</t>
        </is>
      </c>
      <c r="C1857" t="inlineStr">
        <is>
          <t>Gestión de la Responsabilidad Social</t>
        </is>
      </c>
      <c r="D1857" t="inlineStr">
        <is>
          <t>Semestral</t>
        </is>
      </c>
      <c r="E1857" t="inlineStr">
        <is>
          <t>Positivo</t>
        </is>
      </c>
      <c r="F1857" s="113" t="n">
        <v>45657</v>
      </c>
      <c r="G1857" t="n">
        <v>2024</v>
      </c>
      <c r="H1857" t="inlineStr">
        <is>
          <t>Diciembre</t>
        </is>
      </c>
      <c r="I1857" t="inlineStr">
        <is>
          <t>2024-2</t>
        </is>
      </c>
      <c r="J1857" t="n">
        <v>100</v>
      </c>
      <c r="K1857" t="n">
        <v>71.3</v>
      </c>
      <c r="L1857" s="39" t="n">
        <v>0.713</v>
      </c>
      <c r="M1857" s="39" t="n">
        <v>0.713</v>
      </c>
      <c r="P1857" t="n">
        <v>0</v>
      </c>
      <c r="Q1857" t="n">
        <v>0</v>
      </c>
      <c r="R1857" t="inlineStr">
        <is>
          <t>369-2024-12-31</t>
        </is>
      </c>
    </row>
    <row r="1858" hidden="1">
      <c r="A1858" t="n">
        <v>369</v>
      </c>
      <c r="B1858" t="inlineStr">
        <is>
          <t>Participación de POLI- voluntariados (Estudiantes- Colaboradores)</t>
        </is>
      </c>
      <c r="C1858" t="inlineStr">
        <is>
          <t>Gestión de la Responsabilidad Social</t>
        </is>
      </c>
      <c r="D1858" t="inlineStr">
        <is>
          <t>Trimestral</t>
        </is>
      </c>
      <c r="E1858" t="inlineStr">
        <is>
          <t>Positivo</t>
        </is>
      </c>
      <c r="F1858" s="113" t="n">
        <v>45838</v>
      </c>
      <c r="G1858" t="n">
        <v>2025</v>
      </c>
      <c r="H1858" t="inlineStr">
        <is>
          <t>Junio</t>
        </is>
      </c>
      <c r="I1858" t="inlineStr">
        <is>
          <t>2025-1</t>
        </is>
      </c>
      <c r="J1858" t="n">
        <v>100</v>
      </c>
      <c r="K1858" t="n">
        <v>88.89</v>
      </c>
      <c r="L1858" s="39" t="n">
        <v>0.8889</v>
      </c>
      <c r="M1858" s="39" t="n">
        <v>0.8889</v>
      </c>
      <c r="N1858" t="inlineStr">
        <is>
          <t>ENT</t>
        </is>
      </c>
      <c r="O1858" t="inlineStr">
        <is>
          <t>ENT</t>
        </is>
      </c>
      <c r="P1858" t="n">
        <v>0</v>
      </c>
      <c r="Q1858" t="n">
        <v>0</v>
      </c>
      <c r="R1858" t="inlineStr">
        <is>
          <t>369-2025-06-30</t>
        </is>
      </c>
    </row>
    <row r="1859" hidden="1">
      <c r="A1859" t="n">
        <v>369</v>
      </c>
      <c r="B1859" t="inlineStr">
        <is>
          <t>Participación de POLI- voluntariados (Estudiantes- Colaboradores)</t>
        </is>
      </c>
      <c r="C1859" t="inlineStr">
        <is>
          <t>Gestión de la Responsabilidad Social</t>
        </is>
      </c>
      <c r="D1859" t="inlineStr">
        <is>
          <t>Trimestral</t>
        </is>
      </c>
      <c r="E1859" t="inlineStr">
        <is>
          <t>Positivo</t>
        </is>
      </c>
      <c r="F1859" s="113" t="n">
        <v>46022</v>
      </c>
      <c r="G1859" t="n">
        <v>2025</v>
      </c>
      <c r="H1859" t="inlineStr">
        <is>
          <t>Diciembre</t>
        </is>
      </c>
      <c r="I1859" t="inlineStr">
        <is>
          <t>2025-2</t>
        </is>
      </c>
      <c r="J1859" t="n">
        <v>100</v>
      </c>
      <c r="K1859" t="n">
        <v>108.26</v>
      </c>
      <c r="L1859" s="39" t="n">
        <v>1.0826</v>
      </c>
      <c r="M1859" s="39" t="n">
        <v>1.0826</v>
      </c>
      <c r="N1859" t="inlineStr">
        <is>
          <t>ENT</t>
        </is>
      </c>
      <c r="O1859" t="inlineStr">
        <is>
          <t>ENT</t>
        </is>
      </c>
      <c r="P1859" t="n">
        <v>0</v>
      </c>
      <c r="Q1859" t="n">
        <v>0</v>
      </c>
      <c r="R1859" t="inlineStr">
        <is>
          <t>369-2025-12-31</t>
        </is>
      </c>
    </row>
    <row r="1860" hidden="1">
      <c r="A1860" t="n">
        <v>370</v>
      </c>
      <c r="B1860" t="inlineStr">
        <is>
          <t>Oportunidades de mejora - Huella Verde</t>
        </is>
      </c>
      <c r="C1860" t="inlineStr">
        <is>
          <t>Gestión de la Responsabilidad Social</t>
        </is>
      </c>
      <c r="D1860" t="inlineStr">
        <is>
          <t>Semestral</t>
        </is>
      </c>
      <c r="E1860" t="inlineStr">
        <is>
          <t>Positivo</t>
        </is>
      </c>
      <c r="F1860" s="113" t="n">
        <v>45107</v>
      </c>
      <c r="G1860" t="n">
        <v>2023</v>
      </c>
      <c r="H1860" t="inlineStr">
        <is>
          <t>Junio</t>
        </is>
      </c>
      <c r="I1860" t="inlineStr">
        <is>
          <t>2023-1</t>
        </is>
      </c>
      <c r="J1860" t="n">
        <v>0</v>
      </c>
      <c r="K1860" t="n">
        <v>0</v>
      </c>
      <c r="L1860" s="39" t="n">
        <v>1</v>
      </c>
      <c r="M1860" s="39" t="n">
        <v>1</v>
      </c>
      <c r="P1860" t="n">
        <v>0</v>
      </c>
      <c r="Q1860" t="n">
        <v>0</v>
      </c>
      <c r="R1860" t="inlineStr">
        <is>
          <t>370-2023-06-30</t>
        </is>
      </c>
    </row>
    <row r="1861" hidden="1">
      <c r="A1861" t="n">
        <v>371</v>
      </c>
      <c r="B1861" t="inlineStr">
        <is>
          <t>Recaudación de fondos</t>
        </is>
      </c>
      <c r="C1861" t="inlineStr">
        <is>
          <t>Gestión de la Responsabilidad Social</t>
        </is>
      </c>
      <c r="D1861" t="inlineStr">
        <is>
          <t>Semestral</t>
        </is>
      </c>
      <c r="E1861" t="inlineStr">
        <is>
          <t>Positivo</t>
        </is>
      </c>
      <c r="F1861" s="113" t="n">
        <v>45107</v>
      </c>
      <c r="G1861" t="n">
        <v>2023</v>
      </c>
      <c r="H1861" t="inlineStr">
        <is>
          <t>Junio</t>
        </is>
      </c>
      <c r="I1861" t="inlineStr">
        <is>
          <t>2023-1</t>
        </is>
      </c>
      <c r="J1861" t="n">
        <v>100</v>
      </c>
      <c r="K1861" t="n">
        <v>157.50274243636</v>
      </c>
      <c r="L1861" s="39" t="n">
        <v>1.3</v>
      </c>
      <c r="M1861" s="39" t="n">
        <v>1.5750274243636</v>
      </c>
      <c r="N1861" t="inlineStr">
        <is>
          <t>$</t>
        </is>
      </c>
      <c r="O1861" t="inlineStr">
        <is>
          <t>$</t>
        </is>
      </c>
      <c r="P1861" t="n">
        <v>0</v>
      </c>
      <c r="Q1861" t="n">
        <v>0</v>
      </c>
      <c r="R1861" t="inlineStr">
        <is>
          <t>371-2023-06-30</t>
        </is>
      </c>
    </row>
    <row r="1862" hidden="1">
      <c r="A1862" t="n">
        <v>371</v>
      </c>
      <c r="B1862" t="inlineStr">
        <is>
          <t>Recaudación de fondos</t>
        </is>
      </c>
      <c r="C1862" t="inlineStr">
        <is>
          <t>Gestión de la Responsabilidad Social</t>
        </is>
      </c>
      <c r="D1862" t="inlineStr">
        <is>
          <t>Semestral</t>
        </is>
      </c>
      <c r="E1862" t="inlineStr">
        <is>
          <t>Positivo</t>
        </is>
      </c>
      <c r="F1862" s="113" t="n">
        <v>45291</v>
      </c>
      <c r="G1862" t="n">
        <v>2023</v>
      </c>
      <c r="H1862" t="inlineStr">
        <is>
          <t>Diciembre</t>
        </is>
      </c>
      <c r="I1862" t="inlineStr">
        <is>
          <t>2023-2</t>
        </is>
      </c>
      <c r="J1862" t="n">
        <v>100</v>
      </c>
      <c r="K1862" t="n">
        <v>173.07</v>
      </c>
      <c r="L1862" s="39" t="n">
        <v>1.3</v>
      </c>
      <c r="M1862" s="39" t="n">
        <v>1.7307</v>
      </c>
      <c r="N1862" t="inlineStr">
        <is>
          <t>$</t>
        </is>
      </c>
      <c r="O1862" t="inlineStr">
        <is>
          <t>$</t>
        </is>
      </c>
      <c r="P1862" t="n">
        <v>0</v>
      </c>
      <c r="Q1862" t="n">
        <v>0</v>
      </c>
      <c r="R1862" t="inlineStr">
        <is>
          <t>371-2023-12-31</t>
        </is>
      </c>
    </row>
    <row r="1863" hidden="1">
      <c r="A1863" t="n">
        <v>371</v>
      </c>
      <c r="B1863" t="inlineStr">
        <is>
          <t>Recaudación de fondos</t>
        </is>
      </c>
      <c r="C1863" t="inlineStr">
        <is>
          <t>Gestión de la Responsabilidad Social</t>
        </is>
      </c>
      <c r="D1863" t="inlineStr">
        <is>
          <t>Semestral</t>
        </is>
      </c>
      <c r="E1863" t="inlineStr">
        <is>
          <t>Positivo</t>
        </is>
      </c>
      <c r="F1863" s="113" t="n">
        <v>45473</v>
      </c>
      <c r="G1863" t="n">
        <v>2024</v>
      </c>
      <c r="H1863" t="inlineStr">
        <is>
          <t>Junio</t>
        </is>
      </c>
      <c r="I1863" t="inlineStr">
        <is>
          <t>2024-1</t>
        </is>
      </c>
      <c r="J1863" t="n">
        <v>100</v>
      </c>
      <c r="K1863" t="n">
        <v>149.72</v>
      </c>
      <c r="L1863" s="39" t="n">
        <v>1.3</v>
      </c>
      <c r="M1863" s="39" t="n">
        <v>1.4972</v>
      </c>
      <c r="N1863" t="inlineStr">
        <is>
          <t>$</t>
        </is>
      </c>
      <c r="O1863" t="inlineStr">
        <is>
          <t>$</t>
        </is>
      </c>
      <c r="P1863" t="n">
        <v>0</v>
      </c>
      <c r="Q1863" t="n">
        <v>0</v>
      </c>
      <c r="R1863" t="inlineStr">
        <is>
          <t>371-2024-06-30</t>
        </is>
      </c>
    </row>
    <row r="1864" hidden="1">
      <c r="A1864" t="n">
        <v>371</v>
      </c>
      <c r="B1864" t="inlineStr">
        <is>
          <t>Recaudación de fondos</t>
        </is>
      </c>
      <c r="C1864" t="inlineStr">
        <is>
          <t>Gestión de la Responsabilidad Social</t>
        </is>
      </c>
      <c r="D1864" t="inlineStr">
        <is>
          <t>Semestral</t>
        </is>
      </c>
      <c r="E1864" t="inlineStr">
        <is>
          <t>Positivo</t>
        </is>
      </c>
      <c r="F1864" s="113" t="n">
        <v>45657</v>
      </c>
      <c r="G1864" t="n">
        <v>2024</v>
      </c>
      <c r="H1864" t="inlineStr">
        <is>
          <t>Diciembre</t>
        </is>
      </c>
      <c r="I1864" t="inlineStr">
        <is>
          <t>2024-2</t>
        </is>
      </c>
      <c r="J1864" t="n">
        <v>100</v>
      </c>
      <c r="K1864" t="n">
        <v>96.98999999999999</v>
      </c>
      <c r="L1864" s="39" t="n">
        <v>0.9699</v>
      </c>
      <c r="M1864" s="39" t="n">
        <v>0.9699</v>
      </c>
      <c r="N1864" t="inlineStr">
        <is>
          <t>$</t>
        </is>
      </c>
      <c r="O1864" t="inlineStr">
        <is>
          <t>$</t>
        </is>
      </c>
      <c r="P1864" t="n">
        <v>0</v>
      </c>
      <c r="Q1864" t="n">
        <v>0</v>
      </c>
      <c r="R1864" t="inlineStr">
        <is>
          <t>371-2024-12-31</t>
        </is>
      </c>
    </row>
    <row r="1865" hidden="1">
      <c r="A1865" t="n">
        <v>371</v>
      </c>
      <c r="B1865" t="inlineStr">
        <is>
          <t>Recaudación de fondos</t>
        </is>
      </c>
      <c r="C1865" t="inlineStr">
        <is>
          <t>Gestión de la Responsabilidad Social</t>
        </is>
      </c>
      <c r="D1865" t="inlineStr">
        <is>
          <t>Semestral</t>
        </is>
      </c>
      <c r="E1865" t="inlineStr">
        <is>
          <t>Positivo</t>
        </is>
      </c>
      <c r="F1865" s="113" t="n">
        <v>45838</v>
      </c>
      <c r="G1865" t="n">
        <v>2025</v>
      </c>
      <c r="H1865" t="inlineStr">
        <is>
          <t>Junio</t>
        </is>
      </c>
      <c r="I1865" t="inlineStr">
        <is>
          <t>2025-1</t>
        </is>
      </c>
      <c r="J1865" t="n">
        <v>100</v>
      </c>
      <c r="K1865" t="n">
        <v>73.69</v>
      </c>
      <c r="L1865" s="39" t="n">
        <v>0.7369</v>
      </c>
      <c r="M1865" s="39" t="n">
        <v>0.7369</v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371-2025-06-30</t>
        </is>
      </c>
    </row>
    <row r="1866" hidden="1">
      <c r="A1866" t="n">
        <v>371</v>
      </c>
      <c r="B1866" t="inlineStr">
        <is>
          <t>Recaudación de fondos</t>
        </is>
      </c>
      <c r="C1866" t="inlineStr">
        <is>
          <t>Gestión de la Responsabilidad Social</t>
        </is>
      </c>
      <c r="D1866" t="inlineStr">
        <is>
          <t>Trimestral</t>
        </is>
      </c>
      <c r="E1866" t="inlineStr">
        <is>
          <t>Positivo</t>
        </is>
      </c>
      <c r="F1866" s="113" t="n">
        <v>46022</v>
      </c>
      <c r="G1866" t="n">
        <v>2025</v>
      </c>
      <c r="H1866" t="inlineStr">
        <is>
          <t>Diciembre</t>
        </is>
      </c>
      <c r="I1866" t="inlineStr">
        <is>
          <t>2025-2</t>
        </is>
      </c>
      <c r="J1866" t="n">
        <v>100</v>
      </c>
      <c r="K1866" t="n">
        <v>83.42</v>
      </c>
      <c r="L1866" s="39" t="n">
        <v>0.8342000000000001</v>
      </c>
      <c r="M1866" s="39" t="n">
        <v>0.8342000000000001</v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371-2025-12-31</t>
        </is>
      </c>
    </row>
    <row r="1867" hidden="1">
      <c r="A1867" t="n">
        <v>372</v>
      </c>
      <c r="B1867" t="inlineStr">
        <is>
          <t>Satisfacción de los clientes corporativos Educación para toda la vida</t>
        </is>
      </c>
      <c r="C1867" t="inlineStr">
        <is>
          <t>Operación de Educación no Formal</t>
        </is>
      </c>
      <c r="D1867" t="inlineStr">
        <is>
          <t>Trimestral</t>
        </is>
      </c>
      <c r="E1867" t="inlineStr">
        <is>
          <t>Positivo</t>
        </is>
      </c>
      <c r="F1867" s="113" t="n">
        <v>45199</v>
      </c>
      <c r="G1867" t="n">
        <v>2023</v>
      </c>
      <c r="H1867" t="inlineStr">
        <is>
          <t>Septiembre</t>
        </is>
      </c>
      <c r="I1867" t="inlineStr">
        <is>
          <t>2023-2</t>
        </is>
      </c>
      <c r="J1867" t="n">
        <v>87</v>
      </c>
      <c r="K1867" t="n">
        <v>96</v>
      </c>
      <c r="L1867" s="39" t="n">
        <v>1.103448275862069</v>
      </c>
      <c r="M1867" s="39" t="n">
        <v>1.103448275862069</v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372-2023-09-30</t>
        </is>
      </c>
    </row>
    <row r="1868" hidden="1">
      <c r="A1868" t="n">
        <v>372</v>
      </c>
      <c r="B1868" t="inlineStr">
        <is>
          <t>Satisfacción de los clientes corporativos Educación para toda la vida</t>
        </is>
      </c>
      <c r="C1868" t="inlineStr">
        <is>
          <t>Operación de Educación no Formal</t>
        </is>
      </c>
      <c r="D1868" t="inlineStr">
        <is>
          <t>Trimestral</t>
        </is>
      </c>
      <c r="E1868" t="inlineStr">
        <is>
          <t>Positivo</t>
        </is>
      </c>
      <c r="F1868" s="113" t="n">
        <v>45291</v>
      </c>
      <c r="G1868" t="n">
        <v>2023</v>
      </c>
      <c r="H1868" t="inlineStr">
        <is>
          <t>Diciembre</t>
        </is>
      </c>
      <c r="I1868" t="inlineStr">
        <is>
          <t>2023-2</t>
        </is>
      </c>
      <c r="J1868" t="n">
        <v>87</v>
      </c>
      <c r="K1868" t="n">
        <v>95</v>
      </c>
      <c r="L1868" s="39" t="n">
        <v>1.091954022988506</v>
      </c>
      <c r="M1868" s="39" t="n">
        <v>1.091954022988506</v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372-2023-12-31</t>
        </is>
      </c>
    </row>
    <row r="1869" hidden="1">
      <c r="A1869" t="n">
        <v>372</v>
      </c>
      <c r="B1869" t="inlineStr">
        <is>
          <t>Satisfacción de los clientes corporativos Educación para toda la vida</t>
        </is>
      </c>
      <c r="C1869" t="inlineStr">
        <is>
          <t>Operación de Educación no Formal</t>
        </is>
      </c>
      <c r="D1869" t="inlineStr">
        <is>
          <t>Trimestral</t>
        </is>
      </c>
      <c r="E1869" t="inlineStr">
        <is>
          <t>Positivo</t>
        </is>
      </c>
      <c r="F1869" s="113" t="n">
        <v>45382</v>
      </c>
      <c r="G1869" t="n">
        <v>2024</v>
      </c>
      <c r="H1869" t="inlineStr">
        <is>
          <t>Marzo</t>
        </is>
      </c>
      <c r="I1869" t="inlineStr">
        <is>
          <t>2024-1</t>
        </is>
      </c>
      <c r="J1869" t="n">
        <v>87</v>
      </c>
      <c r="K1869" t="n">
        <v>93</v>
      </c>
      <c r="L1869" s="39" t="n">
        <v>1.068965517241379</v>
      </c>
      <c r="M1869" s="39" t="n">
        <v>1.068965517241379</v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372-2024-03-31</t>
        </is>
      </c>
    </row>
    <row r="1870" hidden="1">
      <c r="A1870" t="n">
        <v>372</v>
      </c>
      <c r="B1870" t="inlineStr">
        <is>
          <t>Satisfacción de los clientes corporativos Educación para toda la vida</t>
        </is>
      </c>
      <c r="C1870" t="inlineStr">
        <is>
          <t>Operación de Educación no Formal</t>
        </is>
      </c>
      <c r="D1870" t="inlineStr">
        <is>
          <t>Trimestral</t>
        </is>
      </c>
      <c r="E1870" t="inlineStr">
        <is>
          <t>Positivo</t>
        </is>
      </c>
      <c r="F1870" s="113" t="n">
        <v>45473</v>
      </c>
      <c r="G1870" t="n">
        <v>2024</v>
      </c>
      <c r="H1870" t="inlineStr">
        <is>
          <t>Junio</t>
        </is>
      </c>
      <c r="I1870" t="inlineStr">
        <is>
          <t>2024-1</t>
        </is>
      </c>
      <c r="J1870" t="n">
        <v>87</v>
      </c>
      <c r="K1870" t="n">
        <v>90</v>
      </c>
      <c r="L1870" s="39" t="n">
        <v>1.03448275862069</v>
      </c>
      <c r="M1870" s="39" t="n">
        <v>1.03448275862069</v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372-2024-06-30</t>
        </is>
      </c>
    </row>
    <row r="1871" hidden="1">
      <c r="A1871" t="n">
        <v>372</v>
      </c>
      <c r="B1871" t="inlineStr">
        <is>
          <t>Satisfacción de los clientes corporativos Educación para toda la vida</t>
        </is>
      </c>
      <c r="C1871" t="inlineStr">
        <is>
          <t>Operación de Educación no Formal</t>
        </is>
      </c>
      <c r="D1871" t="inlineStr">
        <is>
          <t>Trimestral</t>
        </is>
      </c>
      <c r="E1871" t="inlineStr">
        <is>
          <t>Positivo</t>
        </is>
      </c>
      <c r="F1871" s="113" t="n">
        <v>45565</v>
      </c>
      <c r="G1871" t="n">
        <v>2024</v>
      </c>
      <c r="H1871" t="inlineStr">
        <is>
          <t>Septiembre</t>
        </is>
      </c>
      <c r="I1871" t="inlineStr">
        <is>
          <t>2024-2</t>
        </is>
      </c>
      <c r="J1871" t="n">
        <v>87</v>
      </c>
      <c r="K1871" t="n">
        <v>91</v>
      </c>
      <c r="L1871" s="39" t="n">
        <v>1.045977011494253</v>
      </c>
      <c r="M1871" s="39" t="n">
        <v>1.045977011494253</v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372-2024-09-30</t>
        </is>
      </c>
    </row>
    <row r="1872" hidden="1">
      <c r="A1872" t="n">
        <v>372</v>
      </c>
      <c r="B1872" t="inlineStr">
        <is>
          <t>Satisfacción de los clientes corporativos Educación para toda la vida</t>
        </is>
      </c>
      <c r="C1872" t="inlineStr">
        <is>
          <t>Operación de Educación no Formal</t>
        </is>
      </c>
      <c r="D1872" t="inlineStr">
        <is>
          <t>Trimestral</t>
        </is>
      </c>
      <c r="E1872" t="inlineStr">
        <is>
          <t>Positivo</t>
        </is>
      </c>
      <c r="F1872" s="113" t="n">
        <v>45657</v>
      </c>
      <c r="G1872" t="n">
        <v>2024</v>
      </c>
      <c r="H1872" t="inlineStr">
        <is>
          <t>Diciembre</t>
        </is>
      </c>
      <c r="I1872" t="inlineStr">
        <is>
          <t>2024-2</t>
        </is>
      </c>
      <c r="J1872" t="n">
        <v>87</v>
      </c>
      <c r="K1872" t="n">
        <v>93</v>
      </c>
      <c r="L1872" s="39" t="n">
        <v>1.068965517241379</v>
      </c>
      <c r="M1872" s="39" t="n">
        <v>1.068965517241379</v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372-2024-12-31</t>
        </is>
      </c>
    </row>
    <row r="1873" hidden="1">
      <c r="A1873" t="n">
        <v>372</v>
      </c>
      <c r="B1873" t="inlineStr">
        <is>
          <t>Satisfacción de los clientes corporativos Educación para toda la vida</t>
        </is>
      </c>
      <c r="C1873" t="inlineStr">
        <is>
          <t>Operación de Educación no Formal</t>
        </is>
      </c>
      <c r="D1873" t="inlineStr">
        <is>
          <t>Trimestral</t>
        </is>
      </c>
      <c r="E1873" t="inlineStr">
        <is>
          <t>Positivo</t>
        </is>
      </c>
      <c r="F1873" s="113" t="n">
        <v>45747</v>
      </c>
      <c r="G1873" t="n">
        <v>2025</v>
      </c>
      <c r="H1873" t="inlineStr">
        <is>
          <t>Marzo</t>
        </is>
      </c>
      <c r="I1873" t="inlineStr">
        <is>
          <t>2025-1</t>
        </is>
      </c>
      <c r="J1873" t="n">
        <v>90</v>
      </c>
      <c r="K1873" t="n">
        <v>98</v>
      </c>
      <c r="L1873" s="39" t="n">
        <v>1.088888888888889</v>
      </c>
      <c r="M1873" s="39" t="n">
        <v>1.088888888888889</v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372-2025-03-31</t>
        </is>
      </c>
    </row>
    <row r="1874" hidden="1">
      <c r="A1874" t="n">
        <v>372</v>
      </c>
      <c r="B1874" t="inlineStr">
        <is>
          <t>Satisfacción de los clientes corporativos Educación para toda la vida</t>
        </is>
      </c>
      <c r="C1874" t="inlineStr">
        <is>
          <t>Operación de Educación no Formal</t>
        </is>
      </c>
      <c r="D1874" t="inlineStr">
        <is>
          <t>Trimestral</t>
        </is>
      </c>
      <c r="E1874" t="inlineStr">
        <is>
          <t>Positivo</t>
        </is>
      </c>
      <c r="F1874" s="113" t="n">
        <v>45838</v>
      </c>
      <c r="G1874" t="n">
        <v>2025</v>
      </c>
      <c r="H1874" t="inlineStr">
        <is>
          <t>Junio</t>
        </is>
      </c>
      <c r="I1874" t="inlineStr">
        <is>
          <t>2025-1</t>
        </is>
      </c>
      <c r="J1874" t="n">
        <v>90</v>
      </c>
      <c r="K1874" t="n">
        <v>90</v>
      </c>
      <c r="L1874" s="39" t="n">
        <v>1</v>
      </c>
      <c r="M1874" s="39" t="n">
        <v>1</v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372-2025-06-30</t>
        </is>
      </c>
    </row>
    <row r="1875" hidden="1">
      <c r="A1875" t="n">
        <v>372</v>
      </c>
      <c r="B1875" t="inlineStr">
        <is>
          <t>Satisfacción de los clientes corporativos Educación para toda la vida</t>
        </is>
      </c>
      <c r="C1875" t="inlineStr">
        <is>
          <t>Operación de nuevos negocios y CI</t>
        </is>
      </c>
      <c r="D1875" t="inlineStr">
        <is>
          <t>Semestral</t>
        </is>
      </c>
      <c r="E1875" t="inlineStr">
        <is>
          <t>Positivo</t>
        </is>
      </c>
      <c r="F1875" s="113" t="n">
        <v>45930</v>
      </c>
      <c r="G1875" t="n">
        <v>2025</v>
      </c>
      <c r="H1875" t="inlineStr">
        <is>
          <t>Septiembre</t>
        </is>
      </c>
      <c r="I1875" t="inlineStr">
        <is>
          <t>2025-2</t>
        </is>
      </c>
      <c r="J1875" t="n">
        <v>90</v>
      </c>
      <c r="K1875" t="n">
        <v>97</v>
      </c>
      <c r="L1875" s="39" t="n">
        <v>1.077777777777778</v>
      </c>
      <c r="M1875" s="39" t="n">
        <v>1.077777777777778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372-2025-09-30</t>
        </is>
      </c>
    </row>
    <row r="1876" hidden="1">
      <c r="A1876" t="n">
        <v>372</v>
      </c>
      <c r="B1876" t="inlineStr">
        <is>
          <t>Satisfacción de los clientes corporativos Educación para toda la vida</t>
        </is>
      </c>
      <c r="C1876" t="inlineStr">
        <is>
          <t>Operación de nuevos negocios y CI</t>
        </is>
      </c>
      <c r="D1876" t="inlineStr">
        <is>
          <t>Semestral</t>
        </is>
      </c>
      <c r="E1876" t="inlineStr">
        <is>
          <t>Positivo</t>
        </is>
      </c>
      <c r="F1876" s="113" t="n">
        <v>46022</v>
      </c>
      <c r="G1876" t="n">
        <v>2025</v>
      </c>
      <c r="H1876" t="inlineStr">
        <is>
          <t>Diciembre</t>
        </is>
      </c>
      <c r="I1876" t="inlineStr">
        <is>
          <t>2025-2</t>
        </is>
      </c>
      <c r="J1876" t="n">
        <v>90</v>
      </c>
      <c r="K1876" t="n">
        <v>97</v>
      </c>
      <c r="L1876" s="39" t="n">
        <v>1.077777777777778</v>
      </c>
      <c r="M1876" s="39" t="n">
        <v>1.077777777777778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372-2025-12-31</t>
        </is>
      </c>
    </row>
    <row r="1877" hidden="1">
      <c r="A1877" t="n">
        <v>373</v>
      </c>
      <c r="B1877" t="inlineStr">
        <is>
          <t>Cumplimiento de planes anuales por líneas</t>
        </is>
      </c>
      <c r="C1877" t="inlineStr">
        <is>
          <t>Planeación Estratégica</t>
        </is>
      </c>
      <c r="D1877" t="inlineStr">
        <is>
          <t>Semestral</t>
        </is>
      </c>
      <c r="E1877" t="inlineStr">
        <is>
          <t>Positivo</t>
        </is>
      </c>
      <c r="F1877" s="113" t="n">
        <v>45016</v>
      </c>
      <c r="G1877" t="n">
        <v>2023</v>
      </c>
      <c r="H1877" t="inlineStr">
        <is>
          <t>Marzo</t>
        </is>
      </c>
      <c r="I1877" t="inlineStr">
        <is>
          <t>2023-1</t>
        </is>
      </c>
      <c r="J1877" t="n">
        <v>100</v>
      </c>
      <c r="K1877" t="n">
        <v>0</v>
      </c>
      <c r="L1877" s="39" t="n">
        <v>0</v>
      </c>
      <c r="M1877" s="39" t="n">
        <v>0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373-2023-03-31</t>
        </is>
      </c>
    </row>
    <row r="1878" hidden="1">
      <c r="A1878" t="n">
        <v>373</v>
      </c>
      <c r="B1878" t="inlineStr">
        <is>
          <t>Cumplimiento de planes anuales por líneas</t>
        </is>
      </c>
      <c r="C1878" t="inlineStr">
        <is>
          <t>Planeación Estratégica</t>
        </is>
      </c>
      <c r="D1878" t="inlineStr">
        <is>
          <t>Trimestral</t>
        </is>
      </c>
      <c r="E1878" t="inlineStr">
        <is>
          <t>Positivo</t>
        </is>
      </c>
      <c r="F1878" s="113" t="n">
        <v>45107</v>
      </c>
      <c r="G1878" t="n">
        <v>2023</v>
      </c>
      <c r="H1878" t="inlineStr">
        <is>
          <t>Junio</t>
        </is>
      </c>
      <c r="I1878" t="inlineStr">
        <is>
          <t>2023-1</t>
        </is>
      </c>
      <c r="J1878" t="n">
        <v>100</v>
      </c>
      <c r="K1878" t="n">
        <v>107.17166666667</v>
      </c>
      <c r="L1878" s="39" t="n">
        <v>1.0717166666667</v>
      </c>
      <c r="M1878" s="39" t="n">
        <v>1.0717166666667</v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373-2023-06-30</t>
        </is>
      </c>
    </row>
    <row r="1879" hidden="1">
      <c r="A1879" t="n">
        <v>373</v>
      </c>
      <c r="B1879" t="inlineStr">
        <is>
          <t>Cumplimiento de planes anuales por líneas</t>
        </is>
      </c>
      <c r="C1879" t="inlineStr">
        <is>
          <t>Planeación Estratégica</t>
        </is>
      </c>
      <c r="D1879" t="inlineStr">
        <is>
          <t>Trimestral</t>
        </is>
      </c>
      <c r="E1879" t="inlineStr">
        <is>
          <t>Positivo</t>
        </is>
      </c>
      <c r="F1879" s="113" t="n">
        <v>45199</v>
      </c>
      <c r="G1879" t="n">
        <v>2023</v>
      </c>
      <c r="H1879" t="inlineStr">
        <is>
          <t>Septiembre</t>
        </is>
      </c>
      <c r="I1879" t="inlineStr">
        <is>
          <t>2023-2</t>
        </is>
      </c>
      <c r="J1879" t="n">
        <v>100</v>
      </c>
      <c r="K1879" t="n">
        <v>91.508333333333</v>
      </c>
      <c r="L1879" s="39" t="n">
        <v>0.91508333333333</v>
      </c>
      <c r="M1879" s="39" t="n">
        <v>0.91508333333333</v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373-2023-09-30</t>
        </is>
      </c>
    </row>
    <row r="1880" hidden="1">
      <c r="A1880" t="n">
        <v>373</v>
      </c>
      <c r="B1880" t="inlineStr">
        <is>
          <t>Cumplimiento de planes anuales por líneas</t>
        </is>
      </c>
      <c r="C1880" t="inlineStr">
        <is>
          <t>Planeación Estratégica</t>
        </is>
      </c>
      <c r="D1880" t="inlineStr">
        <is>
          <t>Trimestral</t>
        </is>
      </c>
      <c r="E1880" t="inlineStr">
        <is>
          <t>Positivo</t>
        </is>
      </c>
      <c r="F1880" s="113" t="n">
        <v>45291</v>
      </c>
      <c r="G1880" t="n">
        <v>2023</v>
      </c>
      <c r="H1880" t="inlineStr">
        <is>
          <t>Diciembre</t>
        </is>
      </c>
      <c r="I1880" t="inlineStr">
        <is>
          <t>2023-2</t>
        </is>
      </c>
      <c r="J1880" t="n">
        <v>100</v>
      </c>
      <c r="K1880" t="n">
        <v>97.166666666667</v>
      </c>
      <c r="L1880" s="39" t="n">
        <v>0.97166666666667</v>
      </c>
      <c r="M1880" s="39" t="n">
        <v>0.97166666666667</v>
      </c>
      <c r="N1880" t="inlineStr">
        <is>
          <t>%</t>
        </is>
      </c>
      <c r="O1880" t="inlineStr">
        <is>
          <t>%</t>
        </is>
      </c>
      <c r="P1880" t="n">
        <v>0</v>
      </c>
      <c r="Q1880" t="n">
        <v>0</v>
      </c>
      <c r="R1880" t="inlineStr">
        <is>
          <t>373-2023-12-31</t>
        </is>
      </c>
    </row>
    <row r="1881" hidden="1">
      <c r="A1881" t="n">
        <v>373</v>
      </c>
      <c r="B1881" t="inlineStr">
        <is>
          <t>Cumplimiento de planes anuales por líneas</t>
        </is>
      </c>
      <c r="C1881" t="inlineStr">
        <is>
          <t>Planeación Estratégica</t>
        </is>
      </c>
      <c r="D1881" t="inlineStr">
        <is>
          <t>Trimestral</t>
        </is>
      </c>
      <c r="E1881" t="inlineStr">
        <is>
          <t>Positivo</t>
        </is>
      </c>
      <c r="F1881" s="113" t="n">
        <v>45382</v>
      </c>
      <c r="G1881" t="n">
        <v>2024</v>
      </c>
      <c r="H1881" t="inlineStr">
        <is>
          <t>Marzo</t>
        </is>
      </c>
      <c r="I1881" t="inlineStr">
        <is>
          <t>2024-1</t>
        </is>
      </c>
      <c r="J1881" t="n">
        <v>100</v>
      </c>
      <c r="K1881" t="n">
        <v>89.02</v>
      </c>
      <c r="L1881" s="39" t="n">
        <v>0.8902</v>
      </c>
      <c r="M1881" s="39" t="n">
        <v>0.8902</v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373-2024-03-31</t>
        </is>
      </c>
    </row>
    <row r="1882" hidden="1">
      <c r="A1882" t="n">
        <v>373</v>
      </c>
      <c r="B1882" t="inlineStr">
        <is>
          <t>Cumplimiento de planes anuales por líneas</t>
        </is>
      </c>
      <c r="C1882" t="inlineStr">
        <is>
          <t>Planeación Estratégica</t>
        </is>
      </c>
      <c r="D1882" t="inlineStr">
        <is>
          <t>Trimestral</t>
        </is>
      </c>
      <c r="E1882" t="inlineStr">
        <is>
          <t>Positivo</t>
        </is>
      </c>
      <c r="F1882" s="113" t="n">
        <v>45473</v>
      </c>
      <c r="G1882" t="n">
        <v>2024</v>
      </c>
      <c r="H1882" t="inlineStr">
        <is>
          <t>Junio</t>
        </is>
      </c>
      <c r="I1882" t="inlineStr">
        <is>
          <t>2024-1</t>
        </is>
      </c>
      <c r="J1882" t="n">
        <v>100</v>
      </c>
      <c r="K1882" t="n">
        <v>106.8</v>
      </c>
      <c r="L1882" s="39" t="n">
        <v>1.068</v>
      </c>
      <c r="M1882" s="39" t="n">
        <v>1.068</v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373-2024-06-30</t>
        </is>
      </c>
    </row>
    <row r="1883" hidden="1">
      <c r="A1883" t="n">
        <v>373</v>
      </c>
      <c r="B1883" t="inlineStr">
        <is>
          <t>Cumplimiento de planes anuales por líneas</t>
        </is>
      </c>
      <c r="C1883" t="inlineStr">
        <is>
          <t>Planeación Estratégica</t>
        </is>
      </c>
      <c r="D1883" t="inlineStr">
        <is>
          <t>Trimestral</t>
        </is>
      </c>
      <c r="E1883" t="inlineStr">
        <is>
          <t>Positivo</t>
        </is>
      </c>
      <c r="F1883" s="113" t="n">
        <v>45565</v>
      </c>
      <c r="G1883" t="n">
        <v>2024</v>
      </c>
      <c r="H1883" t="inlineStr">
        <is>
          <t>Septiembre</t>
        </is>
      </c>
      <c r="I1883" t="inlineStr">
        <is>
          <t>2024-2</t>
        </is>
      </c>
      <c r="J1883" t="n">
        <v>100</v>
      </c>
      <c r="K1883" t="n">
        <v>99.61</v>
      </c>
      <c r="L1883" s="39" t="n">
        <v>0.9961</v>
      </c>
      <c r="M1883" s="39" t="n">
        <v>0.9961</v>
      </c>
      <c r="N1883" t="inlineStr">
        <is>
          <t>%</t>
        </is>
      </c>
      <c r="O1883" t="inlineStr">
        <is>
          <t>%</t>
        </is>
      </c>
      <c r="P1883" t="n">
        <v>0</v>
      </c>
      <c r="Q1883" t="n">
        <v>0</v>
      </c>
      <c r="R1883" t="inlineStr">
        <is>
          <t>373-2024-09-30</t>
        </is>
      </c>
    </row>
    <row r="1884" hidden="1">
      <c r="A1884" t="n">
        <v>373</v>
      </c>
      <c r="B1884" t="inlineStr">
        <is>
          <t>Cumplimiento de planes anuales por líneas</t>
        </is>
      </c>
      <c r="C1884" t="inlineStr">
        <is>
          <t>Planeación Estratégica</t>
        </is>
      </c>
      <c r="D1884" t="inlineStr">
        <is>
          <t>Trimestral</t>
        </is>
      </c>
      <c r="E1884" t="inlineStr">
        <is>
          <t>Positivo</t>
        </is>
      </c>
      <c r="F1884" s="113" t="n">
        <v>45657</v>
      </c>
      <c r="G1884" t="n">
        <v>2024</v>
      </c>
      <c r="H1884" t="inlineStr">
        <is>
          <t>Diciembre</t>
        </is>
      </c>
      <c r="I1884" t="inlineStr">
        <is>
          <t>2024-2</t>
        </is>
      </c>
      <c r="J1884" t="n">
        <v>100</v>
      </c>
      <c r="K1884" t="n">
        <v>98.67</v>
      </c>
      <c r="L1884" s="39" t="n">
        <v>0.9867</v>
      </c>
      <c r="M1884" s="39" t="n">
        <v>0.9867</v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373-2024-12-31</t>
        </is>
      </c>
    </row>
    <row r="1885" hidden="1">
      <c r="A1885" t="n">
        <v>373</v>
      </c>
      <c r="B1885" t="inlineStr">
        <is>
          <t>Cumplimiento de planes anuales por líneas</t>
        </is>
      </c>
      <c r="C1885" t="inlineStr">
        <is>
          <t>Planeación Estratégica</t>
        </is>
      </c>
      <c r="D1885" t="inlineStr">
        <is>
          <t>Semestral</t>
        </is>
      </c>
      <c r="E1885" t="inlineStr">
        <is>
          <t>Positivo</t>
        </is>
      </c>
      <c r="F1885" s="113" t="n">
        <v>45747</v>
      </c>
      <c r="G1885" t="n">
        <v>2025</v>
      </c>
      <c r="H1885" t="inlineStr">
        <is>
          <t>Marzo</t>
        </is>
      </c>
      <c r="I1885" t="inlineStr">
        <is>
          <t>2025-1</t>
        </is>
      </c>
      <c r="J1885" t="n">
        <v>100</v>
      </c>
      <c r="K1885" t="n">
        <v>107.46</v>
      </c>
      <c r="L1885" s="39" t="n">
        <v>1.0746</v>
      </c>
      <c r="M1885" s="39" t="n">
        <v>1.0746</v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373-2025-03-31</t>
        </is>
      </c>
    </row>
    <row r="1886" hidden="1">
      <c r="A1886" t="n">
        <v>373</v>
      </c>
      <c r="B1886" t="inlineStr">
        <is>
          <t>Cumplimiento de planes anuales por líneas</t>
        </is>
      </c>
      <c r="C1886" t="inlineStr">
        <is>
          <t>Planeación Estratégica</t>
        </is>
      </c>
      <c r="D1886" t="inlineStr">
        <is>
          <t>Semestral</t>
        </is>
      </c>
      <c r="E1886" t="inlineStr">
        <is>
          <t>Positivo</t>
        </is>
      </c>
      <c r="F1886" s="113" t="n">
        <v>45838</v>
      </c>
      <c r="G1886" t="n">
        <v>2025</v>
      </c>
      <c r="H1886" t="inlineStr">
        <is>
          <t>Junio</t>
        </is>
      </c>
      <c r="I1886" t="inlineStr">
        <is>
          <t>2025-1</t>
        </is>
      </c>
      <c r="J1886" t="n">
        <v>100</v>
      </c>
      <c r="K1886" t="n">
        <v>101.75</v>
      </c>
      <c r="L1886" s="39" t="n">
        <v>1.0175</v>
      </c>
      <c r="M1886" s="39" t="n">
        <v>1.0175</v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373-2025-06-30</t>
        </is>
      </c>
    </row>
    <row r="1887" hidden="1">
      <c r="A1887" t="n">
        <v>373</v>
      </c>
      <c r="B1887" t="inlineStr">
        <is>
          <t>Cumplimiento de planes anuales por líneas</t>
        </is>
      </c>
      <c r="C1887" t="inlineStr">
        <is>
          <t>Planeación Estratégica</t>
        </is>
      </c>
      <c r="D1887" t="inlineStr">
        <is>
          <t>Semestral</t>
        </is>
      </c>
      <c r="E1887" t="inlineStr">
        <is>
          <t>Positivo</t>
        </is>
      </c>
      <c r="F1887" s="113" t="n">
        <v>45930</v>
      </c>
      <c r="G1887" t="n">
        <v>2025</v>
      </c>
      <c r="H1887" t="inlineStr">
        <is>
          <t>Septiembre</t>
        </is>
      </c>
      <c r="I1887" t="inlineStr">
        <is>
          <t>2025-2</t>
        </is>
      </c>
      <c r="J1887" t="n">
        <v>100</v>
      </c>
      <c r="K1887" t="n">
        <v>96.31999999999999</v>
      </c>
      <c r="L1887" s="39" t="n">
        <v>0.9631999999999999</v>
      </c>
      <c r="M1887" s="39" t="n">
        <v>0.9631999999999999</v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373-2025-09-30</t>
        </is>
      </c>
    </row>
    <row r="1888" hidden="1">
      <c r="A1888" t="n">
        <v>373</v>
      </c>
      <c r="B1888" t="inlineStr">
        <is>
          <t>Cumplimiento de planes anuales por líneas</t>
        </is>
      </c>
      <c r="C1888" t="inlineStr">
        <is>
          <t>Planeación Estratégica</t>
        </is>
      </c>
      <c r="D1888" t="inlineStr">
        <is>
          <t>Semestral</t>
        </is>
      </c>
      <c r="E1888" t="inlineStr">
        <is>
          <t>Positivo</t>
        </is>
      </c>
      <c r="F1888" s="113" t="n">
        <v>46022</v>
      </c>
      <c r="G1888" t="n">
        <v>2025</v>
      </c>
      <c r="H1888" t="inlineStr">
        <is>
          <t>Diciembre</t>
        </is>
      </c>
      <c r="I1888" t="inlineStr">
        <is>
          <t>2025-2</t>
        </is>
      </c>
      <c r="J1888" t="n">
        <v>100</v>
      </c>
      <c r="K1888" t="n">
        <v>99.33</v>
      </c>
      <c r="L1888" s="39" t="n">
        <v>0.9933</v>
      </c>
      <c r="M1888" s="39" t="n">
        <v>0.9933</v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373-2025-12-31</t>
        </is>
      </c>
    </row>
    <row r="1889" hidden="1">
      <c r="A1889" t="n">
        <v>374</v>
      </c>
      <c r="B1889" t="inlineStr">
        <is>
          <t>Disponibilidad de máster modalidad virtual</t>
        </is>
      </c>
      <c r="C1889" t="inlineStr">
        <is>
          <t>Operaciones Académicas</t>
        </is>
      </c>
      <c r="D1889" t="inlineStr">
        <is>
          <t>Semestral</t>
        </is>
      </c>
      <c r="E1889" t="inlineStr">
        <is>
          <t>Positivo</t>
        </is>
      </c>
      <c r="F1889" s="113" t="n">
        <v>45291</v>
      </c>
      <c r="G1889" t="n">
        <v>2023</v>
      </c>
      <c r="H1889" t="inlineStr">
        <is>
          <t>Diciembre</t>
        </is>
      </c>
      <c r="I1889" t="inlineStr">
        <is>
          <t>2023-2</t>
        </is>
      </c>
      <c r="J1889" t="n">
        <v>100</v>
      </c>
      <c r="K1889" t="n">
        <v>100</v>
      </c>
      <c r="L1889" s="39" t="n">
        <v>1</v>
      </c>
      <c r="M1889" s="39" t="n">
        <v>1</v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374-2023-12-31</t>
        </is>
      </c>
    </row>
    <row r="1890" hidden="1">
      <c r="A1890" t="n">
        <v>375</v>
      </c>
      <c r="B1890" t="inlineStr">
        <is>
          <t>Disponibilidad de catálogo de asignaturas pregrado y posgrado presencial</t>
        </is>
      </c>
      <c r="C1890" t="inlineStr">
        <is>
          <t>Operaciones Académicas</t>
        </is>
      </c>
      <c r="D1890" t="inlineStr">
        <is>
          <t>Trimestral</t>
        </is>
      </c>
      <c r="E1890" t="inlineStr">
        <is>
          <t>Positivo</t>
        </is>
      </c>
      <c r="F1890" s="113" t="n">
        <v>45016</v>
      </c>
      <c r="G1890" t="n">
        <v>2023</v>
      </c>
      <c r="H1890" t="inlineStr">
        <is>
          <t>Marzo</t>
        </is>
      </c>
      <c r="I1890" t="inlineStr">
        <is>
          <t>2023-1</t>
        </is>
      </c>
      <c r="J1890" t="n">
        <v>100</v>
      </c>
      <c r="L1890" s="39" t="n"/>
      <c r="M1890" s="39" t="n"/>
      <c r="N1890" t="inlineStr">
        <is>
          <t>%</t>
        </is>
      </c>
      <c r="O1890" t="inlineStr">
        <is>
          <t>No Aplica</t>
        </is>
      </c>
      <c r="P1890" t="n">
        <v>0</v>
      </c>
      <c r="Q1890" t="n">
        <v>0</v>
      </c>
      <c r="R1890" t="inlineStr">
        <is>
          <t>375-2023-03-31</t>
        </is>
      </c>
      <c r="S1890" t="inlineStr">
        <is>
          <t>No Aplica</t>
        </is>
      </c>
    </row>
    <row r="1891" hidden="1">
      <c r="A1891" t="n">
        <v>375</v>
      </c>
      <c r="B1891" t="inlineStr">
        <is>
          <t>Disponibilidad de catálogo de asignaturas pregrado y posgrado presencial</t>
        </is>
      </c>
      <c r="C1891" t="inlineStr">
        <is>
          <t>Operaciones Académicas</t>
        </is>
      </c>
      <c r="D1891" t="inlineStr">
        <is>
          <t>Trimestral</t>
        </is>
      </c>
      <c r="E1891" t="inlineStr">
        <is>
          <t>Positivo</t>
        </is>
      </c>
      <c r="F1891" s="113" t="n">
        <v>45107</v>
      </c>
      <c r="G1891" t="n">
        <v>2023</v>
      </c>
      <c r="H1891" t="inlineStr">
        <is>
          <t>Junio</t>
        </is>
      </c>
      <c r="I1891" t="inlineStr">
        <is>
          <t>2023-1</t>
        </is>
      </c>
      <c r="J1891" t="n">
        <v>100</v>
      </c>
      <c r="K1891" t="n">
        <v>0</v>
      </c>
      <c r="L1891" s="39" t="n">
        <v>0</v>
      </c>
      <c r="M1891" s="39" t="n">
        <v>0</v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375-2023-06-30</t>
        </is>
      </c>
    </row>
    <row r="1892" hidden="1">
      <c r="A1892" t="n">
        <v>375</v>
      </c>
      <c r="B1892" t="inlineStr">
        <is>
          <t>Disponibilidad de catálogo de asignaturas pregrado y posgrado presencial</t>
        </is>
      </c>
      <c r="C1892" t="inlineStr">
        <is>
          <t>Operaciones Académicas</t>
        </is>
      </c>
      <c r="D1892" t="inlineStr">
        <is>
          <t>Semestral</t>
        </is>
      </c>
      <c r="E1892" t="inlineStr">
        <is>
          <t>Positivo</t>
        </is>
      </c>
      <c r="F1892" s="113" t="n">
        <v>45291</v>
      </c>
      <c r="G1892" t="n">
        <v>2023</v>
      </c>
      <c r="H1892" t="inlineStr">
        <is>
          <t>Diciembre</t>
        </is>
      </c>
      <c r="I1892" t="inlineStr">
        <is>
          <t>2023-2</t>
        </is>
      </c>
      <c r="J1892" t="n">
        <v>100</v>
      </c>
      <c r="K1892" t="n">
        <v>100</v>
      </c>
      <c r="L1892" s="39" t="n">
        <v>1</v>
      </c>
      <c r="M1892" s="39" t="n">
        <v>1</v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375-2023-12-31</t>
        </is>
      </c>
    </row>
    <row r="1893" hidden="1">
      <c r="A1893" t="n">
        <v>375</v>
      </c>
      <c r="B1893" t="inlineStr">
        <is>
          <t>Disponibilidad de catálogo de asignaturas pregrado y posgrado presencial</t>
        </is>
      </c>
      <c r="C1893" t="inlineStr">
        <is>
          <t>Operaciones Académicas</t>
        </is>
      </c>
      <c r="D1893" t="inlineStr">
        <is>
          <t>Semestral</t>
        </is>
      </c>
      <c r="E1893" t="inlineStr">
        <is>
          <t>Positivo</t>
        </is>
      </c>
      <c r="F1893" s="113" t="n">
        <v>45473</v>
      </c>
      <c r="G1893" t="n">
        <v>2024</v>
      </c>
      <c r="H1893" t="inlineStr">
        <is>
          <t>Junio</t>
        </is>
      </c>
      <c r="I1893" t="inlineStr">
        <is>
          <t>2024-1</t>
        </is>
      </c>
      <c r="J1893" t="n">
        <v>100</v>
      </c>
      <c r="K1893" t="n">
        <v>100</v>
      </c>
      <c r="L1893" s="39" t="n">
        <v>1</v>
      </c>
      <c r="M1893" s="39" t="n">
        <v>1</v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375-2024-06-30</t>
        </is>
      </c>
    </row>
    <row r="1894" hidden="1">
      <c r="A1894" t="n">
        <v>375</v>
      </c>
      <c r="B1894" t="inlineStr">
        <is>
          <t>Disponibilidad de catálogo de asignaturas pregrado y posgrado presencial</t>
        </is>
      </c>
      <c r="C1894" t="inlineStr">
        <is>
          <t>Operaciones Académicas</t>
        </is>
      </c>
      <c r="D1894" t="inlineStr">
        <is>
          <t>Semestral</t>
        </is>
      </c>
      <c r="E1894" t="inlineStr">
        <is>
          <t>Positivo</t>
        </is>
      </c>
      <c r="F1894" s="113" t="n">
        <v>45657</v>
      </c>
      <c r="G1894" t="n">
        <v>2024</v>
      </c>
      <c r="H1894" t="inlineStr">
        <is>
          <t>Diciembre</t>
        </is>
      </c>
      <c r="I1894" t="inlineStr">
        <is>
          <t>2024-2</t>
        </is>
      </c>
      <c r="J1894" t="n">
        <v>100</v>
      </c>
      <c r="K1894" t="n">
        <v>100</v>
      </c>
      <c r="L1894" s="39" t="n">
        <v>1</v>
      </c>
      <c r="M1894" s="39" t="n">
        <v>1</v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375-2024-12-31</t>
        </is>
      </c>
    </row>
    <row r="1895" hidden="1">
      <c r="A1895" t="n">
        <v>375</v>
      </c>
      <c r="B1895" t="inlineStr">
        <is>
          <t>Disponibilidad de catálogo de asignaturas pregrado y posgrado presencial</t>
        </is>
      </c>
      <c r="C1895" t="inlineStr">
        <is>
          <t>Operaciones Académicas</t>
        </is>
      </c>
      <c r="D1895" t="inlineStr">
        <is>
          <t>Semestral</t>
        </is>
      </c>
      <c r="E1895" t="inlineStr">
        <is>
          <t>Positivo</t>
        </is>
      </c>
      <c r="F1895" s="113" t="n">
        <v>45838</v>
      </c>
      <c r="G1895" t="n">
        <v>2025</v>
      </c>
      <c r="H1895" t="inlineStr">
        <is>
          <t>Junio</t>
        </is>
      </c>
      <c r="I1895" t="inlineStr">
        <is>
          <t>2025-1</t>
        </is>
      </c>
      <c r="J1895" t="n">
        <v>100</v>
      </c>
      <c r="K1895" t="n">
        <v>100</v>
      </c>
      <c r="L1895" s="39" t="n">
        <v>1</v>
      </c>
      <c r="M1895" s="39" t="n">
        <v>1</v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375-2025-06-30</t>
        </is>
      </c>
    </row>
    <row r="1896" hidden="1">
      <c r="A1896" t="n">
        <v>375</v>
      </c>
      <c r="B1896" t="inlineStr">
        <is>
          <t>Disponibilidad de catálogo de asignaturas pregrado y posgrado presencial</t>
        </is>
      </c>
      <c r="C1896" t="inlineStr">
        <is>
          <t>Operaciones Académicas</t>
        </is>
      </c>
      <c r="D1896" t="inlineStr">
        <is>
          <t>Trimestral</t>
        </is>
      </c>
      <c r="E1896" t="inlineStr">
        <is>
          <t>Positivo</t>
        </is>
      </c>
      <c r="F1896" s="113" t="n">
        <v>46022</v>
      </c>
      <c r="G1896" t="n">
        <v>2025</v>
      </c>
      <c r="H1896" t="inlineStr">
        <is>
          <t>Diciembre</t>
        </is>
      </c>
      <c r="I1896" t="inlineStr">
        <is>
          <t>2025-2</t>
        </is>
      </c>
      <c r="J1896" t="n">
        <v>100</v>
      </c>
      <c r="K1896" t="n">
        <v>100</v>
      </c>
      <c r="L1896" s="39" t="n">
        <v>1</v>
      </c>
      <c r="M1896" s="39" t="n">
        <v>1</v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375-2025-12-31</t>
        </is>
      </c>
    </row>
    <row r="1897" hidden="1">
      <c r="A1897" t="n">
        <v>376</v>
      </c>
      <c r="B1897" t="inlineStr">
        <is>
          <t>Cumplimiento EBIDTA</t>
        </is>
      </c>
      <c r="C1897" t="inlineStr">
        <is>
          <t>Planeación Financiera</t>
        </is>
      </c>
      <c r="D1897" t="inlineStr">
        <is>
          <t>Semestral</t>
        </is>
      </c>
      <c r="E1897" t="inlineStr">
        <is>
          <t>Positivo</t>
        </is>
      </c>
      <c r="F1897" s="113" t="n">
        <v>45107</v>
      </c>
      <c r="G1897" t="n">
        <v>2023</v>
      </c>
      <c r="H1897" t="inlineStr">
        <is>
          <t>Junio</t>
        </is>
      </c>
      <c r="I1897" t="inlineStr">
        <is>
          <t>2023-1</t>
        </is>
      </c>
      <c r="J1897" t="n">
        <v>95</v>
      </c>
      <c r="K1897" t="n">
        <v>149.7223763395</v>
      </c>
      <c r="L1897" s="39" t="n">
        <v>1.3</v>
      </c>
      <c r="M1897" s="39" t="n">
        <v>1.5760250141</v>
      </c>
      <c r="N1897" t="inlineStr">
        <is>
          <t>$</t>
        </is>
      </c>
      <c r="O1897" t="inlineStr">
        <is>
          <t>$</t>
        </is>
      </c>
      <c r="P1897" t="n">
        <v>0</v>
      </c>
      <c r="Q1897" t="n">
        <v>0</v>
      </c>
      <c r="R1897" t="inlineStr">
        <is>
          <t>376-2023-06-30</t>
        </is>
      </c>
    </row>
    <row r="1898" hidden="1">
      <c r="A1898" t="n">
        <v>376</v>
      </c>
      <c r="B1898" t="inlineStr">
        <is>
          <t>Cumplimiento EBIDTA</t>
        </is>
      </c>
      <c r="C1898" t="inlineStr">
        <is>
          <t>Planeación Financiera</t>
        </is>
      </c>
      <c r="D1898" t="inlineStr">
        <is>
          <t>Semestral</t>
        </is>
      </c>
      <c r="E1898" t="inlineStr">
        <is>
          <t>Positivo</t>
        </is>
      </c>
      <c r="F1898" s="113" t="n">
        <v>45291</v>
      </c>
      <c r="G1898" t="n">
        <v>2023</v>
      </c>
      <c r="H1898" t="inlineStr">
        <is>
          <t>Diciembre</t>
        </is>
      </c>
      <c r="I1898" t="inlineStr">
        <is>
          <t>2023-2</t>
        </is>
      </c>
      <c r="J1898" t="n">
        <v>95</v>
      </c>
      <c r="K1898" t="n">
        <v>101.26</v>
      </c>
      <c r="L1898" s="39" t="n">
        <v>1.065894736842105</v>
      </c>
      <c r="M1898" s="39" t="n">
        <v>1.065894736842105</v>
      </c>
      <c r="N1898" t="inlineStr">
        <is>
          <t>$</t>
        </is>
      </c>
      <c r="O1898" t="inlineStr">
        <is>
          <t>$</t>
        </is>
      </c>
      <c r="P1898" t="n">
        <v>0</v>
      </c>
      <c r="Q1898" t="n">
        <v>0</v>
      </c>
      <c r="R1898" t="inlineStr">
        <is>
          <t>376-2023-12-31</t>
        </is>
      </c>
    </row>
    <row r="1899" hidden="1">
      <c r="A1899" t="n">
        <v>376</v>
      </c>
      <c r="B1899" t="inlineStr">
        <is>
          <t>Cumplimiento EBIDTA</t>
        </is>
      </c>
      <c r="C1899" t="inlineStr">
        <is>
          <t>Planeación Financiera</t>
        </is>
      </c>
      <c r="D1899" t="inlineStr">
        <is>
          <t>Semestral</t>
        </is>
      </c>
      <c r="E1899" t="inlineStr">
        <is>
          <t>Positivo</t>
        </is>
      </c>
      <c r="F1899" s="113" t="n">
        <v>45473</v>
      </c>
      <c r="G1899" t="n">
        <v>2024</v>
      </c>
      <c r="H1899" t="inlineStr">
        <is>
          <t>Junio</t>
        </is>
      </c>
      <c r="I1899" t="inlineStr">
        <is>
          <t>2024-1</t>
        </is>
      </c>
      <c r="J1899" t="n">
        <v>95</v>
      </c>
      <c r="K1899" t="n">
        <v>104</v>
      </c>
      <c r="L1899" s="39" t="n">
        <v>1.094736842105263</v>
      </c>
      <c r="M1899" s="39" t="n">
        <v>1.094736842105263</v>
      </c>
      <c r="N1899" t="inlineStr">
        <is>
          <t>$</t>
        </is>
      </c>
      <c r="O1899" t="inlineStr">
        <is>
          <t>$</t>
        </is>
      </c>
      <c r="P1899" t="n">
        <v>0</v>
      </c>
      <c r="Q1899" t="n">
        <v>0</v>
      </c>
      <c r="R1899" t="inlineStr">
        <is>
          <t>376-2024-06-30</t>
        </is>
      </c>
    </row>
    <row r="1900" hidden="1">
      <c r="A1900" t="n">
        <v>376</v>
      </c>
      <c r="B1900" t="inlineStr">
        <is>
          <t>Cumplimiento EBITDA</t>
        </is>
      </c>
      <c r="C1900" t="inlineStr">
        <is>
          <t>Planeación Financiera</t>
        </is>
      </c>
      <c r="D1900" t="inlineStr">
        <is>
          <t>Semestral</t>
        </is>
      </c>
      <c r="E1900" t="inlineStr">
        <is>
          <t>Positivo</t>
        </is>
      </c>
      <c r="F1900" s="113" t="n">
        <v>45657</v>
      </c>
      <c r="G1900" t="n">
        <v>2024</v>
      </c>
      <c r="H1900" t="inlineStr">
        <is>
          <t>Diciembre</t>
        </is>
      </c>
      <c r="I1900" t="inlineStr">
        <is>
          <t>2024-2</t>
        </is>
      </c>
      <c r="J1900" t="n">
        <v>95</v>
      </c>
      <c r="K1900" t="n">
        <v>109.1</v>
      </c>
      <c r="L1900" s="39" t="n">
        <v>1.148421052631579</v>
      </c>
      <c r="M1900" s="39" t="n">
        <v>1.148421052631579</v>
      </c>
      <c r="N1900" t="inlineStr">
        <is>
          <t>$</t>
        </is>
      </c>
      <c r="O1900" t="inlineStr">
        <is>
          <t>$</t>
        </is>
      </c>
      <c r="P1900" t="n">
        <v>0</v>
      </c>
      <c r="Q1900" t="n">
        <v>0</v>
      </c>
      <c r="R1900" t="inlineStr">
        <is>
          <t>376-2024-12-31</t>
        </is>
      </c>
    </row>
    <row r="1901" hidden="1">
      <c r="A1901" t="n">
        <v>376</v>
      </c>
      <c r="B1901" t="inlineStr">
        <is>
          <t>Cumplimiento EBITDA</t>
        </is>
      </c>
      <c r="C1901" t="inlineStr">
        <is>
          <t>Planeación Financiera</t>
        </is>
      </c>
      <c r="D1901" t="inlineStr">
        <is>
          <t>Semestral</t>
        </is>
      </c>
      <c r="E1901" t="inlineStr">
        <is>
          <t>Positivo</t>
        </is>
      </c>
      <c r="F1901" s="113" t="n">
        <v>45838</v>
      </c>
      <c r="G1901" t="n">
        <v>2025</v>
      </c>
      <c r="H1901" t="inlineStr">
        <is>
          <t>Junio</t>
        </is>
      </c>
      <c r="I1901" t="inlineStr">
        <is>
          <t>2025-1</t>
        </is>
      </c>
      <c r="J1901" t="n">
        <v>95</v>
      </c>
      <c r="K1901" t="n">
        <v>117.87</v>
      </c>
      <c r="L1901" s="39" t="n">
        <v>1.240736842105263</v>
      </c>
      <c r="M1901" s="39" t="n">
        <v>1.240736842105263</v>
      </c>
      <c r="N1901" t="inlineStr">
        <is>
          <t>$</t>
        </is>
      </c>
      <c r="O1901" t="inlineStr">
        <is>
          <t>$</t>
        </is>
      </c>
      <c r="P1901" t="n">
        <v>0</v>
      </c>
      <c r="Q1901" t="n">
        <v>0</v>
      </c>
      <c r="R1901" t="inlineStr">
        <is>
          <t>376-2025-06-30</t>
        </is>
      </c>
    </row>
    <row r="1902" hidden="1">
      <c r="A1902" t="n">
        <v>376</v>
      </c>
      <c r="B1902" t="inlineStr">
        <is>
          <t>Cumplimiento EBITDA</t>
        </is>
      </c>
      <c r="C1902" t="inlineStr">
        <is>
          <t>Planeación Financiera</t>
        </is>
      </c>
      <c r="D1902" t="inlineStr">
        <is>
          <t>Trimestral</t>
        </is>
      </c>
      <c r="E1902" t="inlineStr">
        <is>
          <t>Positivo</t>
        </is>
      </c>
      <c r="F1902" s="113" t="n">
        <v>46022</v>
      </c>
      <c r="G1902" t="n">
        <v>2025</v>
      </c>
      <c r="H1902" t="inlineStr">
        <is>
          <t>Diciembre</t>
        </is>
      </c>
      <c r="I1902" t="inlineStr">
        <is>
          <t>2025-2</t>
        </is>
      </c>
      <c r="J1902" t="n">
        <v>95</v>
      </c>
      <c r="K1902" t="n">
        <v>117.51</v>
      </c>
      <c r="L1902" s="39" t="n">
        <v>1.236947368421053</v>
      </c>
      <c r="M1902" s="39" t="n">
        <v>1.236947368421053</v>
      </c>
      <c r="N1902" t="inlineStr">
        <is>
          <t>$</t>
        </is>
      </c>
      <c r="O1902" t="inlineStr">
        <is>
          <t>$</t>
        </is>
      </c>
      <c r="P1902" t="n">
        <v>0</v>
      </c>
      <c r="Q1902" t="n">
        <v>0</v>
      </c>
      <c r="R1902" t="inlineStr">
        <is>
          <t>376-2025-12-31</t>
        </is>
      </c>
    </row>
    <row r="1903" hidden="1">
      <c r="A1903" t="n">
        <v>377</v>
      </c>
      <c r="B1903" t="inlineStr">
        <is>
          <t>CAPEX</t>
        </is>
      </c>
      <c r="C1903" t="inlineStr">
        <is>
          <t>Planeación Financiera</t>
        </is>
      </c>
      <c r="D1903" t="inlineStr">
        <is>
          <t>Semestral</t>
        </is>
      </c>
      <c r="E1903" t="inlineStr">
        <is>
          <t>Negativo</t>
        </is>
      </c>
      <c r="F1903" s="113" t="n">
        <v>45107</v>
      </c>
      <c r="G1903" t="n">
        <v>2023</v>
      </c>
      <c r="H1903" t="inlineStr">
        <is>
          <t>Junio</t>
        </is>
      </c>
      <c r="I1903" t="inlineStr">
        <is>
          <t>2023-1</t>
        </is>
      </c>
      <c r="J1903" t="n">
        <v>100</v>
      </c>
      <c r="K1903" t="n">
        <v>22.314798348502</v>
      </c>
      <c r="L1903" s="39" t="n">
        <v>1.3</v>
      </c>
      <c r="M1903" s="39" t="n">
        <v>4.481331107646467</v>
      </c>
      <c r="N1903" t="inlineStr">
        <is>
          <t>$</t>
        </is>
      </c>
      <c r="O1903" t="inlineStr">
        <is>
          <t>$</t>
        </is>
      </c>
      <c r="P1903" t="n">
        <v>0</v>
      </c>
      <c r="Q1903" t="n">
        <v>0</v>
      </c>
      <c r="R1903" t="inlineStr">
        <is>
          <t>377-2023-06-30</t>
        </is>
      </c>
    </row>
    <row r="1904" hidden="1">
      <c r="A1904" t="n">
        <v>377</v>
      </c>
      <c r="B1904" t="inlineStr">
        <is>
          <t>CAPEX</t>
        </is>
      </c>
      <c r="C1904" t="inlineStr">
        <is>
          <t>Planeación Financiera</t>
        </is>
      </c>
      <c r="D1904" t="inlineStr">
        <is>
          <t>Semestral</t>
        </is>
      </c>
      <c r="E1904" t="inlineStr">
        <is>
          <t>Negativo</t>
        </is>
      </c>
      <c r="F1904" s="113" t="n">
        <v>45291</v>
      </c>
      <c r="G1904" t="n">
        <v>2023</v>
      </c>
      <c r="H1904" t="inlineStr">
        <is>
          <t>Diciembre</t>
        </is>
      </c>
      <c r="I1904" t="inlineStr">
        <is>
          <t>2023-2</t>
        </is>
      </c>
      <c r="J1904" t="n">
        <v>100</v>
      </c>
      <c r="K1904" t="n">
        <v>60.77</v>
      </c>
      <c r="L1904" s="39" t="n">
        <v>1.3</v>
      </c>
      <c r="M1904" s="39" t="n">
        <v>1.645548790521639</v>
      </c>
      <c r="N1904" t="inlineStr">
        <is>
          <t>$</t>
        </is>
      </c>
      <c r="O1904" t="inlineStr">
        <is>
          <t>$</t>
        </is>
      </c>
      <c r="P1904" t="n">
        <v>0</v>
      </c>
      <c r="Q1904" t="n">
        <v>0</v>
      </c>
      <c r="R1904" t="inlineStr">
        <is>
          <t>377-2023-12-31</t>
        </is>
      </c>
    </row>
    <row r="1905" hidden="1">
      <c r="A1905" t="n">
        <v>377</v>
      </c>
      <c r="B1905" t="inlineStr">
        <is>
          <t>CAPEX</t>
        </is>
      </c>
      <c r="C1905" t="inlineStr">
        <is>
          <t>Planeación Financiera</t>
        </is>
      </c>
      <c r="D1905" t="inlineStr">
        <is>
          <t>Semestral</t>
        </is>
      </c>
      <c r="E1905" t="inlineStr">
        <is>
          <t>Negativo</t>
        </is>
      </c>
      <c r="F1905" s="113" t="n">
        <v>45473</v>
      </c>
      <c r="G1905" t="n">
        <v>2024</v>
      </c>
      <c r="H1905" t="inlineStr">
        <is>
          <t>Junio</t>
        </is>
      </c>
      <c r="I1905" t="inlineStr">
        <is>
          <t>2024-1</t>
        </is>
      </c>
      <c r="J1905" t="n">
        <v>100</v>
      </c>
      <c r="K1905" t="n">
        <v>48.24</v>
      </c>
      <c r="L1905" s="39" t="n">
        <v>1.3</v>
      </c>
      <c r="M1905" s="39" t="n">
        <v>2.072968490878939</v>
      </c>
      <c r="N1905" t="inlineStr">
        <is>
          <t>$</t>
        </is>
      </c>
      <c r="O1905" t="inlineStr">
        <is>
          <t>$</t>
        </is>
      </c>
      <c r="P1905" t="n">
        <v>0</v>
      </c>
      <c r="Q1905" t="n">
        <v>0</v>
      </c>
      <c r="R1905" t="inlineStr">
        <is>
          <t>377-2024-06-30</t>
        </is>
      </c>
    </row>
    <row r="1906" hidden="1">
      <c r="A1906" t="n">
        <v>377</v>
      </c>
      <c r="B1906" t="inlineStr">
        <is>
          <t>CAPEX</t>
        </is>
      </c>
      <c r="C1906" t="inlineStr">
        <is>
          <t>Planeación Financiera</t>
        </is>
      </c>
      <c r="D1906" t="inlineStr">
        <is>
          <t>Semestral</t>
        </is>
      </c>
      <c r="E1906" t="inlineStr">
        <is>
          <t>Negativo</t>
        </is>
      </c>
      <c r="F1906" s="113" t="n">
        <v>45657</v>
      </c>
      <c r="G1906" t="n">
        <v>2024</v>
      </c>
      <c r="H1906" t="inlineStr">
        <is>
          <t>Diciembre</t>
        </is>
      </c>
      <c r="I1906" t="inlineStr">
        <is>
          <t>2024-2</t>
        </is>
      </c>
      <c r="J1906" t="n">
        <v>100</v>
      </c>
      <c r="K1906" t="n">
        <v>125.01</v>
      </c>
      <c r="L1906" s="39" t="n">
        <v>0.7999360051195904</v>
      </c>
      <c r="M1906" s="39" t="n">
        <v>0.7999360051195904</v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377-2024-12-31</t>
        </is>
      </c>
    </row>
    <row r="1907" hidden="1">
      <c r="A1907" t="n">
        <v>377</v>
      </c>
      <c r="B1907" t="inlineStr">
        <is>
          <t>CAPEX</t>
        </is>
      </c>
      <c r="C1907" t="inlineStr">
        <is>
          <t>Planeación Financiera</t>
        </is>
      </c>
      <c r="D1907" t="inlineStr">
        <is>
          <t>Anual</t>
        </is>
      </c>
      <c r="E1907" t="inlineStr">
        <is>
          <t>Positivo</t>
        </is>
      </c>
      <c r="F1907" s="113" t="n">
        <v>46022</v>
      </c>
      <c r="G1907" t="n">
        <v>2025</v>
      </c>
      <c r="H1907" t="inlineStr">
        <is>
          <t>Diciembre</t>
        </is>
      </c>
      <c r="I1907" t="inlineStr">
        <is>
          <t>2025-2</t>
        </is>
      </c>
      <c r="J1907" t="n">
        <v>100</v>
      </c>
      <c r="K1907" t="n">
        <v>107.11</v>
      </c>
      <c r="L1907" s="39" t="n">
        <v>1.0711</v>
      </c>
      <c r="M1907" s="39" t="n">
        <v>1.0711</v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377-2025-12-31</t>
        </is>
      </c>
    </row>
    <row r="1908" hidden="1">
      <c r="A1908" t="n">
        <v>378</v>
      </c>
      <c r="B1908" t="inlineStr">
        <is>
          <t>Proyectos tecnológicos</t>
        </is>
      </c>
      <c r="C1908" t="inlineStr">
        <is>
          <t>Gestión de la tecnología e innovación digital</t>
        </is>
      </c>
      <c r="D1908" t="inlineStr">
        <is>
          <t>Mensual</t>
        </is>
      </c>
      <c r="E1908" t="inlineStr">
        <is>
          <t>Positivo</t>
        </is>
      </c>
      <c r="F1908" s="113" t="n">
        <v>44957</v>
      </c>
      <c r="G1908" t="n">
        <v>2023</v>
      </c>
      <c r="H1908" t="inlineStr">
        <is>
          <t>Enero</t>
        </is>
      </c>
      <c r="I1908" t="inlineStr">
        <is>
          <t>2023-1</t>
        </is>
      </c>
      <c r="J1908" t="n">
        <v>92</v>
      </c>
      <c r="K1908" t="n">
        <v>100</v>
      </c>
      <c r="L1908" s="39" t="n">
        <v>1.08695652173913</v>
      </c>
      <c r="M1908" s="39" t="n">
        <v>1.08695652173913</v>
      </c>
      <c r="N1908" t="inlineStr">
        <is>
          <t>%</t>
        </is>
      </c>
      <c r="O1908" t="inlineStr">
        <is>
          <t>%</t>
        </is>
      </c>
      <c r="P1908" t="n">
        <v>0</v>
      </c>
      <c r="Q1908" t="n">
        <v>0</v>
      </c>
      <c r="R1908" t="inlineStr">
        <is>
          <t>378-2023-01-31</t>
        </is>
      </c>
    </row>
    <row r="1909" hidden="1">
      <c r="A1909" t="n">
        <v>378</v>
      </c>
      <c r="B1909" t="inlineStr">
        <is>
          <t>Proyectos tecnológicos</t>
        </is>
      </c>
      <c r="C1909" t="inlineStr">
        <is>
          <t>Gestión de la tecnología e innovación digital</t>
        </is>
      </c>
      <c r="D1909" t="inlineStr">
        <is>
          <t>Mensual</t>
        </is>
      </c>
      <c r="E1909" t="inlineStr">
        <is>
          <t>Positivo</t>
        </is>
      </c>
      <c r="F1909" s="113" t="n">
        <v>44985</v>
      </c>
      <c r="G1909" t="n">
        <v>2023</v>
      </c>
      <c r="H1909" t="inlineStr">
        <is>
          <t>Febrero</t>
        </is>
      </c>
      <c r="I1909" t="inlineStr">
        <is>
          <t>2023-1</t>
        </is>
      </c>
      <c r="J1909" t="n">
        <v>92</v>
      </c>
      <c r="K1909" t="n">
        <v>100</v>
      </c>
      <c r="L1909" s="39" t="n">
        <v>1.08695652173913</v>
      </c>
      <c r="M1909" s="39" t="n">
        <v>1.08695652173913</v>
      </c>
      <c r="N1909" t="inlineStr">
        <is>
          <t>%</t>
        </is>
      </c>
      <c r="O1909" t="inlineStr">
        <is>
          <t>%</t>
        </is>
      </c>
      <c r="P1909" t="n">
        <v>0</v>
      </c>
      <c r="Q1909" t="n">
        <v>0</v>
      </c>
      <c r="R1909" t="inlineStr">
        <is>
          <t>378-2023-02-28</t>
        </is>
      </c>
    </row>
    <row r="1910" hidden="1">
      <c r="A1910" t="n">
        <v>378</v>
      </c>
      <c r="B1910" t="inlineStr">
        <is>
          <t>Proyectos tecnológicos</t>
        </is>
      </c>
      <c r="C1910" t="inlineStr">
        <is>
          <t>Gestión de la tecnología e innovación digital</t>
        </is>
      </c>
      <c r="D1910" t="inlineStr">
        <is>
          <t>Mensual</t>
        </is>
      </c>
      <c r="E1910" t="inlineStr">
        <is>
          <t>Positivo</t>
        </is>
      </c>
      <c r="F1910" s="113" t="n">
        <v>45016</v>
      </c>
      <c r="G1910" t="n">
        <v>2023</v>
      </c>
      <c r="H1910" t="inlineStr">
        <is>
          <t>Marzo</t>
        </is>
      </c>
      <c r="I1910" t="inlineStr">
        <is>
          <t>2023-1</t>
        </is>
      </c>
      <c r="J1910" t="n">
        <v>92</v>
      </c>
      <c r="K1910" t="n">
        <v>100</v>
      </c>
      <c r="L1910" s="39" t="n">
        <v>1.08695652173913</v>
      </c>
      <c r="M1910" s="39" t="n">
        <v>1.08695652173913</v>
      </c>
      <c r="N1910" t="inlineStr">
        <is>
          <t>%</t>
        </is>
      </c>
      <c r="O1910" t="inlineStr">
        <is>
          <t>%</t>
        </is>
      </c>
      <c r="P1910" t="n">
        <v>0</v>
      </c>
      <c r="Q1910" t="n">
        <v>0</v>
      </c>
      <c r="R1910" t="inlineStr">
        <is>
          <t>378-2023-03-31</t>
        </is>
      </c>
    </row>
    <row r="1911" hidden="1">
      <c r="A1911" t="n">
        <v>378</v>
      </c>
      <c r="B1911" t="inlineStr">
        <is>
          <t>Proyectos tecnológicos</t>
        </is>
      </c>
      <c r="C1911" t="inlineStr">
        <is>
          <t>Gestión de la tecnología e innovación digital</t>
        </is>
      </c>
      <c r="D1911" t="inlineStr">
        <is>
          <t>Mensual</t>
        </is>
      </c>
      <c r="E1911" t="inlineStr">
        <is>
          <t>Positivo</t>
        </is>
      </c>
      <c r="F1911" s="113" t="n">
        <v>45046</v>
      </c>
      <c r="G1911" t="n">
        <v>2023</v>
      </c>
      <c r="H1911" t="inlineStr">
        <is>
          <t>Abril</t>
        </is>
      </c>
      <c r="I1911" t="inlineStr">
        <is>
          <t>2023-1</t>
        </is>
      </c>
      <c r="J1911" t="n">
        <v>92</v>
      </c>
      <c r="K1911" t="n">
        <v>90.5</v>
      </c>
      <c r="L1911" s="39" t="n">
        <v>0.9836956521739131</v>
      </c>
      <c r="M1911" s="39" t="n">
        <v>0.9836956521739131</v>
      </c>
      <c r="N1911" t="inlineStr">
        <is>
          <t>%</t>
        </is>
      </c>
      <c r="O1911" t="inlineStr">
        <is>
          <t>%</t>
        </is>
      </c>
      <c r="P1911" t="n">
        <v>1</v>
      </c>
      <c r="Q1911" t="n">
        <v>1</v>
      </c>
      <c r="R1911" t="inlineStr">
        <is>
          <t>378-2023-04-30</t>
        </is>
      </c>
    </row>
    <row r="1912" hidden="1">
      <c r="A1912" t="n">
        <v>378</v>
      </c>
      <c r="B1912" t="inlineStr">
        <is>
          <t>Proyectos tecnológicos</t>
        </is>
      </c>
      <c r="C1912" t="inlineStr">
        <is>
          <t>Gestión de la tecnología e innovación digital</t>
        </is>
      </c>
      <c r="D1912" t="inlineStr">
        <is>
          <t>Mensual</t>
        </is>
      </c>
      <c r="E1912" t="inlineStr">
        <is>
          <t>Positivo</t>
        </is>
      </c>
      <c r="F1912" s="113" t="n">
        <v>45077</v>
      </c>
      <c r="G1912" t="n">
        <v>2023</v>
      </c>
      <c r="H1912" t="inlineStr">
        <is>
          <t>Mayo</t>
        </is>
      </c>
      <c r="I1912" t="inlineStr">
        <is>
          <t>2023-1</t>
        </is>
      </c>
      <c r="J1912" t="n">
        <v>92</v>
      </c>
      <c r="K1912" t="n">
        <v>83.5</v>
      </c>
      <c r="L1912" s="39" t="n">
        <v>0.9076086956521739</v>
      </c>
      <c r="M1912" s="39" t="n">
        <v>0.9076086956521739</v>
      </c>
      <c r="N1912" t="inlineStr">
        <is>
          <t>%</t>
        </is>
      </c>
      <c r="O1912" t="inlineStr">
        <is>
          <t>%</t>
        </is>
      </c>
      <c r="P1912" t="n">
        <v>1</v>
      </c>
      <c r="Q1912" t="n">
        <v>1</v>
      </c>
      <c r="R1912" t="inlineStr">
        <is>
          <t>378-2023-05-31</t>
        </is>
      </c>
    </row>
    <row r="1913" hidden="1">
      <c r="A1913" t="n">
        <v>378</v>
      </c>
      <c r="B1913" t="inlineStr">
        <is>
          <t>Proyectos tecnológicos</t>
        </is>
      </c>
      <c r="C1913" t="inlineStr">
        <is>
          <t>Gestión de la tecnología e innovación digital</t>
        </is>
      </c>
      <c r="D1913" t="inlineStr">
        <is>
          <t>Mensual</t>
        </is>
      </c>
      <c r="E1913" t="inlineStr">
        <is>
          <t>Positivo</t>
        </is>
      </c>
      <c r="F1913" s="113" t="n">
        <v>45107</v>
      </c>
      <c r="G1913" t="n">
        <v>2023</v>
      </c>
      <c r="H1913" t="inlineStr">
        <is>
          <t>Junio</t>
        </is>
      </c>
      <c r="I1913" t="inlineStr">
        <is>
          <t>2023-1</t>
        </is>
      </c>
      <c r="J1913" t="n">
        <v>92</v>
      </c>
      <c r="K1913" t="n">
        <v>89</v>
      </c>
      <c r="L1913" s="39" t="n">
        <v>0.9673913043478261</v>
      </c>
      <c r="M1913" s="39" t="n">
        <v>0.9673913043478261</v>
      </c>
      <c r="N1913" t="inlineStr">
        <is>
          <t>%</t>
        </is>
      </c>
      <c r="O1913" t="inlineStr">
        <is>
          <t>%</t>
        </is>
      </c>
      <c r="P1913" t="n">
        <v>0</v>
      </c>
      <c r="Q1913" t="n">
        <v>0</v>
      </c>
      <c r="R1913" t="inlineStr">
        <is>
          <t>378-2023-06-30</t>
        </is>
      </c>
    </row>
    <row r="1914" hidden="1">
      <c r="A1914" t="n">
        <v>378</v>
      </c>
      <c r="B1914" t="inlineStr">
        <is>
          <t>Proyectos tecnológicos</t>
        </is>
      </c>
      <c r="C1914" t="inlineStr">
        <is>
          <t>Gestión de la tecnología e innovación digital</t>
        </is>
      </c>
      <c r="D1914" t="inlineStr">
        <is>
          <t>Mensual</t>
        </is>
      </c>
      <c r="E1914" t="inlineStr">
        <is>
          <t>Positivo</t>
        </is>
      </c>
      <c r="F1914" s="113" t="n">
        <v>45138</v>
      </c>
      <c r="G1914" t="n">
        <v>2023</v>
      </c>
      <c r="H1914" t="inlineStr">
        <is>
          <t>Julio</t>
        </is>
      </c>
      <c r="I1914" t="inlineStr">
        <is>
          <t>2023-2</t>
        </is>
      </c>
      <c r="J1914" t="n">
        <v>92</v>
      </c>
      <c r="K1914" t="n">
        <v>94</v>
      </c>
      <c r="L1914" s="39" t="n">
        <v>1.021739130434783</v>
      </c>
      <c r="M1914" s="39" t="n">
        <v>1.021739130434783</v>
      </c>
      <c r="N1914" t="inlineStr">
        <is>
          <t>%</t>
        </is>
      </c>
      <c r="O1914" t="inlineStr">
        <is>
          <t>%</t>
        </is>
      </c>
      <c r="P1914" t="n">
        <v>0</v>
      </c>
      <c r="Q1914" t="n">
        <v>0</v>
      </c>
      <c r="R1914" t="inlineStr">
        <is>
          <t>378-2023-07-31</t>
        </is>
      </c>
    </row>
    <row r="1915" hidden="1">
      <c r="A1915" t="n">
        <v>378</v>
      </c>
      <c r="B1915" t="inlineStr">
        <is>
          <t>Proyectos tecnológicos</t>
        </is>
      </c>
      <c r="C1915" t="inlineStr">
        <is>
          <t>Gestión de la tecnología e innovación digital</t>
        </is>
      </c>
      <c r="D1915" t="inlineStr">
        <is>
          <t>Mensual</t>
        </is>
      </c>
      <c r="E1915" t="inlineStr">
        <is>
          <t>Positivo</t>
        </is>
      </c>
      <c r="F1915" s="113" t="n">
        <v>45169</v>
      </c>
      <c r="G1915" t="n">
        <v>2023</v>
      </c>
      <c r="H1915" t="inlineStr">
        <is>
          <t>Agosto</t>
        </is>
      </c>
      <c r="I1915" t="inlineStr">
        <is>
          <t>2023-2</t>
        </is>
      </c>
      <c r="J1915" t="n">
        <v>92</v>
      </c>
      <c r="K1915" t="n">
        <v>97.5</v>
      </c>
      <c r="L1915" s="39" t="n">
        <v>1.059782608695652</v>
      </c>
      <c r="M1915" s="39" t="n">
        <v>1.059782608695652</v>
      </c>
      <c r="N1915" t="inlineStr">
        <is>
          <t>%</t>
        </is>
      </c>
      <c r="O1915" t="inlineStr">
        <is>
          <t>%</t>
        </is>
      </c>
      <c r="P1915" t="n">
        <v>1</v>
      </c>
      <c r="Q1915" t="n">
        <v>1</v>
      </c>
      <c r="R1915" t="inlineStr">
        <is>
          <t>378-2023-08-31</t>
        </is>
      </c>
    </row>
    <row r="1916" hidden="1">
      <c r="A1916" t="n">
        <v>378</v>
      </c>
      <c r="B1916" t="inlineStr">
        <is>
          <t>Proyectos tecnológicos</t>
        </is>
      </c>
      <c r="C1916" t="inlineStr">
        <is>
          <t>Gestión de la tecnología e innovación digital</t>
        </is>
      </c>
      <c r="D1916" t="inlineStr">
        <is>
          <t>Mensual</t>
        </is>
      </c>
      <c r="E1916" t="inlineStr">
        <is>
          <t>Positivo</t>
        </is>
      </c>
      <c r="F1916" s="113" t="n">
        <v>45199</v>
      </c>
      <c r="G1916" t="n">
        <v>2023</v>
      </c>
      <c r="H1916" t="inlineStr">
        <is>
          <t>Septiembre</t>
        </is>
      </c>
      <c r="I1916" t="inlineStr">
        <is>
          <t>2023-2</t>
        </is>
      </c>
      <c r="J1916" t="n">
        <v>92</v>
      </c>
      <c r="K1916" t="n">
        <v>99</v>
      </c>
      <c r="L1916" s="39" t="n">
        <v>1.076086956521739</v>
      </c>
      <c r="M1916" s="39" t="n">
        <v>1.076086956521739</v>
      </c>
      <c r="N1916" t="inlineStr">
        <is>
          <t>%</t>
        </is>
      </c>
      <c r="O1916" t="inlineStr">
        <is>
          <t>%</t>
        </is>
      </c>
      <c r="P1916" t="n">
        <v>0</v>
      </c>
      <c r="Q1916" t="n">
        <v>0</v>
      </c>
      <c r="R1916" t="inlineStr">
        <is>
          <t>378-2023-09-30</t>
        </is>
      </c>
    </row>
    <row r="1917" hidden="1">
      <c r="A1917" t="n">
        <v>378</v>
      </c>
      <c r="B1917" t="inlineStr">
        <is>
          <t>Proyectos tecnológicos</t>
        </is>
      </c>
      <c r="C1917" t="inlineStr">
        <is>
          <t>Gestión de la tecnología e innovación digital</t>
        </is>
      </c>
      <c r="D1917" t="inlineStr">
        <is>
          <t>Mensual</t>
        </is>
      </c>
      <c r="E1917" t="inlineStr">
        <is>
          <t>Positivo</t>
        </is>
      </c>
      <c r="F1917" s="113" t="n">
        <v>45230</v>
      </c>
      <c r="G1917" t="n">
        <v>2023</v>
      </c>
      <c r="H1917" t="inlineStr">
        <is>
          <t>Octubre</t>
        </is>
      </c>
      <c r="I1917" t="inlineStr">
        <is>
          <t>2023-2</t>
        </is>
      </c>
      <c r="J1917" t="n">
        <v>92</v>
      </c>
      <c r="K1917" t="n">
        <v>96</v>
      </c>
      <c r="L1917" s="39" t="n">
        <v>1.043478260869565</v>
      </c>
      <c r="M1917" s="39" t="n">
        <v>1.043478260869565</v>
      </c>
      <c r="N1917" t="inlineStr">
        <is>
          <t>%</t>
        </is>
      </c>
      <c r="O1917" t="inlineStr">
        <is>
          <t>%</t>
        </is>
      </c>
      <c r="P1917" t="n">
        <v>0</v>
      </c>
      <c r="Q1917" t="n">
        <v>0</v>
      </c>
      <c r="R1917" t="inlineStr">
        <is>
          <t>378-2023-10-31</t>
        </is>
      </c>
    </row>
    <row r="1918" hidden="1">
      <c r="A1918" t="n">
        <v>378</v>
      </c>
      <c r="B1918" t="inlineStr">
        <is>
          <t>Proyectos tecnológicos</t>
        </is>
      </c>
      <c r="C1918" t="inlineStr">
        <is>
          <t>Gestión de la tecnología e innovación digital</t>
        </is>
      </c>
      <c r="D1918" t="inlineStr">
        <is>
          <t>Mensual</t>
        </is>
      </c>
      <c r="E1918" t="inlineStr">
        <is>
          <t>Positivo</t>
        </is>
      </c>
      <c r="F1918" s="113" t="n">
        <v>45260</v>
      </c>
      <c r="G1918" t="n">
        <v>2023</v>
      </c>
      <c r="H1918" t="inlineStr">
        <is>
          <t>Noviembre</t>
        </is>
      </c>
      <c r="I1918" t="inlineStr">
        <is>
          <t>2023-2</t>
        </is>
      </c>
      <c r="J1918" t="n">
        <v>92</v>
      </c>
      <c r="K1918" t="n">
        <v>96.91</v>
      </c>
      <c r="L1918" s="39" t="n">
        <v>1.053369565217391</v>
      </c>
      <c r="M1918" s="39" t="n">
        <v>1.053369565217391</v>
      </c>
      <c r="N1918" t="inlineStr">
        <is>
          <t>%</t>
        </is>
      </c>
      <c r="O1918" t="inlineStr">
        <is>
          <t>%</t>
        </is>
      </c>
      <c r="P1918" t="n">
        <v>0</v>
      </c>
      <c r="Q1918" t="n">
        <v>0</v>
      </c>
      <c r="R1918" t="inlineStr">
        <is>
          <t>378-2023-11-30</t>
        </is>
      </c>
    </row>
    <row r="1919" hidden="1">
      <c r="A1919" t="n">
        <v>378</v>
      </c>
      <c r="B1919" t="inlineStr">
        <is>
          <t>Proyectos tecnológicos</t>
        </is>
      </c>
      <c r="C1919" t="inlineStr">
        <is>
          <t>Gestión de la tecnología e innovación digital</t>
        </is>
      </c>
      <c r="D1919" t="inlineStr">
        <is>
          <t>Mensual</t>
        </is>
      </c>
      <c r="E1919" t="inlineStr">
        <is>
          <t>Positivo</t>
        </is>
      </c>
      <c r="F1919" s="113" t="n">
        <v>45291</v>
      </c>
      <c r="G1919" t="n">
        <v>2023</v>
      </c>
      <c r="H1919" t="inlineStr">
        <is>
          <t>Diciembre</t>
        </is>
      </c>
      <c r="I1919" t="inlineStr">
        <is>
          <t>2023-2</t>
        </is>
      </c>
      <c r="J1919" t="n">
        <v>92</v>
      </c>
      <c r="K1919" t="n">
        <v>100.52</v>
      </c>
      <c r="L1919" s="39" t="n">
        <v>1.092608695652174</v>
      </c>
      <c r="M1919" s="39" t="n">
        <v>1.092608695652174</v>
      </c>
      <c r="N1919" t="inlineStr">
        <is>
          <t>%</t>
        </is>
      </c>
      <c r="O1919" t="inlineStr">
        <is>
          <t>%</t>
        </is>
      </c>
      <c r="P1919" t="n">
        <v>0</v>
      </c>
      <c r="Q1919" t="n">
        <v>0</v>
      </c>
      <c r="R1919" t="inlineStr">
        <is>
          <t>378-2023-12-31</t>
        </is>
      </c>
    </row>
    <row r="1920" hidden="1">
      <c r="A1920" t="n">
        <v>378</v>
      </c>
      <c r="B1920" t="inlineStr">
        <is>
          <t>Proyectos tecnológicos</t>
        </is>
      </c>
      <c r="C1920" t="inlineStr">
        <is>
          <t>GESTIÓN DE LA TECNOLOGÍA E INNOVACIÓN DIGITAL</t>
        </is>
      </c>
      <c r="D1920" t="inlineStr">
        <is>
          <t>Mensual</t>
        </is>
      </c>
      <c r="E1920" t="inlineStr">
        <is>
          <t>Positivo</t>
        </is>
      </c>
      <c r="F1920" s="113" t="n">
        <v>45322</v>
      </c>
      <c r="G1920" t="n">
        <v>2024</v>
      </c>
      <c r="H1920" t="inlineStr">
        <is>
          <t>Enero</t>
        </is>
      </c>
      <c r="I1920" t="inlineStr">
        <is>
          <t>2024-1</t>
        </is>
      </c>
      <c r="J1920" t="n">
        <v>92</v>
      </c>
      <c r="K1920" t="n">
        <v>0</v>
      </c>
      <c r="L1920" s="39" t="n">
        <v>0</v>
      </c>
      <c r="M1920" s="39" t="n">
        <v>0</v>
      </c>
      <c r="N1920" t="inlineStr">
        <is>
          <t>%</t>
        </is>
      </c>
      <c r="O1920" t="inlineStr">
        <is>
          <t>%</t>
        </is>
      </c>
      <c r="P1920" t="n">
        <v>0</v>
      </c>
      <c r="Q1920" t="n">
        <v>0</v>
      </c>
      <c r="R1920" t="inlineStr">
        <is>
          <t>378-2024-01-31</t>
        </is>
      </c>
    </row>
    <row r="1921" hidden="1">
      <c r="A1921" t="n">
        <v>378</v>
      </c>
      <c r="B1921" t="inlineStr">
        <is>
          <t>Proyectos tecnológicos</t>
        </is>
      </c>
      <c r="C1921" t="inlineStr">
        <is>
          <t>GESTIÓN DE LA TECNOLOGÍA E INNOVACIÓN DIGITAL</t>
        </is>
      </c>
      <c r="D1921" t="inlineStr">
        <is>
          <t>Mensual</t>
        </is>
      </c>
      <c r="E1921" t="inlineStr">
        <is>
          <t>Positivo</t>
        </is>
      </c>
      <c r="F1921" s="113" t="n">
        <v>45351</v>
      </c>
      <c r="G1921" t="n">
        <v>2024</v>
      </c>
      <c r="H1921" t="inlineStr">
        <is>
          <t>Febrero</t>
        </is>
      </c>
      <c r="I1921" t="inlineStr">
        <is>
          <t>2024-1</t>
        </is>
      </c>
      <c r="J1921" t="n">
        <v>92</v>
      </c>
      <c r="K1921" t="n">
        <v>0</v>
      </c>
      <c r="L1921" s="39" t="n">
        <v>0</v>
      </c>
      <c r="M1921" s="39" t="n">
        <v>0</v>
      </c>
      <c r="N1921" t="inlineStr">
        <is>
          <t>%</t>
        </is>
      </c>
      <c r="O1921" t="inlineStr">
        <is>
          <t>%</t>
        </is>
      </c>
      <c r="P1921" t="n">
        <v>0</v>
      </c>
      <c r="Q1921" t="n">
        <v>0</v>
      </c>
      <c r="R1921" t="inlineStr">
        <is>
          <t>378-2024-02-29</t>
        </is>
      </c>
    </row>
    <row r="1922" hidden="1">
      <c r="A1922" t="n">
        <v>378</v>
      </c>
      <c r="B1922" t="inlineStr">
        <is>
          <t>Proyectos tecnológicos</t>
        </is>
      </c>
      <c r="C1922" t="inlineStr">
        <is>
          <t>GESTIÓN DE LA TECNOLOGÍA E INNOVACIÓN DIGITAL</t>
        </is>
      </c>
      <c r="D1922" t="inlineStr">
        <is>
          <t>Mensual</t>
        </is>
      </c>
      <c r="E1922" t="inlineStr">
        <is>
          <t>Positivo</t>
        </is>
      </c>
      <c r="F1922" s="113" t="n">
        <v>45382</v>
      </c>
      <c r="G1922" t="n">
        <v>2024</v>
      </c>
      <c r="H1922" t="inlineStr">
        <is>
          <t>Marzo</t>
        </is>
      </c>
      <c r="I1922" t="inlineStr">
        <is>
          <t>2024-1</t>
        </is>
      </c>
      <c r="J1922" t="n">
        <v>92</v>
      </c>
      <c r="K1922" t="n">
        <v>0</v>
      </c>
      <c r="L1922" s="39" t="n">
        <v>0</v>
      </c>
      <c r="M1922" s="39" t="n">
        <v>0</v>
      </c>
      <c r="N1922" t="inlineStr">
        <is>
          <t>%</t>
        </is>
      </c>
      <c r="O1922" t="inlineStr">
        <is>
          <t>%</t>
        </is>
      </c>
      <c r="P1922" t="n">
        <v>0</v>
      </c>
      <c r="Q1922" t="n">
        <v>0</v>
      </c>
      <c r="R1922" t="inlineStr">
        <is>
          <t>378-2024-03-31</t>
        </is>
      </c>
    </row>
    <row r="1923" hidden="1">
      <c r="A1923" t="n">
        <v>378</v>
      </c>
      <c r="B1923" t="inlineStr">
        <is>
          <t>Proyectos tecnológicos</t>
        </is>
      </c>
      <c r="C1923" t="inlineStr">
        <is>
          <t>GESTIÓN DE LA TECNOLOGÍA E INNOVACIÓN DIGITAL</t>
        </is>
      </c>
      <c r="D1923" t="inlineStr">
        <is>
          <t>Mensual</t>
        </is>
      </c>
      <c r="E1923" t="inlineStr">
        <is>
          <t>Positivo</t>
        </is>
      </c>
      <c r="F1923" s="113" t="n">
        <v>45412</v>
      </c>
      <c r="G1923" t="n">
        <v>2024</v>
      </c>
      <c r="H1923" t="inlineStr">
        <is>
          <t>Abril</t>
        </is>
      </c>
      <c r="I1923" t="inlineStr">
        <is>
          <t>2024-1</t>
        </is>
      </c>
      <c r="J1923" t="n">
        <v>92</v>
      </c>
      <c r="K1923" t="n">
        <v>0</v>
      </c>
      <c r="L1923" s="39" t="n">
        <v>0</v>
      </c>
      <c r="M1923" s="39" t="n">
        <v>0</v>
      </c>
      <c r="N1923" t="inlineStr">
        <is>
          <t>%</t>
        </is>
      </c>
      <c r="O1923" t="inlineStr">
        <is>
          <t>%</t>
        </is>
      </c>
      <c r="P1923" t="n">
        <v>0</v>
      </c>
      <c r="Q1923" t="n">
        <v>0</v>
      </c>
      <c r="R1923" t="inlineStr">
        <is>
          <t>378-2024-04-30</t>
        </is>
      </c>
    </row>
    <row r="1924" hidden="1">
      <c r="A1924" t="n">
        <v>378</v>
      </c>
      <c r="B1924" t="inlineStr">
        <is>
          <t>Proyectos tecnológicos</t>
        </is>
      </c>
      <c r="C1924" t="inlineStr">
        <is>
          <t>GESTIÓN DE LA TECNOLOGÍA E INNOVACIÓN DIGITAL</t>
        </is>
      </c>
      <c r="D1924" t="inlineStr">
        <is>
          <t>Mensual</t>
        </is>
      </c>
      <c r="E1924" t="inlineStr">
        <is>
          <t>Positivo</t>
        </is>
      </c>
      <c r="F1924" s="113" t="n">
        <v>45443</v>
      </c>
      <c r="G1924" t="n">
        <v>2024</v>
      </c>
      <c r="H1924" t="inlineStr">
        <is>
          <t>Mayo</t>
        </is>
      </c>
      <c r="I1924" t="inlineStr">
        <is>
          <t>2024-1</t>
        </is>
      </c>
      <c r="J1924" t="n">
        <v>92</v>
      </c>
      <c r="K1924" t="n">
        <v>98.5</v>
      </c>
      <c r="L1924" s="39" t="n">
        <v>1.070652173913043</v>
      </c>
      <c r="M1924" s="39" t="n">
        <v>1.070652173913043</v>
      </c>
      <c r="N1924" t="inlineStr">
        <is>
          <t>%</t>
        </is>
      </c>
      <c r="O1924" t="inlineStr">
        <is>
          <t>%</t>
        </is>
      </c>
      <c r="P1924" t="n">
        <v>0</v>
      </c>
      <c r="Q1924" t="n">
        <v>0</v>
      </c>
      <c r="R1924" t="inlineStr">
        <is>
          <t>378-2024-05-31</t>
        </is>
      </c>
    </row>
    <row r="1925" hidden="1">
      <c r="A1925" t="n">
        <v>378</v>
      </c>
      <c r="B1925" t="inlineStr">
        <is>
          <t>Proyectos tecnológicos</t>
        </is>
      </c>
      <c r="C1925" t="inlineStr">
        <is>
          <t>GESTIÓN DE LA TECNOLOGÍA E INNOVACIÓN DIGITAL</t>
        </is>
      </c>
      <c r="D1925" t="inlineStr">
        <is>
          <t>Mensual</t>
        </is>
      </c>
      <c r="E1925" t="inlineStr">
        <is>
          <t>Positivo</t>
        </is>
      </c>
      <c r="F1925" s="113" t="n">
        <v>45473</v>
      </c>
      <c r="G1925" t="n">
        <v>2024</v>
      </c>
      <c r="H1925" t="inlineStr">
        <is>
          <t>Junio</t>
        </is>
      </c>
      <c r="I1925" t="inlineStr">
        <is>
          <t>2024-1</t>
        </is>
      </c>
      <c r="J1925" t="n">
        <v>92</v>
      </c>
      <c r="K1925" t="n">
        <v>98.5</v>
      </c>
      <c r="L1925" s="39" t="n">
        <v>1.070652173913043</v>
      </c>
      <c r="M1925" s="39" t="n">
        <v>1.070652173913043</v>
      </c>
      <c r="N1925" t="inlineStr">
        <is>
          <t>%</t>
        </is>
      </c>
      <c r="O1925" t="inlineStr">
        <is>
          <t>%</t>
        </is>
      </c>
      <c r="P1925" t="n">
        <v>0</v>
      </c>
      <c r="Q1925" t="n">
        <v>0</v>
      </c>
      <c r="R1925" t="inlineStr">
        <is>
          <t>378-2024-06-30</t>
        </is>
      </c>
    </row>
    <row r="1926" hidden="1">
      <c r="A1926" t="n">
        <v>378</v>
      </c>
      <c r="B1926" t="inlineStr">
        <is>
          <t>Proyectos tecnológicos</t>
        </is>
      </c>
      <c r="C1926" t="inlineStr">
        <is>
          <t>GESTIÓN DE LA TECNOLOGÍA E INNOVACIÓN DIGITAL</t>
        </is>
      </c>
      <c r="D1926" t="inlineStr">
        <is>
          <t>Mensual</t>
        </is>
      </c>
      <c r="E1926" t="inlineStr">
        <is>
          <t>Positivo</t>
        </is>
      </c>
      <c r="F1926" s="113" t="n">
        <v>45504</v>
      </c>
      <c r="G1926" t="n">
        <v>2024</v>
      </c>
      <c r="H1926" t="inlineStr">
        <is>
          <t>Julio</t>
        </is>
      </c>
      <c r="I1926" t="inlineStr">
        <is>
          <t>2024-2</t>
        </is>
      </c>
      <c r="J1926" t="n">
        <v>92</v>
      </c>
      <c r="K1926" t="n">
        <v>0</v>
      </c>
      <c r="L1926" s="39" t="n">
        <v>0</v>
      </c>
      <c r="M1926" s="39" t="n">
        <v>0</v>
      </c>
      <c r="N1926" t="inlineStr">
        <is>
          <t>%</t>
        </is>
      </c>
      <c r="O1926" t="inlineStr">
        <is>
          <t>%</t>
        </is>
      </c>
      <c r="P1926" t="n">
        <v>0</v>
      </c>
      <c r="Q1926" t="n">
        <v>0</v>
      </c>
      <c r="R1926" t="inlineStr">
        <is>
          <t>378-2024-07-31</t>
        </is>
      </c>
    </row>
    <row r="1927" hidden="1">
      <c r="A1927" t="n">
        <v>378</v>
      </c>
      <c r="B1927" t="inlineStr">
        <is>
          <t>Proyectos tecnológicos</t>
        </is>
      </c>
      <c r="C1927" t="inlineStr">
        <is>
          <t>GESTIÓN DE LA TECNOLOGÍA E INNOVACIÓN DIGITAL</t>
        </is>
      </c>
      <c r="D1927" t="inlineStr">
        <is>
          <t>Mensual</t>
        </is>
      </c>
      <c r="E1927" t="inlineStr">
        <is>
          <t>Positivo</t>
        </is>
      </c>
      <c r="F1927" s="113" t="n">
        <v>45535</v>
      </c>
      <c r="G1927" t="n">
        <v>2024</v>
      </c>
      <c r="H1927" t="inlineStr">
        <is>
          <t>Agosto</t>
        </is>
      </c>
      <c r="I1927" t="inlineStr">
        <is>
          <t>2024-2</t>
        </is>
      </c>
      <c r="J1927" t="n">
        <v>92</v>
      </c>
      <c r="K1927" t="n">
        <v>0</v>
      </c>
      <c r="L1927" s="39" t="n">
        <v>0</v>
      </c>
      <c r="M1927" s="39" t="n">
        <v>0</v>
      </c>
      <c r="N1927" t="inlineStr">
        <is>
          <t>%</t>
        </is>
      </c>
      <c r="O1927" t="inlineStr">
        <is>
          <t>%</t>
        </is>
      </c>
      <c r="P1927" t="n">
        <v>0</v>
      </c>
      <c r="Q1927" t="n">
        <v>0</v>
      </c>
      <c r="R1927" t="inlineStr">
        <is>
          <t>378-2024-08-31</t>
        </is>
      </c>
    </row>
    <row r="1928" hidden="1">
      <c r="A1928" t="n">
        <v>378</v>
      </c>
      <c r="B1928" t="inlineStr">
        <is>
          <t>Proyectos tecnológicos</t>
        </is>
      </c>
      <c r="C1928" t="inlineStr">
        <is>
          <t>GESTIÓN DE LA TECNOLOGÍA E INNOVACIÓN DIGITAL</t>
        </is>
      </c>
      <c r="D1928" t="inlineStr">
        <is>
          <t>Mensual</t>
        </is>
      </c>
      <c r="E1928" t="inlineStr">
        <is>
          <t>Positivo</t>
        </is>
      </c>
      <c r="F1928" s="113" t="n">
        <v>45565</v>
      </c>
      <c r="G1928" t="n">
        <v>2024</v>
      </c>
      <c r="H1928" t="inlineStr">
        <is>
          <t>Septiembre</t>
        </is>
      </c>
      <c r="I1928" t="inlineStr">
        <is>
          <t>2024-2</t>
        </is>
      </c>
      <c r="J1928" t="n">
        <v>92</v>
      </c>
      <c r="K1928" t="n">
        <v>0</v>
      </c>
      <c r="L1928" s="39" t="n">
        <v>0</v>
      </c>
      <c r="M1928" s="39" t="n">
        <v>0</v>
      </c>
      <c r="N1928" t="inlineStr">
        <is>
          <t>%</t>
        </is>
      </c>
      <c r="O1928" t="inlineStr">
        <is>
          <t>%</t>
        </is>
      </c>
      <c r="P1928" t="n">
        <v>0</v>
      </c>
      <c r="Q1928" t="n">
        <v>0</v>
      </c>
      <c r="R1928" t="inlineStr">
        <is>
          <t>378-2024-09-30</t>
        </is>
      </c>
    </row>
    <row r="1929" hidden="1">
      <c r="A1929" t="n">
        <v>378</v>
      </c>
      <c r="B1929" t="inlineStr">
        <is>
          <t>Proyectos tecnológicos</t>
        </is>
      </c>
      <c r="C1929" t="inlineStr">
        <is>
          <t>GESTIÓN DE LA TECNOLOGÍA E INNOVACIÓN DIGITAL</t>
        </is>
      </c>
      <c r="D1929" t="inlineStr">
        <is>
          <t>Mensual</t>
        </is>
      </c>
      <c r="E1929" t="inlineStr">
        <is>
          <t>Positivo</t>
        </is>
      </c>
      <c r="F1929" s="113" t="n">
        <v>45596</v>
      </c>
      <c r="G1929" t="n">
        <v>2024</v>
      </c>
      <c r="H1929" t="inlineStr">
        <is>
          <t>Octubre</t>
        </is>
      </c>
      <c r="I1929" t="inlineStr">
        <is>
          <t>2024-2</t>
        </is>
      </c>
      <c r="J1929" t="n">
        <v>92</v>
      </c>
      <c r="K1929" t="n">
        <v>0</v>
      </c>
      <c r="L1929" s="39" t="n">
        <v>0</v>
      </c>
      <c r="M1929" s="39" t="n">
        <v>0</v>
      </c>
      <c r="N1929" t="inlineStr">
        <is>
          <t>%</t>
        </is>
      </c>
      <c r="O1929" t="inlineStr">
        <is>
          <t>%</t>
        </is>
      </c>
      <c r="P1929" t="n">
        <v>0</v>
      </c>
      <c r="Q1929" t="n">
        <v>0</v>
      </c>
      <c r="R1929" t="inlineStr">
        <is>
          <t>378-2024-10-31</t>
        </is>
      </c>
    </row>
    <row r="1930" hidden="1">
      <c r="A1930" t="n">
        <v>378</v>
      </c>
      <c r="B1930" t="inlineStr">
        <is>
          <t>Proyectos tecnológicos</t>
        </is>
      </c>
      <c r="C1930" t="inlineStr">
        <is>
          <t>GESTIÓN DE LA TECNOLOGÍA E INNOVACIÓN DIGITAL</t>
        </is>
      </c>
      <c r="D1930" t="inlineStr">
        <is>
          <t>Mensual</t>
        </is>
      </c>
      <c r="E1930" t="inlineStr">
        <is>
          <t>Positivo</t>
        </is>
      </c>
      <c r="F1930" s="113" t="n">
        <v>45626</v>
      </c>
      <c r="G1930" t="n">
        <v>2024</v>
      </c>
      <c r="H1930" t="inlineStr">
        <is>
          <t>Noviembre</t>
        </is>
      </c>
      <c r="I1930" t="inlineStr">
        <is>
          <t>2024-2</t>
        </is>
      </c>
      <c r="J1930" t="n">
        <v>92</v>
      </c>
      <c r="K1930" t="n">
        <v>0</v>
      </c>
      <c r="L1930" s="39" t="n">
        <v>0</v>
      </c>
      <c r="M1930" s="39" t="n">
        <v>0</v>
      </c>
      <c r="N1930" t="inlineStr">
        <is>
          <t>%</t>
        </is>
      </c>
      <c r="O1930" t="inlineStr">
        <is>
          <t>%</t>
        </is>
      </c>
      <c r="P1930" t="n">
        <v>0</v>
      </c>
      <c r="Q1930" t="n">
        <v>0</v>
      </c>
      <c r="R1930" t="inlineStr">
        <is>
          <t>378-2024-11-30</t>
        </is>
      </c>
    </row>
    <row r="1931" hidden="1">
      <c r="A1931" t="n">
        <v>378</v>
      </c>
      <c r="B1931" t="inlineStr">
        <is>
          <t>Proyectos tecnológicos</t>
        </is>
      </c>
      <c r="C1931" t="inlineStr">
        <is>
          <t>GESTIÓN DE LA TECNOLOGÍA E INNOVACIÓN DIGITAL</t>
        </is>
      </c>
      <c r="D1931" t="inlineStr">
        <is>
          <t>Mensual</t>
        </is>
      </c>
      <c r="E1931" t="inlineStr">
        <is>
          <t>Positivo</t>
        </is>
      </c>
      <c r="F1931" s="113" t="n">
        <v>45657</v>
      </c>
      <c r="G1931" t="n">
        <v>2024</v>
      </c>
      <c r="H1931" t="inlineStr">
        <is>
          <t>Diciembre</t>
        </is>
      </c>
      <c r="I1931" t="inlineStr">
        <is>
          <t>2024-2</t>
        </is>
      </c>
      <c r="J1931" t="n">
        <v>0</v>
      </c>
      <c r="K1931" t="n">
        <v>0</v>
      </c>
      <c r="L1931" s="39" t="n">
        <v>1</v>
      </c>
      <c r="M1931" s="39" t="n">
        <v>1</v>
      </c>
      <c r="N1931" t="inlineStr">
        <is>
          <t>%</t>
        </is>
      </c>
      <c r="O1931" t="inlineStr">
        <is>
          <t>%</t>
        </is>
      </c>
      <c r="P1931" t="n">
        <v>0</v>
      </c>
      <c r="Q1931" t="n">
        <v>0</v>
      </c>
      <c r="R1931" t="inlineStr">
        <is>
          <t>378-2024-12-31</t>
        </is>
      </c>
    </row>
    <row r="1932" hidden="1">
      <c r="A1932" t="n">
        <v>379</v>
      </c>
      <c r="B1932" t="inlineStr">
        <is>
          <t>Total estudiantes nuevos</t>
        </is>
      </c>
      <c r="C1932" t="inlineStr">
        <is>
          <t>Inscripción, admisión y matrícula de estudiantes nuevos</t>
        </is>
      </c>
      <c r="D1932" t="inlineStr">
        <is>
          <t>Semestral</t>
        </is>
      </c>
      <c r="E1932" t="inlineStr">
        <is>
          <t>Positivo</t>
        </is>
      </c>
      <c r="F1932" s="113" t="n">
        <v>45107</v>
      </c>
      <c r="G1932" t="n">
        <v>2023</v>
      </c>
      <c r="H1932" t="inlineStr">
        <is>
          <t>Junio</t>
        </is>
      </c>
      <c r="I1932" t="inlineStr">
        <is>
          <t>2023-1</t>
        </is>
      </c>
      <c r="J1932" t="n">
        <v>100</v>
      </c>
      <c r="K1932" t="n">
        <v>102.72877164056</v>
      </c>
      <c r="L1932" s="39" t="n">
        <v>1.0272877164056</v>
      </c>
      <c r="M1932" s="39" t="n">
        <v>1.0272877164056</v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379-2023-06-30</t>
        </is>
      </c>
    </row>
    <row r="1933" hidden="1">
      <c r="A1933" t="n">
        <v>379</v>
      </c>
      <c r="B1933" t="inlineStr">
        <is>
          <t>Total estudiantes nuevos</t>
        </is>
      </c>
      <c r="C1933" t="inlineStr">
        <is>
          <t>Inscripción, admisión y matrícula de estudiantes nuevos</t>
        </is>
      </c>
      <c r="D1933" t="inlineStr">
        <is>
          <t>Semestral</t>
        </is>
      </c>
      <c r="E1933" t="inlineStr">
        <is>
          <t>Positivo</t>
        </is>
      </c>
      <c r="F1933" s="113" t="n">
        <v>45291</v>
      </c>
      <c r="G1933" t="n">
        <v>2023</v>
      </c>
      <c r="H1933" t="inlineStr">
        <is>
          <t>Diciembre</t>
        </is>
      </c>
      <c r="I1933" t="inlineStr">
        <is>
          <t>2023-2</t>
        </is>
      </c>
      <c r="J1933" t="n">
        <v>100</v>
      </c>
      <c r="K1933" t="n">
        <v>108.65</v>
      </c>
      <c r="L1933" s="39" t="n">
        <v>1.0865</v>
      </c>
      <c r="M1933" s="39" t="n">
        <v>1.0865</v>
      </c>
      <c r="N1933" t="inlineStr">
        <is>
          <t>ENT</t>
        </is>
      </c>
      <c r="O1933" t="inlineStr">
        <is>
          <t>ENT</t>
        </is>
      </c>
      <c r="P1933" t="n">
        <v>0</v>
      </c>
      <c r="Q1933" t="n">
        <v>0</v>
      </c>
      <c r="R1933" t="inlineStr">
        <is>
          <t>379-2023-12-31</t>
        </is>
      </c>
    </row>
    <row r="1934" hidden="1">
      <c r="A1934" t="n">
        <v>379</v>
      </c>
      <c r="B1934" t="inlineStr">
        <is>
          <t>Total estudiantes nuevos</t>
        </is>
      </c>
      <c r="C1934" t="inlineStr">
        <is>
          <t>Inscripción, admisión y matrícula de estudiantes nuevos</t>
        </is>
      </c>
      <c r="D1934" t="inlineStr">
        <is>
          <t>Semestral</t>
        </is>
      </c>
      <c r="E1934" t="inlineStr">
        <is>
          <t>Positivo</t>
        </is>
      </c>
      <c r="F1934" s="113" t="n">
        <v>45473</v>
      </c>
      <c r="G1934" t="n">
        <v>2024</v>
      </c>
      <c r="H1934" t="inlineStr">
        <is>
          <t>Junio</t>
        </is>
      </c>
      <c r="I1934" t="inlineStr">
        <is>
          <t>2024-1</t>
        </is>
      </c>
      <c r="J1934" t="n">
        <v>100</v>
      </c>
      <c r="K1934" t="n">
        <v>95.92</v>
      </c>
      <c r="L1934" s="39" t="n">
        <v>0.9592000000000001</v>
      </c>
      <c r="M1934" s="39" t="n">
        <v>0.9592000000000001</v>
      </c>
      <c r="N1934" t="inlineStr">
        <is>
          <t>ENT</t>
        </is>
      </c>
      <c r="O1934" t="inlineStr">
        <is>
          <t>ENT</t>
        </is>
      </c>
      <c r="P1934" t="n">
        <v>0</v>
      </c>
      <c r="Q1934" t="n">
        <v>0</v>
      </c>
      <c r="R1934" t="inlineStr">
        <is>
          <t>379-2024-06-30</t>
        </is>
      </c>
    </row>
    <row r="1935" hidden="1">
      <c r="A1935" t="n">
        <v>379</v>
      </c>
      <c r="B1935" t="inlineStr">
        <is>
          <t>Total estudiantes nuevos</t>
        </is>
      </c>
      <c r="C1935" t="inlineStr">
        <is>
          <t>Inscripción, admisión y matrícula de estudiantes nuevos</t>
        </is>
      </c>
      <c r="D1935" t="inlineStr">
        <is>
          <t>Semestral</t>
        </is>
      </c>
      <c r="E1935" t="inlineStr">
        <is>
          <t>Positivo</t>
        </is>
      </c>
      <c r="F1935" s="113" t="n">
        <v>45657</v>
      </c>
      <c r="G1935" t="n">
        <v>2024</v>
      </c>
      <c r="H1935" t="inlineStr">
        <is>
          <t>Diciembre</t>
        </is>
      </c>
      <c r="I1935" t="inlineStr">
        <is>
          <t>2024-2</t>
        </is>
      </c>
      <c r="J1935" t="n">
        <v>100</v>
      </c>
      <c r="K1935" t="n">
        <v>99.31</v>
      </c>
      <c r="L1935" s="39" t="n">
        <v>0.9931</v>
      </c>
      <c r="M1935" s="39" t="n">
        <v>0.9931</v>
      </c>
      <c r="N1935" t="inlineStr">
        <is>
          <t>ENT</t>
        </is>
      </c>
      <c r="O1935" t="inlineStr">
        <is>
          <t>ENT</t>
        </is>
      </c>
      <c r="P1935" t="n">
        <v>0</v>
      </c>
      <c r="Q1935" t="n">
        <v>0</v>
      </c>
      <c r="R1935" t="inlineStr">
        <is>
          <t>379-2024-12-31</t>
        </is>
      </c>
    </row>
    <row r="1936" hidden="1">
      <c r="A1936" t="n">
        <v>379</v>
      </c>
      <c r="B1936" t="inlineStr">
        <is>
          <t>Total estudiantes nuevos</t>
        </is>
      </c>
      <c r="C1936" t="inlineStr">
        <is>
          <t>Inscripción, admisión y matrícula de estudiantes nuevos</t>
        </is>
      </c>
      <c r="D1936" t="inlineStr">
        <is>
          <t>Semestral</t>
        </is>
      </c>
      <c r="E1936" t="inlineStr">
        <is>
          <t>Positivo</t>
        </is>
      </c>
      <c r="F1936" s="113" t="n">
        <v>45838</v>
      </c>
      <c r="G1936" t="n">
        <v>2025</v>
      </c>
      <c r="H1936" t="inlineStr">
        <is>
          <t>Junio</t>
        </is>
      </c>
      <c r="I1936" t="inlineStr">
        <is>
          <t>2025-1</t>
        </is>
      </c>
      <c r="J1936" t="n">
        <v>100</v>
      </c>
      <c r="K1936" t="n">
        <v>104.11</v>
      </c>
      <c r="L1936" s="39" t="n">
        <v>1.0411</v>
      </c>
      <c r="M1936" s="39" t="n">
        <v>1.0411</v>
      </c>
      <c r="N1936" t="inlineStr">
        <is>
          <t>ENT</t>
        </is>
      </c>
      <c r="O1936" t="inlineStr">
        <is>
          <t>ENT</t>
        </is>
      </c>
      <c r="P1936" t="n">
        <v>0</v>
      </c>
      <c r="Q1936" t="n">
        <v>0</v>
      </c>
      <c r="R1936" t="inlineStr">
        <is>
          <t>379-2025-06-30</t>
        </is>
      </c>
    </row>
    <row r="1937" hidden="1">
      <c r="A1937" t="n">
        <v>379</v>
      </c>
      <c r="B1937" t="inlineStr">
        <is>
          <t>Total estudiantes nuevos</t>
        </is>
      </c>
      <c r="C1937" t="inlineStr">
        <is>
          <t>Inscripción, admisión y matrícula de estudiantes nuevos</t>
        </is>
      </c>
      <c r="D1937" t="inlineStr">
        <is>
          <t>Semestral</t>
        </is>
      </c>
      <c r="E1937" t="inlineStr">
        <is>
          <t>Positivo</t>
        </is>
      </c>
      <c r="F1937" s="113" t="n">
        <v>46022</v>
      </c>
      <c r="G1937" t="n">
        <v>2025</v>
      </c>
      <c r="H1937" t="inlineStr">
        <is>
          <t>Diciembre</t>
        </is>
      </c>
      <c r="I1937" t="inlineStr">
        <is>
          <t>2025-2</t>
        </is>
      </c>
      <c r="J1937" t="n">
        <v>100</v>
      </c>
      <c r="K1937" t="n">
        <v>102.41</v>
      </c>
      <c r="L1937" s="39" t="n">
        <v>1.0241</v>
      </c>
      <c r="M1937" s="39" t="n">
        <v>1.0241</v>
      </c>
      <c r="N1937" t="inlineStr">
        <is>
          <t>ENT</t>
        </is>
      </c>
      <c r="O1937" t="inlineStr">
        <is>
          <t>ENT</t>
        </is>
      </c>
      <c r="P1937" t="n">
        <v>0</v>
      </c>
      <c r="Q1937" t="n">
        <v>0</v>
      </c>
      <c r="R1937" t="inlineStr">
        <is>
          <t>379-2025-12-31</t>
        </is>
      </c>
    </row>
    <row r="1938" hidden="1">
      <c r="A1938" t="n">
        <v>380</v>
      </c>
      <c r="B1938" t="inlineStr">
        <is>
          <t>Ingresos de matriculas de estudiantes nuevos</t>
        </is>
      </c>
      <c r="C1938" t="inlineStr">
        <is>
          <t>Inscripción, admisión y matrícula de estudiantes nuevos</t>
        </is>
      </c>
      <c r="D1938" t="inlineStr">
        <is>
          <t>Semestral</t>
        </is>
      </c>
      <c r="E1938" t="inlineStr">
        <is>
          <t>Positivo</t>
        </is>
      </c>
      <c r="F1938" s="113" t="n">
        <v>45107</v>
      </c>
      <c r="G1938" t="n">
        <v>2023</v>
      </c>
      <c r="H1938" t="inlineStr">
        <is>
          <t>Junio</t>
        </is>
      </c>
      <c r="I1938" t="inlineStr">
        <is>
          <t>2023-1</t>
        </is>
      </c>
      <c r="J1938">
        <f>24659314309/1000000</f>
        <v/>
      </c>
      <c r="K1938">
        <f>25754085546/1000000</f>
        <v/>
      </c>
      <c r="L1938" s="39">
        <f>IFERROR(IF(OR(J1938=0,K1938=""),"",IF(E1938="Positivo",MIN(MAX(K1938/J1938,0),1.3),MIN(MAX(J1938/K1938,0),1.3))),"") </f>
        <v/>
      </c>
      <c r="M1938" s="39">
        <f>IFERROR(IF(OR(J1938=0,K1938=""),"",IF(E1938="Positivo",MAX(K1938/J1938,0),MAX(J1938/K1938,0))),"") </f>
        <v/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380-2023-06-30</t>
        </is>
      </c>
    </row>
    <row r="1939" hidden="1">
      <c r="A1939" t="n">
        <v>380</v>
      </c>
      <c r="B1939" t="inlineStr">
        <is>
          <t>Ingresos de matriculas de estudiantes nuevos</t>
        </is>
      </c>
      <c r="C1939" t="inlineStr">
        <is>
          <t>Inscripción, admisión y matrícula de estudiantes nuevos</t>
        </is>
      </c>
      <c r="D1939" t="inlineStr">
        <is>
          <t>Semestral</t>
        </is>
      </c>
      <c r="E1939" t="inlineStr">
        <is>
          <t>Positivo</t>
        </is>
      </c>
      <c r="F1939" s="113" t="n">
        <v>45291</v>
      </c>
      <c r="G1939" t="n">
        <v>2023</v>
      </c>
      <c r="H1939" t="inlineStr">
        <is>
          <t>Diciembre</t>
        </is>
      </c>
      <c r="I1939" t="inlineStr">
        <is>
          <t>2023-2</t>
        </is>
      </c>
      <c r="J1939">
        <f>24724802794/1000000</f>
        <v/>
      </c>
      <c r="K1939">
        <f>25340546506/1000000</f>
        <v/>
      </c>
      <c r="L1939" s="39">
        <f>IFERROR(IF(OR(J1939=0,K1939=""),"",IF(E1939="Positivo",MIN(MAX(K1939/J1939,0),1.3),MIN(MAX(J1939/K1939,0),1.3))),"") </f>
        <v/>
      </c>
      <c r="M1939" s="39">
        <f>IFERROR(IF(OR(J1939=0,K1939=""),"",IF(E1939="Positivo",MAX(K1939/J1939,0),MAX(J1939/K1939,0))),"") </f>
        <v/>
      </c>
      <c r="N1939" t="inlineStr">
        <is>
          <t>$</t>
        </is>
      </c>
      <c r="O1939" t="inlineStr">
        <is>
          <t>$</t>
        </is>
      </c>
      <c r="P1939" t="n">
        <v>0</v>
      </c>
      <c r="Q1939" t="n">
        <v>0</v>
      </c>
      <c r="R1939" t="inlineStr">
        <is>
          <t>380-2023-12-31</t>
        </is>
      </c>
    </row>
    <row r="1940" hidden="1">
      <c r="A1940" t="n">
        <v>380</v>
      </c>
      <c r="B1940" t="inlineStr">
        <is>
          <t>Ingresos de matriculas de estudiantes nuevos</t>
        </is>
      </c>
      <c r="C1940" t="inlineStr">
        <is>
          <t>Inscripción, admisión y matrícula de estudiantes nuevos</t>
        </is>
      </c>
      <c r="D1940" t="inlineStr">
        <is>
          <t>Semestral</t>
        </is>
      </c>
      <c r="E1940" t="inlineStr">
        <is>
          <t>Positivo</t>
        </is>
      </c>
      <c r="F1940" s="113" t="n">
        <v>45473</v>
      </c>
      <c r="G1940" t="n">
        <v>2024</v>
      </c>
      <c r="H1940" t="inlineStr">
        <is>
          <t>Junio</t>
        </is>
      </c>
      <c r="I1940" t="inlineStr">
        <is>
          <t>2024-1</t>
        </is>
      </c>
      <c r="J1940">
        <f>29596269870/1000000</f>
        <v/>
      </c>
      <c r="K1940">
        <f>28449632913/1000000</f>
        <v/>
      </c>
      <c r="L1940" s="39">
        <f>IFERROR(IF(OR(J1940=0,K1940=""),"",IF(E1940="Positivo",MIN(MAX(K1940/J1940,0),1.3),MIN(MAX(J1940/K1940,0),1.3))),"") </f>
        <v/>
      </c>
      <c r="M1940" s="39">
        <f>IFERROR(IF(OR(J1940=0,K1940=""),"",IF(E1940="Positivo",MAX(K1940/J1940,0),MAX(J1940/K1940,0))),"") </f>
        <v/>
      </c>
      <c r="N1940" t="inlineStr">
        <is>
          <t>$</t>
        </is>
      </c>
      <c r="O1940" t="inlineStr">
        <is>
          <t>$</t>
        </is>
      </c>
      <c r="P1940" t="n">
        <v>0</v>
      </c>
      <c r="Q1940" t="n">
        <v>0</v>
      </c>
      <c r="R1940" t="inlineStr">
        <is>
          <t>380-2024-06-30</t>
        </is>
      </c>
    </row>
    <row r="1941" hidden="1">
      <c r="A1941" t="n">
        <v>380</v>
      </c>
      <c r="B1941" t="inlineStr">
        <is>
          <t>Ingresos de matriculas de estudiantes nuevos</t>
        </is>
      </c>
      <c r="C1941" t="inlineStr">
        <is>
          <t>Inscripción, admisión y matrícula de estudiantes nuevos</t>
        </is>
      </c>
      <c r="D1941" t="inlineStr">
        <is>
          <t>Semestral</t>
        </is>
      </c>
      <c r="E1941" t="inlineStr">
        <is>
          <t>Positivo</t>
        </is>
      </c>
      <c r="F1941" s="113" t="n">
        <v>45657</v>
      </c>
      <c r="G1941" t="n">
        <v>2024</v>
      </c>
      <c r="H1941" t="inlineStr">
        <is>
          <t>Diciembre</t>
        </is>
      </c>
      <c r="I1941" t="inlineStr">
        <is>
          <t>2024-2</t>
        </is>
      </c>
      <c r="J1941" t="n">
        <v>100</v>
      </c>
      <c r="K1941" t="n">
        <v>78.92</v>
      </c>
      <c r="L1941" s="39" t="n">
        <v>0.7892</v>
      </c>
      <c r="M1941" s="39" t="n">
        <v>0.7892</v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380-2024-12-31</t>
        </is>
      </c>
    </row>
    <row r="1942" hidden="1">
      <c r="A1942" t="n">
        <v>381</v>
      </c>
      <c r="B1942" t="inlineStr">
        <is>
          <t>Cumplimiento de matrículas pregrado presencial nuevos</t>
        </is>
      </c>
      <c r="C1942" t="inlineStr">
        <is>
          <t>Inscripción, admisión y matrícula de estudiantes nuevos</t>
        </is>
      </c>
      <c r="D1942" t="inlineStr">
        <is>
          <t>Semestral</t>
        </is>
      </c>
      <c r="E1942" t="inlineStr">
        <is>
          <t>Positivo</t>
        </is>
      </c>
      <c r="F1942" s="113" t="n">
        <v>45107</v>
      </c>
      <c r="G1942" t="n">
        <v>2023</v>
      </c>
      <c r="H1942" t="inlineStr">
        <is>
          <t>Junio</t>
        </is>
      </c>
      <c r="I1942" t="inlineStr">
        <is>
          <t>2023-1</t>
        </is>
      </c>
      <c r="J1942" t="n">
        <v>100</v>
      </c>
      <c r="K1942" t="n">
        <v>104.27170868347</v>
      </c>
      <c r="L1942" s="39" t="n">
        <v>1.0427170868347</v>
      </c>
      <c r="M1942" s="39" t="n">
        <v>1.0427170868347</v>
      </c>
      <c r="N1942" t="inlineStr">
        <is>
          <t>ENT</t>
        </is>
      </c>
      <c r="O1942" t="inlineStr">
        <is>
          <t>ENT</t>
        </is>
      </c>
      <c r="P1942" t="n">
        <v>0</v>
      </c>
      <c r="Q1942" t="n">
        <v>0</v>
      </c>
      <c r="R1942" t="inlineStr">
        <is>
          <t>381-2023-06-30</t>
        </is>
      </c>
    </row>
    <row r="1943" hidden="1">
      <c r="A1943" t="n">
        <v>381</v>
      </c>
      <c r="B1943" t="inlineStr">
        <is>
          <t>Cumplimiento de matrículas pregrado presencial nuevos</t>
        </is>
      </c>
      <c r="C1943" t="inlineStr">
        <is>
          <t>Inscripción, admisión y matrícula de estudiantes nuevos</t>
        </is>
      </c>
      <c r="D1943" t="inlineStr">
        <is>
          <t>Semestral</t>
        </is>
      </c>
      <c r="E1943" t="inlineStr">
        <is>
          <t>Positivo</t>
        </is>
      </c>
      <c r="F1943" s="113" t="n">
        <v>45291</v>
      </c>
      <c r="G1943" t="n">
        <v>2023</v>
      </c>
      <c r="H1943" t="inlineStr">
        <is>
          <t>Diciembre</t>
        </is>
      </c>
      <c r="I1943" t="inlineStr">
        <is>
          <t>2023-2</t>
        </is>
      </c>
      <c r="J1943" t="n">
        <v>100</v>
      </c>
      <c r="K1943" t="n">
        <v>113.7</v>
      </c>
      <c r="L1943" s="39" t="n">
        <v>1.137</v>
      </c>
      <c r="M1943" s="39" t="n">
        <v>1.137</v>
      </c>
      <c r="N1943" t="inlineStr">
        <is>
          <t>ENT</t>
        </is>
      </c>
      <c r="O1943" t="inlineStr">
        <is>
          <t>ENT</t>
        </is>
      </c>
      <c r="P1943" t="n">
        <v>0</v>
      </c>
      <c r="Q1943" t="n">
        <v>0</v>
      </c>
      <c r="R1943" t="inlineStr">
        <is>
          <t>381-2023-12-31</t>
        </is>
      </c>
    </row>
    <row r="1944" hidden="1">
      <c r="A1944" t="n">
        <v>381</v>
      </c>
      <c r="B1944" t="inlineStr">
        <is>
          <t>Cumplimiento de matrículas pregrado presencial nuevos</t>
        </is>
      </c>
      <c r="C1944" t="inlineStr">
        <is>
          <t>Inscripción, admisión y matrícula de estudiantes nuevos</t>
        </is>
      </c>
      <c r="D1944" t="inlineStr">
        <is>
          <t>Semestral</t>
        </is>
      </c>
      <c r="E1944" t="inlineStr">
        <is>
          <t>Positivo</t>
        </is>
      </c>
      <c r="F1944" s="113" t="n">
        <v>45473</v>
      </c>
      <c r="G1944" t="n">
        <v>2024</v>
      </c>
      <c r="H1944" t="inlineStr">
        <is>
          <t>Junio</t>
        </is>
      </c>
      <c r="I1944" t="inlineStr">
        <is>
          <t>2024-1</t>
        </is>
      </c>
      <c r="J1944" t="n">
        <v>100</v>
      </c>
      <c r="K1944" t="n">
        <v>105.26</v>
      </c>
      <c r="L1944" s="39" t="n">
        <v>1.0526</v>
      </c>
      <c r="M1944" s="39" t="n">
        <v>1.0526</v>
      </c>
      <c r="N1944" t="inlineStr">
        <is>
          <t>ENT</t>
        </is>
      </c>
      <c r="O1944" t="inlineStr">
        <is>
          <t>ENT</t>
        </is>
      </c>
      <c r="P1944" t="n">
        <v>0</v>
      </c>
      <c r="Q1944" t="n">
        <v>0</v>
      </c>
      <c r="R1944" t="inlineStr">
        <is>
          <t>381-2024-06-30</t>
        </is>
      </c>
    </row>
    <row r="1945" hidden="1">
      <c r="A1945" t="n">
        <v>381</v>
      </c>
      <c r="B1945" t="inlineStr">
        <is>
          <t>Cumplimiento de matrículas pregrado presencial nuevos</t>
        </is>
      </c>
      <c r="C1945" t="inlineStr">
        <is>
          <t>Inscripción, admisión y matrícula de estudiantes nuevos</t>
        </is>
      </c>
      <c r="D1945" t="inlineStr">
        <is>
          <t>Semestral</t>
        </is>
      </c>
      <c r="E1945" t="inlineStr">
        <is>
          <t>Positivo</t>
        </is>
      </c>
      <c r="F1945" s="113" t="n">
        <v>45657</v>
      </c>
      <c r="G1945" t="n">
        <v>2024</v>
      </c>
      <c r="H1945" t="inlineStr">
        <is>
          <t>Diciembre</t>
        </is>
      </c>
      <c r="I1945" t="inlineStr">
        <is>
          <t>2024-2</t>
        </is>
      </c>
      <c r="J1945" t="n">
        <v>100</v>
      </c>
      <c r="K1945" t="n">
        <v>89.19</v>
      </c>
      <c r="L1945" s="39" t="n">
        <v>0.8919</v>
      </c>
      <c r="M1945" s="39" t="n">
        <v>0.8919</v>
      </c>
      <c r="N1945" t="inlineStr">
        <is>
          <t>ENT</t>
        </is>
      </c>
      <c r="O1945" t="inlineStr">
        <is>
          <t>ENT</t>
        </is>
      </c>
      <c r="P1945" t="n">
        <v>0</v>
      </c>
      <c r="Q1945" t="n">
        <v>0</v>
      </c>
      <c r="R1945" t="inlineStr">
        <is>
          <t>381-2024-12-31</t>
        </is>
      </c>
    </row>
    <row r="1946" hidden="1">
      <c r="A1946" t="n">
        <v>381</v>
      </c>
      <c r="B1946" t="inlineStr">
        <is>
          <t>Cumplimiento de matrículas pregrado presencial nuevos</t>
        </is>
      </c>
      <c r="C1946" t="inlineStr">
        <is>
          <t>Inscripción, admisión y matrícula de estudiantes nuevos</t>
        </is>
      </c>
      <c r="D1946" t="inlineStr">
        <is>
          <t>Semestral</t>
        </is>
      </c>
      <c r="E1946" t="inlineStr">
        <is>
          <t>Positivo</t>
        </is>
      </c>
      <c r="F1946" s="113" t="n">
        <v>45838</v>
      </c>
      <c r="G1946" t="n">
        <v>2025</v>
      </c>
      <c r="H1946" t="inlineStr">
        <is>
          <t>Junio</t>
        </is>
      </c>
      <c r="I1946" t="inlineStr">
        <is>
          <t>2025-1</t>
        </is>
      </c>
      <c r="J1946" t="n">
        <v>100</v>
      </c>
      <c r="K1946" t="n">
        <v>98.22</v>
      </c>
      <c r="L1946" s="39" t="n">
        <v>0.9822</v>
      </c>
      <c r="M1946" s="39" t="n">
        <v>0.9822</v>
      </c>
      <c r="N1946" t="inlineStr">
        <is>
          <t>ENT</t>
        </is>
      </c>
      <c r="O1946" t="inlineStr">
        <is>
          <t>ENT</t>
        </is>
      </c>
      <c r="P1946" t="n">
        <v>0</v>
      </c>
      <c r="Q1946" t="n">
        <v>0</v>
      </c>
      <c r="R1946" t="inlineStr">
        <is>
          <t>381-2025-06-30</t>
        </is>
      </c>
    </row>
    <row r="1947" hidden="1">
      <c r="A1947" t="n">
        <v>381</v>
      </c>
      <c r="B1947" t="inlineStr">
        <is>
          <t>Cumplimiento de matrículas pregrado presencial nuevos</t>
        </is>
      </c>
      <c r="C1947" t="inlineStr">
        <is>
          <t>Inscripción, admisión y matrícula de estudiantes nuevos</t>
        </is>
      </c>
      <c r="D1947" t="inlineStr">
        <is>
          <t>Trimestral</t>
        </is>
      </c>
      <c r="E1947" t="inlineStr">
        <is>
          <t>Positivo</t>
        </is>
      </c>
      <c r="F1947" s="113" t="n">
        <v>46022</v>
      </c>
      <c r="G1947" t="n">
        <v>2025</v>
      </c>
      <c r="H1947" t="inlineStr">
        <is>
          <t>Diciembre</t>
        </is>
      </c>
      <c r="I1947" t="inlineStr">
        <is>
          <t>2025-2</t>
        </is>
      </c>
      <c r="J1947" t="n">
        <v>100</v>
      </c>
      <c r="K1947" t="n">
        <v>113.66</v>
      </c>
      <c r="L1947" s="39" t="n">
        <v>1.1366</v>
      </c>
      <c r="M1947" s="39" t="n">
        <v>1.1366</v>
      </c>
      <c r="N1947" t="inlineStr">
        <is>
          <t>ENT</t>
        </is>
      </c>
      <c r="O1947" t="inlineStr">
        <is>
          <t>ENT</t>
        </is>
      </c>
      <c r="P1947" t="n">
        <v>0</v>
      </c>
      <c r="Q1947" t="n">
        <v>0</v>
      </c>
      <c r="R1947" t="inlineStr">
        <is>
          <t>381-2025-12-31</t>
        </is>
      </c>
    </row>
    <row r="1948" hidden="1">
      <c r="A1948" t="n">
        <v>382</v>
      </c>
      <c r="B1948" t="inlineStr">
        <is>
          <t>Cumplimiento de matrículas pregrado virtual nuevos</t>
        </is>
      </c>
      <c r="C1948" t="inlineStr">
        <is>
          <t>Inscripción, admisión y matrícula de estudiantes nuevos</t>
        </is>
      </c>
      <c r="D1948" t="inlineStr">
        <is>
          <t>Semestral</t>
        </is>
      </c>
      <c r="E1948" t="inlineStr">
        <is>
          <t>Positivo</t>
        </is>
      </c>
      <c r="F1948" s="113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100</v>
      </c>
      <c r="K1948" t="n">
        <v>101.25041131951</v>
      </c>
      <c r="L1948" s="39" t="n">
        <v>1.0125041131951</v>
      </c>
      <c r="M1948" s="39" t="n">
        <v>1.0125041131951</v>
      </c>
      <c r="N1948" t="inlineStr">
        <is>
          <t>ENT</t>
        </is>
      </c>
      <c r="O1948" t="inlineStr">
        <is>
          <t>ENT</t>
        </is>
      </c>
      <c r="P1948" t="n">
        <v>0</v>
      </c>
      <c r="Q1948" t="n">
        <v>0</v>
      </c>
      <c r="R1948" t="inlineStr">
        <is>
          <t>382-2023-06-30</t>
        </is>
      </c>
    </row>
    <row r="1949" hidden="1">
      <c r="A1949" t="n">
        <v>382</v>
      </c>
      <c r="B1949" t="inlineStr">
        <is>
          <t>Cumplimiento de matrículas pregrado virtual nuevos</t>
        </is>
      </c>
      <c r="C1949" t="inlineStr">
        <is>
          <t>Inscripción, admisión y matrícula de estudiantes nuevos</t>
        </is>
      </c>
      <c r="D1949" t="inlineStr">
        <is>
          <t>Semestral</t>
        </is>
      </c>
      <c r="E1949" t="inlineStr">
        <is>
          <t>Positivo</t>
        </is>
      </c>
      <c r="F1949" s="113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100</v>
      </c>
      <c r="K1949" t="n">
        <v>103.01</v>
      </c>
      <c r="L1949" s="39" t="n">
        <v>1.0301</v>
      </c>
      <c r="M1949" s="39" t="n">
        <v>1.0301</v>
      </c>
      <c r="N1949" t="inlineStr">
        <is>
          <t>ENT</t>
        </is>
      </c>
      <c r="O1949" t="inlineStr">
        <is>
          <t>ENT</t>
        </is>
      </c>
      <c r="P1949" t="n">
        <v>0</v>
      </c>
      <c r="Q1949" t="n">
        <v>0</v>
      </c>
      <c r="R1949" t="inlineStr">
        <is>
          <t>382-2023-12-31</t>
        </is>
      </c>
    </row>
    <row r="1950" hidden="1">
      <c r="A1950" t="n">
        <v>382</v>
      </c>
      <c r="B1950" t="inlineStr">
        <is>
          <t>Cumplimiento de matrículas pregrado virtual nuevos</t>
        </is>
      </c>
      <c r="C1950" t="inlineStr">
        <is>
          <t>Inscripción, admisión y matrícula de estudiantes nuevos</t>
        </is>
      </c>
      <c r="D1950" t="inlineStr">
        <is>
          <t>Semestral</t>
        </is>
      </c>
      <c r="E1950" t="inlineStr">
        <is>
          <t>Positivo</t>
        </is>
      </c>
      <c r="F1950" s="113" t="n">
        <v>45473</v>
      </c>
      <c r="G1950" t="n">
        <v>2024</v>
      </c>
      <c r="H1950" t="inlineStr">
        <is>
          <t>Junio</t>
        </is>
      </c>
      <c r="I1950" t="inlineStr">
        <is>
          <t>2024-1</t>
        </is>
      </c>
      <c r="J1950" t="n">
        <v>100</v>
      </c>
      <c r="K1950" t="n">
        <v>93.7</v>
      </c>
      <c r="L1950" s="39" t="n">
        <v>0.9370000000000001</v>
      </c>
      <c r="M1950" s="39" t="n">
        <v>0.9370000000000001</v>
      </c>
      <c r="N1950" t="inlineStr">
        <is>
          <t>ENT</t>
        </is>
      </c>
      <c r="O1950" t="inlineStr">
        <is>
          <t>ENT</t>
        </is>
      </c>
      <c r="P1950" t="n">
        <v>0</v>
      </c>
      <c r="Q1950" t="n">
        <v>0</v>
      </c>
      <c r="R1950" t="inlineStr">
        <is>
          <t>382-2024-06-30</t>
        </is>
      </c>
    </row>
    <row r="1951" hidden="1">
      <c r="A1951" t="n">
        <v>382</v>
      </c>
      <c r="B1951" t="inlineStr">
        <is>
          <t>Cumplimiento de matrículas pregrado virtual nuevos</t>
        </is>
      </c>
      <c r="C1951" t="inlineStr">
        <is>
          <t>Inscripción, admisión y matrícula de estudiantes nuevos</t>
        </is>
      </c>
      <c r="D1951" t="inlineStr">
        <is>
          <t>Semestral</t>
        </is>
      </c>
      <c r="E1951" t="inlineStr">
        <is>
          <t>Positivo</t>
        </is>
      </c>
      <c r="F1951" s="113" t="n">
        <v>45657</v>
      </c>
      <c r="G1951" t="n">
        <v>2024</v>
      </c>
      <c r="H1951" t="inlineStr">
        <is>
          <t>Diciembre</t>
        </is>
      </c>
      <c r="I1951" t="inlineStr">
        <is>
          <t>2024-2</t>
        </is>
      </c>
      <c r="J1951" t="n">
        <v>100</v>
      </c>
      <c r="K1951" t="n">
        <v>98.13</v>
      </c>
      <c r="L1951" s="39" t="n">
        <v>0.9813</v>
      </c>
      <c r="M1951" s="39" t="n">
        <v>0.9813</v>
      </c>
      <c r="N1951" t="inlineStr">
        <is>
          <t>ENT</t>
        </is>
      </c>
      <c r="O1951" t="inlineStr">
        <is>
          <t>ENT</t>
        </is>
      </c>
      <c r="P1951" t="n">
        <v>0</v>
      </c>
      <c r="Q1951" t="n">
        <v>0</v>
      </c>
      <c r="R1951" t="inlineStr">
        <is>
          <t>382-2024-12-31</t>
        </is>
      </c>
    </row>
    <row r="1952" hidden="1">
      <c r="A1952" t="n">
        <v>382</v>
      </c>
      <c r="B1952" t="inlineStr">
        <is>
          <t>Cumplimiento de matrículas pregrado virtual nuevos</t>
        </is>
      </c>
      <c r="C1952" t="inlineStr">
        <is>
          <t>Inscripción, admisión y matrícula de estudiantes nuevos</t>
        </is>
      </c>
      <c r="D1952" t="inlineStr">
        <is>
          <t>Semestral</t>
        </is>
      </c>
      <c r="E1952" t="inlineStr">
        <is>
          <t>Positivo</t>
        </is>
      </c>
      <c r="F1952" s="113" t="n">
        <v>45838</v>
      </c>
      <c r="G1952" t="n">
        <v>2025</v>
      </c>
      <c r="H1952" t="inlineStr">
        <is>
          <t>Junio</t>
        </is>
      </c>
      <c r="I1952" t="inlineStr">
        <is>
          <t>2025-1</t>
        </is>
      </c>
      <c r="J1952" t="n">
        <v>100</v>
      </c>
      <c r="K1952" t="n">
        <v>99.84999999999999</v>
      </c>
      <c r="L1952" s="39" t="n">
        <v>0.9984999999999999</v>
      </c>
      <c r="M1952" s="39" t="n">
        <v>0.9984999999999999</v>
      </c>
      <c r="N1952" t="inlineStr">
        <is>
          <t>ENT</t>
        </is>
      </c>
      <c r="O1952" t="inlineStr">
        <is>
          <t>ENT</t>
        </is>
      </c>
      <c r="P1952" t="n">
        <v>0</v>
      </c>
      <c r="Q1952" t="n">
        <v>0</v>
      </c>
      <c r="R1952" t="inlineStr">
        <is>
          <t>382-2025-06-30</t>
        </is>
      </c>
    </row>
    <row r="1953" hidden="1">
      <c r="A1953" t="n">
        <v>382</v>
      </c>
      <c r="B1953" t="inlineStr">
        <is>
          <t>Cumplimiento de matrículas pregrado virtual nuevos</t>
        </is>
      </c>
      <c r="C1953" t="inlineStr">
        <is>
          <t>Inscripción, admisión y matrícula de estudiantes nuevos</t>
        </is>
      </c>
      <c r="D1953" t="inlineStr">
        <is>
          <t>Trimestral</t>
        </is>
      </c>
      <c r="E1953" t="inlineStr">
        <is>
          <t>Positivo</t>
        </is>
      </c>
      <c r="F1953" s="113" t="n">
        <v>46022</v>
      </c>
      <c r="G1953" t="n">
        <v>2025</v>
      </c>
      <c r="H1953" t="inlineStr">
        <is>
          <t>Diciembre</t>
        </is>
      </c>
      <c r="I1953" t="inlineStr">
        <is>
          <t>2025-2</t>
        </is>
      </c>
      <c r="J1953" t="n">
        <v>100</v>
      </c>
      <c r="K1953" t="n">
        <v>97.20999999999999</v>
      </c>
      <c r="L1953" s="39" t="n">
        <v>0.9721</v>
      </c>
      <c r="M1953" s="39" t="n">
        <v>0.9721</v>
      </c>
      <c r="N1953" t="inlineStr">
        <is>
          <t>ENT</t>
        </is>
      </c>
      <c r="O1953" t="inlineStr">
        <is>
          <t>ENT</t>
        </is>
      </c>
      <c r="P1953" t="n">
        <v>0</v>
      </c>
      <c r="Q1953" t="n">
        <v>0</v>
      </c>
      <c r="R1953" t="inlineStr">
        <is>
          <t>382-2025-12-31</t>
        </is>
      </c>
    </row>
    <row r="1954" hidden="1">
      <c r="A1954" t="n">
        <v>383</v>
      </c>
      <c r="B1954" t="inlineStr">
        <is>
          <t>Cumplimiento de matrículas posgrado virtual nuevos</t>
        </is>
      </c>
      <c r="C1954" t="inlineStr">
        <is>
          <t>Inscripción, admisión y matrícula de estudiantes nuevos</t>
        </is>
      </c>
      <c r="D1954" t="inlineStr">
        <is>
          <t>Semestral</t>
        </is>
      </c>
      <c r="E1954" t="inlineStr">
        <is>
          <t>Positivo</t>
        </is>
      </c>
      <c r="F1954" s="113" t="n">
        <v>45107</v>
      </c>
      <c r="G1954" t="n">
        <v>2023</v>
      </c>
      <c r="H1954" t="inlineStr">
        <is>
          <t>Junio</t>
        </is>
      </c>
      <c r="I1954" t="inlineStr">
        <is>
          <t>2023-1</t>
        </is>
      </c>
      <c r="J1954" t="n">
        <v>100</v>
      </c>
      <c r="K1954" t="n">
        <v>109.38232994527</v>
      </c>
      <c r="L1954" s="39" t="n">
        <v>1.0938232994527</v>
      </c>
      <c r="M1954" s="39" t="n">
        <v>1.0938232994527</v>
      </c>
      <c r="N1954" t="inlineStr">
        <is>
          <t>ENT</t>
        </is>
      </c>
      <c r="O1954" t="inlineStr">
        <is>
          <t>ENT</t>
        </is>
      </c>
      <c r="P1954" t="n">
        <v>0</v>
      </c>
      <c r="Q1954" t="n">
        <v>0</v>
      </c>
      <c r="R1954" t="inlineStr">
        <is>
          <t>383-2023-06-30</t>
        </is>
      </c>
    </row>
    <row r="1955" hidden="1">
      <c r="A1955" t="n">
        <v>383</v>
      </c>
      <c r="B1955" t="inlineStr">
        <is>
          <t>Cumplimiento de matrículas posgrado virtual nuevos</t>
        </is>
      </c>
      <c r="C1955" t="inlineStr">
        <is>
          <t>Inscripción, admisión y matrícula de estudiantes nuevos</t>
        </is>
      </c>
      <c r="D1955" t="inlineStr">
        <is>
          <t>Semestral</t>
        </is>
      </c>
      <c r="E1955" t="inlineStr">
        <is>
          <t>Positivo</t>
        </is>
      </c>
      <c r="F1955" s="113" t="n">
        <v>45291</v>
      </c>
      <c r="G1955" t="n">
        <v>2023</v>
      </c>
      <c r="H1955" t="inlineStr">
        <is>
          <t>Diciembre</t>
        </is>
      </c>
      <c r="I1955" t="inlineStr">
        <is>
          <t>2023-2</t>
        </is>
      </c>
      <c r="J1955" t="n">
        <v>100</v>
      </c>
      <c r="K1955" t="n">
        <v>148.66</v>
      </c>
      <c r="L1955" s="39" t="n">
        <v>1.3</v>
      </c>
      <c r="M1955" s="39" t="n">
        <v>1.4866</v>
      </c>
      <c r="N1955" t="inlineStr">
        <is>
          <t>ENT</t>
        </is>
      </c>
      <c r="O1955" t="inlineStr">
        <is>
          <t>ENT</t>
        </is>
      </c>
      <c r="P1955" t="n">
        <v>0</v>
      </c>
      <c r="Q1955" t="n">
        <v>0</v>
      </c>
      <c r="R1955" t="inlineStr">
        <is>
          <t>383-2023-12-31</t>
        </is>
      </c>
    </row>
    <row r="1956" hidden="1">
      <c r="A1956" t="n">
        <v>383</v>
      </c>
      <c r="B1956" t="inlineStr">
        <is>
          <t>Cumplimiento de matrículas posgrado virtual nuevos</t>
        </is>
      </c>
      <c r="C1956" t="inlineStr">
        <is>
          <t>Inscripción, admisión y matrícula de estudiantes nuevos</t>
        </is>
      </c>
      <c r="D1956" t="inlineStr">
        <is>
          <t>Semestral</t>
        </is>
      </c>
      <c r="E1956" t="inlineStr">
        <is>
          <t>Positivo</t>
        </is>
      </c>
      <c r="F1956" s="113" t="n">
        <v>45473</v>
      </c>
      <c r="G1956" t="n">
        <v>2024</v>
      </c>
      <c r="H1956" t="inlineStr">
        <is>
          <t>Junio</t>
        </is>
      </c>
      <c r="I1956" t="inlineStr">
        <is>
          <t>2024-1</t>
        </is>
      </c>
      <c r="J1956" t="n">
        <v>100</v>
      </c>
      <c r="K1956" t="n">
        <v>100.2</v>
      </c>
      <c r="L1956" s="39" t="n">
        <v>1.002</v>
      </c>
      <c r="M1956" s="39" t="n">
        <v>1.002</v>
      </c>
      <c r="N1956" t="inlineStr">
        <is>
          <t>ENT</t>
        </is>
      </c>
      <c r="O1956" t="inlineStr">
        <is>
          <t>ENT</t>
        </is>
      </c>
      <c r="P1956" t="n">
        <v>0</v>
      </c>
      <c r="Q1956" t="n">
        <v>0</v>
      </c>
      <c r="R1956" t="inlineStr">
        <is>
          <t>383-2024-06-30</t>
        </is>
      </c>
    </row>
    <row r="1957" hidden="1">
      <c r="A1957" t="n">
        <v>383</v>
      </c>
      <c r="B1957" t="inlineStr">
        <is>
          <t>Cumplimiento de matrículas posgrado virtual nuevos</t>
        </is>
      </c>
      <c r="C1957" t="inlineStr">
        <is>
          <t>Inscripción, admisión y matrícula de estudiantes nuevos</t>
        </is>
      </c>
      <c r="D1957" t="inlineStr">
        <is>
          <t>Semestral</t>
        </is>
      </c>
      <c r="E1957" t="inlineStr">
        <is>
          <t>Positivo</t>
        </is>
      </c>
      <c r="F1957" s="113" t="n">
        <v>45657</v>
      </c>
      <c r="G1957" t="n">
        <v>2024</v>
      </c>
      <c r="H1957" t="inlineStr">
        <is>
          <t>Diciembre</t>
        </is>
      </c>
      <c r="I1957" t="inlineStr">
        <is>
          <t>2024-2</t>
        </is>
      </c>
      <c r="J1957" t="n">
        <v>100</v>
      </c>
      <c r="K1957" t="n">
        <v>120.71</v>
      </c>
      <c r="L1957" s="39" t="n">
        <v>1.2071</v>
      </c>
      <c r="M1957" s="39" t="n">
        <v>1.2071</v>
      </c>
      <c r="N1957" t="inlineStr">
        <is>
          <t>ENT</t>
        </is>
      </c>
      <c r="O1957" t="inlineStr">
        <is>
          <t>ENT</t>
        </is>
      </c>
      <c r="P1957" t="n">
        <v>0</v>
      </c>
      <c r="Q1957" t="n">
        <v>0</v>
      </c>
      <c r="R1957" t="inlineStr">
        <is>
          <t>383-2024-12-31</t>
        </is>
      </c>
    </row>
    <row r="1958" hidden="1">
      <c r="A1958" t="n">
        <v>383</v>
      </c>
      <c r="B1958" t="inlineStr">
        <is>
          <t>Cumplimiento de matrículas posgrado virtual nuevos</t>
        </is>
      </c>
      <c r="C1958" t="inlineStr">
        <is>
          <t>Inscripción, admisión y matrícula de estudiantes nuevos</t>
        </is>
      </c>
      <c r="D1958" t="inlineStr">
        <is>
          <t>Semestral</t>
        </is>
      </c>
      <c r="E1958" t="inlineStr">
        <is>
          <t>Positivo</t>
        </is>
      </c>
      <c r="F1958" s="113" t="n">
        <v>45838</v>
      </c>
      <c r="G1958" t="n">
        <v>2025</v>
      </c>
      <c r="H1958" t="inlineStr">
        <is>
          <t>Junio</t>
        </is>
      </c>
      <c r="I1958" t="inlineStr">
        <is>
          <t>2025-1</t>
        </is>
      </c>
      <c r="J1958" t="n">
        <v>100</v>
      </c>
      <c r="K1958" t="n">
        <v>136.96</v>
      </c>
      <c r="L1958" s="39" t="n">
        <v>1.3</v>
      </c>
      <c r="M1958" s="39" t="n">
        <v>1.3696</v>
      </c>
      <c r="N1958" t="inlineStr">
        <is>
          <t>ENT</t>
        </is>
      </c>
      <c r="O1958" t="inlineStr">
        <is>
          <t>ENT</t>
        </is>
      </c>
      <c r="P1958" t="n">
        <v>0</v>
      </c>
      <c r="Q1958" t="n">
        <v>0</v>
      </c>
      <c r="R1958" t="inlineStr">
        <is>
          <t>383-2025-06-30</t>
        </is>
      </c>
    </row>
    <row r="1959" hidden="1">
      <c r="A1959" t="n">
        <v>383</v>
      </c>
      <c r="B1959" t="inlineStr">
        <is>
          <t>Cumplimiento de matrículas posgrado virtual nuevos</t>
        </is>
      </c>
      <c r="C1959" t="inlineStr">
        <is>
          <t>Inscripción, admisión y matrícula de estudiantes nuevos</t>
        </is>
      </c>
      <c r="D1959" t="inlineStr">
        <is>
          <t>Trimestral</t>
        </is>
      </c>
      <c r="E1959" t="inlineStr">
        <is>
          <t>Positivo</t>
        </is>
      </c>
      <c r="F1959" s="113" t="n">
        <v>46022</v>
      </c>
      <c r="G1959" t="n">
        <v>2025</v>
      </c>
      <c r="H1959" t="inlineStr">
        <is>
          <t>Diciembre</t>
        </is>
      </c>
      <c r="I1959" t="inlineStr">
        <is>
          <t>2025-2</t>
        </is>
      </c>
      <c r="J1959" t="n">
        <v>100</v>
      </c>
      <c r="K1959" t="n">
        <v>127.87</v>
      </c>
      <c r="L1959" s="39" t="n">
        <v>1.2787</v>
      </c>
      <c r="M1959" s="39" t="n">
        <v>1.2787</v>
      </c>
      <c r="N1959" t="inlineStr">
        <is>
          <t>ENT</t>
        </is>
      </c>
      <c r="O1959" t="inlineStr">
        <is>
          <t>ENT</t>
        </is>
      </c>
      <c r="P1959" t="n">
        <v>0</v>
      </c>
      <c r="Q1959" t="n">
        <v>0</v>
      </c>
      <c r="R1959" t="inlineStr">
        <is>
          <t>383-2025-12-31</t>
        </is>
      </c>
    </row>
    <row r="1960" hidden="1">
      <c r="A1960" t="n">
        <v>384</v>
      </c>
      <c r="B1960" t="inlineStr">
        <is>
          <t>Cumplimiento de matrículas posgrado presencial nuevos</t>
        </is>
      </c>
      <c r="C1960" t="inlineStr">
        <is>
          <t>Inscripción, admisión y matrícula de estudiantes nuevos</t>
        </is>
      </c>
      <c r="D1960" t="inlineStr">
        <is>
          <t>Semestral</t>
        </is>
      </c>
      <c r="E1960" t="inlineStr">
        <is>
          <t>Positivo</t>
        </is>
      </c>
      <c r="F1960" s="113" t="n">
        <v>45107</v>
      </c>
      <c r="G1960" t="n">
        <v>2023</v>
      </c>
      <c r="H1960" t="inlineStr">
        <is>
          <t>Junio</t>
        </is>
      </c>
      <c r="I1960" t="inlineStr">
        <is>
          <t>2023-1</t>
        </is>
      </c>
      <c r="J1960" t="n">
        <v>100</v>
      </c>
      <c r="K1960" t="n">
        <v>111.76470588235</v>
      </c>
      <c r="L1960" s="39" t="n">
        <v>1.1176470588235</v>
      </c>
      <c r="M1960" s="39" t="n">
        <v>1.1176470588235</v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384-2023-06-30</t>
        </is>
      </c>
    </row>
    <row r="1961" hidden="1">
      <c r="A1961" t="n">
        <v>384</v>
      </c>
      <c r="B1961" t="inlineStr">
        <is>
          <t>Cumplimiento de matrículas posgrado presencial nuevos</t>
        </is>
      </c>
      <c r="C1961" t="inlineStr">
        <is>
          <t>Inscripción, admisión y matrícula de estudiantes nuevos</t>
        </is>
      </c>
      <c r="D1961" t="inlineStr">
        <is>
          <t>Semestral</t>
        </is>
      </c>
      <c r="E1961" t="inlineStr">
        <is>
          <t>Positivo</t>
        </is>
      </c>
      <c r="F1961" s="113" t="n">
        <v>45291</v>
      </c>
      <c r="G1961" t="n">
        <v>2023</v>
      </c>
      <c r="H1961" t="inlineStr">
        <is>
          <t>Diciembre</t>
        </is>
      </c>
      <c r="I1961" t="inlineStr">
        <is>
          <t>2023-2</t>
        </is>
      </c>
      <c r="J1961" t="n">
        <v>100</v>
      </c>
      <c r="K1961" t="n">
        <v>115.38</v>
      </c>
      <c r="L1961" s="39" t="n">
        <v>1.1538</v>
      </c>
      <c r="M1961" s="39" t="n">
        <v>1.1538</v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384-2023-12-31</t>
        </is>
      </c>
    </row>
    <row r="1962" hidden="1">
      <c r="A1962" t="n">
        <v>384</v>
      </c>
      <c r="B1962" t="inlineStr">
        <is>
          <t>Cumplimiento de matrículas posgrado presencial nuevos</t>
        </is>
      </c>
      <c r="C1962" t="inlineStr">
        <is>
          <t>Inscripción, admisión y matrícula de estudiantes nuevos</t>
        </is>
      </c>
      <c r="D1962" t="inlineStr">
        <is>
          <t>Semestral</t>
        </is>
      </c>
      <c r="E1962" t="inlineStr">
        <is>
          <t>Positivo</t>
        </is>
      </c>
      <c r="F1962" s="113" t="n">
        <v>45473</v>
      </c>
      <c r="G1962" t="n">
        <v>2024</v>
      </c>
      <c r="H1962" t="inlineStr">
        <is>
          <t>Junio</t>
        </is>
      </c>
      <c r="I1962" t="inlineStr">
        <is>
          <t>2024-1</t>
        </is>
      </c>
      <c r="J1962" t="n">
        <v>100</v>
      </c>
      <c r="K1962" t="n">
        <v>102.2</v>
      </c>
      <c r="L1962" s="39" t="n">
        <v>1.022</v>
      </c>
      <c r="M1962" s="39" t="n">
        <v>1.022</v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384-2024-06-30</t>
        </is>
      </c>
    </row>
    <row r="1963" hidden="1">
      <c r="A1963" t="n">
        <v>384</v>
      </c>
      <c r="B1963" t="inlineStr">
        <is>
          <t>Cumplimiento de matrículas posgrado presencial nuevos</t>
        </is>
      </c>
      <c r="C1963" t="inlineStr">
        <is>
          <t>Inscripción, admisión y matrícula de estudiantes nuevos</t>
        </is>
      </c>
      <c r="D1963" t="inlineStr">
        <is>
          <t>Semestral</t>
        </is>
      </c>
      <c r="E1963" t="inlineStr">
        <is>
          <t>Positivo</t>
        </is>
      </c>
      <c r="F1963" s="113" t="n">
        <v>45657</v>
      </c>
      <c r="G1963" t="n">
        <v>2024</v>
      </c>
      <c r="H1963" t="inlineStr">
        <is>
          <t>Diciembre</t>
        </is>
      </c>
      <c r="I1963" t="inlineStr">
        <is>
          <t>2024-2</t>
        </is>
      </c>
      <c r="J1963" t="n">
        <v>100</v>
      </c>
      <c r="K1963" t="n">
        <v>87.90000000000001</v>
      </c>
      <c r="L1963" s="39" t="n">
        <v>0.879</v>
      </c>
      <c r="M1963" s="39" t="n">
        <v>0.879</v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384-2024-12-31</t>
        </is>
      </c>
    </row>
    <row r="1964" hidden="1">
      <c r="A1964" t="n">
        <v>384</v>
      </c>
      <c r="B1964" t="inlineStr">
        <is>
          <t>Cumplimiento de matrículas posgrado presencial nuevos</t>
        </is>
      </c>
      <c r="C1964" t="inlineStr">
        <is>
          <t>Inscripción, admisión y matrícula de estudiantes nuevos</t>
        </is>
      </c>
      <c r="D1964" t="inlineStr">
        <is>
          <t>Semestral</t>
        </is>
      </c>
      <c r="E1964" t="inlineStr">
        <is>
          <t>Positivo</t>
        </is>
      </c>
      <c r="F1964" s="113" t="n">
        <v>45838</v>
      </c>
      <c r="G1964" t="n">
        <v>2025</v>
      </c>
      <c r="H1964" t="inlineStr">
        <is>
          <t>Junio</t>
        </is>
      </c>
      <c r="I1964" t="inlineStr">
        <is>
          <t>2025-1</t>
        </is>
      </c>
      <c r="J1964" t="n">
        <v>100</v>
      </c>
      <c r="K1964" t="n">
        <v>103.23</v>
      </c>
      <c r="L1964" s="39" t="n">
        <v>1.0323</v>
      </c>
      <c r="M1964" s="39" t="n">
        <v>1.0323</v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384-2025-06-30</t>
        </is>
      </c>
    </row>
    <row r="1965" hidden="1">
      <c r="A1965" t="n">
        <v>384</v>
      </c>
      <c r="B1965" t="inlineStr">
        <is>
          <t>Cumplimiento de matrículas posgrado presencial nuevos</t>
        </is>
      </c>
      <c r="C1965" t="inlineStr">
        <is>
          <t>Inscripción, admisión y matrícula de estudiantes nuevos</t>
        </is>
      </c>
      <c r="D1965" t="inlineStr">
        <is>
          <t>Trimestral</t>
        </is>
      </c>
      <c r="E1965" t="inlineStr">
        <is>
          <t>Positivo</t>
        </is>
      </c>
      <c r="F1965" s="113" t="n">
        <v>46022</v>
      </c>
      <c r="G1965" t="n">
        <v>2025</v>
      </c>
      <c r="H1965" t="inlineStr">
        <is>
          <t>Diciembre</t>
        </is>
      </c>
      <c r="I1965" t="inlineStr">
        <is>
          <t>2025-2</t>
        </is>
      </c>
      <c r="J1965" t="n">
        <v>100</v>
      </c>
      <c r="K1965" t="n">
        <v>100.93</v>
      </c>
      <c r="L1965" s="39" t="n">
        <v>1.0093</v>
      </c>
      <c r="M1965" s="39" t="n">
        <v>1.0093</v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384-2025-12-31</t>
        </is>
      </c>
    </row>
    <row r="1966" hidden="1">
      <c r="A1966" t="n">
        <v>385</v>
      </c>
      <c r="B1966" t="inlineStr">
        <is>
          <t>Ingresos totales de educación para la vida</t>
        </is>
      </c>
      <c r="C1966" t="inlineStr">
        <is>
          <t>Mercadeo y venta de educación para la vida</t>
        </is>
      </c>
      <c r="D1966" t="inlineStr">
        <is>
          <t>Semestral</t>
        </is>
      </c>
      <c r="E1966" t="inlineStr">
        <is>
          <t>Positivo</t>
        </is>
      </c>
      <c r="F1966" s="113" t="n">
        <v>45107</v>
      </c>
      <c r="G1966" t="n">
        <v>2023</v>
      </c>
      <c r="H1966" t="inlineStr">
        <is>
          <t>Junio</t>
        </is>
      </c>
      <c r="I1966" t="inlineStr">
        <is>
          <t>2023-1</t>
        </is>
      </c>
      <c r="J1966" t="n">
        <v>100</v>
      </c>
      <c r="K1966" t="n">
        <v>102.98486566654</v>
      </c>
      <c r="L1966" s="39" t="n">
        <v>1.0298486566654</v>
      </c>
      <c r="M1966" s="39" t="n">
        <v>1.0298486566654</v>
      </c>
      <c r="N1966" t="inlineStr">
        <is>
          <t>$</t>
        </is>
      </c>
      <c r="O1966" t="inlineStr">
        <is>
          <t>$</t>
        </is>
      </c>
      <c r="P1966" t="n">
        <v>0</v>
      </c>
      <c r="Q1966" t="n">
        <v>0</v>
      </c>
      <c r="R1966" t="inlineStr">
        <is>
          <t>385-2023-06-30</t>
        </is>
      </c>
    </row>
    <row r="1967" hidden="1">
      <c r="A1967" t="n">
        <v>385</v>
      </c>
      <c r="B1967" t="inlineStr">
        <is>
          <t>Ingresos totales de educación para la vida</t>
        </is>
      </c>
      <c r="C1967" t="inlineStr">
        <is>
          <t>Mercadeo y venta de educación para la vida</t>
        </is>
      </c>
      <c r="D1967" t="inlineStr">
        <is>
          <t>Semestral</t>
        </is>
      </c>
      <c r="E1967" t="inlineStr">
        <is>
          <t>Positivo</t>
        </is>
      </c>
      <c r="F1967" s="113" t="n">
        <v>45291</v>
      </c>
      <c r="G1967" t="n">
        <v>2023</v>
      </c>
      <c r="H1967" t="inlineStr">
        <is>
          <t>Diciembre</t>
        </is>
      </c>
      <c r="I1967" t="inlineStr">
        <is>
          <t>2023-2</t>
        </is>
      </c>
      <c r="J1967" t="n">
        <v>100</v>
      </c>
      <c r="K1967" t="n">
        <v>124.93</v>
      </c>
      <c r="L1967" s="39" t="n">
        <v>1.2493</v>
      </c>
      <c r="M1967" s="39" t="n">
        <v>1.2493</v>
      </c>
      <c r="N1967" t="inlineStr">
        <is>
          <t>$</t>
        </is>
      </c>
      <c r="O1967" t="inlineStr">
        <is>
          <t>$</t>
        </is>
      </c>
      <c r="P1967" t="n">
        <v>0</v>
      </c>
      <c r="Q1967" t="n">
        <v>0</v>
      </c>
      <c r="R1967" t="inlineStr">
        <is>
          <t>385-2023-12-31</t>
        </is>
      </c>
    </row>
    <row r="1968" hidden="1">
      <c r="A1968" t="n">
        <v>385</v>
      </c>
      <c r="B1968" t="inlineStr">
        <is>
          <t>Ingresos totales de educación para la vida</t>
        </is>
      </c>
      <c r="C1968" t="inlineStr">
        <is>
          <t>Mercadeo y venta de educación para la vida</t>
        </is>
      </c>
      <c r="D1968" t="inlineStr">
        <is>
          <t>Semestral</t>
        </is>
      </c>
      <c r="E1968" t="inlineStr">
        <is>
          <t>Positivo</t>
        </is>
      </c>
      <c r="F1968" s="113" t="n">
        <v>45473</v>
      </c>
      <c r="G1968" t="n">
        <v>2024</v>
      </c>
      <c r="H1968" t="inlineStr">
        <is>
          <t>Junio</t>
        </is>
      </c>
      <c r="I1968" t="inlineStr">
        <is>
          <t>2024-1</t>
        </is>
      </c>
      <c r="J1968" t="n">
        <v>100</v>
      </c>
      <c r="K1968" t="n">
        <v>113.63</v>
      </c>
      <c r="L1968" s="39" t="n">
        <v>1.1363</v>
      </c>
      <c r="M1968" s="39" t="n">
        <v>1.1363</v>
      </c>
      <c r="N1968" t="inlineStr">
        <is>
          <t>$</t>
        </is>
      </c>
      <c r="O1968" t="inlineStr">
        <is>
          <t>$</t>
        </is>
      </c>
      <c r="P1968" t="n">
        <v>0</v>
      </c>
      <c r="Q1968" t="n">
        <v>0</v>
      </c>
      <c r="R1968" t="inlineStr">
        <is>
          <t>385-2024-06-30</t>
        </is>
      </c>
    </row>
    <row r="1969" hidden="1">
      <c r="A1969" t="n">
        <v>385</v>
      </c>
      <c r="B1969" t="inlineStr">
        <is>
          <t>Ingresos totales de educación para la vida</t>
        </is>
      </c>
      <c r="C1969" t="inlineStr">
        <is>
          <t>Mercadeo y venta de educación para la vida</t>
        </is>
      </c>
      <c r="D1969" t="inlineStr">
        <is>
          <t>Semestral</t>
        </is>
      </c>
      <c r="E1969" t="inlineStr">
        <is>
          <t>Positivo</t>
        </is>
      </c>
      <c r="F1969" s="113" t="n">
        <v>45657</v>
      </c>
      <c r="G1969" t="n">
        <v>2024</v>
      </c>
      <c r="H1969" t="inlineStr">
        <is>
          <t>Diciembre</t>
        </is>
      </c>
      <c r="I1969" t="inlineStr">
        <is>
          <t>2024-2</t>
        </is>
      </c>
      <c r="J1969" t="n">
        <v>100</v>
      </c>
      <c r="K1969" t="n">
        <v>88.56</v>
      </c>
      <c r="L1969" s="39" t="n">
        <v>0.8856000000000001</v>
      </c>
      <c r="M1969" s="39" t="n">
        <v>0.8856000000000001</v>
      </c>
      <c r="N1969" t="inlineStr">
        <is>
          <t>$</t>
        </is>
      </c>
      <c r="O1969" t="inlineStr">
        <is>
          <t>$</t>
        </is>
      </c>
      <c r="P1969" t="n">
        <v>0</v>
      </c>
      <c r="Q1969" t="n">
        <v>0</v>
      </c>
      <c r="R1969" t="inlineStr">
        <is>
          <t>385-2024-12-31</t>
        </is>
      </c>
    </row>
    <row r="1970" hidden="1">
      <c r="A1970" t="n">
        <v>385</v>
      </c>
      <c r="B1970" t="inlineStr">
        <is>
          <t>Ingresos totales de educación para la vida</t>
        </is>
      </c>
      <c r="C1970" t="inlineStr">
        <is>
          <t>Mercadeo y venta de educación para la vida</t>
        </is>
      </c>
      <c r="D1970" t="inlineStr">
        <is>
          <t>Semestral</t>
        </is>
      </c>
      <c r="E1970" t="inlineStr">
        <is>
          <t>Positivo</t>
        </is>
      </c>
      <c r="F1970" s="113" t="n">
        <v>45838</v>
      </c>
      <c r="G1970" t="n">
        <v>2025</v>
      </c>
      <c r="H1970" t="inlineStr">
        <is>
          <t>Junio</t>
        </is>
      </c>
      <c r="I1970" t="inlineStr">
        <is>
          <t>2025-1</t>
        </is>
      </c>
      <c r="J1970" t="n">
        <v>100</v>
      </c>
      <c r="K1970" t="n">
        <v>118.92</v>
      </c>
      <c r="L1970" s="39" t="n">
        <v>1.1892</v>
      </c>
      <c r="M1970" s="39" t="n">
        <v>1.1892</v>
      </c>
      <c r="N1970" t="inlineStr">
        <is>
          <t>$</t>
        </is>
      </c>
      <c r="O1970" t="inlineStr">
        <is>
          <t>$</t>
        </is>
      </c>
      <c r="P1970" t="n">
        <v>0</v>
      </c>
      <c r="Q1970" t="n">
        <v>0</v>
      </c>
      <c r="R1970" t="inlineStr">
        <is>
          <t>385-2025-06-30</t>
        </is>
      </c>
    </row>
    <row r="1971" hidden="1">
      <c r="A1971" t="n">
        <v>385</v>
      </c>
      <c r="B1971" t="inlineStr">
        <is>
          <t>Ingresos totales de educación para la vida</t>
        </is>
      </c>
      <c r="C1971" t="inlineStr">
        <is>
          <t>Mercadeo y venta de educación para la vida</t>
        </is>
      </c>
      <c r="D1971" t="inlineStr">
        <is>
          <t>Trimestral</t>
        </is>
      </c>
      <c r="E1971" t="inlineStr">
        <is>
          <t>Positivo</t>
        </is>
      </c>
      <c r="F1971" s="113" t="n">
        <v>46022</v>
      </c>
      <c r="G1971" t="n">
        <v>2025</v>
      </c>
      <c r="H1971" t="inlineStr">
        <is>
          <t>Diciembre</t>
        </is>
      </c>
      <c r="I1971" t="inlineStr">
        <is>
          <t>2025-2</t>
        </is>
      </c>
      <c r="J1971" t="n">
        <v>100</v>
      </c>
      <c r="K1971" t="n">
        <v>108.89</v>
      </c>
      <c r="L1971" s="39" t="n">
        <v>1.0889</v>
      </c>
      <c r="M1971" s="39" t="n">
        <v>1.0889</v>
      </c>
      <c r="N1971" t="inlineStr">
        <is>
          <t>$</t>
        </is>
      </c>
      <c r="O1971" t="inlineStr">
        <is>
          <t>$</t>
        </is>
      </c>
      <c r="P1971" t="n">
        <v>0</v>
      </c>
      <c r="Q1971" t="n">
        <v>0</v>
      </c>
      <c r="R1971" t="inlineStr">
        <is>
          <t>385-2025-12-31</t>
        </is>
      </c>
    </row>
    <row r="1972" hidden="1">
      <c r="A1972" t="n">
        <v>386</v>
      </c>
      <c r="B1972" t="inlineStr">
        <is>
          <t>Cumplimiento Meta comercial Educación para toda la vida por linea</t>
        </is>
      </c>
      <c r="C1972" t="inlineStr">
        <is>
          <t>Mercadeo y venta de educación para la vida</t>
        </is>
      </c>
      <c r="D1972" t="inlineStr">
        <is>
          <t>Trimestral</t>
        </is>
      </c>
      <c r="E1972" t="inlineStr">
        <is>
          <t>Positivo</t>
        </is>
      </c>
      <c r="F1972" s="113" t="n">
        <v>45107</v>
      </c>
      <c r="G1972" t="n">
        <v>2023</v>
      </c>
      <c r="H1972" t="inlineStr">
        <is>
          <t>Junio</t>
        </is>
      </c>
      <c r="I1972" t="inlineStr">
        <is>
          <t>2023-1</t>
        </is>
      </c>
      <c r="J1972" t="n">
        <v>100</v>
      </c>
      <c r="K1972" t="n">
        <v>102.98486566654</v>
      </c>
      <c r="L1972" s="39" t="n">
        <v>1.0298486566654</v>
      </c>
      <c r="M1972" s="39" t="n">
        <v>1.0298486566654</v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386-2023-06-30</t>
        </is>
      </c>
    </row>
    <row r="1973" hidden="1">
      <c r="A1973" t="n">
        <v>386</v>
      </c>
      <c r="B1973" t="inlineStr">
        <is>
          <t>Cumplimiento Meta comercial Educación para toda la vida por linea</t>
        </is>
      </c>
      <c r="C1973" t="inlineStr">
        <is>
          <t>Mercadeo y venta de educación para la vida</t>
        </is>
      </c>
      <c r="D1973" t="inlineStr">
        <is>
          <t>Semestral</t>
        </is>
      </c>
      <c r="E1973" t="inlineStr">
        <is>
          <t>Positivo</t>
        </is>
      </c>
      <c r="F1973" s="113" t="n">
        <v>45291</v>
      </c>
      <c r="G1973" t="n">
        <v>2023</v>
      </c>
      <c r="H1973" t="inlineStr">
        <is>
          <t>Diciembre</t>
        </is>
      </c>
      <c r="I1973" t="inlineStr">
        <is>
          <t>2023-2</t>
        </is>
      </c>
      <c r="J1973" t="n">
        <v>100</v>
      </c>
      <c r="K1973" t="n">
        <v>138.22</v>
      </c>
      <c r="L1973" s="39" t="n">
        <v>1.3</v>
      </c>
      <c r="M1973" s="39" t="n">
        <v>1.3822</v>
      </c>
      <c r="N1973" t="inlineStr">
        <is>
          <t>$</t>
        </is>
      </c>
      <c r="O1973" t="inlineStr">
        <is>
          <t>$</t>
        </is>
      </c>
      <c r="P1973" t="n">
        <v>0</v>
      </c>
      <c r="Q1973" t="n">
        <v>0</v>
      </c>
      <c r="R1973" t="inlineStr">
        <is>
          <t>386-2023-12-31</t>
        </is>
      </c>
    </row>
    <row r="1974" hidden="1">
      <c r="A1974" t="n">
        <v>386</v>
      </c>
      <c r="B1974" t="inlineStr">
        <is>
          <t>Cumplimiento Meta comercial Educación para toda la vida por linea</t>
        </is>
      </c>
      <c r="C1974" t="inlineStr">
        <is>
          <t>Mercadeo y venta de educación para la vida</t>
        </is>
      </c>
      <c r="D1974" t="inlineStr">
        <is>
          <t>Semestral</t>
        </is>
      </c>
      <c r="E1974" t="inlineStr">
        <is>
          <t>Positivo</t>
        </is>
      </c>
      <c r="F1974" s="113" t="n">
        <v>45473</v>
      </c>
      <c r="G1974" t="n">
        <v>2024</v>
      </c>
      <c r="H1974" t="inlineStr">
        <is>
          <t>Junio</t>
        </is>
      </c>
      <c r="I1974" t="inlineStr">
        <is>
          <t>2024-1</t>
        </is>
      </c>
      <c r="J1974" t="n">
        <v>100</v>
      </c>
      <c r="K1974" t="n">
        <v>113.63</v>
      </c>
      <c r="L1974" s="39" t="n">
        <v>1.1363</v>
      </c>
      <c r="M1974" s="39" t="n">
        <v>1.1363</v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386-2024-06-30</t>
        </is>
      </c>
    </row>
    <row r="1975" hidden="1">
      <c r="A1975" t="n">
        <v>386</v>
      </c>
      <c r="B1975" t="inlineStr">
        <is>
          <t>Cumplimiento Meta comercial Educación para toda la vida por linea</t>
        </is>
      </c>
      <c r="C1975" t="inlineStr">
        <is>
          <t>Mercadeo y venta de educación para la vida</t>
        </is>
      </c>
      <c r="D1975" t="inlineStr">
        <is>
          <t>Semestral</t>
        </is>
      </c>
      <c r="E1975" t="inlineStr">
        <is>
          <t>Positivo</t>
        </is>
      </c>
      <c r="F1975" s="113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100</v>
      </c>
      <c r="K1975" t="n">
        <v>75.01000000000001</v>
      </c>
      <c r="L1975" s="39" t="n">
        <v>0.7501000000000001</v>
      </c>
      <c r="M1975" s="39" t="n">
        <v>0.7501000000000001</v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386-2024-12-31</t>
        </is>
      </c>
    </row>
    <row r="1976" hidden="1">
      <c r="A1976" t="n">
        <v>386</v>
      </c>
      <c r="B1976" t="inlineStr">
        <is>
          <t>Cumplimiento Meta comercial Educación para toda la vida por linea</t>
        </is>
      </c>
      <c r="C1976" t="inlineStr">
        <is>
          <t>Mercadeo y venta de educación para la vida</t>
        </is>
      </c>
      <c r="D1976" t="inlineStr">
        <is>
          <t>Semestral</t>
        </is>
      </c>
      <c r="E1976" t="inlineStr">
        <is>
          <t>Positivo</t>
        </is>
      </c>
      <c r="F1976" s="113" t="n">
        <v>45838</v>
      </c>
      <c r="G1976" t="n">
        <v>2025</v>
      </c>
      <c r="H1976" t="inlineStr">
        <is>
          <t>Junio</t>
        </is>
      </c>
      <c r="I1976" t="inlineStr">
        <is>
          <t>2025-1</t>
        </is>
      </c>
      <c r="J1976" t="n">
        <v>100</v>
      </c>
      <c r="K1976" t="n">
        <v>118.92</v>
      </c>
      <c r="L1976" s="39" t="n">
        <v>1.1892</v>
      </c>
      <c r="M1976" s="39" t="n">
        <v>1.1892</v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386-2025-06-30</t>
        </is>
      </c>
    </row>
    <row r="1977" hidden="1">
      <c r="A1977" t="n">
        <v>386</v>
      </c>
      <c r="B1977" t="inlineStr">
        <is>
          <t>Cumplimiento Meta comercial Educación para toda la vida por linea</t>
        </is>
      </c>
      <c r="C1977" t="inlineStr">
        <is>
          <t>Mercadeo y venta de educación para la vida</t>
        </is>
      </c>
      <c r="D1977" t="inlineStr">
        <is>
          <t>Trimestral</t>
        </is>
      </c>
      <c r="E1977" t="inlineStr">
        <is>
          <t>Positivo</t>
        </is>
      </c>
      <c r="F1977" s="113" t="n">
        <v>46022</v>
      </c>
      <c r="G1977" t="n">
        <v>2025</v>
      </c>
      <c r="H1977" t="inlineStr">
        <is>
          <t>Diciembre</t>
        </is>
      </c>
      <c r="I1977" t="inlineStr">
        <is>
          <t>2025-2</t>
        </is>
      </c>
      <c r="J1977" t="n">
        <v>100</v>
      </c>
      <c r="K1977" t="n">
        <v>106.54</v>
      </c>
      <c r="L1977" s="39" t="n">
        <v>1.0654</v>
      </c>
      <c r="M1977" s="39" t="n">
        <v>1.0654</v>
      </c>
      <c r="N1977" t="inlineStr">
        <is>
          <t>%</t>
        </is>
      </c>
      <c r="O1977" t="inlineStr">
        <is>
          <t>%</t>
        </is>
      </c>
      <c r="P1977" t="n">
        <v>0</v>
      </c>
      <c r="Q1977" t="n">
        <v>0</v>
      </c>
      <c r="R1977" t="inlineStr">
        <is>
          <t>386-2025-12-31</t>
        </is>
      </c>
    </row>
    <row r="1978" hidden="1">
      <c r="A1978" t="n">
        <v>387</v>
      </c>
      <c r="B1978" t="inlineStr">
        <is>
          <t>Programas con reforzamiento curricular por escuela</t>
        </is>
      </c>
      <c r="C1978" t="inlineStr">
        <is>
          <t>Gestión, Evaluación e Innovación Curricular</t>
        </is>
      </c>
      <c r="D1978" t="inlineStr">
        <is>
          <t>Semestral</t>
        </is>
      </c>
      <c r="E1978" t="inlineStr">
        <is>
          <t>Positivo</t>
        </is>
      </c>
      <c r="F1978" s="113" t="n">
        <v>45107</v>
      </c>
      <c r="G1978" t="n">
        <v>2023</v>
      </c>
      <c r="H1978" t="inlineStr">
        <is>
          <t>Junio</t>
        </is>
      </c>
      <c r="I1978" t="inlineStr">
        <is>
          <t>2023-1</t>
        </is>
      </c>
      <c r="J1978" t="n">
        <v>38</v>
      </c>
      <c r="K1978" t="n">
        <v>38</v>
      </c>
      <c r="L1978" s="39" t="n">
        <v>1</v>
      </c>
      <c r="M1978" s="39" t="n">
        <v>1</v>
      </c>
      <c r="N1978" t="inlineStr">
        <is>
          <t>$</t>
        </is>
      </c>
      <c r="O1978" t="inlineStr">
        <is>
          <t>$</t>
        </is>
      </c>
      <c r="P1978" t="n">
        <v>0</v>
      </c>
      <c r="Q1978" t="n">
        <v>0</v>
      </c>
      <c r="R1978" t="inlineStr">
        <is>
          <t>387-2023-06-30</t>
        </is>
      </c>
    </row>
    <row r="1979" hidden="1">
      <c r="A1979" t="n">
        <v>387</v>
      </c>
      <c r="B1979" t="inlineStr">
        <is>
          <t>Programas con reforzamiento curricular por escuela</t>
        </is>
      </c>
      <c r="C1979" t="inlineStr">
        <is>
          <t>Gestión, Evaluación e Innovación Curricular</t>
        </is>
      </c>
      <c r="D1979" t="inlineStr">
        <is>
          <t>Semestral</t>
        </is>
      </c>
      <c r="E1979" t="inlineStr">
        <is>
          <t>Positivo</t>
        </is>
      </c>
      <c r="F1979" s="113" t="n">
        <v>45291</v>
      </c>
      <c r="G1979" t="n">
        <v>2023</v>
      </c>
      <c r="H1979" t="inlineStr">
        <is>
          <t>Diciembre</t>
        </is>
      </c>
      <c r="I1979" t="inlineStr">
        <is>
          <t>2023-2</t>
        </is>
      </c>
      <c r="J1979" t="n">
        <v>0</v>
      </c>
      <c r="K1979" t="n">
        <v>0</v>
      </c>
      <c r="L1979" s="39" t="n">
        <v>1</v>
      </c>
      <c r="M1979" s="39" t="n">
        <v>1</v>
      </c>
      <c r="N1979" t="inlineStr">
        <is>
          <t>$</t>
        </is>
      </c>
      <c r="O1979" t="inlineStr">
        <is>
          <t>$</t>
        </is>
      </c>
      <c r="P1979" t="n">
        <v>0</v>
      </c>
      <c r="Q1979" t="n">
        <v>0</v>
      </c>
      <c r="R1979" t="inlineStr">
        <is>
          <t>387-2023-12-31</t>
        </is>
      </c>
    </row>
    <row r="1980" hidden="1">
      <c r="A1980" t="n">
        <v>388</v>
      </c>
      <c r="B1980" t="inlineStr">
        <is>
          <t>Programas con matriz de resultados de aprendizaje por escuela</t>
        </is>
      </c>
      <c r="C1980" t="inlineStr">
        <is>
          <t>Gestión, Evaluación e Innovación Curricular</t>
        </is>
      </c>
      <c r="D1980" t="inlineStr">
        <is>
          <t>Semestral</t>
        </is>
      </c>
      <c r="E1980" t="inlineStr">
        <is>
          <t>Positivo</t>
        </is>
      </c>
      <c r="F1980" s="113" t="n">
        <v>45107</v>
      </c>
      <c r="G1980" t="n">
        <v>2023</v>
      </c>
      <c r="H1980" t="inlineStr">
        <is>
          <t>Junio</t>
        </is>
      </c>
      <c r="I1980" t="inlineStr">
        <is>
          <t>2023-1</t>
        </is>
      </c>
      <c r="J1980" t="n">
        <v>77</v>
      </c>
      <c r="K1980" t="n">
        <v>77</v>
      </c>
      <c r="L1980" s="39" t="n">
        <v>1</v>
      </c>
      <c r="M1980" s="39" t="n">
        <v>1</v>
      </c>
      <c r="N1980" t="inlineStr">
        <is>
          <t>$</t>
        </is>
      </c>
      <c r="O1980" t="inlineStr">
        <is>
          <t>$</t>
        </is>
      </c>
      <c r="P1980" t="n">
        <v>0</v>
      </c>
      <c r="Q1980" t="n">
        <v>0</v>
      </c>
      <c r="R1980" t="inlineStr">
        <is>
          <t>388-2023-06-30</t>
        </is>
      </c>
    </row>
    <row r="1981" hidden="1">
      <c r="A1981" t="n">
        <v>388</v>
      </c>
      <c r="B1981" t="inlineStr">
        <is>
          <t>Programas con matriz de resultados de aprendizaje por escuela</t>
        </is>
      </c>
      <c r="C1981" t="inlineStr">
        <is>
          <t>Gestión, Evaluación e Innovación Curricular</t>
        </is>
      </c>
      <c r="D1981" t="inlineStr">
        <is>
          <t>Semestral</t>
        </is>
      </c>
      <c r="E1981" t="inlineStr">
        <is>
          <t>Positivo</t>
        </is>
      </c>
      <c r="F1981" s="113" t="n">
        <v>45291</v>
      </c>
      <c r="G1981" t="n">
        <v>2023</v>
      </c>
      <c r="H1981" t="inlineStr">
        <is>
          <t>Diciembre</t>
        </is>
      </c>
      <c r="I1981" t="inlineStr">
        <is>
          <t>2023-2</t>
        </is>
      </c>
      <c r="J1981" t="n">
        <v>16</v>
      </c>
      <c r="K1981" t="n">
        <v>16</v>
      </c>
      <c r="L1981" s="39" t="n">
        <v>1</v>
      </c>
      <c r="M1981" s="39" t="n">
        <v>1</v>
      </c>
      <c r="N1981" t="inlineStr">
        <is>
          <t>$</t>
        </is>
      </c>
      <c r="O1981" t="inlineStr">
        <is>
          <t>$</t>
        </is>
      </c>
      <c r="P1981" t="n">
        <v>0</v>
      </c>
      <c r="Q1981" t="n">
        <v>0</v>
      </c>
      <c r="R1981" t="inlineStr">
        <is>
          <t>388-2023-12-31</t>
        </is>
      </c>
    </row>
    <row r="1982" hidden="1">
      <c r="A1982" t="n">
        <v>389</v>
      </c>
      <c r="B1982" t="inlineStr">
        <is>
          <t>Permanencia por escuela</t>
        </is>
      </c>
      <c r="C1982" t="inlineStr">
        <is>
          <t>Permanencia</t>
        </is>
      </c>
      <c r="D1982" t="inlineStr">
        <is>
          <t>Semestral</t>
        </is>
      </c>
      <c r="E1982" t="inlineStr">
        <is>
          <t>Positivo</t>
        </is>
      </c>
      <c r="F1982" s="113" t="n">
        <v>45107</v>
      </c>
      <c r="G1982" t="n">
        <v>2023</v>
      </c>
      <c r="H1982" t="inlineStr">
        <is>
          <t>Junio</t>
        </is>
      </c>
      <c r="I1982" t="inlineStr">
        <is>
          <t>2023-1</t>
        </is>
      </c>
      <c r="J1982" t="n">
        <v>91</v>
      </c>
      <c r="K1982" t="n">
        <v>1017.39998626709</v>
      </c>
      <c r="L1982" s="39" t="n">
        <v>1.3</v>
      </c>
      <c r="M1982" s="39" t="n">
        <v>11.18021962930868</v>
      </c>
      <c r="N1982" t="inlineStr">
        <is>
          <t>$</t>
        </is>
      </c>
      <c r="O1982" t="inlineStr">
        <is>
          <t>$</t>
        </is>
      </c>
      <c r="P1982" t="n">
        <v>0</v>
      </c>
      <c r="Q1982" t="n">
        <v>0</v>
      </c>
      <c r="R1982" t="inlineStr">
        <is>
          <t>389-2023-06-30</t>
        </is>
      </c>
    </row>
    <row r="1983" hidden="1">
      <c r="A1983" t="n">
        <v>389</v>
      </c>
      <c r="B1983" t="inlineStr">
        <is>
          <t>Permanencia por escuela</t>
        </is>
      </c>
      <c r="C1983" t="inlineStr">
        <is>
          <t>Permanencia</t>
        </is>
      </c>
      <c r="D1983" t="inlineStr">
        <is>
          <t>Semestral</t>
        </is>
      </c>
      <c r="E1983" t="inlineStr">
        <is>
          <t>Positivo</t>
        </is>
      </c>
      <c r="F1983" s="113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91</v>
      </c>
      <c r="K1983" t="n">
        <v>0</v>
      </c>
      <c r="L1983" s="39" t="n">
        <v>0</v>
      </c>
      <c r="M1983" s="39" t="n">
        <v>0</v>
      </c>
      <c r="N1983" t="inlineStr">
        <is>
          <t>$</t>
        </is>
      </c>
      <c r="O1983" t="inlineStr">
        <is>
          <t>$</t>
        </is>
      </c>
      <c r="P1983" t="n">
        <v>0</v>
      </c>
      <c r="Q1983" t="n">
        <v>0</v>
      </c>
      <c r="R1983" t="inlineStr">
        <is>
          <t>389-2023-12-31</t>
        </is>
      </c>
    </row>
    <row r="1984" hidden="1">
      <c r="A1984" t="n">
        <v>389</v>
      </c>
      <c r="B1984" t="inlineStr">
        <is>
          <t>Permanencia por escuela</t>
        </is>
      </c>
      <c r="C1984" t="inlineStr">
        <is>
          <t>Permanencia</t>
        </is>
      </c>
      <c r="D1984" t="inlineStr">
        <is>
          <t>Semestral</t>
        </is>
      </c>
      <c r="E1984" t="inlineStr">
        <is>
          <t>Positivo</t>
        </is>
      </c>
      <c r="F1984" s="113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85</v>
      </c>
      <c r="K1984" t="n">
        <v>84.43333333333332</v>
      </c>
      <c r="L1984" s="39" t="n">
        <v>0.9933333333333332</v>
      </c>
      <c r="M1984" s="39" t="n">
        <v>0.9933333333333332</v>
      </c>
      <c r="N1984" t="inlineStr">
        <is>
          <t>%</t>
        </is>
      </c>
      <c r="O1984" t="inlineStr">
        <is>
          <t>%</t>
        </is>
      </c>
      <c r="P1984" t="n">
        <v>0</v>
      </c>
      <c r="Q1984" t="n">
        <v>0</v>
      </c>
      <c r="R1984" t="inlineStr">
        <is>
          <t>389-2024-06-30</t>
        </is>
      </c>
    </row>
    <row r="1985" hidden="1">
      <c r="A1985" t="n">
        <v>389</v>
      </c>
      <c r="B1985" t="inlineStr">
        <is>
          <t>Permanencia por escuela</t>
        </is>
      </c>
      <c r="C1985" t="inlineStr">
        <is>
          <t>Permanencia</t>
        </is>
      </c>
      <c r="D1985" t="inlineStr">
        <is>
          <t>Semestral</t>
        </is>
      </c>
      <c r="E1985" t="inlineStr">
        <is>
          <t>Positivo</t>
        </is>
      </c>
      <c r="F1985" s="113" t="n">
        <v>45657</v>
      </c>
      <c r="G1985" t="n">
        <v>2024</v>
      </c>
      <c r="H1985" t="inlineStr">
        <is>
          <t>Diciembre</t>
        </is>
      </c>
      <c r="I1985" t="inlineStr">
        <is>
          <t>2024-2</t>
        </is>
      </c>
      <c r="J1985" t="n">
        <v>85</v>
      </c>
      <c r="K1985" t="n">
        <v>0</v>
      </c>
      <c r="L1985" s="39" t="n">
        <v>0</v>
      </c>
      <c r="M1985" s="39" t="n">
        <v>0</v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389-2024-12-31</t>
        </is>
      </c>
    </row>
    <row r="1986" hidden="1">
      <c r="A1986" t="n">
        <v>389</v>
      </c>
      <c r="B1986" t="inlineStr">
        <is>
          <t>Permanencia por escuela</t>
        </is>
      </c>
      <c r="C1986" t="inlineStr">
        <is>
          <t>Gestión de Unidades Académicas</t>
        </is>
      </c>
      <c r="D1986" t="inlineStr">
        <is>
          <t>Trimestral</t>
        </is>
      </c>
      <c r="E1986" t="inlineStr">
        <is>
          <t>Positivo</t>
        </is>
      </c>
      <c r="F1986" s="113" t="n">
        <v>45838</v>
      </c>
      <c r="G1986" t="n">
        <v>2025</v>
      </c>
      <c r="H1986" t="inlineStr">
        <is>
          <t>Junio</t>
        </is>
      </c>
      <c r="I1986" t="inlineStr">
        <is>
          <t>2025-1</t>
        </is>
      </c>
      <c r="K1986" t="n">
        <v>0</v>
      </c>
      <c r="L1986" s="39" t="n"/>
      <c r="M1986" s="39" t="n"/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  <c r="R1986" t="inlineStr">
        <is>
          <t>389-2025-06-30</t>
        </is>
      </c>
    </row>
    <row r="1987" hidden="1">
      <c r="A1987" t="n">
        <v>389</v>
      </c>
      <c r="B1987" t="inlineStr">
        <is>
          <t>Permanencia por escuela</t>
        </is>
      </c>
      <c r="C1987" t="inlineStr">
        <is>
          <t>Gestión de Unidades Académicas</t>
        </is>
      </c>
      <c r="D1987" t="inlineStr">
        <is>
          <t>Trimestral</t>
        </is>
      </c>
      <c r="E1987" t="inlineStr">
        <is>
          <t>Positivo</t>
        </is>
      </c>
      <c r="F1987" s="113" t="n">
        <v>46022</v>
      </c>
      <c r="G1987" t="n">
        <v>2025</v>
      </c>
      <c r="H1987" t="inlineStr">
        <is>
          <t>Diciembre</t>
        </is>
      </c>
      <c r="I1987" t="inlineStr">
        <is>
          <t>2025-2</t>
        </is>
      </c>
      <c r="L1987" s="39" t="n"/>
      <c r="M1987" s="39" t="n"/>
      <c r="N1987" t="inlineStr">
        <is>
          <t>%</t>
        </is>
      </c>
      <c r="O1987" t="inlineStr">
        <is>
          <t>No Aplica</t>
        </is>
      </c>
      <c r="P1987" t="n">
        <v>0</v>
      </c>
      <c r="Q1987" t="n">
        <v>0</v>
      </c>
      <c r="R1987" t="inlineStr">
        <is>
          <t>389-2025-12-31</t>
        </is>
      </c>
      <c r="S1987" t="inlineStr">
        <is>
          <t>No Aplica</t>
        </is>
      </c>
    </row>
    <row r="1988" hidden="1">
      <c r="A1988" t="n">
        <v>390</v>
      </c>
      <c r="B1988" t="inlineStr">
        <is>
          <t>Cumplimiento Plan Anual por escuela</t>
        </is>
      </c>
      <c r="C1988" t="inlineStr">
        <is>
          <t>Planeación Estratégica</t>
        </is>
      </c>
      <c r="D1988" t="inlineStr">
        <is>
          <t>Semestral</t>
        </is>
      </c>
      <c r="E1988" t="inlineStr">
        <is>
          <t>Positivo</t>
        </is>
      </c>
      <c r="F1988" s="113" t="n">
        <v>45016</v>
      </c>
      <c r="G1988" t="n">
        <v>2023</v>
      </c>
      <c r="H1988" t="inlineStr">
        <is>
          <t>Marzo</t>
        </is>
      </c>
      <c r="I1988" t="inlineStr">
        <is>
          <t>2023-1</t>
        </is>
      </c>
      <c r="J1988" t="n">
        <v>100</v>
      </c>
      <c r="K1988" t="n">
        <v>0</v>
      </c>
      <c r="L1988" s="39" t="n">
        <v>0</v>
      </c>
      <c r="M1988" s="39" t="n">
        <v>0</v>
      </c>
      <c r="N1988" t="inlineStr">
        <is>
          <t>%</t>
        </is>
      </c>
      <c r="O1988" t="inlineStr">
        <is>
          <t>%</t>
        </is>
      </c>
      <c r="P1988" t="n">
        <v>0</v>
      </c>
      <c r="Q1988" t="n">
        <v>0</v>
      </c>
      <c r="R1988" t="inlineStr">
        <is>
          <t>390-2023-03-31</t>
        </is>
      </c>
    </row>
    <row r="1989" hidden="1">
      <c r="A1989" t="n">
        <v>390</v>
      </c>
      <c r="B1989" t="inlineStr">
        <is>
          <t>Cumplimiento Plan Anual por escuela</t>
        </is>
      </c>
      <c r="C1989" t="inlineStr">
        <is>
          <t>Planeación Estratégica</t>
        </is>
      </c>
      <c r="D1989" t="inlineStr">
        <is>
          <t>Trimestral</t>
        </is>
      </c>
      <c r="E1989" t="inlineStr">
        <is>
          <t>Positivo</t>
        </is>
      </c>
      <c r="F1989" s="113" t="n">
        <v>45107</v>
      </c>
      <c r="G1989" t="n">
        <v>2023</v>
      </c>
      <c r="H1989" t="inlineStr">
        <is>
          <t>Junio</t>
        </is>
      </c>
      <c r="I1989" t="inlineStr">
        <is>
          <t>2023-1</t>
        </is>
      </c>
      <c r="J1989" t="n">
        <v>100</v>
      </c>
      <c r="K1989" t="n">
        <v>110.38416666667</v>
      </c>
      <c r="L1989" s="39" t="n">
        <v>1.1038416666667</v>
      </c>
      <c r="M1989" s="39" t="n">
        <v>1.1038416666667</v>
      </c>
      <c r="N1989" t="inlineStr">
        <is>
          <t>%</t>
        </is>
      </c>
      <c r="O1989" t="inlineStr">
        <is>
          <t>%</t>
        </is>
      </c>
      <c r="P1989" t="n">
        <v>0</v>
      </c>
      <c r="Q1989" t="n">
        <v>0</v>
      </c>
      <c r="R1989" t="inlineStr">
        <is>
          <t>390-2023-06-30</t>
        </is>
      </c>
    </row>
    <row r="1990" hidden="1">
      <c r="A1990" t="n">
        <v>390</v>
      </c>
      <c r="B1990" t="inlineStr">
        <is>
          <t>Cumplimiento Plan Anual por escuela</t>
        </is>
      </c>
      <c r="C1990" t="inlineStr">
        <is>
          <t>Planeación Estratégica</t>
        </is>
      </c>
      <c r="D1990" t="inlineStr">
        <is>
          <t>Trimestral</t>
        </is>
      </c>
      <c r="E1990" t="inlineStr">
        <is>
          <t>Positivo</t>
        </is>
      </c>
      <c r="F1990" s="113" t="n">
        <v>45199</v>
      </c>
      <c r="G1990" t="n">
        <v>2023</v>
      </c>
      <c r="H1990" t="inlineStr">
        <is>
          <t>Septiembre</t>
        </is>
      </c>
      <c r="I1990" t="inlineStr">
        <is>
          <t>2023-2</t>
        </is>
      </c>
      <c r="J1990" t="n">
        <v>100</v>
      </c>
      <c r="K1990" t="n">
        <v>95.34416666666699</v>
      </c>
      <c r="L1990" s="39" t="n">
        <v>0.95344166666667</v>
      </c>
      <c r="M1990" s="39" t="n">
        <v>0.95344166666667</v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0</v>
      </c>
      <c r="R1990" t="inlineStr">
        <is>
          <t>390-2023-09-30</t>
        </is>
      </c>
    </row>
    <row r="1991" hidden="1">
      <c r="A1991" t="n">
        <v>390</v>
      </c>
      <c r="B1991" t="inlineStr">
        <is>
          <t>Cumplimiento Plan Anual por escuela</t>
        </is>
      </c>
      <c r="C1991" t="inlineStr">
        <is>
          <t>Planeación Estratégica</t>
        </is>
      </c>
      <c r="D1991" t="inlineStr">
        <is>
          <t>Trimestral</t>
        </is>
      </c>
      <c r="E1991" t="inlineStr">
        <is>
          <t>Positivo</t>
        </is>
      </c>
      <c r="F1991" s="113" t="n">
        <v>45291</v>
      </c>
      <c r="G1991" t="n">
        <v>2023</v>
      </c>
      <c r="H1991" t="inlineStr">
        <is>
          <t>Diciembre</t>
        </is>
      </c>
      <c r="I1991" t="inlineStr">
        <is>
          <t>2023-2</t>
        </is>
      </c>
      <c r="J1991" t="n">
        <v>100</v>
      </c>
      <c r="K1991" t="n">
        <v>99.24916666666699</v>
      </c>
      <c r="L1991" s="39" t="n">
        <v>0.99249166666667</v>
      </c>
      <c r="M1991" s="39" t="n">
        <v>0.99249166666667</v>
      </c>
      <c r="N1991" t="inlineStr">
        <is>
          <t>%</t>
        </is>
      </c>
      <c r="O1991" t="inlineStr">
        <is>
          <t>%</t>
        </is>
      </c>
      <c r="P1991" t="n">
        <v>0</v>
      </c>
      <c r="Q1991" t="n">
        <v>0</v>
      </c>
      <c r="R1991" t="inlineStr">
        <is>
          <t>390-2023-12-31</t>
        </is>
      </c>
    </row>
    <row r="1992" hidden="1">
      <c r="A1992" t="n">
        <v>390</v>
      </c>
      <c r="B1992" t="inlineStr">
        <is>
          <t>Cumplimiento Plan Anual por escuela</t>
        </is>
      </c>
      <c r="C1992" t="inlineStr">
        <is>
          <t>Planeación Estratégica</t>
        </is>
      </c>
      <c r="D1992" t="inlineStr">
        <is>
          <t>Trimestral</t>
        </is>
      </c>
      <c r="E1992" t="inlineStr">
        <is>
          <t>Positivo</t>
        </is>
      </c>
      <c r="F1992" s="113" t="n">
        <v>45382</v>
      </c>
      <c r="G1992" t="n">
        <v>2024</v>
      </c>
      <c r="H1992" t="inlineStr">
        <is>
          <t>Marzo</t>
        </is>
      </c>
      <c r="I1992" t="inlineStr">
        <is>
          <t>2024-1</t>
        </is>
      </c>
      <c r="J1992" t="n">
        <v>100</v>
      </c>
      <c r="K1992" t="n">
        <v>168.53</v>
      </c>
      <c r="L1992" s="39" t="n">
        <v>1.3</v>
      </c>
      <c r="M1992" s="39" t="n">
        <v>1.6853</v>
      </c>
      <c r="P1992" t="n">
        <v>0</v>
      </c>
      <c r="Q1992" t="n">
        <v>0</v>
      </c>
      <c r="R1992" t="inlineStr">
        <is>
          <t>390-2024-03-31</t>
        </is>
      </c>
    </row>
    <row r="1993" hidden="1">
      <c r="A1993" t="n">
        <v>390</v>
      </c>
      <c r="B1993" t="inlineStr">
        <is>
          <t>Cumplimiento Plan Anual por escuela</t>
        </is>
      </c>
      <c r="C1993" t="inlineStr">
        <is>
          <t>Planeación Estratégica</t>
        </is>
      </c>
      <c r="D1993" t="inlineStr">
        <is>
          <t>Trimestral</t>
        </is>
      </c>
      <c r="E1993" t="inlineStr">
        <is>
          <t>Positivo</t>
        </is>
      </c>
      <c r="F1993" s="113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110.59</v>
      </c>
      <c r="L1993" s="39" t="n">
        <v>1.1059</v>
      </c>
      <c r="M1993" s="39" t="n">
        <v>1.1059</v>
      </c>
      <c r="P1993" t="n">
        <v>0</v>
      </c>
      <c r="Q1993" t="n">
        <v>0</v>
      </c>
      <c r="R1993" t="inlineStr">
        <is>
          <t>390-2024-06-30</t>
        </is>
      </c>
    </row>
    <row r="1994" hidden="1">
      <c r="A1994" t="n">
        <v>390</v>
      </c>
      <c r="B1994" t="inlineStr">
        <is>
          <t>Cumplimiento Plan Anual por escuela</t>
        </is>
      </c>
      <c r="C1994" t="inlineStr">
        <is>
          <t>Planeación Estratégica</t>
        </is>
      </c>
      <c r="D1994" t="inlineStr">
        <is>
          <t>Trimestral</t>
        </is>
      </c>
      <c r="E1994" t="inlineStr">
        <is>
          <t>Positivo</t>
        </is>
      </c>
      <c r="F1994" s="113" t="n">
        <v>45565</v>
      </c>
      <c r="G1994" t="n">
        <v>2024</v>
      </c>
      <c r="H1994" t="inlineStr">
        <is>
          <t>Septiembre</t>
        </is>
      </c>
      <c r="I1994" t="inlineStr">
        <is>
          <t>2024-2</t>
        </is>
      </c>
      <c r="J1994" t="n">
        <v>100</v>
      </c>
      <c r="K1994" t="n">
        <v>83.31999999999999</v>
      </c>
      <c r="L1994" s="39" t="n">
        <v>0.8331999999999999</v>
      </c>
      <c r="M1994" s="39" t="n">
        <v>0.8331999999999999</v>
      </c>
      <c r="P1994" t="n">
        <v>0</v>
      </c>
      <c r="Q1994" t="n">
        <v>0</v>
      </c>
      <c r="R1994" t="inlineStr">
        <is>
          <t>390-2024-09-30</t>
        </is>
      </c>
    </row>
    <row r="1995" hidden="1">
      <c r="A1995" t="n">
        <v>390</v>
      </c>
      <c r="B1995" t="inlineStr">
        <is>
          <t>Cumplimiento Plan Anual por escuela</t>
        </is>
      </c>
      <c r="C1995" t="inlineStr">
        <is>
          <t>Planeación Estratégica</t>
        </is>
      </c>
      <c r="D1995" t="inlineStr">
        <is>
          <t>Trimestral</t>
        </is>
      </c>
      <c r="E1995" t="inlineStr">
        <is>
          <t>Positivo</t>
        </is>
      </c>
      <c r="F1995" s="113" t="n">
        <v>45657</v>
      </c>
      <c r="G1995" t="n">
        <v>2024</v>
      </c>
      <c r="H1995" t="inlineStr">
        <is>
          <t>Diciembre</t>
        </is>
      </c>
      <c r="I1995" t="inlineStr">
        <is>
          <t>2024-2</t>
        </is>
      </c>
      <c r="J1995" t="n">
        <v>100</v>
      </c>
      <c r="K1995" t="n">
        <v>99.92</v>
      </c>
      <c r="L1995" s="39" t="n">
        <v>0.9992</v>
      </c>
      <c r="M1995" s="39" t="n">
        <v>0.9992</v>
      </c>
      <c r="P1995" t="n">
        <v>0</v>
      </c>
      <c r="Q1995" t="n">
        <v>0</v>
      </c>
      <c r="R1995" t="inlineStr">
        <is>
          <t>390-2024-12-31</t>
        </is>
      </c>
    </row>
    <row r="1996" hidden="1">
      <c r="A1996" t="n">
        <v>390</v>
      </c>
      <c r="B1996" t="inlineStr">
        <is>
          <t>Cumplimiento Plan Anual por escuela</t>
        </is>
      </c>
      <c r="C1996" t="inlineStr">
        <is>
          <t>Planeación Estratégica</t>
        </is>
      </c>
      <c r="D1996" t="inlineStr">
        <is>
          <t>Semestral</t>
        </is>
      </c>
      <c r="E1996" t="inlineStr">
        <is>
          <t>Positivo</t>
        </is>
      </c>
      <c r="F1996" s="113" t="n">
        <v>45747</v>
      </c>
      <c r="G1996" t="n">
        <v>2025</v>
      </c>
      <c r="H1996" t="inlineStr">
        <is>
          <t>Marzo</t>
        </is>
      </c>
      <c r="I1996" t="inlineStr">
        <is>
          <t>2025-1</t>
        </is>
      </c>
      <c r="J1996" t="n">
        <v>100</v>
      </c>
      <c r="K1996" t="n">
        <v>140.57</v>
      </c>
      <c r="L1996" s="39" t="n">
        <v>1.3</v>
      </c>
      <c r="M1996" s="39" t="n">
        <v>1.4057</v>
      </c>
      <c r="N1996" t="inlineStr">
        <is>
          <t>%</t>
        </is>
      </c>
      <c r="O1996" t="inlineStr">
        <is>
          <t>%</t>
        </is>
      </c>
      <c r="P1996" t="n">
        <v>0</v>
      </c>
      <c r="Q1996" t="n">
        <v>0</v>
      </c>
      <c r="R1996" t="inlineStr">
        <is>
          <t>390-2025-03-31</t>
        </is>
      </c>
    </row>
    <row r="1997" hidden="1">
      <c r="A1997" t="n">
        <v>390</v>
      </c>
      <c r="B1997" t="inlineStr">
        <is>
          <t>Cumplimiento Plan Anual por escuela</t>
        </is>
      </c>
      <c r="C1997" t="inlineStr">
        <is>
          <t>Planeación Estratégica</t>
        </is>
      </c>
      <c r="D1997" t="inlineStr">
        <is>
          <t>Semestral</t>
        </is>
      </c>
      <c r="E1997" t="inlineStr">
        <is>
          <t>Positivo</t>
        </is>
      </c>
      <c r="F1997" s="113" t="n">
        <v>45838</v>
      </c>
      <c r="G1997" t="n">
        <v>2025</v>
      </c>
      <c r="H1997" t="inlineStr">
        <is>
          <t>Junio</t>
        </is>
      </c>
      <c r="I1997" t="inlineStr">
        <is>
          <t>2025-1</t>
        </is>
      </c>
      <c r="J1997" t="n">
        <v>100</v>
      </c>
      <c r="K1997" t="n">
        <v>103.55</v>
      </c>
      <c r="L1997" s="39" t="n">
        <v>1.0355</v>
      </c>
      <c r="M1997" s="39" t="n">
        <v>1.0355</v>
      </c>
      <c r="N1997" t="inlineStr">
        <is>
          <t>%</t>
        </is>
      </c>
      <c r="O1997" t="inlineStr">
        <is>
          <t>%</t>
        </is>
      </c>
      <c r="P1997" t="n">
        <v>0</v>
      </c>
      <c r="Q1997" t="n">
        <v>0</v>
      </c>
      <c r="R1997" t="inlineStr">
        <is>
          <t>390-2025-06-30</t>
        </is>
      </c>
    </row>
    <row r="1998" hidden="1">
      <c r="A1998" t="n">
        <v>390</v>
      </c>
      <c r="B1998" t="inlineStr">
        <is>
          <t>Cumplimiento Plan Anual por escuela</t>
        </is>
      </c>
      <c r="C1998" t="inlineStr">
        <is>
          <t>Planeación Estratégica</t>
        </is>
      </c>
      <c r="D1998" t="inlineStr">
        <is>
          <t>Semestral</t>
        </is>
      </c>
      <c r="E1998" t="inlineStr">
        <is>
          <t>Positivo</t>
        </is>
      </c>
      <c r="F1998" s="113" t="n">
        <v>45930</v>
      </c>
      <c r="G1998" t="n">
        <v>2025</v>
      </c>
      <c r="H1998" t="inlineStr">
        <is>
          <t>Septiembre</t>
        </is>
      </c>
      <c r="I1998" t="inlineStr">
        <is>
          <t>2025-2</t>
        </is>
      </c>
      <c r="J1998" t="n">
        <v>100</v>
      </c>
      <c r="K1998" t="n">
        <v>101.17</v>
      </c>
      <c r="L1998" s="39" t="n">
        <v>1.0117</v>
      </c>
      <c r="M1998" s="39" t="n">
        <v>1.0117</v>
      </c>
      <c r="N1998" t="inlineStr">
        <is>
          <t>%</t>
        </is>
      </c>
      <c r="O1998" t="inlineStr">
        <is>
          <t>%</t>
        </is>
      </c>
      <c r="P1998" t="n">
        <v>0</v>
      </c>
      <c r="Q1998" t="n">
        <v>0</v>
      </c>
      <c r="R1998" t="inlineStr">
        <is>
          <t>390-2025-09-30</t>
        </is>
      </c>
    </row>
    <row r="1999" hidden="1">
      <c r="A1999" t="n">
        <v>390</v>
      </c>
      <c r="B1999" t="inlineStr">
        <is>
          <t>Cumplimiento Plan Anual por escuela</t>
        </is>
      </c>
      <c r="C1999" t="inlineStr">
        <is>
          <t>Planeación Estratégica</t>
        </is>
      </c>
      <c r="D1999" t="inlineStr">
        <is>
          <t>Semestral</t>
        </is>
      </c>
      <c r="E1999" t="inlineStr">
        <is>
          <t>Positivo</t>
        </is>
      </c>
      <c r="F1999" s="113" t="n">
        <v>46022</v>
      </c>
      <c r="G1999" t="n">
        <v>2025</v>
      </c>
      <c r="H1999" t="inlineStr">
        <is>
          <t>Diciembre</t>
        </is>
      </c>
      <c r="I1999" t="inlineStr">
        <is>
          <t>2025-2</t>
        </is>
      </c>
      <c r="J1999" t="n">
        <v>100</v>
      </c>
      <c r="K1999" t="n">
        <v>99.78</v>
      </c>
      <c r="L1999" s="39" t="n">
        <v>0.9978</v>
      </c>
      <c r="M1999" s="39" t="n">
        <v>0.9978</v>
      </c>
      <c r="N1999" t="inlineStr">
        <is>
          <t>%</t>
        </is>
      </c>
      <c r="O1999" t="inlineStr">
        <is>
          <t>%</t>
        </is>
      </c>
      <c r="P1999" t="n">
        <v>0</v>
      </c>
      <c r="Q1999" t="n">
        <v>0</v>
      </c>
      <c r="R1999" t="inlineStr">
        <is>
          <t>390-2025-12-31</t>
        </is>
      </c>
    </row>
    <row r="2000" hidden="1">
      <c r="A2000" t="n">
        <v>391</v>
      </c>
      <c r="B2000" t="inlineStr">
        <is>
          <t>Satisfacción del cliente con campañas integradas de marketing</t>
        </is>
      </c>
      <c r="C2000" t="inlineStr">
        <is>
          <t>Gestión de campañas integradas de marketing</t>
        </is>
      </c>
      <c r="D2000" t="inlineStr">
        <is>
          <t>Semestral</t>
        </is>
      </c>
      <c r="E2000" t="inlineStr">
        <is>
          <t>Positivo</t>
        </is>
      </c>
      <c r="F2000" s="113" t="n">
        <v>45107</v>
      </c>
      <c r="G2000" t="n">
        <v>2023</v>
      </c>
      <c r="H2000" t="inlineStr">
        <is>
          <t>Junio</t>
        </is>
      </c>
      <c r="I2000" t="inlineStr">
        <is>
          <t>2023-1</t>
        </is>
      </c>
      <c r="J2000" t="n">
        <v>100</v>
      </c>
      <c r="K2000" t="n">
        <v>100</v>
      </c>
      <c r="L2000" s="39" t="n">
        <v>1</v>
      </c>
      <c r="M2000" s="39" t="n">
        <v>1</v>
      </c>
      <c r="N2000" t="inlineStr">
        <is>
          <t>%</t>
        </is>
      </c>
      <c r="O2000" t="inlineStr">
        <is>
          <t>%</t>
        </is>
      </c>
      <c r="P2000" t="n">
        <v>0</v>
      </c>
      <c r="Q2000" t="n">
        <v>0</v>
      </c>
      <c r="R2000" t="inlineStr">
        <is>
          <t>391-2023-06-30</t>
        </is>
      </c>
    </row>
    <row r="2001" hidden="1">
      <c r="A2001" t="n">
        <v>391</v>
      </c>
      <c r="B2001" t="inlineStr">
        <is>
          <t>Satisfacción del cliente con campañas integradas de marketing</t>
        </is>
      </c>
      <c r="C2001" t="inlineStr">
        <is>
          <t>Gestión de campañas integradas de marketing</t>
        </is>
      </c>
      <c r="D2001" t="inlineStr">
        <is>
          <t>Semestral</t>
        </is>
      </c>
      <c r="E2001" t="inlineStr">
        <is>
          <t>Positivo</t>
        </is>
      </c>
      <c r="F2001" s="113" t="n">
        <v>45291</v>
      </c>
      <c r="G2001" t="n">
        <v>2023</v>
      </c>
      <c r="H2001" t="inlineStr">
        <is>
          <t>Diciembre</t>
        </is>
      </c>
      <c r="I2001" t="inlineStr">
        <is>
          <t>2023-2</t>
        </is>
      </c>
      <c r="J2001" t="n">
        <v>100</v>
      </c>
      <c r="K2001" t="n">
        <v>100</v>
      </c>
      <c r="L2001" s="39" t="n">
        <v>1</v>
      </c>
      <c r="M2001" s="39" t="n">
        <v>1</v>
      </c>
      <c r="N2001" t="inlineStr">
        <is>
          <t>%</t>
        </is>
      </c>
      <c r="O2001" t="inlineStr">
        <is>
          <t>%</t>
        </is>
      </c>
      <c r="P2001" t="n">
        <v>0</v>
      </c>
      <c r="Q2001" t="n">
        <v>0</v>
      </c>
      <c r="R2001" t="inlineStr">
        <is>
          <t>391-2023-12-31</t>
        </is>
      </c>
    </row>
    <row r="2002" hidden="1">
      <c r="A2002" t="n">
        <v>391</v>
      </c>
      <c r="B2002" t="inlineStr">
        <is>
          <t>Satisfacción del cliente con campañas integradas de marketing</t>
        </is>
      </c>
      <c r="C2002" t="inlineStr">
        <is>
          <t>Gestión de campañas integradas de marketing</t>
        </is>
      </c>
      <c r="D2002" t="inlineStr">
        <is>
          <t>Semestral</t>
        </is>
      </c>
      <c r="E2002" t="inlineStr">
        <is>
          <t>Positivo</t>
        </is>
      </c>
      <c r="F2002" s="113" t="n">
        <v>45473</v>
      </c>
      <c r="G2002" t="n">
        <v>2024</v>
      </c>
      <c r="H2002" t="inlineStr">
        <is>
          <t>Junio</t>
        </is>
      </c>
      <c r="I2002" t="inlineStr">
        <is>
          <t>2024-1</t>
        </is>
      </c>
      <c r="J2002" t="n">
        <v>96</v>
      </c>
      <c r="K2002" t="n">
        <v>100</v>
      </c>
      <c r="L2002" s="39" t="n">
        <v>1.041666666666667</v>
      </c>
      <c r="M2002" s="39" t="n">
        <v>1.041666666666667</v>
      </c>
      <c r="N2002" t="inlineStr">
        <is>
          <t>%</t>
        </is>
      </c>
      <c r="O2002" t="inlineStr">
        <is>
          <t>%</t>
        </is>
      </c>
      <c r="P2002" t="n">
        <v>0</v>
      </c>
      <c r="Q2002" t="n">
        <v>0</v>
      </c>
      <c r="R2002" t="inlineStr">
        <is>
          <t>391-2024-06-30</t>
        </is>
      </c>
    </row>
    <row r="2003" hidden="1">
      <c r="A2003" t="n">
        <v>391</v>
      </c>
      <c r="B2003" t="inlineStr">
        <is>
          <t>Satisfacción del cliente con campañas integradas de marketing</t>
        </is>
      </c>
      <c r="C2003" t="inlineStr">
        <is>
          <t>Gestión de campañas integradas de marketing</t>
        </is>
      </c>
      <c r="D2003" t="inlineStr">
        <is>
          <t>Semestral</t>
        </is>
      </c>
      <c r="E2003" t="inlineStr">
        <is>
          <t>Positivo</t>
        </is>
      </c>
      <c r="F2003" s="113" t="n">
        <v>45657</v>
      </c>
      <c r="G2003" t="n">
        <v>2024</v>
      </c>
      <c r="H2003" t="inlineStr">
        <is>
          <t>Diciembre</t>
        </is>
      </c>
      <c r="I2003" t="inlineStr">
        <is>
          <t>2024-2</t>
        </is>
      </c>
      <c r="J2003" t="n">
        <v>96</v>
      </c>
      <c r="K2003" t="n">
        <v>100</v>
      </c>
      <c r="L2003" s="39" t="n">
        <v>1.041666666666667</v>
      </c>
      <c r="M2003" s="39" t="n">
        <v>1.041666666666667</v>
      </c>
      <c r="N2003" t="inlineStr">
        <is>
          <t>%</t>
        </is>
      </c>
      <c r="O2003" t="inlineStr">
        <is>
          <t>%</t>
        </is>
      </c>
      <c r="P2003" t="n">
        <v>0</v>
      </c>
      <c r="Q2003" t="n">
        <v>0</v>
      </c>
      <c r="R2003" t="inlineStr">
        <is>
          <t>391-2024-12-31</t>
        </is>
      </c>
    </row>
    <row r="2004" hidden="1">
      <c r="A2004" t="n">
        <v>392</v>
      </c>
      <c r="B2004" t="inlineStr">
        <is>
          <t>Ahorro institucional con base en la monetización de los servicios</t>
        </is>
      </c>
      <c r="C2004" t="inlineStr">
        <is>
          <t>Gestión de campañas integradas de marketing</t>
        </is>
      </c>
      <c r="D2004" t="inlineStr">
        <is>
          <t>Semestral</t>
        </is>
      </c>
      <c r="E2004" t="inlineStr">
        <is>
          <t>Positivo</t>
        </is>
      </c>
      <c r="F2004" s="113" t="n">
        <v>45107</v>
      </c>
      <c r="G2004" t="n">
        <v>2023</v>
      </c>
      <c r="H2004" t="inlineStr">
        <is>
          <t>Junio</t>
        </is>
      </c>
      <c r="I2004" t="inlineStr">
        <is>
          <t>2023-1</t>
        </is>
      </c>
      <c r="J2004" t="n">
        <v>100</v>
      </c>
      <c r="K2004" t="n">
        <v>110.09198322581</v>
      </c>
      <c r="L2004" s="39" t="n">
        <v>1.1009198322581</v>
      </c>
      <c r="M2004" s="39" t="n">
        <v>1.1009198322581</v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  <c r="R2004" t="inlineStr">
        <is>
          <t>392-2023-06-30</t>
        </is>
      </c>
    </row>
    <row r="2005" hidden="1">
      <c r="A2005" t="n">
        <v>392</v>
      </c>
      <c r="B2005" t="inlineStr">
        <is>
          <t>Ahorro institucional con base en la monetización de los servicios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13" t="n">
        <v>45291</v>
      </c>
      <c r="G2005" t="n">
        <v>2023</v>
      </c>
      <c r="H2005" t="inlineStr">
        <is>
          <t>Diciembre</t>
        </is>
      </c>
      <c r="I2005" t="inlineStr">
        <is>
          <t>2023-2</t>
        </is>
      </c>
      <c r="J2005" t="n">
        <v>100</v>
      </c>
      <c r="K2005" t="n">
        <v>147.38</v>
      </c>
      <c r="L2005" s="39" t="n">
        <v>1.3</v>
      </c>
      <c r="M2005" s="39" t="n">
        <v>1.4738</v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392-2023-12-31</t>
        </is>
      </c>
    </row>
    <row r="2006" hidden="1">
      <c r="A2006" t="n">
        <v>392</v>
      </c>
      <c r="B2006" t="inlineStr">
        <is>
          <t>Ahorro institucional con base en la monetización de los servicios</t>
        </is>
      </c>
      <c r="C2006" t="inlineStr">
        <is>
          <t>Gestión de campañas integradas de marketing</t>
        </is>
      </c>
      <c r="D2006" t="inlineStr">
        <is>
          <t>Semestral</t>
        </is>
      </c>
      <c r="E2006" t="inlineStr">
        <is>
          <t>Positivo</t>
        </is>
      </c>
      <c r="F2006" s="113" t="n">
        <v>45473</v>
      </c>
      <c r="G2006" t="n">
        <v>2024</v>
      </c>
      <c r="H2006" t="inlineStr">
        <is>
          <t>Junio</t>
        </is>
      </c>
      <c r="I2006" t="inlineStr">
        <is>
          <t>2024-1</t>
        </is>
      </c>
      <c r="J2006" t="n">
        <v>100</v>
      </c>
      <c r="K2006" t="n">
        <v>98.11</v>
      </c>
      <c r="L2006" s="39" t="n">
        <v>0.9811</v>
      </c>
      <c r="M2006" s="39" t="n">
        <v>0.9811</v>
      </c>
      <c r="N2006" t="inlineStr">
        <is>
          <t>$</t>
        </is>
      </c>
      <c r="O2006" t="inlineStr">
        <is>
          <t>$</t>
        </is>
      </c>
      <c r="P2006" t="n">
        <v>0</v>
      </c>
      <c r="Q2006" t="n">
        <v>0</v>
      </c>
      <c r="R2006" t="inlineStr">
        <is>
          <t>392-2024-06-30</t>
        </is>
      </c>
    </row>
    <row r="2007" hidden="1">
      <c r="A2007" t="n">
        <v>392</v>
      </c>
      <c r="B2007" t="inlineStr">
        <is>
          <t>Ahorro institucional con base en la monetización de los servicios</t>
        </is>
      </c>
      <c r="C2007" t="inlineStr">
        <is>
          <t>Gestión de campañas integradas de marketing</t>
        </is>
      </c>
      <c r="D2007" t="inlineStr">
        <is>
          <t>Semestral</t>
        </is>
      </c>
      <c r="E2007" t="inlineStr">
        <is>
          <t>Positivo</t>
        </is>
      </c>
      <c r="F2007" s="113" t="n">
        <v>45657</v>
      </c>
      <c r="G2007" t="n">
        <v>2024</v>
      </c>
      <c r="H2007" t="inlineStr">
        <is>
          <t>Diciembre</t>
        </is>
      </c>
      <c r="I2007" t="inlineStr">
        <is>
          <t>2024-2</t>
        </is>
      </c>
      <c r="J2007" t="n">
        <v>100</v>
      </c>
      <c r="K2007" t="n">
        <v>145.21</v>
      </c>
      <c r="L2007" s="39" t="n">
        <v>1.3</v>
      </c>
      <c r="M2007" s="39" t="n">
        <v>1.4521</v>
      </c>
      <c r="N2007" t="inlineStr">
        <is>
          <t>$</t>
        </is>
      </c>
      <c r="O2007" t="inlineStr">
        <is>
          <t>$</t>
        </is>
      </c>
      <c r="P2007" t="n">
        <v>0</v>
      </c>
      <c r="Q2007" t="n">
        <v>0</v>
      </c>
      <c r="R2007" t="inlineStr">
        <is>
          <t>392-2024-12-31</t>
        </is>
      </c>
    </row>
    <row r="2008" hidden="1">
      <c r="A2008" t="n">
        <v>392</v>
      </c>
      <c r="B2008" t="inlineStr">
        <is>
          <t>Ahorro institucional con base en la monetización de los servicios</t>
        </is>
      </c>
      <c r="C2008" t="inlineStr">
        <is>
          <t>Gestión de campañas integradas de marketing</t>
        </is>
      </c>
      <c r="D2008" t="inlineStr">
        <is>
          <t>Anual</t>
        </is>
      </c>
      <c r="E2008" t="inlineStr">
        <is>
          <t>Positivo</t>
        </is>
      </c>
      <c r="F2008" s="113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100.8</v>
      </c>
      <c r="L2008" s="39" t="n">
        <v>1.008</v>
      </c>
      <c r="M2008" s="39" t="n">
        <v>1.008</v>
      </c>
      <c r="N2008" t="inlineStr">
        <is>
          <t>$</t>
        </is>
      </c>
      <c r="O2008" t="inlineStr">
        <is>
          <t>$</t>
        </is>
      </c>
      <c r="P2008" t="n">
        <v>0</v>
      </c>
      <c r="Q2008" t="n">
        <v>0</v>
      </c>
      <c r="R2008" t="inlineStr">
        <is>
          <t>392-2025-12-31</t>
        </is>
      </c>
    </row>
    <row r="2009" hidden="1">
      <c r="A2009" t="n">
        <v>393</v>
      </c>
      <c r="B2009" t="inlineStr">
        <is>
          <t>Disminución de los tiempos empleados en el desarrollo de las solicitudes</t>
        </is>
      </c>
      <c r="C2009" t="inlineStr">
        <is>
          <t>Gestión de campañas integradas de marketing</t>
        </is>
      </c>
      <c r="D2009" t="inlineStr">
        <is>
          <t>Anual</t>
        </is>
      </c>
      <c r="E2009" t="inlineStr">
        <is>
          <t>Positivo</t>
        </is>
      </c>
      <c r="F2009" s="113" t="n">
        <v>45291</v>
      </c>
      <c r="G2009" t="n">
        <v>2023</v>
      </c>
      <c r="H2009" t="inlineStr">
        <is>
          <t>Diciembre</t>
        </is>
      </c>
      <c r="I2009" t="inlineStr">
        <is>
          <t>2023-2</t>
        </is>
      </c>
      <c r="J2009" t="n">
        <v>15</v>
      </c>
      <c r="K2009" t="n">
        <v>15.45</v>
      </c>
      <c r="L2009" s="39" t="n">
        <v>1.03</v>
      </c>
      <c r="M2009" s="39" t="n">
        <v>1.03</v>
      </c>
      <c r="N2009" t="inlineStr">
        <is>
          <t>$</t>
        </is>
      </c>
      <c r="O2009" t="inlineStr">
        <is>
          <t>$</t>
        </is>
      </c>
      <c r="P2009" t="n">
        <v>0</v>
      </c>
      <c r="Q2009" t="n">
        <v>0</v>
      </c>
      <c r="R2009" t="inlineStr">
        <is>
          <t>393-2023-12-31</t>
        </is>
      </c>
    </row>
    <row r="2010" hidden="1">
      <c r="A2010" t="n">
        <v>393</v>
      </c>
      <c r="B2010" t="inlineStr">
        <is>
          <t>Disminución de los tiempos empleados en el desarrollo de las solicitudes</t>
        </is>
      </c>
      <c r="C2010" t="inlineStr">
        <is>
          <t>Gestión de campañas integradas de marketing</t>
        </is>
      </c>
      <c r="D2010" t="inlineStr">
        <is>
          <t>Anual</t>
        </is>
      </c>
      <c r="E2010" t="inlineStr">
        <is>
          <t>Negativo</t>
        </is>
      </c>
      <c r="F2010" s="113" t="n">
        <v>45657</v>
      </c>
      <c r="G2010" t="n">
        <v>2024</v>
      </c>
      <c r="H2010" t="inlineStr">
        <is>
          <t>Diciembre</t>
        </is>
      </c>
      <c r="I2010" t="inlineStr">
        <is>
          <t>2024-2</t>
        </is>
      </c>
      <c r="J2010" t="n">
        <v>15</v>
      </c>
      <c r="K2010" t="n">
        <v>13</v>
      </c>
      <c r="L2010" s="39" t="n">
        <v>1.153846153846154</v>
      </c>
      <c r="M2010" s="39" t="n">
        <v>1.153846153846154</v>
      </c>
      <c r="P2010" t="n">
        <v>0</v>
      </c>
      <c r="Q2010" t="n">
        <v>0</v>
      </c>
      <c r="R2010" t="inlineStr">
        <is>
          <t>393-2024-12-31</t>
        </is>
      </c>
    </row>
    <row r="2011" hidden="1">
      <c r="A2011" t="n">
        <v>393</v>
      </c>
      <c r="B2011" t="inlineStr">
        <is>
          <t>Disminución de los tiempos empleados en el desarrollo de las solicitudes</t>
        </is>
      </c>
      <c r="C2011" t="inlineStr">
        <is>
          <t>Gestión de campañas integradas de marketing</t>
        </is>
      </c>
      <c r="D2011" t="inlineStr">
        <is>
          <t>Anual</t>
        </is>
      </c>
      <c r="E2011" t="inlineStr">
        <is>
          <t>Negativo</t>
        </is>
      </c>
      <c r="F2011" s="113" t="n">
        <v>46022</v>
      </c>
      <c r="G2011" t="n">
        <v>2025</v>
      </c>
      <c r="H2011" t="inlineStr">
        <is>
          <t>Diciembre</t>
        </is>
      </c>
      <c r="I2011" t="inlineStr">
        <is>
          <t>2025-2</t>
        </is>
      </c>
      <c r="K2011" t="n">
        <v>12</v>
      </c>
      <c r="L2011" s="39" t="n"/>
      <c r="M2011" s="39" t="n"/>
      <c r="N2011" t="inlineStr">
        <is>
          <t>ENT</t>
        </is>
      </c>
      <c r="O2011" t="inlineStr">
        <is>
          <t>DEC</t>
        </is>
      </c>
      <c r="P2011" t="n">
        <v>1</v>
      </c>
      <c r="Q2011" t="n">
        <v>1</v>
      </c>
      <c r="R2011" t="inlineStr">
        <is>
          <t>393-2025-12-31</t>
        </is>
      </c>
    </row>
    <row r="2012" hidden="1">
      <c r="A2012" t="n">
        <v>394</v>
      </c>
      <c r="B2012" t="inlineStr">
        <is>
          <t>Publicaciones en medios de comunicación Tier 1 y Tier 2</t>
        </is>
      </c>
      <c r="C2012" t="inlineStr">
        <is>
          <t>Comunicaciones Externas</t>
        </is>
      </c>
      <c r="D2012" t="inlineStr">
        <is>
          <t>Semestral</t>
        </is>
      </c>
      <c r="E2012" t="inlineStr">
        <is>
          <t>Positivo</t>
        </is>
      </c>
      <c r="F2012" s="113" t="n">
        <v>45016</v>
      </c>
      <c r="G2012" t="n">
        <v>2023</v>
      </c>
      <c r="H2012" t="inlineStr">
        <is>
          <t>Marzo</t>
        </is>
      </c>
      <c r="I2012" t="inlineStr">
        <is>
          <t>2023-1</t>
        </is>
      </c>
      <c r="J2012" t="n">
        <v>100</v>
      </c>
      <c r="K2012" t="n">
        <v>0</v>
      </c>
      <c r="L2012" s="39" t="n">
        <v>0</v>
      </c>
      <c r="M2012" s="39" t="n">
        <v>0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394-2023-03-31</t>
        </is>
      </c>
    </row>
    <row r="2013" hidden="1">
      <c r="A2013" t="n">
        <v>394</v>
      </c>
      <c r="B2013" t="inlineStr">
        <is>
          <t>Publicaciones en medios de comunicación Tier 1 y Tier 2</t>
        </is>
      </c>
      <c r="C2013" t="inlineStr">
        <is>
          <t>Comunicaciones Externas</t>
        </is>
      </c>
      <c r="D2013" t="inlineStr">
        <is>
          <t>Semestral</t>
        </is>
      </c>
      <c r="E2013" t="inlineStr">
        <is>
          <t>Positivo</t>
        </is>
      </c>
      <c r="F2013" s="113" t="n">
        <v>45107</v>
      </c>
      <c r="G2013" t="n">
        <v>2023</v>
      </c>
      <c r="H2013" t="inlineStr">
        <is>
          <t>Junio</t>
        </is>
      </c>
      <c r="I2013" t="inlineStr">
        <is>
          <t>2023-1</t>
        </is>
      </c>
      <c r="J2013" t="n">
        <v>100</v>
      </c>
      <c r="K2013" t="n">
        <v>275.42857142857</v>
      </c>
      <c r="L2013" s="39" t="n">
        <v>1.3</v>
      </c>
      <c r="M2013" s="39" t="n">
        <v>2.7542857142857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394-2023-06-30</t>
        </is>
      </c>
    </row>
    <row r="2014" hidden="1">
      <c r="A2014" t="n">
        <v>394</v>
      </c>
      <c r="B2014" t="inlineStr">
        <is>
          <t>Publicaciones en medios de comunicación Tier 1 y Tier 2</t>
        </is>
      </c>
      <c r="C2014" t="inlineStr">
        <is>
          <t>Comunicaciones Externas</t>
        </is>
      </c>
      <c r="D2014" t="inlineStr">
        <is>
          <t>Semestral</t>
        </is>
      </c>
      <c r="E2014" t="inlineStr">
        <is>
          <t>Positivo</t>
        </is>
      </c>
      <c r="F2014" s="113" t="n">
        <v>45199</v>
      </c>
      <c r="G2014" t="n">
        <v>2023</v>
      </c>
      <c r="H2014" t="inlineStr">
        <is>
          <t>Septiembre</t>
        </is>
      </c>
      <c r="I2014" t="inlineStr">
        <is>
          <t>2023-2</t>
        </is>
      </c>
      <c r="J2014" t="n">
        <v>100</v>
      </c>
      <c r="K2014" t="n">
        <v>0</v>
      </c>
      <c r="L2014" s="39" t="n">
        <v>0</v>
      </c>
      <c r="M2014" s="39" t="n">
        <v>0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394-2023-09-30</t>
        </is>
      </c>
    </row>
    <row r="2015" hidden="1">
      <c r="A2015" t="n">
        <v>394</v>
      </c>
      <c r="B2015" t="inlineStr">
        <is>
          <t>Publicaciones en medios de comunicación Tier 1 y Tier 2</t>
        </is>
      </c>
      <c r="C2015" t="inlineStr">
        <is>
          <t>Comunicaciones Externas</t>
        </is>
      </c>
      <c r="D2015" t="inlineStr">
        <is>
          <t>Semestral</t>
        </is>
      </c>
      <c r="E2015" t="inlineStr">
        <is>
          <t>Positivo</t>
        </is>
      </c>
      <c r="F2015" s="113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J2015" t="n">
        <v>100</v>
      </c>
      <c r="K2015" t="n">
        <v>349.71</v>
      </c>
      <c r="L2015" s="39" t="n">
        <v>1.3</v>
      </c>
      <c r="M2015" s="39" t="n">
        <v>3.4971</v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394-2023-12-31</t>
        </is>
      </c>
    </row>
    <row r="2016" hidden="1">
      <c r="A2016" t="n">
        <v>394</v>
      </c>
      <c r="B2016" t="inlineStr">
        <is>
          <t>Publicaciones en medios de comunicación Tier 1 y Tier 2</t>
        </is>
      </c>
      <c r="C2016" t="inlineStr">
        <is>
          <t>Comunicaciones Externas</t>
        </is>
      </c>
      <c r="D2016" t="inlineStr">
        <is>
          <t>Semestral</t>
        </is>
      </c>
      <c r="E2016" t="inlineStr">
        <is>
          <t>Positivo</t>
        </is>
      </c>
      <c r="F2016" s="113" t="n">
        <v>45382</v>
      </c>
      <c r="G2016" t="n">
        <v>2024</v>
      </c>
      <c r="H2016" t="inlineStr">
        <is>
          <t>Marzo</t>
        </is>
      </c>
      <c r="I2016" t="inlineStr">
        <is>
          <t>2024-1</t>
        </is>
      </c>
      <c r="J2016" t="n">
        <v>100</v>
      </c>
      <c r="K2016" t="n">
        <v>0</v>
      </c>
      <c r="L2016" s="39" t="n">
        <v>0</v>
      </c>
      <c r="M2016" s="39" t="n">
        <v>0</v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394-2024-03-31</t>
        </is>
      </c>
    </row>
    <row r="2017" hidden="1">
      <c r="A2017" t="n">
        <v>394</v>
      </c>
      <c r="B2017" t="inlineStr">
        <is>
          <t>Publicaciones en medios de comunicación Tier 1 y Tier 2</t>
        </is>
      </c>
      <c r="C2017" t="inlineStr">
        <is>
          <t>Comunicaciones Externas</t>
        </is>
      </c>
      <c r="D2017" t="inlineStr">
        <is>
          <t>Semestral</t>
        </is>
      </c>
      <c r="E2017" t="inlineStr">
        <is>
          <t>Positivo</t>
        </is>
      </c>
      <c r="F2017" s="113" t="n">
        <v>45473</v>
      </c>
      <c r="G2017" t="n">
        <v>2024</v>
      </c>
      <c r="H2017" t="inlineStr">
        <is>
          <t>Junio</t>
        </is>
      </c>
      <c r="I2017" t="inlineStr">
        <is>
          <t>2024-1</t>
        </is>
      </c>
      <c r="J2017" t="n">
        <v>100</v>
      </c>
      <c r="K2017" t="n">
        <v>118.6</v>
      </c>
      <c r="L2017" s="39" t="n">
        <v>1.186</v>
      </c>
      <c r="M2017" s="39" t="n">
        <v>1.186</v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394-2024-06-30</t>
        </is>
      </c>
    </row>
    <row r="2018" hidden="1">
      <c r="A2018" t="n">
        <v>394</v>
      </c>
      <c r="B2018" t="inlineStr">
        <is>
          <t>Publicaciones en medios de comunicación Tier 1 y Tier 2</t>
        </is>
      </c>
      <c r="C2018" t="inlineStr">
        <is>
          <t>Comunicaciones Externas</t>
        </is>
      </c>
      <c r="D2018" t="inlineStr">
        <is>
          <t>Semestral</t>
        </is>
      </c>
      <c r="E2018" t="inlineStr">
        <is>
          <t>Positivo</t>
        </is>
      </c>
      <c r="F2018" s="113" t="n">
        <v>45565</v>
      </c>
      <c r="G2018" t="n">
        <v>2024</v>
      </c>
      <c r="H2018" t="inlineStr">
        <is>
          <t>Septiembre</t>
        </is>
      </c>
      <c r="I2018" t="inlineStr">
        <is>
          <t>2024-2</t>
        </is>
      </c>
      <c r="J2018" t="n">
        <v>100</v>
      </c>
      <c r="K2018" t="n">
        <v>0</v>
      </c>
      <c r="L2018" s="39" t="n">
        <v>0</v>
      </c>
      <c r="M2018" s="39" t="n">
        <v>0</v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394-2024-09-30</t>
        </is>
      </c>
    </row>
    <row r="2019" hidden="1">
      <c r="A2019" t="n">
        <v>394</v>
      </c>
      <c r="B2019" t="inlineStr">
        <is>
          <t>Publicaciones en medios de comunicación Tier 1 y Tier 2</t>
        </is>
      </c>
      <c r="C2019" t="inlineStr">
        <is>
          <t>Comunicaciones Externas</t>
        </is>
      </c>
      <c r="D2019" t="inlineStr">
        <is>
          <t>Semestral</t>
        </is>
      </c>
      <c r="E2019" t="inlineStr">
        <is>
          <t>Positivo</t>
        </is>
      </c>
      <c r="F2019" s="113" t="n">
        <v>45657</v>
      </c>
      <c r="G2019" t="n">
        <v>2024</v>
      </c>
      <c r="H2019" t="inlineStr">
        <is>
          <t>Diciembre</t>
        </is>
      </c>
      <c r="I2019" t="inlineStr">
        <is>
          <t>2024-2</t>
        </is>
      </c>
      <c r="J2019" t="n">
        <v>100</v>
      </c>
      <c r="K2019" t="n">
        <v>192</v>
      </c>
      <c r="L2019" s="39" t="n">
        <v>1.3</v>
      </c>
      <c r="M2019" s="39" t="n">
        <v>1.92</v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394-2024-12-31</t>
        </is>
      </c>
    </row>
    <row r="2020" hidden="1">
      <c r="A2020" t="n">
        <v>394</v>
      </c>
      <c r="B2020" t="inlineStr">
        <is>
          <t>Publicaciones en medios de comunicación Tier 1 y Tier 2</t>
        </is>
      </c>
      <c r="C2020" t="inlineStr">
        <is>
          <t>Comunicaciones Externas</t>
        </is>
      </c>
      <c r="D2020" t="inlineStr">
        <is>
          <t>Semestral</t>
        </is>
      </c>
      <c r="E2020" t="inlineStr">
        <is>
          <t>Positivo</t>
        </is>
      </c>
      <c r="F2020" s="113" t="n">
        <v>45747</v>
      </c>
      <c r="G2020" t="n">
        <v>2025</v>
      </c>
      <c r="H2020" t="inlineStr">
        <is>
          <t>Marzo</t>
        </is>
      </c>
      <c r="I2020" t="inlineStr">
        <is>
          <t>2025-1</t>
        </is>
      </c>
      <c r="J2020" t="n">
        <v>100</v>
      </c>
      <c r="K2020" t="n">
        <v>227.5</v>
      </c>
      <c r="L2020" s="39" t="n">
        <v>1.3</v>
      </c>
      <c r="M2020" s="39" t="n">
        <v>2.275</v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394-2025-03-31</t>
        </is>
      </c>
    </row>
    <row r="2021" hidden="1">
      <c r="A2021" t="n">
        <v>394</v>
      </c>
      <c r="B2021" t="inlineStr">
        <is>
          <t>Publicaciones en medios de comunicación Tier 1 y Tier 2</t>
        </is>
      </c>
      <c r="C2021" t="inlineStr">
        <is>
          <t>Comunicaciones Externas</t>
        </is>
      </c>
      <c r="D2021" t="inlineStr">
        <is>
          <t>Semestral</t>
        </is>
      </c>
      <c r="E2021" t="inlineStr">
        <is>
          <t>Positivo</t>
        </is>
      </c>
      <c r="F2021" s="113" t="n">
        <v>45838</v>
      </c>
      <c r="G2021" t="n">
        <v>2025</v>
      </c>
      <c r="H2021" t="inlineStr">
        <is>
          <t>Junio</t>
        </is>
      </c>
      <c r="I2021" t="inlineStr">
        <is>
          <t>2025-1</t>
        </is>
      </c>
      <c r="J2021" t="n">
        <v>100</v>
      </c>
      <c r="K2021" t="n">
        <v>96.86</v>
      </c>
      <c r="L2021" s="39" t="n">
        <v>0.9686</v>
      </c>
      <c r="M2021" s="39" t="n">
        <v>0.9686</v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394-2025-06-30</t>
        </is>
      </c>
    </row>
    <row r="2022" hidden="1">
      <c r="A2022" t="n">
        <v>394</v>
      </c>
      <c r="B2022" t="inlineStr">
        <is>
          <t>Publicaciones en medios de comunicación Tier 1 y Tier 2</t>
        </is>
      </c>
      <c r="C2022" t="inlineStr">
        <is>
          <t>Comunicaciones Externas</t>
        </is>
      </c>
      <c r="D2022" t="inlineStr">
        <is>
          <t>Semestral</t>
        </is>
      </c>
      <c r="E2022" t="inlineStr">
        <is>
          <t>Positivo</t>
        </is>
      </c>
      <c r="F2022" s="113" t="n">
        <v>45930</v>
      </c>
      <c r="G2022" t="n">
        <v>2025</v>
      </c>
      <c r="H2022" t="inlineStr">
        <is>
          <t>Septiembre</t>
        </is>
      </c>
      <c r="I2022" t="inlineStr">
        <is>
          <t>2025-2</t>
        </is>
      </c>
      <c r="J2022" t="n">
        <v>100</v>
      </c>
      <c r="K2022" t="n">
        <v>91.70999999999999</v>
      </c>
      <c r="L2022" s="39" t="n">
        <v>0.9170999999999999</v>
      </c>
      <c r="M2022" s="39" t="n">
        <v>0.9170999999999999</v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394-2025-09-30</t>
        </is>
      </c>
    </row>
    <row r="2023" hidden="1">
      <c r="A2023" t="n">
        <v>394</v>
      </c>
      <c r="B2023" t="inlineStr">
        <is>
          <t>Publicaciones en medios de comunicación Tier 1 y Tier 2</t>
        </is>
      </c>
      <c r="C2023" t="inlineStr">
        <is>
          <t>Comunicaciones Externas</t>
        </is>
      </c>
      <c r="D2023" t="inlineStr">
        <is>
          <t>Semestral</t>
        </is>
      </c>
      <c r="E2023" t="inlineStr">
        <is>
          <t>Positivo</t>
        </is>
      </c>
      <c r="F2023" s="113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J2023" t="n">
        <v>100</v>
      </c>
      <c r="K2023" t="n">
        <v>137.5</v>
      </c>
      <c r="L2023" s="39" t="n">
        <v>1.3</v>
      </c>
      <c r="M2023" s="39" t="n">
        <v>1.375</v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394-2025-12-31</t>
        </is>
      </c>
    </row>
    <row r="2024" hidden="1">
      <c r="A2024" t="n">
        <v>394</v>
      </c>
      <c r="B2024" t="inlineStr">
        <is>
          <t>Publicaciones en medios de comunicación Tier 1 y Tier 2</t>
        </is>
      </c>
      <c r="C2024" t="inlineStr">
        <is>
          <t>Comunicaciones Externas</t>
        </is>
      </c>
      <c r="D2024" t="inlineStr">
        <is>
          <t>Semestral</t>
        </is>
      </c>
      <c r="E2024" t="inlineStr">
        <is>
          <t>Positivo</t>
        </is>
      </c>
      <c r="F2024" s="113" t="n">
        <v>46112</v>
      </c>
      <c r="G2024" t="n">
        <v>2026</v>
      </c>
      <c r="H2024" t="inlineStr">
        <is>
          <t>Marzo</t>
        </is>
      </c>
      <c r="I2024" t="inlineStr">
        <is>
          <t>2026-1</t>
        </is>
      </c>
      <c r="J2024" t="n">
        <v>100</v>
      </c>
      <c r="K2024" t="n">
        <v>225.2</v>
      </c>
      <c r="L2024" s="39" t="n">
        <v>1.3</v>
      </c>
      <c r="M2024" s="39" t="n">
        <v>2.252</v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394-2026-03-31</t>
        </is>
      </c>
    </row>
    <row r="2025" hidden="1">
      <c r="A2025" t="n">
        <v>395</v>
      </c>
      <c r="B2025" t="inlineStr">
        <is>
          <t>Publicaciones en medios de comunicación de la región Antioquia</t>
        </is>
      </c>
      <c r="C2025" t="inlineStr">
        <is>
          <t>Comunicaciones Externas</t>
        </is>
      </c>
      <c r="D2025" t="inlineStr">
        <is>
          <t>Semestral</t>
        </is>
      </c>
      <c r="E2025" t="inlineStr">
        <is>
          <t>Positivo</t>
        </is>
      </c>
      <c r="F2025" s="113" t="n">
        <v>45016</v>
      </c>
      <c r="G2025" t="n">
        <v>2023</v>
      </c>
      <c r="H2025" t="inlineStr">
        <is>
          <t>Marzo</t>
        </is>
      </c>
      <c r="I2025" t="inlineStr">
        <is>
          <t>2023-1</t>
        </is>
      </c>
      <c r="J2025" t="n">
        <v>100</v>
      </c>
      <c r="K2025" t="n">
        <v>0</v>
      </c>
      <c r="L2025" s="39" t="n">
        <v>0</v>
      </c>
      <c r="M2025" s="39" t="n">
        <v>0</v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395-2023-03-31</t>
        </is>
      </c>
    </row>
    <row r="2026" hidden="1">
      <c r="A2026" t="n">
        <v>395</v>
      </c>
      <c r="B2026" t="inlineStr">
        <is>
          <t>Publicaciones en medios de comunicación Tier 1 y Tier 2 de la región Antioquia</t>
        </is>
      </c>
      <c r="C2026" t="inlineStr">
        <is>
          <t>Comunicaciones Externas</t>
        </is>
      </c>
      <c r="D2026" t="inlineStr">
        <is>
          <t>Semestral</t>
        </is>
      </c>
      <c r="E2026" t="inlineStr">
        <is>
          <t>Positivo</t>
        </is>
      </c>
      <c r="F2026" s="113" t="n">
        <v>45107</v>
      </c>
      <c r="G2026" t="n">
        <v>2023</v>
      </c>
      <c r="H2026" t="inlineStr">
        <is>
          <t>Junio</t>
        </is>
      </c>
      <c r="I2026" t="inlineStr">
        <is>
          <t>2023-1</t>
        </is>
      </c>
      <c r="J2026" t="n">
        <v>100</v>
      </c>
      <c r="K2026" t="n">
        <v>294.11764705882</v>
      </c>
      <c r="L2026" s="39" t="n">
        <v>1.3</v>
      </c>
      <c r="M2026" s="39" t="n">
        <v>2.9411764705882</v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395-2023-06-30</t>
        </is>
      </c>
    </row>
    <row r="2027" hidden="1">
      <c r="A2027" t="n">
        <v>395</v>
      </c>
      <c r="B2027" t="inlineStr">
        <is>
          <t>Publicaciones en medios de comunicación Tier 1 y Tier 2 de la región Antioquia</t>
        </is>
      </c>
      <c r="C2027" t="inlineStr">
        <is>
          <t>Comunicaciones Externas</t>
        </is>
      </c>
      <c r="D2027" t="inlineStr">
        <is>
          <t>Semestral</t>
        </is>
      </c>
      <c r="E2027" t="inlineStr">
        <is>
          <t>Positivo</t>
        </is>
      </c>
      <c r="F2027" s="113" t="n">
        <v>45291</v>
      </c>
      <c r="G2027" t="n">
        <v>2023</v>
      </c>
      <c r="H2027" t="inlineStr">
        <is>
          <t>Diciembre</t>
        </is>
      </c>
      <c r="I2027" t="inlineStr">
        <is>
          <t>2023-2</t>
        </is>
      </c>
      <c r="J2027" t="n">
        <v>100</v>
      </c>
      <c r="K2027" t="n">
        <v>266.67</v>
      </c>
      <c r="L2027" s="39" t="n">
        <v>1.3</v>
      </c>
      <c r="M2027" s="39" t="n">
        <v>2.6667</v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395-2023-12-31</t>
        </is>
      </c>
    </row>
    <row r="2028" hidden="1">
      <c r="A2028" t="n">
        <v>395</v>
      </c>
      <c r="B2028" t="inlineStr">
        <is>
          <t>Publicaciones en medios de comunicación de la región Antioquia</t>
        </is>
      </c>
      <c r="C2028" t="inlineStr">
        <is>
          <t>Comunicaciones Externas</t>
        </is>
      </c>
      <c r="D2028" t="inlineStr">
        <is>
          <t>Semestral</t>
        </is>
      </c>
      <c r="E2028" t="inlineStr">
        <is>
          <t>Positivo</t>
        </is>
      </c>
      <c r="F2028" s="113" t="n">
        <v>45382</v>
      </c>
      <c r="G2028" t="n">
        <v>2024</v>
      </c>
      <c r="H2028" t="inlineStr">
        <is>
          <t>Marzo</t>
        </is>
      </c>
      <c r="I2028" t="inlineStr">
        <is>
          <t>2024-1</t>
        </is>
      </c>
      <c r="J2028" t="n">
        <v>100</v>
      </c>
      <c r="K2028" t="n">
        <v>0</v>
      </c>
      <c r="L2028" s="39" t="n">
        <v>0</v>
      </c>
      <c r="M2028" s="39" t="n">
        <v>0</v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395-2024-03-31</t>
        </is>
      </c>
    </row>
    <row r="2029" hidden="1">
      <c r="A2029" t="n">
        <v>395</v>
      </c>
      <c r="B2029" t="inlineStr">
        <is>
          <t>Publicaciones en medios de comunicación de la región Antioquia</t>
        </is>
      </c>
      <c r="C2029" t="inlineStr">
        <is>
          <t>Comunicaciones Externas</t>
        </is>
      </c>
      <c r="D2029" t="inlineStr">
        <is>
          <t>Semestral</t>
        </is>
      </c>
      <c r="E2029" t="inlineStr">
        <is>
          <t>Positivo</t>
        </is>
      </c>
      <c r="F2029" s="113" t="n">
        <v>45473</v>
      </c>
      <c r="G2029" t="n">
        <v>2024</v>
      </c>
      <c r="H2029" t="inlineStr">
        <is>
          <t>Junio</t>
        </is>
      </c>
      <c r="I2029" t="inlineStr">
        <is>
          <t>2024-1</t>
        </is>
      </c>
      <c r="J2029" t="n">
        <v>100</v>
      </c>
      <c r="K2029" t="n">
        <v>110</v>
      </c>
      <c r="L2029" s="39" t="n">
        <v>1.1</v>
      </c>
      <c r="M2029" s="39" t="n">
        <v>1.1</v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395-2024-06-30</t>
        </is>
      </c>
    </row>
    <row r="2030" hidden="1">
      <c r="A2030" t="n">
        <v>395</v>
      </c>
      <c r="B2030" t="inlineStr">
        <is>
          <t>Publicaciones en medios de comunicación de la región Antioquia</t>
        </is>
      </c>
      <c r="C2030" t="inlineStr">
        <is>
          <t>Comunicaciones Externas</t>
        </is>
      </c>
      <c r="D2030" t="inlineStr">
        <is>
          <t>Semestral</t>
        </is>
      </c>
      <c r="E2030" t="inlineStr">
        <is>
          <t>Positivo</t>
        </is>
      </c>
      <c r="F2030" s="113" t="n">
        <v>45565</v>
      </c>
      <c r="G2030" t="n">
        <v>2024</v>
      </c>
      <c r="H2030" t="inlineStr">
        <is>
          <t>Septiembre</t>
        </is>
      </c>
      <c r="I2030" t="inlineStr">
        <is>
          <t>2024-2</t>
        </is>
      </c>
      <c r="J2030" t="n">
        <v>100</v>
      </c>
      <c r="K2030" t="n">
        <v>0</v>
      </c>
      <c r="L2030" s="39" t="n">
        <v>0</v>
      </c>
      <c r="M2030" s="39" t="n">
        <v>0</v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395-2024-09-30</t>
        </is>
      </c>
    </row>
    <row r="2031" hidden="1">
      <c r="A2031" t="n">
        <v>395</v>
      </c>
      <c r="B2031" t="inlineStr">
        <is>
          <t>Publicaciones en medios de comunicación de la región Antioquia</t>
        </is>
      </c>
      <c r="C2031" t="inlineStr">
        <is>
          <t>Comunicaciones Externas</t>
        </is>
      </c>
      <c r="D2031" t="inlineStr">
        <is>
          <t>Semestral</t>
        </is>
      </c>
      <c r="E2031" t="inlineStr">
        <is>
          <t>Positivo</t>
        </is>
      </c>
      <c r="F2031" s="113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100</v>
      </c>
      <c r="K2031" t="n">
        <v>148.89</v>
      </c>
      <c r="L2031" s="39" t="n">
        <v>1.3</v>
      </c>
      <c r="M2031" s="39" t="n">
        <v>1.4889</v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395-2024-12-31</t>
        </is>
      </c>
    </row>
    <row r="2032" hidden="1">
      <c r="A2032" t="n">
        <v>395</v>
      </c>
      <c r="B2032" t="inlineStr">
        <is>
          <t>Publicaciones en medios de comunicación de la región Antioquia</t>
        </is>
      </c>
      <c r="C2032" t="inlineStr">
        <is>
          <t>Comunicaciones Externas</t>
        </is>
      </c>
      <c r="D2032" t="inlineStr">
        <is>
          <t>Semestral</t>
        </is>
      </c>
      <c r="E2032" t="inlineStr">
        <is>
          <t>Positivo</t>
        </is>
      </c>
      <c r="F2032" s="113" t="n">
        <v>45747</v>
      </c>
      <c r="G2032" t="n">
        <v>2025</v>
      </c>
      <c r="H2032" t="inlineStr">
        <is>
          <t>Marzo</t>
        </is>
      </c>
      <c r="I2032" t="inlineStr">
        <is>
          <t>2025-1</t>
        </is>
      </c>
      <c r="J2032" t="n">
        <v>100</v>
      </c>
      <c r="K2032" t="n">
        <v>291.43</v>
      </c>
      <c r="L2032" s="39" t="n">
        <v>1.3</v>
      </c>
      <c r="M2032" s="39" t="n">
        <v>2.9143</v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395-2025-03-31</t>
        </is>
      </c>
    </row>
    <row r="2033" hidden="1">
      <c r="A2033" t="n">
        <v>395</v>
      </c>
      <c r="B2033" t="inlineStr">
        <is>
          <t>Publicaciones en medios de comunicación de la región Antioquia</t>
        </is>
      </c>
      <c r="C2033" t="inlineStr">
        <is>
          <t>Comunicaciones Externas</t>
        </is>
      </c>
      <c r="D2033" t="inlineStr">
        <is>
          <t>Semestral</t>
        </is>
      </c>
      <c r="E2033" t="inlineStr">
        <is>
          <t>Positivo</t>
        </is>
      </c>
      <c r="F2033" s="113" t="n">
        <v>45838</v>
      </c>
      <c r="G2033" t="n">
        <v>2025</v>
      </c>
      <c r="H2033" t="inlineStr">
        <is>
          <t>Junio</t>
        </is>
      </c>
      <c r="I2033" t="inlineStr">
        <is>
          <t>2025-1</t>
        </is>
      </c>
      <c r="J2033" t="n">
        <v>100</v>
      </c>
      <c r="K2033" t="n">
        <v>161.82</v>
      </c>
      <c r="L2033" s="39" t="n">
        <v>1.3</v>
      </c>
      <c r="M2033" s="39" t="n">
        <v>1.6182</v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395-2025-06-30</t>
        </is>
      </c>
    </row>
    <row r="2034" hidden="1">
      <c r="A2034" t="n">
        <v>395</v>
      </c>
      <c r="B2034" t="inlineStr">
        <is>
          <t>Publicaciones en medios de comunicación de la región Antioquia</t>
        </is>
      </c>
      <c r="C2034" t="inlineStr">
        <is>
          <t>Comunicaciones Externas</t>
        </is>
      </c>
      <c r="D2034" t="inlineStr">
        <is>
          <t>Semestral</t>
        </is>
      </c>
      <c r="E2034" t="inlineStr">
        <is>
          <t>Positivo</t>
        </is>
      </c>
      <c r="F2034" s="113" t="n">
        <v>45930</v>
      </c>
      <c r="G2034" t="n">
        <v>2025</v>
      </c>
      <c r="H2034" t="inlineStr">
        <is>
          <t>Septiembre</t>
        </is>
      </c>
      <c r="I2034" t="inlineStr">
        <is>
          <t>2025-2</t>
        </is>
      </c>
      <c r="J2034" t="n">
        <v>100</v>
      </c>
      <c r="K2034" t="n">
        <v>187.27</v>
      </c>
      <c r="L2034" s="39" t="n">
        <v>1.3</v>
      </c>
      <c r="M2034" s="39" t="n">
        <v>1.8727</v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395-2025-09-30</t>
        </is>
      </c>
    </row>
    <row r="2035" hidden="1">
      <c r="A2035" t="n">
        <v>395</v>
      </c>
      <c r="B2035" t="inlineStr">
        <is>
          <t>Publicaciones en medios de comunicación de la región Antioquia</t>
        </is>
      </c>
      <c r="C2035" t="inlineStr">
        <is>
          <t>Comunicaciones Externas</t>
        </is>
      </c>
      <c r="D2035" t="inlineStr">
        <is>
          <t>Semestral</t>
        </is>
      </c>
      <c r="E2035" t="inlineStr">
        <is>
          <t>Positivo</t>
        </is>
      </c>
      <c r="F2035" s="113" t="n">
        <v>46022</v>
      </c>
      <c r="G2035" t="n">
        <v>2025</v>
      </c>
      <c r="H2035" t="inlineStr">
        <is>
          <t>Diciembre</t>
        </is>
      </c>
      <c r="I2035" t="inlineStr">
        <is>
          <t>2025-2</t>
        </is>
      </c>
      <c r="J2035" t="n">
        <v>100</v>
      </c>
      <c r="K2035" t="n">
        <v>177.14</v>
      </c>
      <c r="L2035" s="39" t="n">
        <v>1.3</v>
      </c>
      <c r="M2035" s="39" t="n">
        <v>1.7714</v>
      </c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395-2025-12-31</t>
        </is>
      </c>
    </row>
    <row r="2036" hidden="1">
      <c r="A2036" t="n">
        <v>395</v>
      </c>
      <c r="B2036" t="inlineStr">
        <is>
          <t>Publicaciones en medios de comunicación de la región Antioquia</t>
        </is>
      </c>
      <c r="C2036" t="inlineStr">
        <is>
          <t>Comunicaciones Externas</t>
        </is>
      </c>
      <c r="D2036" t="inlineStr">
        <is>
          <t>Semestral</t>
        </is>
      </c>
      <c r="E2036" t="inlineStr">
        <is>
          <t>Positivo</t>
        </is>
      </c>
      <c r="F2036" s="113" t="n">
        <v>46112</v>
      </c>
      <c r="G2036" t="n">
        <v>2026</v>
      </c>
      <c r="H2036" t="inlineStr">
        <is>
          <t>Marzo</t>
        </is>
      </c>
      <c r="I2036" t="inlineStr">
        <is>
          <t>2026-1</t>
        </is>
      </c>
      <c r="J2036" t="n">
        <v>1</v>
      </c>
      <c r="K2036" t="n">
        <v>173.33</v>
      </c>
      <c r="L2036" s="39" t="n">
        <v>1.3</v>
      </c>
      <c r="M2036" s="39" t="n">
        <v>173.33</v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395-2026-03-31</t>
        </is>
      </c>
    </row>
    <row r="2037" hidden="1">
      <c r="A2037" t="n">
        <v>396</v>
      </c>
      <c r="B2037" t="inlineStr">
        <is>
          <t>Publicaciones en el Campus Virtual</t>
        </is>
      </c>
      <c r="C2037" t="inlineStr">
        <is>
          <t>Gestión de campañas integradas de marketing</t>
        </is>
      </c>
      <c r="D2037" t="inlineStr">
        <is>
          <t>Semestral</t>
        </is>
      </c>
      <c r="E2037" t="inlineStr">
        <is>
          <t>Positivo</t>
        </is>
      </c>
      <c r="F2037" s="113" t="n">
        <v>45291</v>
      </c>
      <c r="G2037" t="n">
        <v>2023</v>
      </c>
      <c r="H2037" t="inlineStr">
        <is>
          <t>Diciembre</t>
        </is>
      </c>
      <c r="I2037" t="inlineStr">
        <is>
          <t>2023-2</t>
        </is>
      </c>
      <c r="J2037" t="n">
        <v>80</v>
      </c>
      <c r="K2037" t="n">
        <v>88.89</v>
      </c>
      <c r="L2037" s="39" t="n">
        <v>1.111125</v>
      </c>
      <c r="M2037" s="39" t="n">
        <v>1.111125</v>
      </c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396-2023-12-31</t>
        </is>
      </c>
    </row>
    <row r="2038" hidden="1">
      <c r="A2038" t="n">
        <v>396</v>
      </c>
      <c r="B2038" t="inlineStr">
        <is>
          <t>Publicaciones en el Campus Virtual</t>
        </is>
      </c>
      <c r="C2038" t="inlineStr">
        <is>
          <t>Diseño de Contenido Virtual</t>
        </is>
      </c>
      <c r="D2038" t="inlineStr">
        <is>
          <t>Semestral</t>
        </is>
      </c>
      <c r="E2038" t="inlineStr">
        <is>
          <t>Positivo</t>
        </is>
      </c>
      <c r="F2038" s="113" t="n">
        <v>45473</v>
      </c>
      <c r="G2038" t="n">
        <v>2024</v>
      </c>
      <c r="H2038" t="inlineStr">
        <is>
          <t>Junio</t>
        </is>
      </c>
      <c r="I2038" t="inlineStr">
        <is>
          <t>2024-1</t>
        </is>
      </c>
      <c r="J2038" t="n">
        <v>80</v>
      </c>
      <c r="K2038" t="n">
        <v>88.09999999999999</v>
      </c>
      <c r="L2038" s="39" t="n">
        <v>1.10125</v>
      </c>
      <c r="M2038" s="39" t="n">
        <v>1.10125</v>
      </c>
      <c r="N2038" t="inlineStr">
        <is>
          <t>ENT</t>
        </is>
      </c>
      <c r="O2038" t="inlineStr">
        <is>
          <t>DEC</t>
        </is>
      </c>
      <c r="P2038" t="n">
        <v>1</v>
      </c>
      <c r="Q2038" t="n">
        <v>1</v>
      </c>
      <c r="R2038" t="inlineStr">
        <is>
          <t>396-2024-06-30</t>
        </is>
      </c>
    </row>
    <row r="2039" hidden="1">
      <c r="A2039" t="n">
        <v>397</v>
      </c>
      <c r="B2039" t="inlineStr">
        <is>
          <t>Gestión de casos del Estudio de Emisión</t>
        </is>
      </c>
      <c r="C2039" t="inlineStr">
        <is>
          <t>Gestión de campañas integradas de marketing</t>
        </is>
      </c>
      <c r="D2039" t="inlineStr">
        <is>
          <t>Semestral</t>
        </is>
      </c>
      <c r="E2039" t="inlineStr">
        <is>
          <t>Positivo</t>
        </is>
      </c>
      <c r="F2039" s="113" t="n">
        <v>45107</v>
      </c>
      <c r="G2039" t="n">
        <v>2023</v>
      </c>
      <c r="H2039" t="inlineStr">
        <is>
          <t>Junio</t>
        </is>
      </c>
      <c r="I2039" t="inlineStr">
        <is>
          <t>2023-1</t>
        </is>
      </c>
      <c r="J2039" t="n">
        <v>80</v>
      </c>
      <c r="K2039" t="n">
        <v>91.071428571429</v>
      </c>
      <c r="L2039" s="39" t="n">
        <v>1.138392857142863</v>
      </c>
      <c r="M2039" s="39" t="n">
        <v>1.138392857142863</v>
      </c>
      <c r="N2039" t="inlineStr">
        <is>
          <t>%</t>
        </is>
      </c>
      <c r="O2039" t="inlineStr">
        <is>
          <t>%</t>
        </is>
      </c>
      <c r="P2039" t="n">
        <v>0</v>
      </c>
      <c r="Q2039" t="n">
        <v>0</v>
      </c>
      <c r="R2039" t="inlineStr">
        <is>
          <t>397-2023-06-30</t>
        </is>
      </c>
    </row>
    <row r="2040" hidden="1">
      <c r="A2040" t="n">
        <v>397</v>
      </c>
      <c r="B2040" t="inlineStr">
        <is>
          <t>Gestión de casos del Estudio de Emisión</t>
        </is>
      </c>
      <c r="C2040" t="inlineStr">
        <is>
          <t>Gestión de campañas integradas de marketing</t>
        </is>
      </c>
      <c r="D2040" t="inlineStr">
        <is>
          <t>Semestral</t>
        </is>
      </c>
      <c r="E2040" t="inlineStr">
        <is>
          <t>Positivo</t>
        </is>
      </c>
      <c r="F2040" s="113" t="n">
        <v>45291</v>
      </c>
      <c r="G2040" t="n">
        <v>2023</v>
      </c>
      <c r="H2040" t="inlineStr">
        <is>
          <t>Diciembre</t>
        </is>
      </c>
      <c r="I2040" t="inlineStr">
        <is>
          <t>2023-2</t>
        </is>
      </c>
      <c r="J2040" t="n">
        <v>80</v>
      </c>
      <c r="K2040" t="n">
        <v>92.95999999999999</v>
      </c>
      <c r="L2040" s="39" t="n">
        <v>1.162</v>
      </c>
      <c r="M2040" s="39" t="n">
        <v>1.162</v>
      </c>
      <c r="N2040" t="inlineStr">
        <is>
          <t>%</t>
        </is>
      </c>
      <c r="O2040" t="inlineStr">
        <is>
          <t>%</t>
        </is>
      </c>
      <c r="P2040" t="n">
        <v>0</v>
      </c>
      <c r="Q2040" t="n">
        <v>0</v>
      </c>
      <c r="R2040" t="inlineStr">
        <is>
          <t>397-2023-12-31</t>
        </is>
      </c>
    </row>
    <row r="2041" hidden="1">
      <c r="A2041" t="n">
        <v>397</v>
      </c>
      <c r="B2041" t="inlineStr">
        <is>
          <t>Gestión de casos del Estudio de Emisión</t>
        </is>
      </c>
      <c r="C2041" t="inlineStr">
        <is>
          <t>Diseño de Contenido Virtual</t>
        </is>
      </c>
      <c r="D2041" t="inlineStr">
        <is>
          <t>Semestral</t>
        </is>
      </c>
      <c r="E2041" t="inlineStr">
        <is>
          <t>Positivo</t>
        </is>
      </c>
      <c r="F2041" s="113" t="n">
        <v>45473</v>
      </c>
      <c r="G2041" t="n">
        <v>2024</v>
      </c>
      <c r="H2041" t="inlineStr">
        <is>
          <t>Junio</t>
        </is>
      </c>
      <c r="I2041" t="inlineStr">
        <is>
          <t>2024-1</t>
        </is>
      </c>
      <c r="J2041" t="n">
        <v>80</v>
      </c>
      <c r="K2041" t="n">
        <v>88.08</v>
      </c>
      <c r="L2041" s="39" t="n">
        <v>1.101</v>
      </c>
      <c r="M2041" s="39" t="n">
        <v>1.101</v>
      </c>
      <c r="N2041" t="inlineStr">
        <is>
          <t>%</t>
        </is>
      </c>
      <c r="O2041" t="inlineStr">
        <is>
          <t>%</t>
        </is>
      </c>
      <c r="P2041" t="n">
        <v>1</v>
      </c>
      <c r="Q2041" t="n">
        <v>1</v>
      </c>
      <c r="R2041" t="inlineStr">
        <is>
          <t>397-2024-06-30</t>
        </is>
      </c>
    </row>
    <row r="2042" hidden="1">
      <c r="A2042" t="n">
        <v>397</v>
      </c>
      <c r="B2042" t="inlineStr">
        <is>
          <t>Gestión de casos del Estudio de Emisión</t>
        </is>
      </c>
      <c r="C2042" t="inlineStr">
        <is>
          <t>Diseño de Contenido Virtual</t>
        </is>
      </c>
      <c r="D2042" t="inlineStr">
        <is>
          <t>Semestral</t>
        </is>
      </c>
      <c r="E2042" t="inlineStr">
        <is>
          <t>Positivo</t>
        </is>
      </c>
      <c r="F2042" s="113" t="n">
        <v>45657</v>
      </c>
      <c r="G2042" t="n">
        <v>2024</v>
      </c>
      <c r="H2042" t="inlineStr">
        <is>
          <t>Diciembre</t>
        </is>
      </c>
      <c r="I2042" t="inlineStr">
        <is>
          <t>2024-2</t>
        </is>
      </c>
      <c r="J2042" t="n">
        <v>80</v>
      </c>
      <c r="K2042" t="n">
        <v>94.88</v>
      </c>
      <c r="L2042" s="39" t="n">
        <v>1.186</v>
      </c>
      <c r="M2042" s="39" t="n">
        <v>1.186</v>
      </c>
      <c r="N2042" t="inlineStr">
        <is>
          <t>%</t>
        </is>
      </c>
      <c r="O2042" t="inlineStr">
        <is>
          <t>%</t>
        </is>
      </c>
      <c r="P2042" t="n">
        <v>1</v>
      </c>
      <c r="Q2042" t="n">
        <v>1</v>
      </c>
      <c r="R2042" t="inlineStr">
        <is>
          <t>397-2024-12-31</t>
        </is>
      </c>
    </row>
    <row r="2043" hidden="1">
      <c r="A2043" t="n">
        <v>397</v>
      </c>
      <c r="B2043" t="inlineStr">
        <is>
          <t>Gestión de casos del Estudio de Emisión</t>
        </is>
      </c>
      <c r="C2043" t="inlineStr">
        <is>
          <t>Diseño de Contenido Virtual</t>
        </is>
      </c>
      <c r="D2043" t="inlineStr">
        <is>
          <t>Semestral</t>
        </is>
      </c>
      <c r="E2043" t="inlineStr">
        <is>
          <t>Positivo</t>
        </is>
      </c>
      <c r="F2043" s="113" t="n">
        <v>45838</v>
      </c>
      <c r="G2043" t="n">
        <v>2025</v>
      </c>
      <c r="H2043" t="inlineStr">
        <is>
          <t>Junio</t>
        </is>
      </c>
      <c r="I2043" t="inlineStr">
        <is>
          <t>2025-1</t>
        </is>
      </c>
      <c r="J2043" t="n">
        <v>90</v>
      </c>
      <c r="K2043" t="n">
        <v>95.26000000000001</v>
      </c>
      <c r="L2043" s="39" t="n">
        <v>1.058444444444445</v>
      </c>
      <c r="M2043" s="39" t="n">
        <v>1.058444444444445</v>
      </c>
      <c r="N2043" t="inlineStr">
        <is>
          <t>%</t>
        </is>
      </c>
      <c r="O2043" t="inlineStr">
        <is>
          <t>%</t>
        </is>
      </c>
      <c r="P2043" t="n">
        <v>1</v>
      </c>
      <c r="Q2043" t="n">
        <v>1</v>
      </c>
      <c r="R2043" t="inlineStr">
        <is>
          <t>397-2025-06-30</t>
        </is>
      </c>
    </row>
    <row r="2044" hidden="1">
      <c r="A2044" t="n">
        <v>397</v>
      </c>
      <c r="B2044" t="inlineStr">
        <is>
          <t>Gestión de casos del Estudio de Grabación Virtual</t>
        </is>
      </c>
      <c r="C2044" t="inlineStr">
        <is>
          <t>Diseño de Contenido Virtual</t>
        </is>
      </c>
      <c r="D2044" t="inlineStr">
        <is>
          <t>Trimestral</t>
        </is>
      </c>
      <c r="E2044" t="inlineStr">
        <is>
          <t>Positivo</t>
        </is>
      </c>
      <c r="F2044" s="113" t="n">
        <v>46022</v>
      </c>
      <c r="G2044" t="n">
        <v>2025</v>
      </c>
      <c r="H2044" t="inlineStr">
        <is>
          <t>Diciembre</t>
        </is>
      </c>
      <c r="I2044" t="inlineStr">
        <is>
          <t>2025-2</t>
        </is>
      </c>
      <c r="J2044" t="n">
        <v>90</v>
      </c>
      <c r="K2044" t="n">
        <v>96.14</v>
      </c>
      <c r="L2044" s="39" t="n">
        <v>1.068222222222222</v>
      </c>
      <c r="M2044" s="39" t="n">
        <v>1.068222222222222</v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1</v>
      </c>
      <c r="R2044" t="inlineStr">
        <is>
          <t>397-2025-12-31</t>
        </is>
      </c>
    </row>
    <row r="2045" hidden="1">
      <c r="A2045" t="n">
        <v>398</v>
      </c>
      <c r="B2045" t="inlineStr">
        <is>
          <t>Participación en actividades de desarrollo de Cultura y Formación Emprendedora</t>
        </is>
      </c>
      <c r="C2045" t="inlineStr">
        <is>
          <t>Emprendimiento</t>
        </is>
      </c>
      <c r="D2045" t="inlineStr">
        <is>
          <t>Semestral</t>
        </is>
      </c>
      <c r="E2045" t="inlineStr">
        <is>
          <t>Positivo</t>
        </is>
      </c>
      <c r="F2045" s="113" t="n">
        <v>45107</v>
      </c>
      <c r="G2045" t="n">
        <v>2023</v>
      </c>
      <c r="H2045" t="inlineStr">
        <is>
          <t>Junio</t>
        </is>
      </c>
      <c r="I2045" t="inlineStr">
        <is>
          <t>2023-1</t>
        </is>
      </c>
      <c r="J2045" t="n">
        <v>100</v>
      </c>
      <c r="K2045" t="n">
        <v>256.8</v>
      </c>
      <c r="L2045" s="39" t="n">
        <v>1.3</v>
      </c>
      <c r="M2045" s="39" t="n">
        <v>2.568</v>
      </c>
      <c r="N2045" t="inlineStr">
        <is>
          <t>ENT</t>
        </is>
      </c>
      <c r="O2045" t="inlineStr">
        <is>
          <t>ENT</t>
        </is>
      </c>
      <c r="P2045" t="n">
        <v>0</v>
      </c>
      <c r="Q2045" t="n">
        <v>0</v>
      </c>
      <c r="R2045" t="inlineStr">
        <is>
          <t>398-2023-06-30</t>
        </is>
      </c>
    </row>
    <row r="2046" hidden="1">
      <c r="A2046" t="n">
        <v>398</v>
      </c>
      <c r="B2046" t="inlineStr">
        <is>
          <t>Participación en actividades de desarrollo de Cultura y Formación Emprendedora</t>
        </is>
      </c>
      <c r="C2046" t="inlineStr">
        <is>
          <t>Emprendimiento</t>
        </is>
      </c>
      <c r="D2046" t="inlineStr">
        <is>
          <t>Semestral</t>
        </is>
      </c>
      <c r="E2046" t="inlineStr">
        <is>
          <t>Positivo</t>
        </is>
      </c>
      <c r="F2046" s="113" t="n">
        <v>45291</v>
      </c>
      <c r="G2046" t="n">
        <v>2023</v>
      </c>
      <c r="H2046" t="inlineStr">
        <is>
          <t>Diciembre</t>
        </is>
      </c>
      <c r="I2046" t="inlineStr">
        <is>
          <t>2023-2</t>
        </is>
      </c>
      <c r="J2046" t="n">
        <v>100</v>
      </c>
      <c r="K2046" t="n">
        <v>234.4</v>
      </c>
      <c r="L2046" s="39" t="n">
        <v>1.3</v>
      </c>
      <c r="M2046" s="39" t="n">
        <v>2.344</v>
      </c>
      <c r="N2046" t="inlineStr">
        <is>
          <t>ENT</t>
        </is>
      </c>
      <c r="O2046" t="inlineStr">
        <is>
          <t>ENT</t>
        </is>
      </c>
      <c r="P2046" t="n">
        <v>0</v>
      </c>
      <c r="Q2046" t="n">
        <v>0</v>
      </c>
      <c r="R2046" t="inlineStr">
        <is>
          <t>398-2023-12-31</t>
        </is>
      </c>
    </row>
    <row r="2047" hidden="1">
      <c r="A2047" t="n">
        <v>398</v>
      </c>
      <c r="B2047" t="inlineStr">
        <is>
          <t>Participación en actividades de desarrollo de Cultura y Formación Emprendedora</t>
        </is>
      </c>
      <c r="C2047" t="inlineStr">
        <is>
          <t>Emprendimiento</t>
        </is>
      </c>
      <c r="D2047" t="inlineStr">
        <is>
          <t>Semestral</t>
        </is>
      </c>
      <c r="E2047" t="inlineStr">
        <is>
          <t>Positivo</t>
        </is>
      </c>
      <c r="F2047" s="113" t="n">
        <v>45473</v>
      </c>
      <c r="G2047" t="n">
        <v>2024</v>
      </c>
      <c r="H2047" t="inlineStr">
        <is>
          <t>Junio</t>
        </is>
      </c>
      <c r="I2047" t="inlineStr">
        <is>
          <t>2024-1</t>
        </is>
      </c>
      <c r="J2047" t="n">
        <v>100</v>
      </c>
      <c r="K2047" t="n">
        <v>283.92</v>
      </c>
      <c r="L2047" s="39" t="n">
        <v>1.3</v>
      </c>
      <c r="M2047" s="39" t="n">
        <v>2.8392</v>
      </c>
      <c r="N2047" t="inlineStr">
        <is>
          <t>ENT</t>
        </is>
      </c>
      <c r="O2047" t="inlineStr">
        <is>
          <t>ENT</t>
        </is>
      </c>
      <c r="P2047" t="n">
        <v>0</v>
      </c>
      <c r="Q2047" t="n">
        <v>0</v>
      </c>
      <c r="R2047" t="inlineStr">
        <is>
          <t>398-2024-06-30</t>
        </is>
      </c>
    </row>
    <row r="2048" hidden="1">
      <c r="A2048" t="n">
        <v>398</v>
      </c>
      <c r="B2048" t="inlineStr">
        <is>
          <t>Participación en actividades de desarrollo de Cultura y Formación Emprendedora</t>
        </is>
      </c>
      <c r="C2048" t="inlineStr">
        <is>
          <t>Emprendimiento</t>
        </is>
      </c>
      <c r="D2048" t="inlineStr">
        <is>
          <t>Semestral</t>
        </is>
      </c>
      <c r="E2048" t="inlineStr">
        <is>
          <t>Positivo</t>
        </is>
      </c>
      <c r="F2048" s="113" t="n">
        <v>45657</v>
      </c>
      <c r="G2048" t="n">
        <v>2024</v>
      </c>
      <c r="H2048" t="inlineStr">
        <is>
          <t>Diciembre</t>
        </is>
      </c>
      <c r="I2048" t="inlineStr">
        <is>
          <t>2024-2</t>
        </is>
      </c>
      <c r="J2048" t="n">
        <v>100</v>
      </c>
      <c r="K2048" t="n">
        <v>160</v>
      </c>
      <c r="L2048" s="39" t="n">
        <v>1.3</v>
      </c>
      <c r="M2048" s="39" t="n">
        <v>1.6</v>
      </c>
      <c r="N2048" t="inlineStr">
        <is>
          <t>ENT</t>
        </is>
      </c>
      <c r="O2048" t="inlineStr">
        <is>
          <t>ENT</t>
        </is>
      </c>
      <c r="P2048" t="n">
        <v>0</v>
      </c>
      <c r="Q2048" t="n">
        <v>0</v>
      </c>
      <c r="R2048" t="inlineStr">
        <is>
          <t>398-2024-12-31</t>
        </is>
      </c>
    </row>
    <row r="2049" hidden="1">
      <c r="A2049" t="n">
        <v>398</v>
      </c>
      <c r="B2049" t="inlineStr">
        <is>
          <t>Participación en actividades de desarrollo de Cultura y Formación Emprendedora</t>
        </is>
      </c>
      <c r="C2049" t="inlineStr">
        <is>
          <t>Emprendimiento</t>
        </is>
      </c>
      <c r="D2049" t="inlineStr">
        <is>
          <t>Semestral</t>
        </is>
      </c>
      <c r="E2049" t="inlineStr">
        <is>
          <t>Positivo</t>
        </is>
      </c>
      <c r="F2049" s="113" t="n">
        <v>45838</v>
      </c>
      <c r="G2049" t="n">
        <v>2025</v>
      </c>
      <c r="H2049" t="inlineStr">
        <is>
          <t>Junio</t>
        </is>
      </c>
      <c r="I2049" t="inlineStr">
        <is>
          <t>2025-1</t>
        </is>
      </c>
      <c r="J2049" t="n">
        <v>100</v>
      </c>
      <c r="K2049" t="n">
        <v>159.5</v>
      </c>
      <c r="L2049" s="39" t="n">
        <v>1.3</v>
      </c>
      <c r="M2049" s="39" t="n">
        <v>1.595</v>
      </c>
      <c r="N2049" t="inlineStr">
        <is>
          <t>ENT</t>
        </is>
      </c>
      <c r="O2049" t="inlineStr">
        <is>
          <t>ENT</t>
        </is>
      </c>
      <c r="P2049" t="n">
        <v>0</v>
      </c>
      <c r="Q2049" t="n">
        <v>0</v>
      </c>
      <c r="R2049" t="inlineStr">
        <is>
          <t>398-2025-06-30</t>
        </is>
      </c>
    </row>
    <row r="2050" hidden="1">
      <c r="A2050" t="n">
        <v>398</v>
      </c>
      <c r="B2050" t="inlineStr">
        <is>
          <t>Participación en actividades de desarrollo de Cultura y Formación Emprendedora</t>
        </is>
      </c>
      <c r="C2050" t="inlineStr">
        <is>
          <t>Emprendimiento</t>
        </is>
      </c>
      <c r="D2050" t="inlineStr">
        <is>
          <t>Trimestral</t>
        </is>
      </c>
      <c r="E2050" t="inlineStr">
        <is>
          <t>Positivo</t>
        </is>
      </c>
      <c r="F2050" s="113" t="n">
        <v>46022</v>
      </c>
      <c r="G2050" t="n">
        <v>2025</v>
      </c>
      <c r="H2050" t="inlineStr">
        <is>
          <t>Diciembre</t>
        </is>
      </c>
      <c r="I2050" t="inlineStr">
        <is>
          <t>2025-2</t>
        </is>
      </c>
      <c r="J2050" t="n">
        <v>100</v>
      </c>
      <c r="K2050" t="n">
        <v>168.71</v>
      </c>
      <c r="L2050" s="39" t="n">
        <v>1.3</v>
      </c>
      <c r="M2050" s="39" t="n">
        <v>1.6871</v>
      </c>
      <c r="N2050" t="inlineStr">
        <is>
          <t>ENT</t>
        </is>
      </c>
      <c r="O2050" t="inlineStr">
        <is>
          <t>ENT</t>
        </is>
      </c>
      <c r="P2050" t="n">
        <v>0</v>
      </c>
      <c r="Q2050" t="n">
        <v>0</v>
      </c>
      <c r="R2050" t="inlineStr">
        <is>
          <t>398-2025-12-31</t>
        </is>
      </c>
    </row>
    <row r="2051" hidden="1">
      <c r="A2051" t="n">
        <v>399</v>
      </c>
      <c r="B2051" t="inlineStr">
        <is>
          <t>Acompañamiento a emprendedores en creación de empresas</t>
        </is>
      </c>
      <c r="C2051" t="inlineStr">
        <is>
          <t>Emprendimiento</t>
        </is>
      </c>
      <c r="D2051" t="inlineStr">
        <is>
          <t>Semestral</t>
        </is>
      </c>
      <c r="E2051" t="inlineStr">
        <is>
          <t>Positivo</t>
        </is>
      </c>
      <c r="F2051" s="113" t="n">
        <v>45107</v>
      </c>
      <c r="G2051" t="n">
        <v>2023</v>
      </c>
      <c r="H2051" t="inlineStr">
        <is>
          <t>Junio</t>
        </is>
      </c>
      <c r="I2051" t="inlineStr">
        <is>
          <t>2023-1</t>
        </is>
      </c>
      <c r="J2051" t="n">
        <v>100</v>
      </c>
      <c r="K2051" t="n">
        <v>117.8</v>
      </c>
      <c r="L2051" s="39" t="n">
        <v>1.178</v>
      </c>
      <c r="M2051" s="39" t="n">
        <v>1.178</v>
      </c>
      <c r="N2051" t="inlineStr">
        <is>
          <t>ENT</t>
        </is>
      </c>
      <c r="O2051" t="inlineStr">
        <is>
          <t>ENT</t>
        </is>
      </c>
      <c r="P2051" t="n">
        <v>0</v>
      </c>
      <c r="Q2051" t="n">
        <v>0</v>
      </c>
      <c r="R2051" t="inlineStr">
        <is>
          <t>399-2023-06-30</t>
        </is>
      </c>
    </row>
    <row r="2052" hidden="1">
      <c r="A2052" t="n">
        <v>399</v>
      </c>
      <c r="B2052" t="inlineStr">
        <is>
          <t>Acompañamiento a emprendedores en creación de empresas</t>
        </is>
      </c>
      <c r="C2052" t="inlineStr">
        <is>
          <t>Emprendimiento</t>
        </is>
      </c>
      <c r="D2052" t="inlineStr">
        <is>
          <t>Semestral</t>
        </is>
      </c>
      <c r="E2052" t="inlineStr">
        <is>
          <t>Positivo</t>
        </is>
      </c>
      <c r="F2052" s="113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100</v>
      </c>
      <c r="K2052" t="n">
        <v>149</v>
      </c>
      <c r="L2052" s="39" t="n">
        <v>1.3</v>
      </c>
      <c r="M2052" s="39" t="n">
        <v>1.49</v>
      </c>
      <c r="N2052" t="inlineStr">
        <is>
          <t>ENT</t>
        </is>
      </c>
      <c r="O2052" t="inlineStr">
        <is>
          <t>ENT</t>
        </is>
      </c>
      <c r="P2052" t="n">
        <v>0</v>
      </c>
      <c r="Q2052" t="n">
        <v>0</v>
      </c>
      <c r="R2052" t="inlineStr">
        <is>
          <t>399-2023-12-31</t>
        </is>
      </c>
    </row>
    <row r="2053" hidden="1">
      <c r="A2053" t="n">
        <v>399</v>
      </c>
      <c r="B2053" t="inlineStr">
        <is>
          <t>Sesiones de Acompañamiento a emprendedores en creación de empresas</t>
        </is>
      </c>
      <c r="C2053" t="inlineStr">
        <is>
          <t>Emprendimiento</t>
        </is>
      </c>
      <c r="D2053" t="inlineStr">
        <is>
          <t>Semestral</t>
        </is>
      </c>
      <c r="E2053" t="inlineStr">
        <is>
          <t>Positivo</t>
        </is>
      </c>
      <c r="F2053" s="113" t="n">
        <v>45473</v>
      </c>
      <c r="G2053" t="n">
        <v>2024</v>
      </c>
      <c r="H2053" t="inlineStr">
        <is>
          <t>Junio</t>
        </is>
      </c>
      <c r="I2053" t="inlineStr">
        <is>
          <t>2024-1</t>
        </is>
      </c>
      <c r="J2053" t="n">
        <v>100</v>
      </c>
      <c r="K2053" t="n">
        <v>111.36</v>
      </c>
      <c r="L2053" s="39" t="n">
        <v>1.1136</v>
      </c>
      <c r="M2053" s="39" t="n">
        <v>1.1136</v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399-2024-06-30</t>
        </is>
      </c>
    </row>
    <row r="2054" hidden="1">
      <c r="A2054" t="n">
        <v>399</v>
      </c>
      <c r="B2054" t="inlineStr">
        <is>
          <t>Sesiones de Acompañamiento a emprendedores en creación de empresas</t>
        </is>
      </c>
      <c r="C2054" t="inlineStr">
        <is>
          <t>Emprendimiento</t>
        </is>
      </c>
      <c r="D2054" t="inlineStr">
        <is>
          <t>Semestral</t>
        </is>
      </c>
      <c r="E2054" t="inlineStr">
        <is>
          <t>Positivo</t>
        </is>
      </c>
      <c r="F2054" s="113" t="n">
        <v>45657</v>
      </c>
      <c r="G2054" t="n">
        <v>2024</v>
      </c>
      <c r="H2054" t="inlineStr">
        <is>
          <t>Diciembre</t>
        </is>
      </c>
      <c r="I2054" t="inlineStr">
        <is>
          <t>2024-2</t>
        </is>
      </c>
      <c r="J2054" t="n">
        <v>100</v>
      </c>
      <c r="K2054" t="n">
        <v>111.36</v>
      </c>
      <c r="L2054" s="39" t="n">
        <v>1.1136</v>
      </c>
      <c r="M2054" s="39" t="n">
        <v>1.1136</v>
      </c>
      <c r="N2054" t="inlineStr">
        <is>
          <t>ENT</t>
        </is>
      </c>
      <c r="O2054" t="inlineStr">
        <is>
          <t>ENT</t>
        </is>
      </c>
      <c r="P2054" t="n">
        <v>0</v>
      </c>
      <c r="Q2054" t="n">
        <v>0</v>
      </c>
      <c r="R2054" t="inlineStr">
        <is>
          <t>399-2024-12-31</t>
        </is>
      </c>
    </row>
    <row r="2055" hidden="1">
      <c r="A2055" t="n">
        <v>399</v>
      </c>
      <c r="B2055" t="inlineStr">
        <is>
          <t>Sesiones de Acompañamiento a emprendedores en creación de empresas</t>
        </is>
      </c>
      <c r="C2055" t="inlineStr">
        <is>
          <t>Emprendimiento</t>
        </is>
      </c>
      <c r="D2055" t="inlineStr">
        <is>
          <t>Semestral</t>
        </is>
      </c>
      <c r="E2055" t="inlineStr">
        <is>
          <t>Positivo</t>
        </is>
      </c>
      <c r="F2055" s="113" t="n">
        <v>45838</v>
      </c>
      <c r="G2055" t="n">
        <v>2025</v>
      </c>
      <c r="H2055" t="inlineStr">
        <is>
          <t>Junio</t>
        </is>
      </c>
      <c r="I2055" t="inlineStr">
        <is>
          <t>2025-1</t>
        </is>
      </c>
      <c r="J2055" t="n">
        <v>100</v>
      </c>
      <c r="K2055" t="n">
        <v>102.93</v>
      </c>
      <c r="L2055" s="39" t="n">
        <v>1.0293</v>
      </c>
      <c r="M2055" s="39" t="n">
        <v>1.0293</v>
      </c>
      <c r="N2055" t="inlineStr">
        <is>
          <t>ENT</t>
        </is>
      </c>
      <c r="O2055" t="inlineStr">
        <is>
          <t>ENT</t>
        </is>
      </c>
      <c r="P2055" t="n">
        <v>0</v>
      </c>
      <c r="Q2055" t="n">
        <v>0</v>
      </c>
      <c r="R2055" t="inlineStr">
        <is>
          <t>399-2025-06-30</t>
        </is>
      </c>
    </row>
    <row r="2056" hidden="1">
      <c r="A2056" t="n">
        <v>399</v>
      </c>
      <c r="B2056" t="inlineStr">
        <is>
          <t>Sesiones de Acompañamiento a emprendedores en creación de empresas</t>
        </is>
      </c>
      <c r="C2056" t="inlineStr">
        <is>
          <t>Emprendimiento</t>
        </is>
      </c>
      <c r="D2056" t="inlineStr">
        <is>
          <t>Trimestral</t>
        </is>
      </c>
      <c r="E2056" t="inlineStr">
        <is>
          <t>Positivo</t>
        </is>
      </c>
      <c r="F2056" s="113" t="n">
        <v>46022</v>
      </c>
      <c r="G2056" t="n">
        <v>2025</v>
      </c>
      <c r="H2056" t="inlineStr">
        <is>
          <t>Diciembre</t>
        </is>
      </c>
      <c r="I2056" t="inlineStr">
        <is>
          <t>2025-2</t>
        </is>
      </c>
      <c r="J2056" t="n">
        <v>100</v>
      </c>
      <c r="K2056" t="n">
        <v>106.13</v>
      </c>
      <c r="L2056" s="39" t="n">
        <v>1.0613</v>
      </c>
      <c r="M2056" s="39" t="n">
        <v>1.0613</v>
      </c>
      <c r="N2056" t="inlineStr">
        <is>
          <t>ENT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399-2025-12-31</t>
        </is>
      </c>
    </row>
    <row r="2057" hidden="1">
      <c r="A2057" t="n">
        <v>400</v>
      </c>
      <c r="B2057" t="inlineStr">
        <is>
          <t>Puesta en marcha de proyectos de emprendimiento</t>
        </is>
      </c>
      <c r="C2057" t="inlineStr">
        <is>
          <t>Emprendimiento</t>
        </is>
      </c>
      <c r="D2057" t="inlineStr">
        <is>
          <t>Semestral</t>
        </is>
      </c>
      <c r="E2057" t="inlineStr">
        <is>
          <t>Positivo</t>
        </is>
      </c>
      <c r="F2057" s="113" t="n">
        <v>45107</v>
      </c>
      <c r="G2057" t="n">
        <v>2023</v>
      </c>
      <c r="H2057" t="inlineStr">
        <is>
          <t>Junio</t>
        </is>
      </c>
      <c r="I2057" t="inlineStr">
        <is>
          <t>2023-1</t>
        </is>
      </c>
      <c r="J2057" t="n">
        <v>100</v>
      </c>
      <c r="K2057" t="n">
        <v>220</v>
      </c>
      <c r="L2057" s="39" t="n">
        <v>1.3</v>
      </c>
      <c r="M2057" s="39" t="n">
        <v>2.2</v>
      </c>
      <c r="N2057" t="inlineStr">
        <is>
          <t>ENT</t>
        </is>
      </c>
      <c r="O2057" t="inlineStr">
        <is>
          <t>ENT</t>
        </is>
      </c>
      <c r="P2057" t="n">
        <v>0</v>
      </c>
      <c r="Q2057" t="n">
        <v>0</v>
      </c>
      <c r="R2057" t="inlineStr">
        <is>
          <t>400-2023-06-30</t>
        </is>
      </c>
    </row>
    <row r="2058" hidden="1">
      <c r="A2058" t="n">
        <v>400</v>
      </c>
      <c r="B2058" t="inlineStr">
        <is>
          <t>Puesta en marcha de proyectos de emprendimiento</t>
        </is>
      </c>
      <c r="C2058" t="inlineStr">
        <is>
          <t>Emprendimiento</t>
        </is>
      </c>
      <c r="D2058" t="inlineStr">
        <is>
          <t>Semestral</t>
        </is>
      </c>
      <c r="E2058" t="inlineStr">
        <is>
          <t>Positivo</t>
        </is>
      </c>
      <c r="F2058" s="113" t="n">
        <v>45291</v>
      </c>
      <c r="G2058" t="n">
        <v>2023</v>
      </c>
      <c r="H2058" t="inlineStr">
        <is>
          <t>Diciembre</t>
        </is>
      </c>
      <c r="I2058" t="inlineStr">
        <is>
          <t>2023-2</t>
        </is>
      </c>
      <c r="J2058" t="n">
        <v>100</v>
      </c>
      <c r="K2058" t="n">
        <v>282.86</v>
      </c>
      <c r="L2058" s="39" t="n">
        <v>1.3</v>
      </c>
      <c r="M2058" s="39" t="n">
        <v>2.8286</v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400-2023-12-31</t>
        </is>
      </c>
    </row>
    <row r="2059" hidden="1">
      <c r="A2059" t="n">
        <v>400</v>
      </c>
      <c r="B2059" t="inlineStr">
        <is>
          <t>Puesta en marcha de proyectos de emprendimiento</t>
        </is>
      </c>
      <c r="C2059" t="inlineStr">
        <is>
          <t>Emprendimiento</t>
        </is>
      </c>
      <c r="D2059" t="inlineStr">
        <is>
          <t>Semestral</t>
        </is>
      </c>
      <c r="E2059" t="inlineStr">
        <is>
          <t>Positivo</t>
        </is>
      </c>
      <c r="F2059" s="113" t="n">
        <v>45473</v>
      </c>
      <c r="G2059" t="n">
        <v>2024</v>
      </c>
      <c r="H2059" t="inlineStr">
        <is>
          <t>Junio</t>
        </is>
      </c>
      <c r="I2059" t="inlineStr">
        <is>
          <t>2024-1</t>
        </is>
      </c>
      <c r="J2059" t="n">
        <v>100</v>
      </c>
      <c r="K2059" t="n">
        <v>270.45</v>
      </c>
      <c r="L2059" s="39" t="n">
        <v>1.3</v>
      </c>
      <c r="M2059" s="39" t="n">
        <v>2.7045</v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400-2024-06-30</t>
        </is>
      </c>
    </row>
    <row r="2060" hidden="1">
      <c r="A2060" t="n">
        <v>400</v>
      </c>
      <c r="B2060" t="inlineStr">
        <is>
          <t>Puesta en marcha de proyectos de emprendimiento</t>
        </is>
      </c>
      <c r="C2060" t="inlineStr">
        <is>
          <t>Emprendimiento</t>
        </is>
      </c>
      <c r="D2060" t="inlineStr">
        <is>
          <t>Semestral</t>
        </is>
      </c>
      <c r="E2060" t="inlineStr">
        <is>
          <t>Positivo</t>
        </is>
      </c>
      <c r="F2060" s="113" t="n">
        <v>45657</v>
      </c>
      <c r="G2060" t="n">
        <v>2024</v>
      </c>
      <c r="H2060" t="inlineStr">
        <is>
          <t>Diciembre</t>
        </is>
      </c>
      <c r="I2060" t="inlineStr">
        <is>
          <t>2024-2</t>
        </is>
      </c>
      <c r="J2060" t="n">
        <v>100</v>
      </c>
      <c r="K2060" t="n">
        <v>397.73</v>
      </c>
      <c r="L2060" s="39" t="n">
        <v>1.3</v>
      </c>
      <c r="M2060" s="39" t="n">
        <v>3.9773</v>
      </c>
      <c r="N2060" t="inlineStr">
        <is>
          <t>ENT</t>
        </is>
      </c>
      <c r="O2060" t="inlineStr">
        <is>
          <t>ENT</t>
        </is>
      </c>
      <c r="P2060" t="n">
        <v>0</v>
      </c>
      <c r="Q2060" t="n">
        <v>0</v>
      </c>
      <c r="R2060" t="inlineStr">
        <is>
          <t>400-2024-12-31</t>
        </is>
      </c>
    </row>
    <row r="2061" hidden="1">
      <c r="A2061" t="n">
        <v>400</v>
      </c>
      <c r="B2061" t="inlineStr">
        <is>
          <t>Puesta en marcha de proyectos de emprendimiento</t>
        </is>
      </c>
      <c r="C2061" t="inlineStr">
        <is>
          <t>Emprendimiento</t>
        </is>
      </c>
      <c r="D2061" t="inlineStr">
        <is>
          <t>Semestral</t>
        </is>
      </c>
      <c r="E2061" t="inlineStr">
        <is>
          <t>Positivo</t>
        </is>
      </c>
      <c r="F2061" s="113" t="n">
        <v>45838</v>
      </c>
      <c r="G2061" t="n">
        <v>2025</v>
      </c>
      <c r="H2061" t="inlineStr">
        <is>
          <t>Junio</t>
        </is>
      </c>
      <c r="I2061" t="inlineStr">
        <is>
          <t>2025-1</t>
        </is>
      </c>
      <c r="J2061" t="n">
        <v>100</v>
      </c>
      <c r="K2061" t="n">
        <v>123</v>
      </c>
      <c r="L2061" s="39" t="n">
        <v>1.23</v>
      </c>
      <c r="M2061" s="39" t="n">
        <v>1.23</v>
      </c>
      <c r="N2061" t="inlineStr">
        <is>
          <t>ENT</t>
        </is>
      </c>
      <c r="O2061" t="inlineStr">
        <is>
          <t>ENT</t>
        </is>
      </c>
      <c r="P2061" t="n">
        <v>0</v>
      </c>
      <c r="Q2061" t="n">
        <v>0</v>
      </c>
      <c r="R2061" t="inlineStr">
        <is>
          <t>400-2025-06-30</t>
        </is>
      </c>
    </row>
    <row r="2062" hidden="1">
      <c r="A2062" t="n">
        <v>400</v>
      </c>
      <c r="B2062" t="inlineStr">
        <is>
          <t>Puesta en marcha de proyectos de emprendimiento</t>
        </is>
      </c>
      <c r="C2062" t="inlineStr">
        <is>
          <t>Emprendimiento</t>
        </is>
      </c>
      <c r="D2062" t="inlineStr">
        <is>
          <t>Trimestral</t>
        </is>
      </c>
      <c r="E2062" t="inlineStr">
        <is>
          <t>Positivo</t>
        </is>
      </c>
      <c r="F2062" s="113" t="n">
        <v>46022</v>
      </c>
      <c r="G2062" t="n">
        <v>2025</v>
      </c>
      <c r="H2062" t="inlineStr">
        <is>
          <t>Diciembre</t>
        </is>
      </c>
      <c r="I2062" t="inlineStr">
        <is>
          <t>2025-2</t>
        </is>
      </c>
      <c r="J2062" t="n">
        <v>100</v>
      </c>
      <c r="K2062" t="n">
        <v>127.14</v>
      </c>
      <c r="L2062" s="39" t="n">
        <v>1.2714</v>
      </c>
      <c r="M2062" s="39" t="n">
        <v>1.2714</v>
      </c>
      <c r="N2062" t="inlineStr">
        <is>
          <t>ENT</t>
        </is>
      </c>
      <c r="O2062" t="inlineStr">
        <is>
          <t>ENT</t>
        </is>
      </c>
      <c r="P2062" t="n">
        <v>0</v>
      </c>
      <c r="Q2062" t="n">
        <v>0</v>
      </c>
      <c r="R2062" t="inlineStr">
        <is>
          <t>400-2025-12-31</t>
        </is>
      </c>
    </row>
    <row r="2063" hidden="1">
      <c r="A2063" t="n">
        <v>401</v>
      </c>
      <c r="B2063" t="inlineStr">
        <is>
          <t>Producción de nuevos MI-Books</t>
        </is>
      </c>
      <c r="C2063" t="inlineStr">
        <is>
          <t>LEI</t>
        </is>
      </c>
      <c r="D2063" t="inlineStr">
        <is>
          <t>Semestral</t>
        </is>
      </c>
      <c r="E2063" t="inlineStr">
        <is>
          <t>Positivo</t>
        </is>
      </c>
      <c r="F2063" s="113" t="n">
        <v>45107</v>
      </c>
      <c r="G2063" t="n">
        <v>2023</v>
      </c>
      <c r="H2063" t="inlineStr">
        <is>
          <t>Junio</t>
        </is>
      </c>
      <c r="I2063" t="inlineStr">
        <is>
          <t>2023-1</t>
        </is>
      </c>
      <c r="J2063" t="n">
        <v>90</v>
      </c>
      <c r="K2063" t="n">
        <v>87.5</v>
      </c>
      <c r="L2063" s="39" t="n">
        <v>0.9722222222222222</v>
      </c>
      <c r="M2063" s="39" t="n">
        <v>0.9722222222222222</v>
      </c>
      <c r="N2063" t="inlineStr">
        <is>
          <t>ENT</t>
        </is>
      </c>
      <c r="O2063" t="inlineStr">
        <is>
          <t>ENT</t>
        </is>
      </c>
      <c r="P2063" t="n">
        <v>0</v>
      </c>
      <c r="Q2063" t="n">
        <v>0</v>
      </c>
      <c r="R2063" t="inlineStr">
        <is>
          <t>401-2023-06-30</t>
        </is>
      </c>
    </row>
    <row r="2064" hidden="1">
      <c r="A2064" t="n">
        <v>401</v>
      </c>
      <c r="B2064" t="inlineStr">
        <is>
          <t>Producción de nuevos MI-Books</t>
        </is>
      </c>
      <c r="C2064" t="inlineStr">
        <is>
          <t>LEI</t>
        </is>
      </c>
      <c r="D2064" t="inlineStr">
        <is>
          <t>Semestral</t>
        </is>
      </c>
      <c r="E2064" t="inlineStr">
        <is>
          <t>Positivo</t>
        </is>
      </c>
      <c r="F2064" s="113" t="n">
        <v>45291</v>
      </c>
      <c r="G2064" t="n">
        <v>2023</v>
      </c>
      <c r="H2064" t="inlineStr">
        <is>
          <t>Diciembre</t>
        </is>
      </c>
      <c r="I2064" t="inlineStr">
        <is>
          <t>2023-2</t>
        </is>
      </c>
      <c r="J2064" t="n">
        <v>90</v>
      </c>
      <c r="K2064" t="n">
        <v>125</v>
      </c>
      <c r="L2064" s="39" t="n">
        <v>1.3</v>
      </c>
      <c r="M2064" s="39" t="n">
        <v>1.388888888888889</v>
      </c>
      <c r="N2064" t="inlineStr">
        <is>
          <t>ENT</t>
        </is>
      </c>
      <c r="O2064" t="inlineStr">
        <is>
          <t>ENT</t>
        </is>
      </c>
      <c r="P2064" t="n">
        <v>0</v>
      </c>
      <c r="Q2064" t="n">
        <v>0</v>
      </c>
      <c r="R2064" t="inlineStr">
        <is>
          <t>401-2023-12-31</t>
        </is>
      </c>
    </row>
    <row r="2065" hidden="1">
      <c r="A2065" t="n">
        <v>401</v>
      </c>
      <c r="B2065" t="inlineStr">
        <is>
          <t>Producción de nuevos MI-Books</t>
        </is>
      </c>
      <c r="C2065" t="inlineStr">
        <is>
          <t>LEI</t>
        </is>
      </c>
      <c r="D2065" t="inlineStr">
        <is>
          <t>Semestral</t>
        </is>
      </c>
      <c r="E2065" t="inlineStr">
        <is>
          <t>Positivo</t>
        </is>
      </c>
      <c r="F2065" s="113" t="n">
        <v>45473</v>
      </c>
      <c r="G2065" t="n">
        <v>2024</v>
      </c>
      <c r="H2065" t="inlineStr">
        <is>
          <t>Junio</t>
        </is>
      </c>
      <c r="I2065" t="inlineStr">
        <is>
          <t>2024-1</t>
        </is>
      </c>
      <c r="J2065" t="n">
        <v>90</v>
      </c>
      <c r="K2065" t="n">
        <v>112.5</v>
      </c>
      <c r="L2065" s="39" t="n">
        <v>1.25</v>
      </c>
      <c r="M2065" s="39" t="n">
        <v>1.25</v>
      </c>
      <c r="N2065" t="inlineStr">
        <is>
          <t>ENT</t>
        </is>
      </c>
      <c r="O2065" t="inlineStr">
        <is>
          <t>ENT</t>
        </is>
      </c>
      <c r="P2065" t="n">
        <v>0</v>
      </c>
      <c r="Q2065" t="n">
        <v>0</v>
      </c>
      <c r="R2065" t="inlineStr">
        <is>
          <t>401-2024-06-30</t>
        </is>
      </c>
    </row>
    <row r="2066" hidden="1">
      <c r="A2066" t="n">
        <v>401</v>
      </c>
      <c r="B2066" t="inlineStr">
        <is>
          <t>Producción de nuevos MI-Books</t>
        </is>
      </c>
      <c r="C2066" t="inlineStr">
        <is>
          <t>LEI</t>
        </is>
      </c>
      <c r="D2066" t="inlineStr">
        <is>
          <t>Semestral</t>
        </is>
      </c>
      <c r="E2066" t="inlineStr">
        <is>
          <t>Positivo</t>
        </is>
      </c>
      <c r="F2066" s="113" t="n">
        <v>45657</v>
      </c>
      <c r="G2066" t="n">
        <v>2024</v>
      </c>
      <c r="H2066" t="inlineStr">
        <is>
          <t>Diciembre</t>
        </is>
      </c>
      <c r="I2066" t="inlineStr">
        <is>
          <t>2024-2</t>
        </is>
      </c>
      <c r="J2066" t="n">
        <v>90</v>
      </c>
      <c r="K2066" t="n">
        <v>100</v>
      </c>
      <c r="L2066" s="39" t="n">
        <v>1.111111111111111</v>
      </c>
      <c r="M2066" s="39" t="n">
        <v>1.111111111111111</v>
      </c>
      <c r="N2066" t="inlineStr">
        <is>
          <t>ENT</t>
        </is>
      </c>
      <c r="O2066" t="inlineStr">
        <is>
          <t>ENT</t>
        </is>
      </c>
      <c r="P2066" t="n">
        <v>0</v>
      </c>
      <c r="Q2066" t="n">
        <v>0</v>
      </c>
      <c r="R2066" t="inlineStr">
        <is>
          <t>401-2024-12-31</t>
        </is>
      </c>
    </row>
    <row r="2067" hidden="1">
      <c r="A2067" t="n">
        <v>401</v>
      </c>
      <c r="B2067" t="inlineStr">
        <is>
          <t>Producción de nuevos MI-Books</t>
        </is>
      </c>
      <c r="C2067" t="inlineStr">
        <is>
          <t>LEI</t>
        </is>
      </c>
      <c r="D2067" t="inlineStr">
        <is>
          <t>Semestral</t>
        </is>
      </c>
      <c r="E2067" t="inlineStr">
        <is>
          <t>Positivo</t>
        </is>
      </c>
      <c r="F2067" s="113" t="n">
        <v>45838</v>
      </c>
      <c r="G2067" t="n">
        <v>2025</v>
      </c>
      <c r="H2067" t="inlineStr">
        <is>
          <t>Junio</t>
        </is>
      </c>
      <c r="I2067" t="inlineStr">
        <is>
          <t>2025-1</t>
        </is>
      </c>
      <c r="J2067" t="n">
        <v>100</v>
      </c>
      <c r="K2067" t="n">
        <v>100</v>
      </c>
      <c r="L2067" s="39" t="n">
        <v>1</v>
      </c>
      <c r="M2067" s="39" t="n">
        <v>1</v>
      </c>
      <c r="N2067" t="inlineStr">
        <is>
          <t>ENT</t>
        </is>
      </c>
      <c r="O2067" t="inlineStr">
        <is>
          <t>ENT</t>
        </is>
      </c>
      <c r="P2067" t="n">
        <v>0</v>
      </c>
      <c r="Q2067" t="n">
        <v>0</v>
      </c>
      <c r="R2067" t="inlineStr">
        <is>
          <t>401-2025-06-30</t>
        </is>
      </c>
    </row>
    <row r="2068" hidden="1">
      <c r="A2068" t="n">
        <v>401</v>
      </c>
      <c r="B2068" t="inlineStr">
        <is>
          <t>Producción de nuevos MI-Books</t>
        </is>
      </c>
      <c r="C2068" t="inlineStr">
        <is>
          <t>LEI</t>
        </is>
      </c>
      <c r="D2068" t="inlineStr">
        <is>
          <t>Trimestral</t>
        </is>
      </c>
      <c r="E2068" t="inlineStr">
        <is>
          <t>Positivo</t>
        </is>
      </c>
      <c r="F2068" s="113" t="n">
        <v>46022</v>
      </c>
      <c r="G2068" t="n">
        <v>2025</v>
      </c>
      <c r="H2068" t="inlineStr">
        <is>
          <t>Diciembre</t>
        </is>
      </c>
      <c r="I2068" t="inlineStr">
        <is>
          <t>2025-2</t>
        </is>
      </c>
      <c r="J2068" t="n">
        <v>100</v>
      </c>
      <c r="K2068" t="n">
        <v>100</v>
      </c>
      <c r="L2068" s="39" t="n">
        <v>1</v>
      </c>
      <c r="M2068" s="39" t="n">
        <v>1</v>
      </c>
      <c r="N2068" t="inlineStr">
        <is>
          <t>ENT</t>
        </is>
      </c>
      <c r="O2068" t="inlineStr">
        <is>
          <t>ENT</t>
        </is>
      </c>
      <c r="P2068" t="n">
        <v>0</v>
      </c>
      <c r="Q2068" t="n">
        <v>0</v>
      </c>
      <c r="R2068" t="inlineStr">
        <is>
          <t>401-2025-12-31</t>
        </is>
      </c>
    </row>
    <row r="2069" hidden="1">
      <c r="A2069" t="n">
        <v>402</v>
      </c>
      <c r="B2069" t="inlineStr">
        <is>
          <t>Informe anual de consulta de MI-Books</t>
        </is>
      </c>
      <c r="C2069" t="inlineStr">
        <is>
          <t>LEI</t>
        </is>
      </c>
      <c r="D2069" t="inlineStr">
        <is>
          <t>Anual</t>
        </is>
      </c>
      <c r="E2069" t="inlineStr">
        <is>
          <t>Positivo</t>
        </is>
      </c>
      <c r="F2069" s="113" t="n">
        <v>45291</v>
      </c>
      <c r="G2069" t="n">
        <v>2023</v>
      </c>
      <c r="H2069" t="inlineStr">
        <is>
          <t>Diciembre</t>
        </is>
      </c>
      <c r="I2069" t="inlineStr">
        <is>
          <t>2023-2</t>
        </is>
      </c>
      <c r="K2069" t="n">
        <v>21000</v>
      </c>
      <c r="L2069" s="39" t="n"/>
      <c r="M2069" s="39" t="n"/>
      <c r="N2069" t="inlineStr">
        <is>
          <t>ENT</t>
        </is>
      </c>
      <c r="O2069" t="inlineStr">
        <is>
          <t>ENT</t>
        </is>
      </c>
      <c r="P2069" t="n">
        <v>0</v>
      </c>
      <c r="Q2069" t="n">
        <v>0</v>
      </c>
      <c r="R2069" t="inlineStr">
        <is>
          <t>402-2023-12-31</t>
        </is>
      </c>
    </row>
    <row r="2070" hidden="1">
      <c r="A2070" t="n">
        <v>402</v>
      </c>
      <c r="B2070" t="inlineStr">
        <is>
          <t>Informe anual de consulta de MI-Books</t>
        </is>
      </c>
      <c r="C2070" t="inlineStr">
        <is>
          <t>LEI</t>
        </is>
      </c>
      <c r="D2070" t="inlineStr">
        <is>
          <t>Anual</t>
        </is>
      </c>
      <c r="E2070" t="inlineStr">
        <is>
          <t>Positivo</t>
        </is>
      </c>
      <c r="F2070" s="113" t="n">
        <v>45657</v>
      </c>
      <c r="G2070" t="n">
        <v>2024</v>
      </c>
      <c r="H2070" t="inlineStr">
        <is>
          <t>Diciembre</t>
        </is>
      </c>
      <c r="I2070" t="inlineStr">
        <is>
          <t>2024-2</t>
        </is>
      </c>
      <c r="J2070" t="n">
        <v>3</v>
      </c>
      <c r="K2070" t="n">
        <v>4.76</v>
      </c>
      <c r="L2070" s="39" t="n">
        <v>1.3</v>
      </c>
      <c r="M2070" s="39" t="n">
        <v>1.586666666666667</v>
      </c>
      <c r="P2070" t="n">
        <v>0</v>
      </c>
      <c r="Q2070" t="n">
        <v>0</v>
      </c>
      <c r="R2070" t="inlineStr">
        <is>
          <t>402-2024-12-31</t>
        </is>
      </c>
    </row>
    <row r="2071" hidden="1">
      <c r="A2071" t="n">
        <v>402</v>
      </c>
      <c r="B2071" t="inlineStr">
        <is>
          <t>Informe anual de consulta de MI-Books</t>
        </is>
      </c>
      <c r="C2071" t="inlineStr">
        <is>
          <t>LEI</t>
        </is>
      </c>
      <c r="D2071" t="inlineStr">
        <is>
          <t>Anual</t>
        </is>
      </c>
      <c r="E2071" t="inlineStr">
        <is>
          <t>Positivo</t>
        </is>
      </c>
      <c r="F2071" s="113" t="n">
        <v>46022</v>
      </c>
      <c r="G2071" t="n">
        <v>2025</v>
      </c>
      <c r="H2071" t="inlineStr">
        <is>
          <t>Diciembre</t>
        </is>
      </c>
      <c r="I2071" t="inlineStr">
        <is>
          <t>2025-2</t>
        </is>
      </c>
      <c r="K2071" t="n">
        <v>22.73</v>
      </c>
      <c r="L2071" s="39" t="n"/>
      <c r="M2071" s="39" t="n"/>
      <c r="N2071" t="inlineStr">
        <is>
          <t>ENT</t>
        </is>
      </c>
      <c r="O2071" t="inlineStr">
        <is>
          <t>ENT</t>
        </is>
      </c>
      <c r="P2071" t="n">
        <v>0</v>
      </c>
      <c r="Q2071" t="n">
        <v>0</v>
      </c>
      <c r="R2071" t="inlineStr">
        <is>
          <t>402-2025-12-31</t>
        </is>
      </c>
    </row>
    <row r="2072" hidden="1">
      <c r="A2072" t="n">
        <v>403</v>
      </c>
      <c r="B2072" t="inlineStr">
        <is>
          <t>Número de estudiantes que ha realizado la simulación</t>
        </is>
      </c>
      <c r="C2072" t="inlineStr">
        <is>
          <t>LEI</t>
        </is>
      </c>
      <c r="D2072" t="inlineStr">
        <is>
          <t>Semestral</t>
        </is>
      </c>
      <c r="E2072" t="inlineStr">
        <is>
          <t>Positivo</t>
        </is>
      </c>
      <c r="F2072" s="113" t="n">
        <v>45107</v>
      </c>
      <c r="G2072" t="n">
        <v>2023</v>
      </c>
      <c r="H2072" t="inlineStr">
        <is>
          <t>Junio</t>
        </is>
      </c>
      <c r="I2072" t="inlineStr">
        <is>
          <t>2023-1</t>
        </is>
      </c>
      <c r="K2072" t="n">
        <v>14370</v>
      </c>
      <c r="L2072" s="39" t="n"/>
      <c r="M2072" s="39" t="n"/>
      <c r="N2072" t="inlineStr">
        <is>
          <t>Metrica</t>
        </is>
      </c>
      <c r="O2072" t="inlineStr">
        <is>
          <t>ENT</t>
        </is>
      </c>
      <c r="P2072" t="n">
        <v>0</v>
      </c>
      <c r="Q2072" t="n">
        <v>0</v>
      </c>
      <c r="R2072" t="inlineStr">
        <is>
          <t>403-2023-06-30</t>
        </is>
      </c>
    </row>
    <row r="2073" hidden="1">
      <c r="A2073" t="n">
        <v>403</v>
      </c>
      <c r="B2073" t="inlineStr">
        <is>
          <t>Número de estudiantes que ha realizado la simulación</t>
        </is>
      </c>
      <c r="C2073" t="inlineStr">
        <is>
          <t>LEI</t>
        </is>
      </c>
      <c r="D2073" t="inlineStr">
        <is>
          <t>Semestral</t>
        </is>
      </c>
      <c r="E2073" t="inlineStr">
        <is>
          <t>Positivo</t>
        </is>
      </c>
      <c r="F2073" s="113" t="n">
        <v>45291</v>
      </c>
      <c r="G2073" t="n">
        <v>2023</v>
      </c>
      <c r="H2073" t="inlineStr">
        <is>
          <t>Diciembre</t>
        </is>
      </c>
      <c r="I2073" t="inlineStr">
        <is>
          <t>2023-2</t>
        </is>
      </c>
      <c r="K2073" t="n">
        <v>28639</v>
      </c>
      <c r="L2073" s="39" t="n"/>
      <c r="M2073" s="39" t="n"/>
      <c r="N2073" t="inlineStr">
        <is>
          <t>Metrica</t>
        </is>
      </c>
      <c r="O2073" t="inlineStr">
        <is>
          <t>ENT</t>
        </is>
      </c>
      <c r="P2073" t="n">
        <v>0</v>
      </c>
      <c r="Q2073" t="n">
        <v>0</v>
      </c>
      <c r="R2073" t="inlineStr">
        <is>
          <t>403-2023-12-31</t>
        </is>
      </c>
    </row>
    <row r="2074" hidden="1">
      <c r="A2074" t="n">
        <v>403</v>
      </c>
      <c r="B2074" t="inlineStr">
        <is>
          <t>Número de estudiantes que ha realizado la simulación</t>
        </is>
      </c>
      <c r="C2074" t="inlineStr">
        <is>
          <t>LEI</t>
        </is>
      </c>
      <c r="D2074" t="inlineStr">
        <is>
          <t>Semestral</t>
        </is>
      </c>
      <c r="E2074" t="inlineStr">
        <is>
          <t>Positivo</t>
        </is>
      </c>
      <c r="F2074" s="113" t="n">
        <v>45473</v>
      </c>
      <c r="G2074" t="n">
        <v>2024</v>
      </c>
      <c r="H2074" t="inlineStr">
        <is>
          <t>Junio</t>
        </is>
      </c>
      <c r="I2074" t="inlineStr">
        <is>
          <t>2024-1</t>
        </is>
      </c>
      <c r="K2074" t="n">
        <v>14923</v>
      </c>
      <c r="L2074" s="39" t="n"/>
      <c r="M2074" s="39" t="n"/>
      <c r="N2074" t="inlineStr">
        <is>
          <t>Metrica</t>
        </is>
      </c>
      <c r="O2074" t="inlineStr">
        <is>
          <t>ENT</t>
        </is>
      </c>
      <c r="P2074" t="n">
        <v>0</v>
      </c>
      <c r="Q2074" t="n">
        <v>0</v>
      </c>
      <c r="R2074" t="inlineStr">
        <is>
          <t>403-2024-06-30</t>
        </is>
      </c>
    </row>
    <row r="2075" hidden="1">
      <c r="A2075" t="n">
        <v>403</v>
      </c>
      <c r="B2075" t="inlineStr">
        <is>
          <t>Número de estudiantes que ha realizado la simulación</t>
        </is>
      </c>
      <c r="C2075" t="inlineStr">
        <is>
          <t>LEI</t>
        </is>
      </c>
      <c r="D2075" t="inlineStr">
        <is>
          <t>Semestral</t>
        </is>
      </c>
      <c r="E2075" t="inlineStr">
        <is>
          <t>Positivo</t>
        </is>
      </c>
      <c r="F2075" s="113" t="n">
        <v>45657</v>
      </c>
      <c r="G2075" t="n">
        <v>2024</v>
      </c>
      <c r="H2075" t="inlineStr">
        <is>
          <t>Diciembre</t>
        </is>
      </c>
      <c r="I2075" t="inlineStr">
        <is>
          <t>2024-2</t>
        </is>
      </c>
      <c r="K2075" t="n">
        <v>14495</v>
      </c>
      <c r="L2075" s="39" t="n"/>
      <c r="M2075" s="39" t="n"/>
      <c r="N2075" t="inlineStr">
        <is>
          <t>Metrica</t>
        </is>
      </c>
      <c r="O2075" t="inlineStr">
        <is>
          <t>ENT</t>
        </is>
      </c>
      <c r="P2075" t="n">
        <v>0</v>
      </c>
      <c r="Q2075" t="n">
        <v>0</v>
      </c>
      <c r="R2075" t="inlineStr">
        <is>
          <t>403-2024-12-31</t>
        </is>
      </c>
    </row>
    <row r="2076" hidden="1">
      <c r="A2076" t="n">
        <v>403</v>
      </c>
      <c r="B2076" t="inlineStr">
        <is>
          <t>Número de estudiantes que ha realizado la simulación</t>
        </is>
      </c>
      <c r="C2076" t="inlineStr">
        <is>
          <t>LEI</t>
        </is>
      </c>
      <c r="D2076" t="inlineStr">
        <is>
          <t>Semestral</t>
        </is>
      </c>
      <c r="E2076" t="inlineStr">
        <is>
          <t>Positivo</t>
        </is>
      </c>
      <c r="F2076" s="113" t="n">
        <v>45838</v>
      </c>
      <c r="G2076" t="n">
        <v>2025</v>
      </c>
      <c r="H2076" t="inlineStr">
        <is>
          <t>Junio</t>
        </is>
      </c>
      <c r="I2076" t="inlineStr">
        <is>
          <t>2025-1</t>
        </is>
      </c>
      <c r="K2076" t="n">
        <v>14410</v>
      </c>
      <c r="L2076" s="39" t="n"/>
      <c r="M2076" s="39" t="n"/>
      <c r="N2076" t="inlineStr">
        <is>
          <t>Metrica</t>
        </is>
      </c>
      <c r="O2076" t="inlineStr">
        <is>
          <t>ENT</t>
        </is>
      </c>
      <c r="P2076" t="n">
        <v>0</v>
      </c>
      <c r="Q2076" t="n">
        <v>0</v>
      </c>
      <c r="R2076" t="inlineStr">
        <is>
          <t>403-2025-06-30</t>
        </is>
      </c>
    </row>
    <row r="2077" hidden="1">
      <c r="A2077" t="n">
        <v>403</v>
      </c>
      <c r="B2077" t="inlineStr">
        <is>
          <t>Número de estudiantes que ha realizado la simulación (Metrica)</t>
        </is>
      </c>
      <c r="C2077" t="inlineStr">
        <is>
          <t>LEI</t>
        </is>
      </c>
      <c r="D2077" t="inlineStr">
        <is>
          <t>Trimestral</t>
        </is>
      </c>
      <c r="E2077" t="inlineStr">
        <is>
          <t>Positivo</t>
        </is>
      </c>
      <c r="F2077" s="113" t="n">
        <v>46022</v>
      </c>
      <c r="G2077" t="n">
        <v>2025</v>
      </c>
      <c r="H2077" t="inlineStr">
        <is>
          <t>Diciembre</t>
        </is>
      </c>
      <c r="I2077" t="inlineStr">
        <is>
          <t>2025-2</t>
        </is>
      </c>
      <c r="K2077" t="n">
        <v>12510</v>
      </c>
      <c r="L2077" s="39" t="n"/>
      <c r="M2077" s="39" t="n"/>
      <c r="N2077" t="inlineStr">
        <is>
          <t>Metrica</t>
        </is>
      </c>
      <c r="O2077" t="inlineStr">
        <is>
          <t>ENT</t>
        </is>
      </c>
      <c r="P2077" t="n">
        <v>0</v>
      </c>
      <c r="Q2077" t="n">
        <v>0</v>
      </c>
      <c r="R2077" t="inlineStr">
        <is>
          <t>403-2025-12-31</t>
        </is>
      </c>
      <c r="S2077" t="inlineStr">
        <is>
          <t>Metrica</t>
        </is>
      </c>
    </row>
    <row r="2078" hidden="1">
      <c r="A2078" t="n">
        <v>404</v>
      </c>
      <c r="B2078" t="inlineStr">
        <is>
          <t>Casos presentados y solucionados</t>
        </is>
      </c>
      <c r="C2078" t="inlineStr">
        <is>
          <t>LEI</t>
        </is>
      </c>
      <c r="D2078" t="inlineStr">
        <is>
          <t>Semestral</t>
        </is>
      </c>
      <c r="E2078" t="inlineStr">
        <is>
          <t>Negativo</t>
        </is>
      </c>
      <c r="F2078" s="113" t="n">
        <v>45107</v>
      </c>
      <c r="G2078" t="n">
        <v>2023</v>
      </c>
      <c r="H2078" t="inlineStr">
        <is>
          <t>Junio</t>
        </is>
      </c>
      <c r="I2078" t="inlineStr">
        <is>
          <t>2023-1</t>
        </is>
      </c>
      <c r="J2078" t="n">
        <v>20</v>
      </c>
      <c r="K2078" t="n">
        <v>2</v>
      </c>
      <c r="L2078" s="39" t="n">
        <v>1.3</v>
      </c>
      <c r="M2078" s="39" t="n">
        <v>10</v>
      </c>
      <c r="N2078" t="n">
        <v>0</v>
      </c>
      <c r="O2078" t="inlineStr">
        <is>
          <t>ENT</t>
        </is>
      </c>
      <c r="P2078" t="n">
        <v>0</v>
      </c>
      <c r="Q2078" t="n">
        <v>0</v>
      </c>
      <c r="R2078" t="inlineStr">
        <is>
          <t>404-2023-06-30</t>
        </is>
      </c>
    </row>
    <row r="2079" hidden="1">
      <c r="A2079" t="n">
        <v>404</v>
      </c>
      <c r="B2079" t="inlineStr">
        <is>
          <t>Casos presentados y solucionados</t>
        </is>
      </c>
      <c r="C2079" t="inlineStr">
        <is>
          <t>LEI</t>
        </is>
      </c>
      <c r="D2079" t="inlineStr">
        <is>
          <t>Semestral</t>
        </is>
      </c>
      <c r="E2079" t="inlineStr">
        <is>
          <t>Negativo</t>
        </is>
      </c>
      <c r="F2079" s="113" t="n">
        <v>45291</v>
      </c>
      <c r="G2079" t="n">
        <v>2023</v>
      </c>
      <c r="H2079" t="inlineStr">
        <is>
          <t>Diciembre</t>
        </is>
      </c>
      <c r="I2079" t="inlineStr">
        <is>
          <t>2023-2</t>
        </is>
      </c>
      <c r="J2079" t="n">
        <v>20</v>
      </c>
      <c r="K2079" t="n">
        <v>1.31</v>
      </c>
      <c r="L2079" s="39" t="n">
        <v>1.3</v>
      </c>
      <c r="M2079" s="39" t="n">
        <v>15.26717557251908</v>
      </c>
      <c r="N2079" t="n">
        <v>0</v>
      </c>
      <c r="O2079" t="inlineStr">
        <is>
          <t>ENT</t>
        </is>
      </c>
      <c r="P2079" t="n">
        <v>0</v>
      </c>
      <c r="Q2079" t="n">
        <v>0</v>
      </c>
      <c r="R2079" t="inlineStr">
        <is>
          <t>404-2023-12-31</t>
        </is>
      </c>
    </row>
    <row r="2080" hidden="1">
      <c r="A2080" t="n">
        <v>404</v>
      </c>
      <c r="B2080" t="inlineStr">
        <is>
          <t>Casos presentados y solucionados</t>
        </is>
      </c>
      <c r="C2080" t="inlineStr">
        <is>
          <t>LEI</t>
        </is>
      </c>
      <c r="D2080" t="inlineStr">
        <is>
          <t>Semestral</t>
        </is>
      </c>
      <c r="E2080" t="inlineStr">
        <is>
          <t>Negativo</t>
        </is>
      </c>
      <c r="F2080" s="113" t="n">
        <v>45473</v>
      </c>
      <c r="G2080" t="n">
        <v>2024</v>
      </c>
      <c r="H2080" t="inlineStr">
        <is>
          <t>Junio</t>
        </is>
      </c>
      <c r="I2080" t="inlineStr">
        <is>
          <t>2024-1</t>
        </is>
      </c>
      <c r="J2080" t="n">
        <v>10</v>
      </c>
      <c r="K2080" t="n">
        <v>5.85</v>
      </c>
      <c r="L2080" s="39" t="n">
        <v>1.3</v>
      </c>
      <c r="M2080" s="39" t="n">
        <v>1.70940170940171</v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404-2024-06-30</t>
        </is>
      </c>
    </row>
    <row r="2081" hidden="1">
      <c r="A2081" t="n">
        <v>404</v>
      </c>
      <c r="B2081" t="inlineStr">
        <is>
          <t>Casos presentados y solucionados</t>
        </is>
      </c>
      <c r="C2081" t="inlineStr">
        <is>
          <t>LEI</t>
        </is>
      </c>
      <c r="D2081" t="inlineStr">
        <is>
          <t>Semestral</t>
        </is>
      </c>
      <c r="E2081" t="inlineStr">
        <is>
          <t>Negativo</t>
        </is>
      </c>
      <c r="F2081" s="113" t="n">
        <v>45657</v>
      </c>
      <c r="G2081" t="n">
        <v>2024</v>
      </c>
      <c r="H2081" t="inlineStr">
        <is>
          <t>Diciembre</t>
        </is>
      </c>
      <c r="I2081" t="inlineStr">
        <is>
          <t>2024-2</t>
        </is>
      </c>
      <c r="J2081" t="n">
        <v>10</v>
      </c>
      <c r="K2081" t="n">
        <v>6.02</v>
      </c>
      <c r="L2081" s="39" t="n">
        <v>1.3</v>
      </c>
      <c r="M2081" s="39" t="n">
        <v>1.661129568106313</v>
      </c>
      <c r="N2081" t="inlineStr">
        <is>
          <t>%</t>
        </is>
      </c>
      <c r="O2081" t="inlineStr">
        <is>
          <t>%</t>
        </is>
      </c>
      <c r="P2081" t="n">
        <v>0</v>
      </c>
      <c r="Q2081" t="n">
        <v>0</v>
      </c>
      <c r="R2081" t="inlineStr">
        <is>
          <t>404-2024-12-31</t>
        </is>
      </c>
    </row>
    <row r="2082" hidden="1">
      <c r="A2082" t="n">
        <v>405</v>
      </c>
      <c r="B2082" t="inlineStr">
        <is>
          <t>Avance de reingenieria y arquitectura de software LEI</t>
        </is>
      </c>
      <c r="C2082" t="inlineStr">
        <is>
          <t>LEI</t>
        </is>
      </c>
      <c r="D2082" t="inlineStr">
        <is>
          <t>Semestral</t>
        </is>
      </c>
      <c r="E2082" t="inlineStr">
        <is>
          <t>Positivo</t>
        </is>
      </c>
      <c r="F2082" s="113" t="n">
        <v>45107</v>
      </c>
      <c r="G2082" t="n">
        <v>2023</v>
      </c>
      <c r="H2082" t="inlineStr">
        <is>
          <t>Junio</t>
        </is>
      </c>
      <c r="I2082" t="inlineStr">
        <is>
          <t>2023-1</t>
        </is>
      </c>
      <c r="J2082" t="n">
        <v>25</v>
      </c>
      <c r="K2082" t="n">
        <v>30</v>
      </c>
      <c r="L2082" s="39" t="n">
        <v>1.2</v>
      </c>
      <c r="M2082" s="39" t="n">
        <v>1.2</v>
      </c>
      <c r="N2082" t="inlineStr">
        <is>
          <t>%</t>
        </is>
      </c>
      <c r="O2082" t="inlineStr">
        <is>
          <t>%</t>
        </is>
      </c>
      <c r="P2082" t="n">
        <v>0</v>
      </c>
      <c r="Q2082" t="n">
        <v>0</v>
      </c>
      <c r="R2082" t="inlineStr">
        <is>
          <t>405-2023-06-30</t>
        </is>
      </c>
    </row>
    <row r="2083" hidden="1">
      <c r="A2083" t="n">
        <v>405</v>
      </c>
      <c r="B2083" t="inlineStr">
        <is>
          <t>Avance de reingenieria y arquitectura de software LEI</t>
        </is>
      </c>
      <c r="C2083" t="inlineStr">
        <is>
          <t>LEI</t>
        </is>
      </c>
      <c r="D2083" t="inlineStr">
        <is>
          <t>Semestral</t>
        </is>
      </c>
      <c r="E2083" t="inlineStr">
        <is>
          <t>Positivo</t>
        </is>
      </c>
      <c r="F2083" s="113" t="n">
        <v>45291</v>
      </c>
      <c r="G2083" t="n">
        <v>2023</v>
      </c>
      <c r="H2083" t="inlineStr">
        <is>
          <t>Diciembre</t>
        </is>
      </c>
      <c r="I2083" t="inlineStr">
        <is>
          <t>2023-2</t>
        </is>
      </c>
      <c r="J2083" t="n">
        <v>50</v>
      </c>
      <c r="K2083" t="n">
        <v>62</v>
      </c>
      <c r="L2083" s="39" t="n">
        <v>1.24</v>
      </c>
      <c r="M2083" s="39" t="n">
        <v>1.24</v>
      </c>
      <c r="N2083" t="inlineStr">
        <is>
          <t>%</t>
        </is>
      </c>
      <c r="O2083" t="inlineStr">
        <is>
          <t>%</t>
        </is>
      </c>
      <c r="P2083" t="n">
        <v>0</v>
      </c>
      <c r="Q2083" t="n">
        <v>0</v>
      </c>
      <c r="R2083" t="inlineStr">
        <is>
          <t>405-2023-12-31</t>
        </is>
      </c>
    </row>
    <row r="2084" hidden="1">
      <c r="A2084" t="n">
        <v>405</v>
      </c>
      <c r="B2084" t="inlineStr">
        <is>
          <t>Proyecto de reingenieria y arquitectura de software LEI</t>
        </is>
      </c>
      <c r="C2084" t="inlineStr">
        <is>
          <t>LEI</t>
        </is>
      </c>
      <c r="D2084" t="inlineStr">
        <is>
          <t>Semestral</t>
        </is>
      </c>
      <c r="E2084" t="inlineStr">
        <is>
          <t>Positivo</t>
        </is>
      </c>
      <c r="F2084" s="113" t="n">
        <v>45473</v>
      </c>
      <c r="G2084" t="n">
        <v>2024</v>
      </c>
      <c r="H2084" t="inlineStr">
        <is>
          <t>Junio</t>
        </is>
      </c>
      <c r="I2084" t="inlineStr">
        <is>
          <t>2024-1</t>
        </is>
      </c>
      <c r="J2084" t="n">
        <v>100</v>
      </c>
      <c r="K2084" t="n">
        <v>92</v>
      </c>
      <c r="L2084" s="39" t="n">
        <v>0.92</v>
      </c>
      <c r="M2084" s="39" t="n">
        <v>0.92</v>
      </c>
      <c r="N2084" t="inlineStr">
        <is>
          <t>%</t>
        </is>
      </c>
      <c r="O2084" t="inlineStr">
        <is>
          <t>%</t>
        </is>
      </c>
      <c r="P2084" t="n">
        <v>0</v>
      </c>
      <c r="Q2084" t="n">
        <v>0</v>
      </c>
      <c r="R2084" t="inlineStr">
        <is>
          <t>405-2024-06-30</t>
        </is>
      </c>
    </row>
    <row r="2085" hidden="1">
      <c r="A2085" t="n">
        <v>405</v>
      </c>
      <c r="B2085" t="inlineStr">
        <is>
          <t>Proyecto de reingenieria y arquitectura de software LEI</t>
        </is>
      </c>
      <c r="C2085" t="inlineStr">
        <is>
          <t>LEI</t>
        </is>
      </c>
      <c r="D2085" t="inlineStr">
        <is>
          <t>Semestral</t>
        </is>
      </c>
      <c r="E2085" t="inlineStr">
        <is>
          <t>Positivo</t>
        </is>
      </c>
      <c r="F2085" s="113" t="n">
        <v>45657</v>
      </c>
      <c r="G2085" t="n">
        <v>2024</v>
      </c>
      <c r="H2085" t="inlineStr">
        <is>
          <t>Diciembre</t>
        </is>
      </c>
      <c r="I2085" t="inlineStr">
        <is>
          <t>2024-2</t>
        </is>
      </c>
      <c r="J2085" t="n">
        <v>100</v>
      </c>
      <c r="K2085" t="n">
        <v>98</v>
      </c>
      <c r="L2085" s="39" t="n">
        <v>0.98</v>
      </c>
      <c r="M2085" s="39" t="n">
        <v>0.98</v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405-2024-12-31</t>
        </is>
      </c>
    </row>
    <row r="2086" hidden="1">
      <c r="A2086" t="n">
        <v>406</v>
      </c>
      <c r="B2086" t="inlineStr">
        <is>
          <t>Programas con condiciones iniciales aprobadas por facultad</t>
        </is>
      </c>
      <c r="C2086" t="inlineStr">
        <is>
          <t>Creación, modificación y cierre de programas académicos</t>
        </is>
      </c>
      <c r="D2086" t="inlineStr">
        <is>
          <t>Semestral</t>
        </is>
      </c>
      <c r="E2086" t="inlineStr">
        <is>
          <t>Positivo</t>
        </is>
      </c>
      <c r="F2086" s="113" t="n">
        <v>45291</v>
      </c>
      <c r="G2086" t="n">
        <v>2023</v>
      </c>
      <c r="H2086" t="inlineStr">
        <is>
          <t>Diciembre</t>
        </is>
      </c>
      <c r="I2086" t="inlineStr">
        <is>
          <t>2023-2</t>
        </is>
      </c>
      <c r="J2086" t="n">
        <v>5</v>
      </c>
      <c r="K2086" t="n">
        <v>5</v>
      </c>
      <c r="L2086" s="39" t="n">
        <v>1</v>
      </c>
      <c r="M2086" s="39" t="n">
        <v>1</v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406-2023-12-31</t>
        </is>
      </c>
    </row>
    <row r="2087" hidden="1">
      <c r="A2087" t="n">
        <v>406</v>
      </c>
      <c r="B2087" t="inlineStr">
        <is>
          <t>Programas con condiciones iniciales aprobadas por facultad</t>
        </is>
      </c>
      <c r="C2087" t="inlineStr">
        <is>
          <t>Creación, modificación y cierre de programas académicos</t>
        </is>
      </c>
      <c r="D2087" t="inlineStr">
        <is>
          <t>Semestral</t>
        </is>
      </c>
      <c r="E2087" t="inlineStr">
        <is>
          <t>Positivo</t>
        </is>
      </c>
      <c r="F2087" s="113" t="n">
        <v>45473</v>
      </c>
      <c r="G2087" t="n">
        <v>2024</v>
      </c>
      <c r="H2087" t="inlineStr">
        <is>
          <t>Junio</t>
        </is>
      </c>
      <c r="I2087" t="inlineStr">
        <is>
          <t>2024-1</t>
        </is>
      </c>
      <c r="J2087" t="n">
        <v>0</v>
      </c>
      <c r="K2087" t="n">
        <v>3</v>
      </c>
      <c r="L2087" s="39" t="n"/>
      <c r="M2087" s="39" t="n"/>
      <c r="N2087" t="inlineStr">
        <is>
          <t>ENT</t>
        </is>
      </c>
      <c r="O2087" t="inlineStr">
        <is>
          <t>ENT</t>
        </is>
      </c>
      <c r="P2087" t="n">
        <v>0</v>
      </c>
      <c r="Q2087" t="n">
        <v>0</v>
      </c>
      <c r="R2087" t="inlineStr">
        <is>
          <t>406-2024-06-30</t>
        </is>
      </c>
    </row>
    <row r="2088" hidden="1">
      <c r="A2088" t="n">
        <v>407</v>
      </c>
      <c r="B2088" t="inlineStr">
        <is>
          <t>Programas 1ra fase de condiciones iniciales radicadas por facultad</t>
        </is>
      </c>
      <c r="C2088" t="inlineStr">
        <is>
          <t>Creación, modificación y cierre de programas académicos</t>
        </is>
      </c>
      <c r="D2088" t="inlineStr">
        <is>
          <t>Semestral</t>
        </is>
      </c>
      <c r="E2088" t="inlineStr">
        <is>
          <t>Positivo</t>
        </is>
      </c>
      <c r="F2088" s="113" t="n">
        <v>45291</v>
      </c>
      <c r="G2088" t="n">
        <v>2023</v>
      </c>
      <c r="H2088" t="inlineStr">
        <is>
          <t>Diciembre</t>
        </is>
      </c>
      <c r="I2088" t="inlineStr">
        <is>
          <t>2023-2</t>
        </is>
      </c>
      <c r="J2088" t="n">
        <v>3</v>
      </c>
      <c r="K2088" t="n">
        <v>3</v>
      </c>
      <c r="L2088" s="39" t="n">
        <v>1</v>
      </c>
      <c r="M2088" s="39" t="n">
        <v>1</v>
      </c>
      <c r="N2088" t="inlineStr">
        <is>
          <t>ENT</t>
        </is>
      </c>
      <c r="O2088" t="inlineStr">
        <is>
          <t>ENT</t>
        </is>
      </c>
      <c r="P2088" t="n">
        <v>0</v>
      </c>
      <c r="Q2088" t="n">
        <v>0</v>
      </c>
      <c r="R2088" t="inlineStr">
        <is>
          <t>407-2023-12-31</t>
        </is>
      </c>
    </row>
    <row r="2089" hidden="1">
      <c r="A2089" t="n">
        <v>408</v>
      </c>
      <c r="B2089" t="inlineStr">
        <is>
          <t>Programas nuevos radicados por facultad</t>
        </is>
      </c>
      <c r="C2089" t="inlineStr">
        <is>
          <t>Creación, modificación y cierre de programas académicos</t>
        </is>
      </c>
      <c r="D2089" t="inlineStr">
        <is>
          <t>Trimestral</t>
        </is>
      </c>
      <c r="E2089" t="inlineStr">
        <is>
          <t>Positivo</t>
        </is>
      </c>
      <c r="F2089" s="113" t="n">
        <v>45107</v>
      </c>
      <c r="G2089" t="n">
        <v>2023</v>
      </c>
      <c r="H2089" t="inlineStr">
        <is>
          <t>Junio</t>
        </is>
      </c>
      <c r="I2089" t="inlineStr">
        <is>
          <t>2023-1</t>
        </is>
      </c>
      <c r="J2089" t="n">
        <v>100</v>
      </c>
      <c r="L2089" s="39" t="n"/>
      <c r="M2089" s="39" t="n"/>
      <c r="N2089" t="inlineStr">
        <is>
          <t>ENT</t>
        </is>
      </c>
      <c r="O2089" t="inlineStr">
        <is>
          <t>No Aplica</t>
        </is>
      </c>
      <c r="P2089" t="n">
        <v>0</v>
      </c>
      <c r="Q2089" t="n">
        <v>0</v>
      </c>
      <c r="R2089" t="inlineStr">
        <is>
          <t>408-2023-06-30</t>
        </is>
      </c>
      <c r="S2089" t="inlineStr">
        <is>
          <t>No Aplica</t>
        </is>
      </c>
    </row>
    <row r="2090" hidden="1">
      <c r="A2090" t="n">
        <v>408</v>
      </c>
      <c r="B2090" t="inlineStr">
        <is>
          <t>Programas nuevos radicados por facultad</t>
        </is>
      </c>
      <c r="C2090" t="inlineStr">
        <is>
          <t>Creación, modificación y cierre de programas académicos</t>
        </is>
      </c>
      <c r="D2090" t="inlineStr">
        <is>
          <t>Semestral</t>
        </is>
      </c>
      <c r="E2090" t="inlineStr">
        <is>
          <t>Positivo</t>
        </is>
      </c>
      <c r="F2090" s="113" t="n">
        <v>45291</v>
      </c>
      <c r="G2090" t="n">
        <v>2023</v>
      </c>
      <c r="H2090" t="inlineStr">
        <is>
          <t>Diciembre</t>
        </is>
      </c>
      <c r="I2090" t="inlineStr">
        <is>
          <t>2023-2</t>
        </is>
      </c>
      <c r="J2090" t="n">
        <v>100</v>
      </c>
      <c r="K2090" t="n">
        <v>100</v>
      </c>
      <c r="L2090" s="39" t="n">
        <v>1</v>
      </c>
      <c r="M2090" s="39" t="n">
        <v>1</v>
      </c>
      <c r="N2090" t="inlineStr">
        <is>
          <t>ENT</t>
        </is>
      </c>
      <c r="O2090" t="inlineStr">
        <is>
          <t>ENT</t>
        </is>
      </c>
      <c r="P2090" t="n">
        <v>0</v>
      </c>
      <c r="Q2090" t="n">
        <v>0</v>
      </c>
      <c r="R2090" t="inlineStr">
        <is>
          <t>408-2023-12-31</t>
        </is>
      </c>
    </row>
    <row r="2091" hidden="1">
      <c r="A2091" t="n">
        <v>408</v>
      </c>
      <c r="B2091" t="inlineStr">
        <is>
          <t>Programas nuevos radicados por facultad</t>
        </is>
      </c>
      <c r="C2091" t="inlineStr">
        <is>
          <t>Creación, modificación y cierre de programas académicos</t>
        </is>
      </c>
      <c r="D2091" t="inlineStr">
        <is>
          <t>Trimestral</t>
        </is>
      </c>
      <c r="E2091" t="inlineStr">
        <is>
          <t>Positivo</t>
        </is>
      </c>
      <c r="F2091" s="113" t="n">
        <v>45473</v>
      </c>
      <c r="G2091" t="n">
        <v>2024</v>
      </c>
      <c r="H2091" t="inlineStr">
        <is>
          <t>Junio</t>
        </is>
      </c>
      <c r="I2091" t="inlineStr">
        <is>
          <t>2024-1</t>
        </is>
      </c>
      <c r="J2091" t="n">
        <v>100</v>
      </c>
      <c r="L2091" s="39" t="n"/>
      <c r="M2091" s="39" t="n"/>
      <c r="N2091" t="inlineStr">
        <is>
          <t>ENT</t>
        </is>
      </c>
      <c r="O2091" t="inlineStr">
        <is>
          <t>No Aplica</t>
        </is>
      </c>
      <c r="P2091" t="n">
        <v>0</v>
      </c>
      <c r="Q2091" t="n">
        <v>0</v>
      </c>
      <c r="R2091" t="inlineStr">
        <is>
          <t>408-2024-06-30</t>
        </is>
      </c>
      <c r="S2091" t="inlineStr">
        <is>
          <t>No Aplica</t>
        </is>
      </c>
    </row>
    <row r="2092" hidden="1">
      <c r="A2092" t="n">
        <v>408</v>
      </c>
      <c r="B2092" t="inlineStr">
        <is>
          <t>Programas nuevos radicados por facultad</t>
        </is>
      </c>
      <c r="C2092" t="inlineStr">
        <is>
          <t>Creación, modificación y cierre de programas académicos</t>
        </is>
      </c>
      <c r="D2092" t="inlineStr">
        <is>
          <t>Semestral</t>
        </is>
      </c>
      <c r="E2092" t="inlineStr">
        <is>
          <t>Positivo</t>
        </is>
      </c>
      <c r="F2092" s="113" t="n">
        <v>45657</v>
      </c>
      <c r="G2092" t="n">
        <v>2024</v>
      </c>
      <c r="H2092" t="inlineStr">
        <is>
          <t>Diciembre</t>
        </is>
      </c>
      <c r="I2092" t="inlineStr">
        <is>
          <t>2024-2</t>
        </is>
      </c>
      <c r="J2092" t="n">
        <v>100</v>
      </c>
      <c r="K2092" t="n">
        <v>100</v>
      </c>
      <c r="L2092" s="39" t="n">
        <v>1</v>
      </c>
      <c r="M2092" s="39" t="n">
        <v>1</v>
      </c>
      <c r="N2092" t="inlineStr">
        <is>
          <t>ENT</t>
        </is>
      </c>
      <c r="O2092" t="inlineStr">
        <is>
          <t>ENT</t>
        </is>
      </c>
      <c r="P2092" t="n">
        <v>0</v>
      </c>
      <c r="Q2092" t="n">
        <v>0</v>
      </c>
      <c r="R2092" t="inlineStr">
        <is>
          <t>408-2024-12-31</t>
        </is>
      </c>
    </row>
    <row r="2093" hidden="1">
      <c r="A2093" t="n">
        <v>408</v>
      </c>
      <c r="B2093" t="inlineStr">
        <is>
          <t>Programas nuevos radicados por facultad</t>
        </is>
      </c>
      <c r="C2093" t="inlineStr">
        <is>
          <t>Creación, modificación y cierre de programas académicos</t>
        </is>
      </c>
      <c r="D2093" t="inlineStr">
        <is>
          <t>Trimestral</t>
        </is>
      </c>
      <c r="E2093" t="inlineStr">
        <is>
          <t>Positivo</t>
        </is>
      </c>
      <c r="F2093" s="113" t="n">
        <v>45838</v>
      </c>
      <c r="G2093" t="n">
        <v>2025</v>
      </c>
      <c r="H2093" t="inlineStr">
        <is>
          <t>Junio</t>
        </is>
      </c>
      <c r="I2093" t="inlineStr">
        <is>
          <t>2025-1</t>
        </is>
      </c>
      <c r="J2093" t="n">
        <v>100</v>
      </c>
      <c r="K2093" t="n">
        <v>100</v>
      </c>
      <c r="L2093" s="39" t="n">
        <v>1</v>
      </c>
      <c r="M2093" s="39" t="n">
        <v>1</v>
      </c>
      <c r="N2093" t="inlineStr">
        <is>
          <t>ENT</t>
        </is>
      </c>
      <c r="O2093" t="inlineStr">
        <is>
          <t>ENT</t>
        </is>
      </c>
      <c r="P2093" t="n">
        <v>0</v>
      </c>
      <c r="Q2093" t="n">
        <v>0</v>
      </c>
      <c r="R2093" t="inlineStr">
        <is>
          <t>408-2025-06-30</t>
        </is>
      </c>
    </row>
    <row r="2094" hidden="1">
      <c r="A2094" t="n">
        <v>408</v>
      </c>
      <c r="B2094" t="inlineStr">
        <is>
          <t>Programas nuevos radicados por facultad</t>
        </is>
      </c>
      <c r="C2094" t="inlineStr">
        <is>
          <t>Creación, modificación y cierre de programas académicos</t>
        </is>
      </c>
      <c r="D2094" t="inlineStr">
        <is>
          <t>Trimestral</t>
        </is>
      </c>
      <c r="E2094" t="inlineStr">
        <is>
          <t>Positivo</t>
        </is>
      </c>
      <c r="F2094" s="113" t="n">
        <v>46022</v>
      </c>
      <c r="G2094" t="n">
        <v>2025</v>
      </c>
      <c r="H2094" t="inlineStr">
        <is>
          <t>Diciembre</t>
        </is>
      </c>
      <c r="I2094" t="inlineStr">
        <is>
          <t>2025-2</t>
        </is>
      </c>
      <c r="J2094" t="n">
        <v>100</v>
      </c>
      <c r="K2094" t="n">
        <v>100</v>
      </c>
      <c r="L2094" s="39" t="n">
        <v>1</v>
      </c>
      <c r="M2094" s="39" t="n">
        <v>1</v>
      </c>
      <c r="N2094" t="inlineStr">
        <is>
          <t>ENT</t>
        </is>
      </c>
      <c r="O2094" t="inlineStr">
        <is>
          <t>ENT</t>
        </is>
      </c>
      <c r="P2094" t="n">
        <v>0</v>
      </c>
      <c r="Q2094" t="n">
        <v>0</v>
      </c>
      <c r="R2094" t="inlineStr">
        <is>
          <t>408-2025-12-31</t>
        </is>
      </c>
    </row>
    <row r="2095" hidden="1">
      <c r="A2095" t="n">
        <v>409</v>
      </c>
      <c r="B2095" t="inlineStr">
        <is>
          <t>Oportunidad en tiempo de envios</t>
        </is>
      </c>
      <c r="C2095" t="inlineStr">
        <is>
          <t>GESTIÓN JURÍDICA Y NORMATIVA</t>
        </is>
      </c>
      <c r="D2095" t="inlineStr">
        <is>
          <t>Semestral</t>
        </is>
      </c>
      <c r="E2095" t="inlineStr">
        <is>
          <t>Positivo</t>
        </is>
      </c>
      <c r="F2095" s="113" t="n">
        <v>45107</v>
      </c>
      <c r="G2095" t="n">
        <v>2023</v>
      </c>
      <c r="H2095" t="inlineStr">
        <is>
          <t>Junio</t>
        </is>
      </c>
      <c r="I2095" t="inlineStr">
        <is>
          <t>2023-1</t>
        </is>
      </c>
      <c r="L2095" s="39" t="n"/>
      <c r="M2095" s="39" t="n"/>
      <c r="N2095" t="inlineStr">
        <is>
          <t>%</t>
        </is>
      </c>
      <c r="O2095" t="inlineStr">
        <is>
          <t>No Aplica</t>
        </is>
      </c>
      <c r="P2095" t="n">
        <v>0</v>
      </c>
      <c r="Q2095" t="n">
        <v>0</v>
      </c>
      <c r="R2095" t="inlineStr">
        <is>
          <t>409-2023-06-30</t>
        </is>
      </c>
      <c r="S2095" t="inlineStr">
        <is>
          <t>No Aplica</t>
        </is>
      </c>
    </row>
    <row r="2096" hidden="1">
      <c r="A2096" t="n">
        <v>409</v>
      </c>
      <c r="B2096" t="inlineStr">
        <is>
          <t>Oportunidad en tiempo de envios</t>
        </is>
      </c>
      <c r="C2096" t="inlineStr">
        <is>
          <t>GESTIÓN JURÍDICA Y NORMATIVA</t>
        </is>
      </c>
      <c r="D2096" t="inlineStr">
        <is>
          <t>Trimestral</t>
        </is>
      </c>
      <c r="E2096" t="inlineStr">
        <is>
          <t>Positivo</t>
        </is>
      </c>
      <c r="F2096" s="113" t="n">
        <v>45199</v>
      </c>
      <c r="G2096" t="n">
        <v>2023</v>
      </c>
      <c r="H2096" t="inlineStr">
        <is>
          <t>Septiembre</t>
        </is>
      </c>
      <c r="I2096" t="inlineStr">
        <is>
          <t>2023-2</t>
        </is>
      </c>
      <c r="J2096" t="n">
        <v>80</v>
      </c>
      <c r="K2096" t="n">
        <v>103.7188545927854</v>
      </c>
      <c r="L2096" s="39" t="n">
        <v>1.296485682409818</v>
      </c>
      <c r="M2096" s="39" t="n">
        <v>1.296485682409818</v>
      </c>
      <c r="N2096" t="inlineStr">
        <is>
          <t>%</t>
        </is>
      </c>
      <c r="O2096" t="inlineStr">
        <is>
          <t>%</t>
        </is>
      </c>
      <c r="P2096" t="n">
        <v>0</v>
      </c>
      <c r="Q2096" t="n">
        <v>0</v>
      </c>
      <c r="R2096" t="inlineStr">
        <is>
          <t>409-2023-09-30</t>
        </is>
      </c>
    </row>
    <row r="2097" hidden="1">
      <c r="A2097" t="n">
        <v>409</v>
      </c>
      <c r="B2097" t="inlineStr">
        <is>
          <t>Oportunidad en tiempo de envios</t>
        </is>
      </c>
      <c r="C2097" t="inlineStr">
        <is>
          <t>GESTIÓN JURÍDICA Y NORMATIVA</t>
        </is>
      </c>
      <c r="D2097" t="inlineStr">
        <is>
          <t>Trimestral</t>
        </is>
      </c>
      <c r="E2097" t="inlineStr">
        <is>
          <t>Positivo</t>
        </is>
      </c>
      <c r="F2097" s="113" t="n">
        <v>45291</v>
      </c>
      <c r="G2097" t="n">
        <v>2023</v>
      </c>
      <c r="H2097" t="inlineStr">
        <is>
          <t>Diciembre</t>
        </is>
      </c>
      <c r="I2097" t="inlineStr">
        <is>
          <t>2023-2</t>
        </is>
      </c>
      <c r="J2097" t="n">
        <v>80</v>
      </c>
      <c r="K2097" t="n">
        <v>100</v>
      </c>
      <c r="L2097" s="39" t="n">
        <v>1.25</v>
      </c>
      <c r="M2097" s="39" t="n">
        <v>1.25</v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409-2023-12-31</t>
        </is>
      </c>
    </row>
    <row r="2098" hidden="1">
      <c r="A2098" t="n">
        <v>409</v>
      </c>
      <c r="B2098" t="inlineStr">
        <is>
          <t>Oportunidad en tiempo de envios</t>
        </is>
      </c>
      <c r="C2098" t="inlineStr">
        <is>
          <t>GESTIÓN JURÍDICA Y NORMATIVA</t>
        </is>
      </c>
      <c r="D2098" t="inlineStr">
        <is>
          <t>Trimestral</t>
        </is>
      </c>
      <c r="E2098" t="inlineStr">
        <is>
          <t>Positivo</t>
        </is>
      </c>
      <c r="F2098" s="113" t="n">
        <v>45382</v>
      </c>
      <c r="G2098" t="n">
        <v>2024</v>
      </c>
      <c r="H2098" t="inlineStr">
        <is>
          <t>Marzo</t>
        </is>
      </c>
      <c r="I2098" t="inlineStr">
        <is>
          <t>2024-1</t>
        </is>
      </c>
      <c r="J2098" t="n">
        <v>95</v>
      </c>
      <c r="K2098" t="n">
        <v>98.0225988700565</v>
      </c>
      <c r="L2098" s="39" t="n">
        <v>1.031816830211121</v>
      </c>
      <c r="M2098" s="39" t="n">
        <v>1.031816830211121</v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409-2024-03-31</t>
        </is>
      </c>
    </row>
    <row r="2099" hidden="1">
      <c r="A2099" t="n">
        <v>409</v>
      </c>
      <c r="B2099" t="inlineStr">
        <is>
          <t>Oportunidad en tiempo de envios</t>
        </is>
      </c>
      <c r="C2099" t="inlineStr">
        <is>
          <t>GESTIÓN JURÍDICA Y NORMATIVA</t>
        </is>
      </c>
      <c r="D2099" t="inlineStr">
        <is>
          <t>Trimestral</t>
        </is>
      </c>
      <c r="E2099" t="inlineStr">
        <is>
          <t>Positivo</t>
        </is>
      </c>
      <c r="F2099" s="113" t="n">
        <v>45473</v>
      </c>
      <c r="G2099" t="n">
        <v>2024</v>
      </c>
      <c r="H2099" t="inlineStr">
        <is>
          <t>Junio</t>
        </is>
      </c>
      <c r="I2099" t="inlineStr">
        <is>
          <t>2024-1</t>
        </is>
      </c>
      <c r="J2099" t="n">
        <v>95</v>
      </c>
      <c r="K2099" t="n">
        <v>98.49624060150376</v>
      </c>
      <c r="L2099" s="39" t="n">
        <v>1.036802532647408</v>
      </c>
      <c r="M2099" s="39" t="n">
        <v>1.036802532647408</v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409-2024-06-30</t>
        </is>
      </c>
    </row>
    <row r="2100" hidden="1">
      <c r="A2100" t="n">
        <v>409</v>
      </c>
      <c r="B2100" t="inlineStr">
        <is>
          <t>Oportunidad en tiempo de envios</t>
        </is>
      </c>
      <c r="C2100" t="inlineStr">
        <is>
          <t>GESTIÓN JURÍDICA Y NORMATIVA</t>
        </is>
      </c>
      <c r="D2100" t="inlineStr">
        <is>
          <t>Trimestral</t>
        </is>
      </c>
      <c r="E2100" t="inlineStr">
        <is>
          <t>Positivo</t>
        </is>
      </c>
      <c r="F2100" s="113" t="n">
        <v>45565</v>
      </c>
      <c r="G2100" t="n">
        <v>2024</v>
      </c>
      <c r="H2100" t="inlineStr">
        <is>
          <t>Septiembre</t>
        </is>
      </c>
      <c r="I2100" t="inlineStr">
        <is>
          <t>2024-2</t>
        </is>
      </c>
      <c r="J2100" t="n">
        <v>95</v>
      </c>
      <c r="K2100" t="n">
        <v>97.12230215827336</v>
      </c>
      <c r="L2100" s="39" t="n">
        <v>1.022340022718667</v>
      </c>
      <c r="M2100" s="39" t="n">
        <v>1.022340022718667</v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409-2024-09-30</t>
        </is>
      </c>
    </row>
    <row r="2101" hidden="1">
      <c r="A2101" t="n">
        <v>409</v>
      </c>
      <c r="B2101" t="inlineStr">
        <is>
          <t>Oportunidad en tiempo de envios</t>
        </is>
      </c>
      <c r="C2101" t="inlineStr">
        <is>
          <t>GESTIÓN JURÍDICA Y NORMATIVA</t>
        </is>
      </c>
      <c r="D2101" t="inlineStr">
        <is>
          <t>Trimestral</t>
        </is>
      </c>
      <c r="E2101" t="inlineStr">
        <is>
          <t>Positivo</t>
        </is>
      </c>
      <c r="F2101" s="113" t="n">
        <v>45657</v>
      </c>
      <c r="G2101" t="n">
        <v>2024</v>
      </c>
      <c r="H2101" t="inlineStr">
        <is>
          <t>Diciembre</t>
        </is>
      </c>
      <c r="I2101" t="inlineStr">
        <is>
          <t>2024-2</t>
        </is>
      </c>
      <c r="J2101" t="n">
        <v>95</v>
      </c>
      <c r="K2101" t="n">
        <v>96.45732689210948</v>
      </c>
      <c r="L2101" s="39" t="n">
        <v>1.015340283074837</v>
      </c>
      <c r="M2101" s="39" t="n">
        <v>1.015340283074837</v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409-2024-12-31</t>
        </is>
      </c>
    </row>
    <row r="2102" hidden="1">
      <c r="A2102" t="n">
        <v>409</v>
      </c>
      <c r="B2102" t="inlineStr">
        <is>
          <t>Oportunidad en tiempo de envios</t>
        </is>
      </c>
      <c r="C2102" t="inlineStr">
        <is>
          <t>GESTIÓN JURÍDICA Y NORMATIVA</t>
        </is>
      </c>
      <c r="D2102" t="inlineStr">
        <is>
          <t>Semestral</t>
        </is>
      </c>
      <c r="E2102" t="inlineStr">
        <is>
          <t>Positivo</t>
        </is>
      </c>
      <c r="F2102" s="113" t="n">
        <v>45747</v>
      </c>
      <c r="G2102" t="n">
        <v>2025</v>
      </c>
      <c r="H2102" t="inlineStr">
        <is>
          <t>Marzo</t>
        </is>
      </c>
      <c r="I2102" t="inlineStr">
        <is>
          <t>2025-1</t>
        </is>
      </c>
      <c r="J2102" t="n">
        <v>95</v>
      </c>
      <c r="K2102" t="n">
        <v>100</v>
      </c>
      <c r="L2102" s="39" t="n">
        <v>1.052631578947368</v>
      </c>
      <c r="M2102" s="39" t="n">
        <v>1.052631578947368</v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409-2025-03-31</t>
        </is>
      </c>
    </row>
    <row r="2103" hidden="1">
      <c r="A2103" t="n">
        <v>409</v>
      </c>
      <c r="B2103" t="inlineStr">
        <is>
          <t>Oportunidad en tiempo de envios</t>
        </is>
      </c>
      <c r="C2103" t="inlineStr">
        <is>
          <t>GESTIÓN JURÍDICA Y NORMATIVA</t>
        </is>
      </c>
      <c r="D2103" t="inlineStr">
        <is>
          <t>Semestral</t>
        </is>
      </c>
      <c r="E2103" t="inlineStr">
        <is>
          <t>Positivo</t>
        </is>
      </c>
      <c r="F2103" s="113" t="n">
        <v>45838</v>
      </c>
      <c r="G2103" t="n">
        <v>2025</v>
      </c>
      <c r="H2103" t="inlineStr">
        <is>
          <t>Junio</t>
        </is>
      </c>
      <c r="I2103" t="inlineStr">
        <is>
          <t>2025-1</t>
        </is>
      </c>
      <c r="J2103" t="n">
        <v>95</v>
      </c>
      <c r="L2103" s="39" t="n"/>
      <c r="M2103" s="39" t="n"/>
      <c r="N2103" t="inlineStr">
        <is>
          <t>%</t>
        </is>
      </c>
      <c r="O2103" t="inlineStr">
        <is>
          <t>No Aplica</t>
        </is>
      </c>
      <c r="P2103" t="n">
        <v>0</v>
      </c>
      <c r="Q2103" t="n">
        <v>0</v>
      </c>
      <c r="R2103" t="inlineStr">
        <is>
          <t>409-2025-06-30</t>
        </is>
      </c>
      <c r="S2103" t="inlineStr">
        <is>
          <t>No Aplica</t>
        </is>
      </c>
    </row>
    <row r="2104" hidden="1">
      <c r="A2104" t="n">
        <v>410</v>
      </c>
      <c r="B2104" t="inlineStr">
        <is>
          <t>Solicitudes de gestión documental</t>
        </is>
      </c>
      <c r="C2104" t="inlineStr">
        <is>
          <t>GESTIÓN JURÍDICA Y NORMATIVA</t>
        </is>
      </c>
      <c r="D2104" t="inlineStr">
        <is>
          <t>Trimestral</t>
        </is>
      </c>
      <c r="E2104" t="inlineStr">
        <is>
          <t>Positivo</t>
        </is>
      </c>
      <c r="F2104" s="113" t="n">
        <v>45199</v>
      </c>
      <c r="G2104" t="n">
        <v>2023</v>
      </c>
      <c r="H2104" t="inlineStr">
        <is>
          <t>Septiembre</t>
        </is>
      </c>
      <c r="I2104" t="inlineStr">
        <is>
          <t>2023-2</t>
        </is>
      </c>
      <c r="J2104" t="n">
        <v>90</v>
      </c>
      <c r="K2104" t="n">
        <v>90.31</v>
      </c>
      <c r="L2104" s="39" t="n">
        <v>1.003444444444444</v>
      </c>
      <c r="M2104" s="39" t="n">
        <v>1.003444444444444</v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410-2023-09-30</t>
        </is>
      </c>
    </row>
    <row r="2105" hidden="1">
      <c r="A2105" t="n">
        <v>411</v>
      </c>
      <c r="B2105" t="inlineStr">
        <is>
          <t>Cumplimiento Planes De Relacionamiento</t>
        </is>
      </c>
      <c r="C2105" t="inlineStr">
        <is>
          <t>Comunicaciones Externas</t>
        </is>
      </c>
      <c r="D2105" t="inlineStr">
        <is>
          <t>Semestral</t>
        </is>
      </c>
      <c r="E2105" t="inlineStr">
        <is>
          <t>Positivo</t>
        </is>
      </c>
      <c r="F2105" s="113" t="n">
        <v>45291</v>
      </c>
      <c r="G2105" t="n">
        <v>2023</v>
      </c>
      <c r="H2105" t="inlineStr">
        <is>
          <t>Diciembre</t>
        </is>
      </c>
      <c r="I2105" t="inlineStr">
        <is>
          <t>2023-2</t>
        </is>
      </c>
      <c r="J2105" t="n">
        <v>100</v>
      </c>
      <c r="K2105" t="n">
        <v>100</v>
      </c>
      <c r="L2105" s="39" t="n">
        <v>1</v>
      </c>
      <c r="M2105" s="39" t="n">
        <v>1</v>
      </c>
      <c r="N2105" t="inlineStr">
        <is>
          <t>%</t>
        </is>
      </c>
      <c r="O2105" t="inlineStr">
        <is>
          <t>%</t>
        </is>
      </c>
      <c r="P2105" t="n">
        <v>0</v>
      </c>
      <c r="Q2105" t="n">
        <v>0</v>
      </c>
      <c r="R2105" t="inlineStr">
        <is>
          <t>411-2023-12-31</t>
        </is>
      </c>
    </row>
    <row r="2106" hidden="1">
      <c r="A2106" t="n">
        <v>412</v>
      </c>
      <c r="B2106" t="inlineStr">
        <is>
          <t>Participaciones en 2 eventos externos de impacto</t>
        </is>
      </c>
      <c r="C2106" t="inlineStr">
        <is>
          <t>Comunicaciones Externas</t>
        </is>
      </c>
      <c r="D2106" t="inlineStr">
        <is>
          <t>Anual</t>
        </is>
      </c>
      <c r="E2106" t="inlineStr">
        <is>
          <t>Positivo</t>
        </is>
      </c>
      <c r="F2106" s="113" t="n">
        <v>45291</v>
      </c>
      <c r="G2106" t="n">
        <v>2023</v>
      </c>
      <c r="H2106" t="inlineStr">
        <is>
          <t>Diciembre</t>
        </is>
      </c>
      <c r="I2106" t="inlineStr">
        <is>
          <t>2023-2</t>
        </is>
      </c>
      <c r="J2106" t="n">
        <v>100</v>
      </c>
      <c r="K2106" t="n">
        <v>100</v>
      </c>
      <c r="L2106" s="39" t="n">
        <v>1</v>
      </c>
      <c r="M2106" s="39" t="n">
        <v>1</v>
      </c>
      <c r="N2106" t="inlineStr">
        <is>
          <t>%</t>
        </is>
      </c>
      <c r="O2106" t="inlineStr">
        <is>
          <t>%</t>
        </is>
      </c>
      <c r="P2106" t="n">
        <v>0</v>
      </c>
      <c r="Q2106" t="n">
        <v>0</v>
      </c>
      <c r="R2106" t="inlineStr">
        <is>
          <t>412-2023-12-31</t>
        </is>
      </c>
    </row>
    <row r="2107" hidden="1">
      <c r="A2107" t="n">
        <v>412</v>
      </c>
      <c r="B2107" t="inlineStr">
        <is>
          <t>Participación en eventos externos de impacto</t>
        </is>
      </c>
      <c r="C2107" t="inlineStr">
        <is>
          <t>Comunicaciones Externas</t>
        </is>
      </c>
      <c r="D2107" t="inlineStr">
        <is>
          <t>Anual</t>
        </is>
      </c>
      <c r="E2107" t="inlineStr">
        <is>
          <t>Positivo</t>
        </is>
      </c>
      <c r="F2107" s="113" t="n">
        <v>45657</v>
      </c>
      <c r="G2107" t="n">
        <v>2024</v>
      </c>
      <c r="H2107" t="inlineStr">
        <is>
          <t>Diciembre</t>
        </is>
      </c>
      <c r="I2107" t="inlineStr">
        <is>
          <t>2024-2</t>
        </is>
      </c>
      <c r="J2107" t="n">
        <v>100</v>
      </c>
      <c r="K2107" t="n">
        <v>100</v>
      </c>
      <c r="L2107" s="39" t="n">
        <v>1</v>
      </c>
      <c r="M2107" s="39" t="n">
        <v>1</v>
      </c>
      <c r="N2107" t="inlineStr">
        <is>
          <t>%</t>
        </is>
      </c>
      <c r="O2107" t="inlineStr">
        <is>
          <t>%</t>
        </is>
      </c>
      <c r="P2107" t="n">
        <v>0</v>
      </c>
      <c r="Q2107" t="n">
        <v>0</v>
      </c>
      <c r="R2107" t="inlineStr">
        <is>
          <t>412-2024-12-31</t>
        </is>
      </c>
    </row>
    <row r="2108" hidden="1">
      <c r="A2108" t="n">
        <v>413</v>
      </c>
      <c r="B2108" t="inlineStr">
        <is>
          <t>Participaciones del Poli como sede o patrocinador</t>
        </is>
      </c>
      <c r="C2108" t="inlineStr">
        <is>
          <t>Comunicaciones Externas</t>
        </is>
      </c>
      <c r="D2108" t="inlineStr">
        <is>
          <t>Anual</t>
        </is>
      </c>
      <c r="E2108" t="inlineStr">
        <is>
          <t>Positivo</t>
        </is>
      </c>
      <c r="F2108" s="113" t="n">
        <v>45291</v>
      </c>
      <c r="G2108" t="n">
        <v>2023</v>
      </c>
      <c r="H2108" t="inlineStr">
        <is>
          <t>Diciembre</t>
        </is>
      </c>
      <c r="I2108" t="inlineStr">
        <is>
          <t>2023-2</t>
        </is>
      </c>
      <c r="K2108" t="n">
        <v>100</v>
      </c>
      <c r="L2108" s="39" t="n"/>
      <c r="M2108" s="39" t="n"/>
      <c r="N2108" t="inlineStr">
        <is>
          <t>Linea Base</t>
        </is>
      </c>
      <c r="O2108" t="inlineStr">
        <is>
          <t>%</t>
        </is>
      </c>
      <c r="P2108" t="n">
        <v>0</v>
      </c>
      <c r="Q2108" t="n">
        <v>0</v>
      </c>
      <c r="R2108" t="inlineStr">
        <is>
          <t>413-2023-12-31</t>
        </is>
      </c>
    </row>
    <row r="2109" hidden="1">
      <c r="A2109" t="n">
        <v>413</v>
      </c>
      <c r="B2109" t="inlineStr">
        <is>
          <t>Participación del Poli como sede o patrocinador</t>
        </is>
      </c>
      <c r="C2109" t="inlineStr">
        <is>
          <t>Comunicaciones Externas</t>
        </is>
      </c>
      <c r="D2109" t="inlineStr">
        <is>
          <t>Anual</t>
        </is>
      </c>
      <c r="E2109" t="inlineStr">
        <is>
          <t>Positivo</t>
        </is>
      </c>
      <c r="F2109" s="113" t="n">
        <v>45657</v>
      </c>
      <c r="G2109" t="n">
        <v>2024</v>
      </c>
      <c r="H2109" t="inlineStr">
        <is>
          <t>Diciembre</t>
        </is>
      </c>
      <c r="I2109" t="inlineStr">
        <is>
          <t>2024-2</t>
        </is>
      </c>
      <c r="J2109" t="n">
        <v>100</v>
      </c>
      <c r="K2109" t="n">
        <v>100</v>
      </c>
      <c r="L2109" s="39" t="n">
        <v>1</v>
      </c>
      <c r="M2109" s="39" t="n">
        <v>1</v>
      </c>
      <c r="P2109" t="n">
        <v>0</v>
      </c>
      <c r="Q2109" t="n">
        <v>0</v>
      </c>
      <c r="R2109" t="inlineStr">
        <is>
          <t>413-2024-12-31</t>
        </is>
      </c>
    </row>
    <row r="2110" hidden="1">
      <c r="A2110" t="n">
        <v>413</v>
      </c>
      <c r="B2110" t="inlineStr">
        <is>
          <t>Participación del Poli como sede o patrocinador</t>
        </is>
      </c>
      <c r="C2110" t="inlineStr">
        <is>
          <t>Comunicaciones Externas</t>
        </is>
      </c>
      <c r="D2110" t="inlineStr">
        <is>
          <t>Anual</t>
        </is>
      </c>
      <c r="E2110" t="inlineStr">
        <is>
          <t>Positivo</t>
        </is>
      </c>
      <c r="F2110" s="113" t="n">
        <v>46022</v>
      </c>
      <c r="G2110" t="n">
        <v>2025</v>
      </c>
      <c r="H2110" t="inlineStr">
        <is>
          <t>Diciembre</t>
        </is>
      </c>
      <c r="I2110" t="inlineStr">
        <is>
          <t>2025-2</t>
        </is>
      </c>
      <c r="J2110" t="n">
        <v>100</v>
      </c>
      <c r="K2110" t="n">
        <v>100</v>
      </c>
      <c r="L2110" s="39" t="n">
        <v>1</v>
      </c>
      <c r="M2110" s="39" t="n">
        <v>1</v>
      </c>
      <c r="N2110" t="inlineStr">
        <is>
          <t>Linea Base</t>
        </is>
      </c>
      <c r="O2110" t="inlineStr">
        <is>
          <t>ENT</t>
        </is>
      </c>
      <c r="P2110" t="n">
        <v>0</v>
      </c>
      <c r="Q2110" t="n">
        <v>0</v>
      </c>
      <c r="R2110" t="inlineStr">
        <is>
          <t>413-2025-12-31</t>
        </is>
      </c>
    </row>
    <row r="2111" hidden="1">
      <c r="A2111" t="n">
        <v>414</v>
      </c>
      <c r="B2111" t="inlineStr">
        <is>
          <t>Cumplimiento Plan Anual Rectoría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3" t="n">
        <v>45016</v>
      </c>
      <c r="G2111" t="n">
        <v>2023</v>
      </c>
      <c r="H2111" t="inlineStr">
        <is>
          <t>Marzo</t>
        </is>
      </c>
      <c r="I2111" t="inlineStr">
        <is>
          <t>2023-1</t>
        </is>
      </c>
      <c r="J2111" t="n">
        <v>100</v>
      </c>
      <c r="K2111" t="n">
        <v>0</v>
      </c>
      <c r="L2111" s="39" t="n">
        <v>0</v>
      </c>
      <c r="M2111" s="39" t="n">
        <v>0</v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414-2023-03-31</t>
        </is>
      </c>
    </row>
    <row r="2112" hidden="1">
      <c r="A2112" t="n">
        <v>414</v>
      </c>
      <c r="B2112" t="inlineStr">
        <is>
          <t>Cumplimiento Plan Anual Rectoría</t>
        </is>
      </c>
      <c r="D2112" t="inlineStr">
        <is>
          <t>Trimestral</t>
        </is>
      </c>
      <c r="E2112" t="inlineStr">
        <is>
          <t>Positivo</t>
        </is>
      </c>
      <c r="F2112" s="113" t="n">
        <v>45107</v>
      </c>
      <c r="G2112" t="n">
        <v>2023</v>
      </c>
      <c r="H2112" t="inlineStr">
        <is>
          <t>Junio</t>
        </is>
      </c>
      <c r="I2112" t="inlineStr">
        <is>
          <t>2023-1</t>
        </is>
      </c>
      <c r="J2112" t="n">
        <v>100</v>
      </c>
      <c r="K2112" t="n">
        <v>110.01</v>
      </c>
      <c r="L2112" s="39" t="n">
        <v>1.1001</v>
      </c>
      <c r="M2112" s="39" t="n">
        <v>1.1001</v>
      </c>
      <c r="P2112" t="n">
        <v>0</v>
      </c>
      <c r="Q2112" t="n">
        <v>0</v>
      </c>
      <c r="R2112" t="inlineStr">
        <is>
          <t>414-2023-06-30</t>
        </is>
      </c>
    </row>
    <row r="2113" hidden="1">
      <c r="A2113" t="n">
        <v>414</v>
      </c>
      <c r="B2113" t="inlineStr">
        <is>
          <t>Cumplimiento Plan Anual Rectoría</t>
        </is>
      </c>
      <c r="D2113" t="inlineStr">
        <is>
          <t>Trimestral</t>
        </is>
      </c>
      <c r="E2113" t="inlineStr">
        <is>
          <t>Positivo</t>
        </is>
      </c>
      <c r="F2113" s="113" t="n">
        <v>45199</v>
      </c>
      <c r="G2113" t="n">
        <v>2023</v>
      </c>
      <c r="H2113" t="inlineStr">
        <is>
          <t>Septiembre</t>
        </is>
      </c>
      <c r="I2113" t="inlineStr">
        <is>
          <t>2023-2</t>
        </is>
      </c>
      <c r="J2113" t="n">
        <v>100</v>
      </c>
      <c r="K2113" t="n">
        <v>93.54000000000001</v>
      </c>
      <c r="L2113" s="39" t="n">
        <v>0.9354</v>
      </c>
      <c r="M2113" s="39" t="n">
        <v>0.9354</v>
      </c>
      <c r="P2113" t="n">
        <v>0</v>
      </c>
      <c r="Q2113" t="n">
        <v>0</v>
      </c>
      <c r="R2113" t="inlineStr">
        <is>
          <t>414-2023-09-30</t>
        </is>
      </c>
    </row>
    <row r="2114" hidden="1">
      <c r="A2114" t="n">
        <v>414</v>
      </c>
      <c r="B2114" t="inlineStr">
        <is>
          <t>Cumplimiento Plan Anual Rectoría</t>
        </is>
      </c>
      <c r="D2114" t="inlineStr">
        <is>
          <t>Trimestral</t>
        </is>
      </c>
      <c r="E2114" t="inlineStr">
        <is>
          <t>Positivo</t>
        </is>
      </c>
      <c r="F2114" s="113" t="n">
        <v>45291</v>
      </c>
      <c r="G2114" t="n">
        <v>2023</v>
      </c>
      <c r="H2114" t="inlineStr">
        <is>
          <t>Diciembre</t>
        </is>
      </c>
      <c r="I2114" t="inlineStr">
        <is>
          <t>2023-2</t>
        </is>
      </c>
      <c r="J2114" t="n">
        <v>100</v>
      </c>
      <c r="K2114" t="n">
        <v>96.28</v>
      </c>
      <c r="L2114" s="39" t="n">
        <v>0.9628</v>
      </c>
      <c r="M2114" s="39" t="n">
        <v>0.9628</v>
      </c>
      <c r="P2114" t="n">
        <v>0</v>
      </c>
      <c r="Q2114" t="n">
        <v>0</v>
      </c>
      <c r="R2114" t="inlineStr">
        <is>
          <t>414-2023-12-31</t>
        </is>
      </c>
    </row>
    <row r="2115" hidden="1">
      <c r="A2115" t="n">
        <v>414</v>
      </c>
      <c r="B2115" t="inlineStr">
        <is>
          <t>Cumplimiento Plan Anual Rectoría</t>
        </is>
      </c>
      <c r="C2115" t="inlineStr">
        <is>
          <t>Planeación Estratégica</t>
        </is>
      </c>
      <c r="D2115" t="inlineStr">
        <is>
          <t>Trimestral</t>
        </is>
      </c>
      <c r="E2115" t="inlineStr">
        <is>
          <t>Positivo</t>
        </is>
      </c>
      <c r="F2115" s="113" t="n">
        <v>45382</v>
      </c>
      <c r="G2115" t="n">
        <v>2024</v>
      </c>
      <c r="H2115" t="inlineStr">
        <is>
          <t>Marzo</t>
        </is>
      </c>
      <c r="I2115" t="inlineStr">
        <is>
          <t>2024-1</t>
        </is>
      </c>
      <c r="J2115" t="n">
        <v>100</v>
      </c>
      <c r="K2115" t="n">
        <v>99.3</v>
      </c>
      <c r="L2115" s="39" t="n">
        <v>0.993</v>
      </c>
      <c r="M2115" s="39" t="n">
        <v>0.993</v>
      </c>
      <c r="P2115" t="n">
        <v>0</v>
      </c>
      <c r="Q2115" t="n">
        <v>0</v>
      </c>
      <c r="R2115" t="inlineStr">
        <is>
          <t>414-2024-03-31</t>
        </is>
      </c>
    </row>
    <row r="2116" hidden="1">
      <c r="A2116" t="n">
        <v>414</v>
      </c>
      <c r="B2116" t="inlineStr">
        <is>
          <t>Cumplimiento Plan Anual Rectoría</t>
        </is>
      </c>
      <c r="C2116" t="inlineStr">
        <is>
          <t>Planeación Estratégica</t>
        </is>
      </c>
      <c r="D2116" t="inlineStr">
        <is>
          <t>Trimestral</t>
        </is>
      </c>
      <c r="E2116" t="inlineStr">
        <is>
          <t>Positivo</t>
        </is>
      </c>
      <c r="F2116" s="113" t="n">
        <v>45473</v>
      </c>
      <c r="G2116" t="n">
        <v>2024</v>
      </c>
      <c r="H2116" t="inlineStr">
        <is>
          <t>Junio</t>
        </is>
      </c>
      <c r="I2116" t="inlineStr">
        <is>
          <t>2024-1</t>
        </is>
      </c>
      <c r="J2116" t="n">
        <v>100</v>
      </c>
      <c r="K2116" t="n">
        <v>100.06</v>
      </c>
      <c r="L2116" s="39" t="n">
        <v>1.0006</v>
      </c>
      <c r="M2116" s="39" t="n">
        <v>1.0006</v>
      </c>
      <c r="P2116" t="n">
        <v>0</v>
      </c>
      <c r="Q2116" t="n">
        <v>0</v>
      </c>
      <c r="R2116" t="inlineStr">
        <is>
          <t>414-2024-06-30</t>
        </is>
      </c>
    </row>
    <row r="2117" hidden="1">
      <c r="A2117" t="n">
        <v>414</v>
      </c>
      <c r="B2117" t="inlineStr">
        <is>
          <t>Cumplimiento Plan Anual Rectoría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13" t="n">
        <v>45565</v>
      </c>
      <c r="G2117" t="n">
        <v>2024</v>
      </c>
      <c r="H2117" t="inlineStr">
        <is>
          <t>Septiembre</t>
        </is>
      </c>
      <c r="I2117" t="inlineStr">
        <is>
          <t>2024-2</t>
        </is>
      </c>
      <c r="J2117" t="n">
        <v>100</v>
      </c>
      <c r="K2117" t="n">
        <v>99.38</v>
      </c>
      <c r="L2117" s="39" t="n">
        <v>0.9937999999999999</v>
      </c>
      <c r="M2117" s="39" t="n">
        <v>0.9937999999999999</v>
      </c>
      <c r="P2117" t="n">
        <v>0</v>
      </c>
      <c r="Q2117" t="n">
        <v>0</v>
      </c>
      <c r="R2117" t="inlineStr">
        <is>
          <t>414-2024-09-30</t>
        </is>
      </c>
    </row>
    <row r="2118" hidden="1">
      <c r="A2118" t="n">
        <v>414</v>
      </c>
      <c r="B2118" t="inlineStr">
        <is>
          <t>Cumplimiento Plan Anual Rectoría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13" t="n">
        <v>45657</v>
      </c>
      <c r="G2118" t="n">
        <v>2024</v>
      </c>
      <c r="H2118" t="inlineStr">
        <is>
          <t>Diciembre</t>
        </is>
      </c>
      <c r="I2118" t="inlineStr">
        <is>
          <t>2024-2</t>
        </is>
      </c>
      <c r="J2118" t="n">
        <v>100</v>
      </c>
      <c r="K2118" t="n">
        <v>98.78</v>
      </c>
      <c r="L2118" s="39" t="n">
        <v>0.9878</v>
      </c>
      <c r="M2118" s="39" t="n">
        <v>0.9878</v>
      </c>
      <c r="P2118" t="n">
        <v>0</v>
      </c>
      <c r="Q2118" t="n">
        <v>0</v>
      </c>
      <c r="R2118" t="inlineStr">
        <is>
          <t>414-2024-12-31</t>
        </is>
      </c>
    </row>
    <row r="2119" hidden="1">
      <c r="A2119" t="n">
        <v>414</v>
      </c>
      <c r="B2119" t="inlineStr">
        <is>
          <t>Cumplimiento Plan Anual Rectoría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3" t="n">
        <v>45747</v>
      </c>
      <c r="G2119" t="n">
        <v>2025</v>
      </c>
      <c r="H2119" t="inlineStr">
        <is>
          <t>Marzo</t>
        </is>
      </c>
      <c r="I2119" t="inlineStr">
        <is>
          <t>2025-1</t>
        </is>
      </c>
      <c r="J2119" t="n">
        <v>100</v>
      </c>
      <c r="K2119" t="n">
        <v>110.79</v>
      </c>
      <c r="L2119" s="39" t="n">
        <v>1.1079</v>
      </c>
      <c r="M2119" s="39" t="n">
        <v>1.1079</v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414-2025-03-31</t>
        </is>
      </c>
    </row>
    <row r="2120" hidden="1">
      <c r="A2120" t="n">
        <v>414</v>
      </c>
      <c r="B2120" t="inlineStr">
        <is>
          <t>Cumplimiento Plan Anual Rectoría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3" t="n">
        <v>45838</v>
      </c>
      <c r="G2120" t="n">
        <v>2025</v>
      </c>
      <c r="H2120" t="inlineStr">
        <is>
          <t>Junio</t>
        </is>
      </c>
      <c r="I2120" t="inlineStr">
        <is>
          <t>2025-1</t>
        </is>
      </c>
      <c r="J2120" t="n">
        <v>100</v>
      </c>
      <c r="K2120" t="n">
        <v>108.55</v>
      </c>
      <c r="L2120" s="39" t="n">
        <v>1.0855</v>
      </c>
      <c r="M2120" s="39" t="n">
        <v>1.0855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414-2025-06-30</t>
        </is>
      </c>
    </row>
    <row r="2121" hidden="1">
      <c r="A2121" t="n">
        <v>414</v>
      </c>
      <c r="B2121" t="inlineStr">
        <is>
          <t>Cumplimiento Plan Anual Rectoría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3" t="n">
        <v>45930</v>
      </c>
      <c r="G2121" t="n">
        <v>2025</v>
      </c>
      <c r="H2121" t="inlineStr">
        <is>
          <t>Septiembre</t>
        </is>
      </c>
      <c r="I2121" t="inlineStr">
        <is>
          <t>2025-2</t>
        </is>
      </c>
      <c r="J2121" t="n">
        <v>100</v>
      </c>
      <c r="K2121" t="n">
        <v>93.59999999999999</v>
      </c>
      <c r="L2121" s="39" t="n">
        <v>0.9359999999999999</v>
      </c>
      <c r="M2121" s="39" t="n">
        <v>0.9359999999999999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414-2025-09-30</t>
        </is>
      </c>
    </row>
    <row r="2122" hidden="1">
      <c r="A2122" t="n">
        <v>414</v>
      </c>
      <c r="B2122" t="inlineStr">
        <is>
          <t>Cumplimiento Plan Anual Rectoría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3" t="n">
        <v>46022</v>
      </c>
      <c r="G2122" t="n">
        <v>2025</v>
      </c>
      <c r="H2122" t="inlineStr">
        <is>
          <t>Diciembre</t>
        </is>
      </c>
      <c r="I2122" t="inlineStr">
        <is>
          <t>2025-2</t>
        </is>
      </c>
      <c r="J2122" t="n">
        <v>100</v>
      </c>
      <c r="K2122" t="n">
        <v>98.87</v>
      </c>
      <c r="L2122" s="39" t="n">
        <v>0.9887</v>
      </c>
      <c r="M2122" s="39" t="n">
        <v>0.9887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414-2025-12-31</t>
        </is>
      </c>
    </row>
    <row r="2123" hidden="1">
      <c r="A2123" t="n">
        <v>415</v>
      </c>
      <c r="B2123" t="inlineStr">
        <is>
          <t>Cumplimiento Plan Anual Vicerrectoría del estudiante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3" t="n">
        <v>45016</v>
      </c>
      <c r="G2123" t="n">
        <v>2023</v>
      </c>
      <c r="H2123" t="inlineStr">
        <is>
          <t>Marzo</t>
        </is>
      </c>
      <c r="I2123" t="inlineStr">
        <is>
          <t>2023-1</t>
        </is>
      </c>
      <c r="J2123" t="n">
        <v>100</v>
      </c>
      <c r="K2123" t="n">
        <v>0</v>
      </c>
      <c r="L2123" s="39" t="n">
        <v>0</v>
      </c>
      <c r="M2123" s="39" t="n">
        <v>0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415-2023-03-31</t>
        </is>
      </c>
    </row>
    <row r="2124" hidden="1">
      <c r="A2124" t="n">
        <v>415</v>
      </c>
      <c r="B2124" t="inlineStr">
        <is>
          <t>Cumplimiento Plan Anual Vicerrectoría del estudiante</t>
        </is>
      </c>
      <c r="D2124" t="inlineStr">
        <is>
          <t>Trimestral</t>
        </is>
      </c>
      <c r="E2124" t="inlineStr">
        <is>
          <t>Positivo</t>
        </is>
      </c>
      <c r="F2124" s="113" t="n">
        <v>45107</v>
      </c>
      <c r="G2124" t="n">
        <v>2023</v>
      </c>
      <c r="H2124" t="inlineStr">
        <is>
          <t>Junio</t>
        </is>
      </c>
      <c r="I2124" t="inlineStr">
        <is>
          <t>2023-1</t>
        </is>
      </c>
      <c r="J2124" t="n">
        <v>100</v>
      </c>
      <c r="K2124" t="n">
        <v>94.04000000000001</v>
      </c>
      <c r="L2124" s="39" t="n">
        <v>0.9404</v>
      </c>
      <c r="M2124" s="39" t="n">
        <v>0.9404</v>
      </c>
      <c r="P2124" t="n">
        <v>0</v>
      </c>
      <c r="Q2124" t="n">
        <v>0</v>
      </c>
      <c r="R2124" t="inlineStr">
        <is>
          <t>415-2023-06-30</t>
        </is>
      </c>
    </row>
    <row r="2125" hidden="1">
      <c r="A2125" t="n">
        <v>415</v>
      </c>
      <c r="B2125" t="inlineStr">
        <is>
          <t>Cumplimiento Plan Anual Vicerrectoría del estudiante</t>
        </is>
      </c>
      <c r="D2125" t="inlineStr">
        <is>
          <t>Trimestral</t>
        </is>
      </c>
      <c r="E2125" t="inlineStr">
        <is>
          <t>Positivo</t>
        </is>
      </c>
      <c r="F2125" s="113" t="n">
        <v>45199</v>
      </c>
      <c r="G2125" t="n">
        <v>2023</v>
      </c>
      <c r="H2125" t="inlineStr">
        <is>
          <t>Septiembre</t>
        </is>
      </c>
      <c r="I2125" t="inlineStr">
        <is>
          <t>2023-2</t>
        </is>
      </c>
      <c r="J2125" t="n">
        <v>100</v>
      </c>
      <c r="K2125" t="n">
        <v>93.94</v>
      </c>
      <c r="L2125" s="39" t="n">
        <v>0.9394</v>
      </c>
      <c r="M2125" s="39" t="n">
        <v>0.9394</v>
      </c>
      <c r="P2125" t="n">
        <v>0</v>
      </c>
      <c r="Q2125" t="n">
        <v>0</v>
      </c>
      <c r="R2125" t="inlineStr">
        <is>
          <t>415-2023-09-30</t>
        </is>
      </c>
    </row>
    <row r="2126" hidden="1">
      <c r="A2126" t="n">
        <v>415</v>
      </c>
      <c r="B2126" t="inlineStr">
        <is>
          <t>Cumplimiento Plan Anual Vicerrectoría del estudiante</t>
        </is>
      </c>
      <c r="D2126" t="inlineStr">
        <is>
          <t>Trimestral</t>
        </is>
      </c>
      <c r="E2126" t="inlineStr">
        <is>
          <t>Positivo</t>
        </is>
      </c>
      <c r="F2126" s="113" t="n">
        <v>45291</v>
      </c>
      <c r="G2126" t="n">
        <v>2023</v>
      </c>
      <c r="H2126" t="inlineStr">
        <is>
          <t>Diciembre</t>
        </is>
      </c>
      <c r="I2126" t="inlineStr">
        <is>
          <t>2023-2</t>
        </is>
      </c>
      <c r="J2126" t="n">
        <v>100</v>
      </c>
      <c r="K2126" t="n">
        <v>96</v>
      </c>
      <c r="L2126" s="39" t="n">
        <v>0.96</v>
      </c>
      <c r="M2126" s="39" t="n">
        <v>0.96</v>
      </c>
      <c r="P2126" t="n">
        <v>0</v>
      </c>
      <c r="Q2126" t="n">
        <v>0</v>
      </c>
      <c r="R2126" t="inlineStr">
        <is>
          <t>415-2023-12-31</t>
        </is>
      </c>
    </row>
    <row r="2127" hidden="1">
      <c r="A2127" t="n">
        <v>415</v>
      </c>
      <c r="B2127" t="inlineStr">
        <is>
          <t>Cumplimiento Plan Anual Vicerrectoría del estudiante</t>
        </is>
      </c>
      <c r="C2127" t="inlineStr">
        <is>
          <t>Planeación Estratégica</t>
        </is>
      </c>
      <c r="D2127" t="inlineStr">
        <is>
          <t>Trimestral</t>
        </is>
      </c>
      <c r="E2127" t="inlineStr">
        <is>
          <t>Positivo</t>
        </is>
      </c>
      <c r="F2127" s="113" t="n">
        <v>45382</v>
      </c>
      <c r="G2127" t="n">
        <v>2024</v>
      </c>
      <c r="H2127" t="inlineStr">
        <is>
          <t>Marzo</t>
        </is>
      </c>
      <c r="I2127" t="inlineStr">
        <is>
          <t>2024-1</t>
        </is>
      </c>
      <c r="J2127" t="n">
        <v>100</v>
      </c>
      <c r="K2127" t="n">
        <v>80.79000000000001</v>
      </c>
      <c r="L2127" s="39" t="n">
        <v>0.8079000000000001</v>
      </c>
      <c r="M2127" s="39" t="n">
        <v>0.8079000000000001</v>
      </c>
      <c r="P2127" t="n">
        <v>0</v>
      </c>
      <c r="Q2127" t="n">
        <v>0</v>
      </c>
      <c r="R2127" t="inlineStr">
        <is>
          <t>415-2024-03-31</t>
        </is>
      </c>
    </row>
    <row r="2128" hidden="1">
      <c r="A2128" t="n">
        <v>415</v>
      </c>
      <c r="B2128" t="inlineStr">
        <is>
          <t>Cumplimiento Plan Anual Vicerrectoría del estudiante</t>
        </is>
      </c>
      <c r="C2128" t="inlineStr">
        <is>
          <t>Planeación Estratégica</t>
        </is>
      </c>
      <c r="D2128" t="inlineStr">
        <is>
          <t>Trimestral</t>
        </is>
      </c>
      <c r="E2128" t="inlineStr">
        <is>
          <t>Positivo</t>
        </is>
      </c>
      <c r="F2128" s="113" t="n">
        <v>45473</v>
      </c>
      <c r="G2128" t="n">
        <v>2024</v>
      </c>
      <c r="H2128" t="inlineStr">
        <is>
          <t>Junio</t>
        </is>
      </c>
      <c r="I2128" t="inlineStr">
        <is>
          <t>2024-1</t>
        </is>
      </c>
      <c r="J2128" t="n">
        <v>100</v>
      </c>
      <c r="K2128" t="n">
        <v>93.04000000000001</v>
      </c>
      <c r="L2128" s="39" t="n">
        <v>0.9304000000000001</v>
      </c>
      <c r="M2128" s="39" t="n">
        <v>0.9304000000000001</v>
      </c>
      <c r="P2128" t="n">
        <v>0</v>
      </c>
      <c r="Q2128" t="n">
        <v>0</v>
      </c>
      <c r="R2128" t="inlineStr">
        <is>
          <t>415-2024-06-30</t>
        </is>
      </c>
    </row>
    <row r="2129" hidden="1">
      <c r="A2129" t="n">
        <v>415</v>
      </c>
      <c r="B2129" t="inlineStr">
        <is>
          <t>Cumplimiento Plan Anual Vicerrectoría del estudiante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13" t="n">
        <v>45565</v>
      </c>
      <c r="G2129" t="n">
        <v>2024</v>
      </c>
      <c r="H2129" t="inlineStr">
        <is>
          <t>Septiembre</t>
        </is>
      </c>
      <c r="I2129" t="inlineStr">
        <is>
          <t>2024-2</t>
        </is>
      </c>
      <c r="J2129" t="n">
        <v>100</v>
      </c>
      <c r="K2129" t="n">
        <v>92.45999999999999</v>
      </c>
      <c r="L2129" s="39" t="n">
        <v>0.9246</v>
      </c>
      <c r="M2129" s="39" t="n">
        <v>0.9246</v>
      </c>
      <c r="P2129" t="n">
        <v>0</v>
      </c>
      <c r="Q2129" t="n">
        <v>0</v>
      </c>
      <c r="R2129" t="inlineStr">
        <is>
          <t>415-2024-09-30</t>
        </is>
      </c>
    </row>
    <row r="2130" hidden="1">
      <c r="A2130" t="n">
        <v>415</v>
      </c>
      <c r="B2130" t="inlineStr">
        <is>
          <t>Cumplimiento Plan Anual Vicerrectoría del estudiante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13" t="n">
        <v>45657</v>
      </c>
      <c r="G2130" t="n">
        <v>2024</v>
      </c>
      <c r="H2130" t="inlineStr">
        <is>
          <t>Diciembre</t>
        </is>
      </c>
      <c r="I2130" t="inlineStr">
        <is>
          <t>2024-2</t>
        </is>
      </c>
      <c r="J2130" t="n">
        <v>100</v>
      </c>
      <c r="K2130" t="n">
        <v>98.36</v>
      </c>
      <c r="L2130" s="39" t="n">
        <v>0.9836</v>
      </c>
      <c r="M2130" s="39" t="n">
        <v>0.9836</v>
      </c>
      <c r="P2130" t="n">
        <v>0</v>
      </c>
      <c r="Q2130" t="n">
        <v>0</v>
      </c>
      <c r="R2130" t="inlineStr">
        <is>
          <t>415-2024-12-31</t>
        </is>
      </c>
    </row>
    <row r="2131" hidden="1">
      <c r="A2131" t="n">
        <v>415</v>
      </c>
      <c r="B2131" t="inlineStr">
        <is>
          <t>Cumplimiento Plan Anual Vicerrectoría del estudiante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13" t="n">
        <v>45747</v>
      </c>
      <c r="G2131" t="n">
        <v>2025</v>
      </c>
      <c r="H2131" t="inlineStr">
        <is>
          <t>Marzo</t>
        </is>
      </c>
      <c r="I2131" t="inlineStr">
        <is>
          <t>2025-1</t>
        </is>
      </c>
      <c r="J2131" t="n">
        <v>100</v>
      </c>
      <c r="K2131" t="n">
        <v>104.76</v>
      </c>
      <c r="L2131" s="39" t="n">
        <v>1.0476</v>
      </c>
      <c r="M2131" s="39" t="n">
        <v>1.0476</v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415-2025-03-31</t>
        </is>
      </c>
    </row>
    <row r="2132" hidden="1">
      <c r="A2132" t="n">
        <v>415</v>
      </c>
      <c r="B2132" t="inlineStr">
        <is>
          <t>Cumplimiento Plan Anual Vicerrectoría del estudiante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3" t="n">
        <v>45838</v>
      </c>
      <c r="G2132" t="n">
        <v>2025</v>
      </c>
      <c r="H2132" t="inlineStr">
        <is>
          <t>Junio</t>
        </is>
      </c>
      <c r="I2132" t="inlineStr">
        <is>
          <t>2025-1</t>
        </is>
      </c>
      <c r="J2132" t="n">
        <v>100</v>
      </c>
      <c r="K2132" t="n">
        <v>96.44</v>
      </c>
      <c r="L2132" s="39" t="n">
        <v>0.9643999999999999</v>
      </c>
      <c r="M2132" s="39" t="n">
        <v>0.9643999999999999</v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415-2025-06-30</t>
        </is>
      </c>
    </row>
    <row r="2133" hidden="1">
      <c r="A2133" t="n">
        <v>415</v>
      </c>
      <c r="B2133" t="inlineStr">
        <is>
          <t>Cumplimiento Plan Anual Vicerrectoría del estudiante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3" t="n">
        <v>45930</v>
      </c>
      <c r="G2133" t="n">
        <v>2025</v>
      </c>
      <c r="H2133" t="inlineStr">
        <is>
          <t>Septiembre</t>
        </is>
      </c>
      <c r="I2133" t="inlineStr">
        <is>
          <t>2025-2</t>
        </is>
      </c>
      <c r="J2133" t="n">
        <v>100</v>
      </c>
      <c r="K2133" t="n">
        <v>95.56</v>
      </c>
      <c r="L2133" s="39" t="n">
        <v>0.9556</v>
      </c>
      <c r="M2133" s="39" t="n">
        <v>0.9556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415-2025-09-30</t>
        </is>
      </c>
    </row>
    <row r="2134" hidden="1">
      <c r="A2134" t="n">
        <v>415</v>
      </c>
      <c r="B2134" t="inlineStr">
        <is>
          <t>Cumplimiento Plan Anual Vicerrectoría del estudiante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3" t="n">
        <v>46022</v>
      </c>
      <c r="G2134" t="n">
        <v>2025</v>
      </c>
      <c r="H2134" t="inlineStr">
        <is>
          <t>Diciembre</t>
        </is>
      </c>
      <c r="I2134" t="inlineStr">
        <is>
          <t>2025-2</t>
        </is>
      </c>
      <c r="J2134" t="n">
        <v>100</v>
      </c>
      <c r="K2134" t="n">
        <v>99.3</v>
      </c>
      <c r="L2134" s="39" t="n">
        <v>0.993</v>
      </c>
      <c r="M2134" s="39" t="n">
        <v>0.993</v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415-2025-12-31</t>
        </is>
      </c>
    </row>
    <row r="2135" hidden="1">
      <c r="A2135" t="n">
        <v>416</v>
      </c>
      <c r="B2135" t="inlineStr">
        <is>
          <t>Cumplimiento Plan Anual Vicerrectoría de crecimiento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3" t="n">
        <v>45016</v>
      </c>
      <c r="G2135" t="n">
        <v>2023</v>
      </c>
      <c r="H2135" t="inlineStr">
        <is>
          <t>Marzo</t>
        </is>
      </c>
      <c r="I2135" t="inlineStr">
        <is>
          <t>2023-1</t>
        </is>
      </c>
      <c r="J2135" t="n">
        <v>100</v>
      </c>
      <c r="K2135" t="n">
        <v>0</v>
      </c>
      <c r="L2135" s="39" t="n">
        <v>0</v>
      </c>
      <c r="M2135" s="39" t="n">
        <v>0</v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416-2023-03-31</t>
        </is>
      </c>
    </row>
    <row r="2136" hidden="1">
      <c r="A2136" t="n">
        <v>416</v>
      </c>
      <c r="B2136" t="inlineStr">
        <is>
          <t>Cumplimiento Plan Anual Vicerrectoría de crecimiento</t>
        </is>
      </c>
      <c r="D2136" t="inlineStr">
        <is>
          <t>Trimestral</t>
        </is>
      </c>
      <c r="E2136" t="inlineStr">
        <is>
          <t>Positivo</t>
        </is>
      </c>
      <c r="F2136" s="113" t="n">
        <v>45107</v>
      </c>
      <c r="G2136" t="n">
        <v>2023</v>
      </c>
      <c r="H2136" t="inlineStr">
        <is>
          <t>Junio</t>
        </is>
      </c>
      <c r="I2136" t="inlineStr">
        <is>
          <t>2023-1</t>
        </is>
      </c>
      <c r="J2136" t="n">
        <v>100</v>
      </c>
      <c r="K2136" t="n">
        <v>95.73999999999999</v>
      </c>
      <c r="L2136" s="39" t="n">
        <v>0.9573999999999999</v>
      </c>
      <c r="M2136" s="39" t="n">
        <v>0.9573999999999999</v>
      </c>
      <c r="P2136" t="n">
        <v>0</v>
      </c>
      <c r="Q2136" t="n">
        <v>0</v>
      </c>
      <c r="R2136" t="inlineStr">
        <is>
          <t>416-2023-06-30</t>
        </is>
      </c>
    </row>
    <row r="2137" hidden="1">
      <c r="A2137" t="n">
        <v>416</v>
      </c>
      <c r="B2137" t="inlineStr">
        <is>
          <t>Cumplimiento Plan Anual Vicerrectoría de crecimiento</t>
        </is>
      </c>
      <c r="D2137" t="inlineStr">
        <is>
          <t>Trimestral</t>
        </is>
      </c>
      <c r="E2137" t="inlineStr">
        <is>
          <t>Positivo</t>
        </is>
      </c>
      <c r="F2137" s="113" t="n">
        <v>45199</v>
      </c>
      <c r="G2137" t="n">
        <v>2023</v>
      </c>
      <c r="H2137" t="inlineStr">
        <is>
          <t>Septiembre</t>
        </is>
      </c>
      <c r="I2137" t="inlineStr">
        <is>
          <t>2023-2</t>
        </is>
      </c>
      <c r="J2137" t="n">
        <v>100</v>
      </c>
      <c r="K2137" t="n">
        <v>87.94</v>
      </c>
      <c r="L2137" s="39" t="n">
        <v>0.8794</v>
      </c>
      <c r="M2137" s="39" t="n">
        <v>0.8794</v>
      </c>
      <c r="P2137" t="n">
        <v>0</v>
      </c>
      <c r="Q2137" t="n">
        <v>0</v>
      </c>
      <c r="R2137" t="inlineStr">
        <is>
          <t>416-2023-09-30</t>
        </is>
      </c>
    </row>
    <row r="2138" hidden="1">
      <c r="A2138" t="n">
        <v>416</v>
      </c>
      <c r="B2138" t="inlineStr">
        <is>
          <t>Cumplimiento Plan Anual Vicerrectoría de crecimiento</t>
        </is>
      </c>
      <c r="D2138" t="inlineStr">
        <is>
          <t>Trimestral</t>
        </is>
      </c>
      <c r="E2138" t="inlineStr">
        <is>
          <t>Positivo</t>
        </is>
      </c>
      <c r="F2138" s="113" t="n">
        <v>45291</v>
      </c>
      <c r="G2138" t="n">
        <v>2023</v>
      </c>
      <c r="H2138" t="inlineStr">
        <is>
          <t>Diciembre</t>
        </is>
      </c>
      <c r="I2138" t="inlineStr">
        <is>
          <t>2023-2</t>
        </is>
      </c>
      <c r="J2138" t="n">
        <v>100</v>
      </c>
      <c r="K2138" t="n">
        <v>98</v>
      </c>
      <c r="L2138" s="39" t="n">
        <v>0.98</v>
      </c>
      <c r="M2138" s="39" t="n">
        <v>0.98</v>
      </c>
      <c r="P2138" t="n">
        <v>0</v>
      </c>
      <c r="Q2138" t="n">
        <v>0</v>
      </c>
      <c r="R2138" t="inlineStr">
        <is>
          <t>416-2023-12-31</t>
        </is>
      </c>
    </row>
    <row r="2139" hidden="1">
      <c r="A2139" t="n">
        <v>416</v>
      </c>
      <c r="B2139" t="inlineStr">
        <is>
          <t>Cumplimiento Plan Anual Vicerrectoría de crecimiento</t>
        </is>
      </c>
      <c r="C2139" t="inlineStr">
        <is>
          <t>Planeación Estratégica</t>
        </is>
      </c>
      <c r="D2139" t="inlineStr">
        <is>
          <t>Trimestral</t>
        </is>
      </c>
      <c r="E2139" t="inlineStr">
        <is>
          <t>Positivo</t>
        </is>
      </c>
      <c r="F2139" s="113" t="n">
        <v>45382</v>
      </c>
      <c r="G2139" t="n">
        <v>2024</v>
      </c>
      <c r="H2139" t="inlineStr">
        <is>
          <t>Marzo</t>
        </is>
      </c>
      <c r="I2139" t="inlineStr">
        <is>
          <t>2024-1</t>
        </is>
      </c>
      <c r="J2139" t="n">
        <v>100</v>
      </c>
      <c r="K2139" t="n">
        <v>120.07</v>
      </c>
      <c r="L2139" s="39" t="n">
        <v>1.2007</v>
      </c>
      <c r="M2139" s="39" t="n">
        <v>1.2007</v>
      </c>
      <c r="P2139" t="n">
        <v>0</v>
      </c>
      <c r="Q2139" t="n">
        <v>0</v>
      </c>
      <c r="R2139" t="inlineStr">
        <is>
          <t>416-2024-03-31</t>
        </is>
      </c>
    </row>
    <row r="2140" hidden="1">
      <c r="A2140" t="n">
        <v>416</v>
      </c>
      <c r="B2140" t="inlineStr">
        <is>
          <t>Cumplimiento Plan Anual Vicerrectoría de crecimiento</t>
        </is>
      </c>
      <c r="C2140" t="inlineStr">
        <is>
          <t>Planeación Estratégica</t>
        </is>
      </c>
      <c r="D2140" t="inlineStr">
        <is>
          <t>Trimestral</t>
        </is>
      </c>
      <c r="E2140" t="inlineStr">
        <is>
          <t>Positivo</t>
        </is>
      </c>
      <c r="F2140" s="113" t="n">
        <v>45473</v>
      </c>
      <c r="G2140" t="n">
        <v>2024</v>
      </c>
      <c r="H2140" t="inlineStr">
        <is>
          <t>Junio</t>
        </is>
      </c>
      <c r="I2140" t="inlineStr">
        <is>
          <t>2024-1</t>
        </is>
      </c>
      <c r="J2140" t="n">
        <v>100</v>
      </c>
      <c r="K2140" t="n">
        <v>117.1</v>
      </c>
      <c r="L2140" s="39" t="n">
        <v>1.171</v>
      </c>
      <c r="M2140" s="39" t="n">
        <v>1.171</v>
      </c>
      <c r="P2140" t="n">
        <v>0</v>
      </c>
      <c r="Q2140" t="n">
        <v>0</v>
      </c>
      <c r="R2140" t="inlineStr">
        <is>
          <t>416-2024-06-30</t>
        </is>
      </c>
    </row>
    <row r="2141" hidden="1">
      <c r="A2141" t="n">
        <v>416</v>
      </c>
      <c r="B2141" t="inlineStr">
        <is>
          <t>Cumplimiento Plan Anual Vicerrectoría de crecimiento</t>
        </is>
      </c>
      <c r="C2141" t="inlineStr">
        <is>
          <t>Planeación Estratégica</t>
        </is>
      </c>
      <c r="D2141" t="inlineStr">
        <is>
          <t>Trimestral</t>
        </is>
      </c>
      <c r="E2141" t="inlineStr">
        <is>
          <t>Positivo</t>
        </is>
      </c>
      <c r="F2141" s="113" t="n">
        <v>45565</v>
      </c>
      <c r="G2141" t="n">
        <v>2024</v>
      </c>
      <c r="H2141" t="inlineStr">
        <is>
          <t>Septiembre</t>
        </is>
      </c>
      <c r="I2141" t="inlineStr">
        <is>
          <t>2024-2</t>
        </is>
      </c>
      <c r="J2141" t="n">
        <v>100</v>
      </c>
      <c r="K2141" t="n">
        <v>99.81</v>
      </c>
      <c r="L2141" s="39" t="n">
        <v>0.9981</v>
      </c>
      <c r="M2141" s="39" t="n">
        <v>0.9981</v>
      </c>
      <c r="P2141" t="n">
        <v>0</v>
      </c>
      <c r="Q2141" t="n">
        <v>0</v>
      </c>
      <c r="R2141" t="inlineStr">
        <is>
          <t>416-2024-09-30</t>
        </is>
      </c>
    </row>
    <row r="2142" hidden="1">
      <c r="A2142" t="n">
        <v>416</v>
      </c>
      <c r="B2142" t="inlineStr">
        <is>
          <t>Cumplimiento Plan Anual Vicerrectoría de crecimiento</t>
        </is>
      </c>
      <c r="C2142" t="inlineStr">
        <is>
          <t>Planeación Estratégica</t>
        </is>
      </c>
      <c r="D2142" t="inlineStr">
        <is>
          <t>Trimestral</t>
        </is>
      </c>
      <c r="E2142" t="inlineStr">
        <is>
          <t>Positivo</t>
        </is>
      </c>
      <c r="F2142" s="113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100</v>
      </c>
      <c r="K2142" t="n">
        <v>100</v>
      </c>
      <c r="L2142" s="39" t="n">
        <v>1</v>
      </c>
      <c r="M2142" s="39" t="n">
        <v>1</v>
      </c>
      <c r="P2142" t="n">
        <v>0</v>
      </c>
      <c r="Q2142" t="n">
        <v>0</v>
      </c>
      <c r="R2142" t="inlineStr">
        <is>
          <t>416-2024-12-31</t>
        </is>
      </c>
    </row>
    <row r="2143" hidden="1">
      <c r="A2143" t="n">
        <v>416</v>
      </c>
      <c r="B2143" t="inlineStr">
        <is>
          <t>Cumplimiento Plan Anual Vicerrectoría de crecimiento</t>
        </is>
      </c>
      <c r="C2143" t="inlineStr">
        <is>
          <t>Planeación Estratégica</t>
        </is>
      </c>
      <c r="D2143" t="inlineStr">
        <is>
          <t>Semestral</t>
        </is>
      </c>
      <c r="E2143" t="inlineStr">
        <is>
          <t>Positivo</t>
        </is>
      </c>
      <c r="F2143" s="113" t="n">
        <v>45747</v>
      </c>
      <c r="G2143" t="n">
        <v>2025</v>
      </c>
      <c r="H2143" t="inlineStr">
        <is>
          <t>Marzo</t>
        </is>
      </c>
      <c r="I2143" t="inlineStr">
        <is>
          <t>2025-1</t>
        </is>
      </c>
      <c r="J2143" t="n">
        <v>100</v>
      </c>
      <c r="K2143" t="n">
        <v>170.92</v>
      </c>
      <c r="L2143" s="39" t="n">
        <v>1.3</v>
      </c>
      <c r="M2143" s="39" t="n">
        <v>1.7092</v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416-2025-03-31</t>
        </is>
      </c>
    </row>
    <row r="2144" hidden="1">
      <c r="A2144" t="n">
        <v>416</v>
      </c>
      <c r="B2144" t="inlineStr">
        <is>
          <t>Cumplimiento Plan Anual Vicerrectoría de crecimiento</t>
        </is>
      </c>
      <c r="C2144" t="inlineStr">
        <is>
          <t>Planeación Estratégica</t>
        </is>
      </c>
      <c r="D2144" t="inlineStr">
        <is>
          <t>Semestral</t>
        </is>
      </c>
      <c r="E2144" t="inlineStr">
        <is>
          <t>Positivo</t>
        </is>
      </c>
      <c r="F2144" s="113" t="n">
        <v>45838</v>
      </c>
      <c r="G2144" t="n">
        <v>2025</v>
      </c>
      <c r="H2144" t="inlineStr">
        <is>
          <t>Junio</t>
        </is>
      </c>
      <c r="I2144" t="inlineStr">
        <is>
          <t>2025-1</t>
        </is>
      </c>
      <c r="J2144" t="n">
        <v>100</v>
      </c>
      <c r="K2144" t="n">
        <v>109.24</v>
      </c>
      <c r="L2144" s="39" t="n">
        <v>1.0924</v>
      </c>
      <c r="M2144" s="39" t="n">
        <v>1.0924</v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416-2025-06-30</t>
        </is>
      </c>
    </row>
    <row r="2145" hidden="1">
      <c r="A2145" t="n">
        <v>416</v>
      </c>
      <c r="B2145" t="inlineStr">
        <is>
          <t>Cumplimiento Plan Anual Vicerrectoría de crecimiento</t>
        </is>
      </c>
      <c r="C2145" t="inlineStr">
        <is>
          <t>Planeación Estratégica</t>
        </is>
      </c>
      <c r="D2145" t="inlineStr">
        <is>
          <t>Semestral</t>
        </is>
      </c>
      <c r="E2145" t="inlineStr">
        <is>
          <t>Positivo</t>
        </is>
      </c>
      <c r="F2145" s="113" t="n">
        <v>45930</v>
      </c>
      <c r="G2145" t="n">
        <v>2025</v>
      </c>
      <c r="H2145" t="inlineStr">
        <is>
          <t>Septiembre</t>
        </is>
      </c>
      <c r="I2145" t="inlineStr">
        <is>
          <t>2025-2</t>
        </is>
      </c>
      <c r="J2145" t="n">
        <v>100</v>
      </c>
      <c r="K2145" t="n">
        <v>96.48</v>
      </c>
      <c r="L2145" s="39" t="n">
        <v>0.9648</v>
      </c>
      <c r="M2145" s="39" t="n">
        <v>0.9648</v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416-2025-09-30</t>
        </is>
      </c>
    </row>
    <row r="2146" hidden="1">
      <c r="A2146" t="n">
        <v>416</v>
      </c>
      <c r="B2146" t="inlineStr">
        <is>
          <t>Cumplimiento Plan Anual Vicerrectoría de crecimiento</t>
        </is>
      </c>
      <c r="C2146" t="inlineStr">
        <is>
          <t>Planeación Estratégica</t>
        </is>
      </c>
      <c r="D2146" t="inlineStr">
        <is>
          <t>Semestral</t>
        </is>
      </c>
      <c r="E2146" t="inlineStr">
        <is>
          <t>Positivo</t>
        </is>
      </c>
      <c r="F2146" s="113" t="n">
        <v>46022</v>
      </c>
      <c r="G2146" t="n">
        <v>2025</v>
      </c>
      <c r="H2146" t="inlineStr">
        <is>
          <t>Diciembre</t>
        </is>
      </c>
      <c r="I2146" t="inlineStr">
        <is>
          <t>2025-2</t>
        </is>
      </c>
      <c r="J2146" t="n">
        <v>100</v>
      </c>
      <c r="K2146" t="n">
        <v>100</v>
      </c>
      <c r="L2146" s="39" t="n">
        <v>1</v>
      </c>
      <c r="M2146" s="39" t="n">
        <v>1</v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416-2025-12-31</t>
        </is>
      </c>
    </row>
    <row r="2147" hidden="1">
      <c r="A2147" t="n">
        <v>417</v>
      </c>
      <c r="B2147" t="inlineStr">
        <is>
          <t>Cumplimiento Plan Anual Vicerrectoría Financiera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13" t="n">
        <v>45016</v>
      </c>
      <c r="G2147" t="n">
        <v>2023</v>
      </c>
      <c r="H2147" t="inlineStr">
        <is>
          <t>Marzo</t>
        </is>
      </c>
      <c r="I2147" t="inlineStr">
        <is>
          <t>2023-1</t>
        </is>
      </c>
      <c r="J2147" t="n">
        <v>100</v>
      </c>
      <c r="K2147" t="n">
        <v>0</v>
      </c>
      <c r="L2147" s="39" t="n">
        <v>0</v>
      </c>
      <c r="M2147" s="39" t="n">
        <v>0</v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417-2023-03-31</t>
        </is>
      </c>
    </row>
    <row r="2148" hidden="1">
      <c r="A2148" t="n">
        <v>417</v>
      </c>
      <c r="B2148" t="inlineStr">
        <is>
          <t>Cumplimiento Plan Anual Vicerrectoría Financiera</t>
        </is>
      </c>
      <c r="D2148" t="inlineStr">
        <is>
          <t>Trimestral</t>
        </is>
      </c>
      <c r="E2148" t="inlineStr">
        <is>
          <t>Positivo</t>
        </is>
      </c>
      <c r="F2148" s="113" t="n">
        <v>45107</v>
      </c>
      <c r="G2148" t="n">
        <v>2023</v>
      </c>
      <c r="H2148" t="inlineStr">
        <is>
          <t>Junio</t>
        </is>
      </c>
      <c r="I2148" t="inlineStr">
        <is>
          <t>2023-1</t>
        </is>
      </c>
      <c r="J2148" t="n">
        <v>100</v>
      </c>
      <c r="K2148" t="n">
        <v>110.66833333333</v>
      </c>
      <c r="L2148" s="39" t="n">
        <v>1.1066833333333</v>
      </c>
      <c r="M2148" s="39" t="n">
        <v>1.1066833333333</v>
      </c>
      <c r="P2148" t="n">
        <v>0</v>
      </c>
      <c r="Q2148" t="n">
        <v>0</v>
      </c>
      <c r="R2148" t="inlineStr">
        <is>
          <t>417-2023-06-30</t>
        </is>
      </c>
    </row>
    <row r="2149" hidden="1">
      <c r="A2149" t="n">
        <v>417</v>
      </c>
      <c r="B2149" t="inlineStr">
        <is>
          <t>Cumplimiento Plan Anual Vicerrectoría Financiera</t>
        </is>
      </c>
      <c r="D2149" t="inlineStr">
        <is>
          <t>Trimestral</t>
        </is>
      </c>
      <c r="E2149" t="inlineStr">
        <is>
          <t>Positivo</t>
        </is>
      </c>
      <c r="F2149" s="113" t="n">
        <v>45199</v>
      </c>
      <c r="G2149" t="n">
        <v>2023</v>
      </c>
      <c r="H2149" t="inlineStr">
        <is>
          <t>Septiembre</t>
        </is>
      </c>
      <c r="I2149" t="inlineStr">
        <is>
          <t>2023-2</t>
        </is>
      </c>
      <c r="J2149" t="n">
        <v>100</v>
      </c>
      <c r="K2149" t="n">
        <v>93.756666666667</v>
      </c>
      <c r="L2149" s="39" t="n">
        <v>0.93756666666667</v>
      </c>
      <c r="M2149" s="39" t="n">
        <v>0.93756666666667</v>
      </c>
      <c r="P2149" t="n">
        <v>0</v>
      </c>
      <c r="Q2149" t="n">
        <v>0</v>
      </c>
      <c r="R2149" t="inlineStr">
        <is>
          <t>417-2023-09-30</t>
        </is>
      </c>
    </row>
    <row r="2150" hidden="1">
      <c r="A2150" t="n">
        <v>417</v>
      </c>
      <c r="B2150" t="inlineStr">
        <is>
          <t>Cumplimiento Plan Anual Vicerrectoría Financiera</t>
        </is>
      </c>
      <c r="D2150" t="inlineStr">
        <is>
          <t>Trimestral</t>
        </is>
      </c>
      <c r="E2150" t="inlineStr">
        <is>
          <t>Positivo</t>
        </is>
      </c>
      <c r="F2150" s="113" t="n">
        <v>45291</v>
      </c>
      <c r="G2150" t="n">
        <v>2023</v>
      </c>
      <c r="H2150" t="inlineStr">
        <is>
          <t>Diciembre</t>
        </is>
      </c>
      <c r="I2150" t="inlineStr">
        <is>
          <t>2023-2</t>
        </is>
      </c>
      <c r="J2150" t="n">
        <v>100</v>
      </c>
      <c r="K2150" t="n">
        <v>94.39</v>
      </c>
      <c r="L2150" s="39" t="n">
        <v>0.9439</v>
      </c>
      <c r="M2150" s="39" t="n">
        <v>0.9439</v>
      </c>
      <c r="P2150" t="n">
        <v>0</v>
      </c>
      <c r="Q2150" t="n">
        <v>0</v>
      </c>
      <c r="R2150" t="inlineStr">
        <is>
          <t>417-2023-12-31</t>
        </is>
      </c>
    </row>
    <row r="2151" hidden="1">
      <c r="A2151" t="n">
        <v>417</v>
      </c>
      <c r="B2151" t="inlineStr">
        <is>
          <t>Cumplimiento Plan Anual Vicerrectoría Financiera</t>
        </is>
      </c>
      <c r="C2151" t="inlineStr">
        <is>
          <t>Planeación Estratégica</t>
        </is>
      </c>
      <c r="D2151" t="inlineStr">
        <is>
          <t>Trimestral</t>
        </is>
      </c>
      <c r="E2151" t="inlineStr">
        <is>
          <t>Positivo</t>
        </is>
      </c>
      <c r="F2151" s="113" t="n">
        <v>45382</v>
      </c>
      <c r="G2151" t="n">
        <v>2024</v>
      </c>
      <c r="H2151" t="inlineStr">
        <is>
          <t>Marzo</t>
        </is>
      </c>
      <c r="I2151" t="inlineStr">
        <is>
          <t>2024-1</t>
        </is>
      </c>
      <c r="J2151" t="n">
        <v>100</v>
      </c>
      <c r="K2151" t="n">
        <v>99.01000000000001</v>
      </c>
      <c r="L2151" s="39" t="n">
        <v>0.9901000000000001</v>
      </c>
      <c r="M2151" s="39" t="n">
        <v>0.9901000000000001</v>
      </c>
      <c r="P2151" t="n">
        <v>0</v>
      </c>
      <c r="Q2151" t="n">
        <v>0</v>
      </c>
      <c r="R2151" t="inlineStr">
        <is>
          <t>417-2024-03-31</t>
        </is>
      </c>
    </row>
    <row r="2152" hidden="1">
      <c r="A2152" t="n">
        <v>417</v>
      </c>
      <c r="B2152" t="inlineStr">
        <is>
          <t>Cumplimiento Plan Anual Vicerrectoría Financiera</t>
        </is>
      </c>
      <c r="C2152" t="inlineStr">
        <is>
          <t>Planeación Estratégica</t>
        </is>
      </c>
      <c r="D2152" t="inlineStr">
        <is>
          <t>Trimestral</t>
        </is>
      </c>
      <c r="E2152" t="inlineStr">
        <is>
          <t>Positivo</t>
        </is>
      </c>
      <c r="F2152" s="113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100</v>
      </c>
      <c r="K2152" t="n">
        <v>112.12</v>
      </c>
      <c r="L2152" s="39" t="n">
        <v>1.1212</v>
      </c>
      <c r="M2152" s="39" t="n">
        <v>1.1212</v>
      </c>
      <c r="P2152" t="n">
        <v>0</v>
      </c>
      <c r="Q2152" t="n">
        <v>0</v>
      </c>
      <c r="R2152" t="inlineStr">
        <is>
          <t>417-2024-06-30</t>
        </is>
      </c>
    </row>
    <row r="2153" hidden="1">
      <c r="A2153" t="n">
        <v>417</v>
      </c>
      <c r="B2153" t="inlineStr">
        <is>
          <t>Cumplimiento Plan Anual Vicerrectoría Financiera</t>
        </is>
      </c>
      <c r="C2153" t="inlineStr">
        <is>
          <t>Planeación Estratégica</t>
        </is>
      </c>
      <c r="D2153" t="inlineStr">
        <is>
          <t>Trimestral</t>
        </is>
      </c>
      <c r="E2153" t="inlineStr">
        <is>
          <t>Positivo</t>
        </is>
      </c>
      <c r="F2153" s="113" t="n">
        <v>45565</v>
      </c>
      <c r="G2153" t="n">
        <v>2024</v>
      </c>
      <c r="H2153" t="inlineStr">
        <is>
          <t>Septiembre</t>
        </is>
      </c>
      <c r="I2153" t="inlineStr">
        <is>
          <t>2024-2</t>
        </is>
      </c>
      <c r="J2153" t="n">
        <v>100</v>
      </c>
      <c r="K2153" t="n">
        <v>100.19</v>
      </c>
      <c r="L2153" s="39" t="n">
        <v>1.0019</v>
      </c>
      <c r="M2153" s="39" t="n">
        <v>1.0019</v>
      </c>
      <c r="P2153" t="n">
        <v>0</v>
      </c>
      <c r="Q2153" t="n">
        <v>0</v>
      </c>
      <c r="R2153" t="inlineStr">
        <is>
          <t>417-2024-09-30</t>
        </is>
      </c>
    </row>
    <row r="2154" hidden="1">
      <c r="A2154" t="n">
        <v>417</v>
      </c>
      <c r="B2154" t="inlineStr">
        <is>
          <t>Cumplimiento Plan Anual Vicerrectoría Financiera</t>
        </is>
      </c>
      <c r="C2154" t="inlineStr">
        <is>
          <t>Planeación Estratégica</t>
        </is>
      </c>
      <c r="D2154" t="inlineStr">
        <is>
          <t>Trimestral</t>
        </is>
      </c>
      <c r="E2154" t="inlineStr">
        <is>
          <t>Positivo</t>
        </is>
      </c>
      <c r="F2154" s="113" t="n">
        <v>45657</v>
      </c>
      <c r="G2154" t="n">
        <v>2024</v>
      </c>
      <c r="H2154" t="inlineStr">
        <is>
          <t>Diciembre</t>
        </is>
      </c>
      <c r="I2154" t="inlineStr">
        <is>
          <t>2024-2</t>
        </is>
      </c>
      <c r="J2154" t="n">
        <v>100</v>
      </c>
      <c r="K2154" t="n">
        <v>98.83</v>
      </c>
      <c r="L2154" s="39" t="n">
        <v>0.9883</v>
      </c>
      <c r="M2154" s="39" t="n">
        <v>0.9883</v>
      </c>
      <c r="P2154" t="n">
        <v>0</v>
      </c>
      <c r="Q2154" t="n">
        <v>0</v>
      </c>
      <c r="R2154" t="inlineStr">
        <is>
          <t>417-2024-12-31</t>
        </is>
      </c>
    </row>
    <row r="2155" hidden="1">
      <c r="A2155" t="n">
        <v>417</v>
      </c>
      <c r="B2155" t="inlineStr">
        <is>
          <t>Cumplimiento Plan Anual Vicerrectoría Financiera</t>
        </is>
      </c>
      <c r="C2155" t="inlineStr">
        <is>
          <t>Planeación Estratégica</t>
        </is>
      </c>
      <c r="D2155" t="inlineStr">
        <is>
          <t>Semestral</t>
        </is>
      </c>
      <c r="E2155" t="inlineStr">
        <is>
          <t>Positivo</t>
        </is>
      </c>
      <c r="F2155" s="113" t="n">
        <v>45747</v>
      </c>
      <c r="G2155" t="n">
        <v>2025</v>
      </c>
      <c r="H2155" t="inlineStr">
        <is>
          <t>Marzo</t>
        </is>
      </c>
      <c r="I2155" t="inlineStr">
        <is>
          <t>2025-1</t>
        </is>
      </c>
      <c r="J2155" t="n">
        <v>100</v>
      </c>
      <c r="K2155" t="n">
        <v>93.68000000000001</v>
      </c>
      <c r="L2155" s="39" t="n">
        <v>0.9368000000000001</v>
      </c>
      <c r="M2155" s="39" t="n">
        <v>0.9368000000000001</v>
      </c>
      <c r="N2155" t="inlineStr">
        <is>
          <t>%</t>
        </is>
      </c>
      <c r="O2155" t="inlineStr">
        <is>
          <t>%</t>
        </is>
      </c>
      <c r="P2155" t="n">
        <v>0</v>
      </c>
      <c r="Q2155" t="n">
        <v>0</v>
      </c>
      <c r="R2155" t="inlineStr">
        <is>
          <t>417-2025-03-31</t>
        </is>
      </c>
    </row>
    <row r="2156" hidden="1">
      <c r="A2156" t="n">
        <v>417</v>
      </c>
      <c r="B2156" t="inlineStr">
        <is>
          <t>Cumplimiento Plan Anual Vicerrectoría Financiera</t>
        </is>
      </c>
      <c r="C2156" t="inlineStr">
        <is>
          <t>Planeación Estratégica</t>
        </is>
      </c>
      <c r="D2156" t="inlineStr">
        <is>
          <t>Semestral</t>
        </is>
      </c>
      <c r="E2156" t="inlineStr">
        <is>
          <t>Positivo</t>
        </is>
      </c>
      <c r="F2156" s="113" t="n">
        <v>45838</v>
      </c>
      <c r="G2156" t="n">
        <v>2025</v>
      </c>
      <c r="H2156" t="inlineStr">
        <is>
          <t>Junio</t>
        </is>
      </c>
      <c r="I2156" t="inlineStr">
        <is>
          <t>2025-1</t>
        </is>
      </c>
      <c r="J2156" t="n">
        <v>100</v>
      </c>
      <c r="K2156" t="n">
        <v>101.28</v>
      </c>
      <c r="L2156" s="39" t="n">
        <v>1.0128</v>
      </c>
      <c r="M2156" s="39" t="n">
        <v>1.0128</v>
      </c>
      <c r="N2156" t="inlineStr">
        <is>
          <t>%</t>
        </is>
      </c>
      <c r="O2156" t="inlineStr">
        <is>
          <t>%</t>
        </is>
      </c>
      <c r="P2156" t="n">
        <v>0</v>
      </c>
      <c r="Q2156" t="n">
        <v>0</v>
      </c>
      <c r="R2156" t="inlineStr">
        <is>
          <t>417-2025-06-30</t>
        </is>
      </c>
    </row>
    <row r="2157" hidden="1">
      <c r="A2157" t="n">
        <v>417</v>
      </c>
      <c r="B2157" t="inlineStr">
        <is>
          <t>Cumplimiento Plan Anual Vicerrectoría Financiera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13" t="n">
        <v>45930</v>
      </c>
      <c r="G2157" t="n">
        <v>2025</v>
      </c>
      <c r="H2157" t="inlineStr">
        <is>
          <t>Septiembre</t>
        </is>
      </c>
      <c r="I2157" t="inlineStr">
        <is>
          <t>2025-2</t>
        </is>
      </c>
      <c r="J2157" t="n">
        <v>100</v>
      </c>
      <c r="K2157" t="n">
        <v>99.34</v>
      </c>
      <c r="L2157" s="39" t="n">
        <v>0.9934000000000001</v>
      </c>
      <c r="M2157" s="39" t="n">
        <v>0.9934000000000001</v>
      </c>
      <c r="N2157" t="inlineStr">
        <is>
          <t>%</t>
        </is>
      </c>
      <c r="O2157" t="inlineStr">
        <is>
          <t>%</t>
        </is>
      </c>
      <c r="P2157" t="n">
        <v>0</v>
      </c>
      <c r="Q2157" t="n">
        <v>0</v>
      </c>
      <c r="R2157" t="inlineStr">
        <is>
          <t>417-2025-09-30</t>
        </is>
      </c>
    </row>
    <row r="2158" hidden="1">
      <c r="A2158" t="n">
        <v>417</v>
      </c>
      <c r="B2158" t="inlineStr">
        <is>
          <t>Cumplimiento Plan Anual Vicerrectoría Financiera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13" t="n">
        <v>46022</v>
      </c>
      <c r="G2158" t="n">
        <v>2025</v>
      </c>
      <c r="H2158" t="inlineStr">
        <is>
          <t>Diciembre</t>
        </is>
      </c>
      <c r="I2158" t="inlineStr">
        <is>
          <t>2025-2</t>
        </is>
      </c>
      <c r="J2158" t="n">
        <v>100</v>
      </c>
      <c r="K2158" t="n">
        <v>97.98999999999999</v>
      </c>
      <c r="L2158" s="39" t="n">
        <v>0.9799</v>
      </c>
      <c r="M2158" s="39" t="n">
        <v>0.9799</v>
      </c>
      <c r="N2158" t="inlineStr">
        <is>
          <t>%</t>
        </is>
      </c>
      <c r="O2158" t="inlineStr">
        <is>
          <t>%</t>
        </is>
      </c>
      <c r="P2158" t="n">
        <v>0</v>
      </c>
      <c r="Q2158" t="n">
        <v>0</v>
      </c>
      <c r="R2158" t="inlineStr">
        <is>
          <t>417-2025-12-31</t>
        </is>
      </c>
    </row>
    <row r="2159" hidden="1">
      <c r="A2159" t="n">
        <v>418</v>
      </c>
      <c r="B2159" t="inlineStr">
        <is>
          <t>Cumplimiento Plan Anual Vicerrectoría Académica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13" t="n">
        <v>45016</v>
      </c>
      <c r="G2159" t="n">
        <v>2023</v>
      </c>
      <c r="H2159" t="inlineStr">
        <is>
          <t>Marzo</t>
        </is>
      </c>
      <c r="I2159" t="inlineStr">
        <is>
          <t>2023-1</t>
        </is>
      </c>
      <c r="J2159" t="n">
        <v>100</v>
      </c>
      <c r="K2159" t="n">
        <v>0</v>
      </c>
      <c r="L2159" s="39" t="n">
        <v>0</v>
      </c>
      <c r="M2159" s="39" t="n">
        <v>0</v>
      </c>
      <c r="N2159" t="inlineStr">
        <is>
          <t>%</t>
        </is>
      </c>
      <c r="O2159" t="inlineStr">
        <is>
          <t>%</t>
        </is>
      </c>
      <c r="P2159" t="n">
        <v>0</v>
      </c>
      <c r="Q2159" t="n">
        <v>0</v>
      </c>
      <c r="R2159" t="inlineStr">
        <is>
          <t>418-2023-03-31</t>
        </is>
      </c>
    </row>
    <row r="2160" hidden="1">
      <c r="A2160" t="n">
        <v>418</v>
      </c>
      <c r="B2160" t="inlineStr">
        <is>
          <t>Cumplimiento Plan Anual Vicerrectoría Académica</t>
        </is>
      </c>
      <c r="D2160" t="inlineStr">
        <is>
          <t>Trimestral</t>
        </is>
      </c>
      <c r="E2160" t="inlineStr">
        <is>
          <t>Positivo</t>
        </is>
      </c>
      <c r="F2160" s="113" t="n">
        <v>45107</v>
      </c>
      <c r="G2160" t="n">
        <v>2023</v>
      </c>
      <c r="H2160" t="inlineStr">
        <is>
          <t>Junio</t>
        </is>
      </c>
      <c r="I2160" t="inlineStr">
        <is>
          <t>2023-1</t>
        </is>
      </c>
      <c r="J2160" t="n">
        <v>100</v>
      </c>
      <c r="K2160" t="n">
        <v>104.35666666667</v>
      </c>
      <c r="L2160" s="39" t="n">
        <v>1.0435666666667</v>
      </c>
      <c r="M2160" s="39" t="n">
        <v>1.0435666666667</v>
      </c>
      <c r="P2160" t="n">
        <v>0</v>
      </c>
      <c r="Q2160" t="n">
        <v>0</v>
      </c>
      <c r="R2160" t="inlineStr">
        <is>
          <t>418-2023-06-30</t>
        </is>
      </c>
    </row>
    <row r="2161" hidden="1">
      <c r="A2161" t="n">
        <v>418</v>
      </c>
      <c r="B2161" t="inlineStr">
        <is>
          <t>Cumplimiento Plan Anual Vicerrectoría Académica</t>
        </is>
      </c>
      <c r="D2161" t="inlineStr">
        <is>
          <t>Trimestral</t>
        </is>
      </c>
      <c r="E2161" t="inlineStr">
        <is>
          <t>Positivo</t>
        </is>
      </c>
      <c r="F2161" s="113" t="n">
        <v>45199</v>
      </c>
      <c r="G2161" t="n">
        <v>2023</v>
      </c>
      <c r="H2161" t="inlineStr">
        <is>
          <t>Septiembre</t>
        </is>
      </c>
      <c r="I2161" t="inlineStr">
        <is>
          <t>2023-2</t>
        </is>
      </c>
      <c r="J2161" t="n">
        <v>100</v>
      </c>
      <c r="K2161" t="n">
        <v>85.611111111111</v>
      </c>
      <c r="L2161" s="39" t="n">
        <v>0.85611111111111</v>
      </c>
      <c r="M2161" s="39" t="n">
        <v>0.85611111111111</v>
      </c>
      <c r="P2161" t="n">
        <v>0</v>
      </c>
      <c r="Q2161" t="n">
        <v>0</v>
      </c>
      <c r="R2161" t="inlineStr">
        <is>
          <t>418-2023-09-30</t>
        </is>
      </c>
    </row>
    <row r="2162" hidden="1">
      <c r="A2162" t="n">
        <v>418</v>
      </c>
      <c r="B2162" t="inlineStr">
        <is>
          <t>Cumplimiento Plan Anual Vicerrectoría Académica</t>
        </is>
      </c>
      <c r="D2162" t="inlineStr">
        <is>
          <t>Trimestral</t>
        </is>
      </c>
      <c r="E2162" t="inlineStr">
        <is>
          <t>Positivo</t>
        </is>
      </c>
      <c r="F2162" s="113" t="n">
        <v>45291</v>
      </c>
      <c r="G2162" t="n">
        <v>2023</v>
      </c>
      <c r="H2162" t="inlineStr">
        <is>
          <t>Diciembre</t>
        </is>
      </c>
      <c r="I2162" t="inlineStr">
        <is>
          <t>2023-2</t>
        </is>
      </c>
      <c r="J2162" t="n">
        <v>100</v>
      </c>
      <c r="K2162" t="n">
        <v>95.802222222222</v>
      </c>
      <c r="L2162" s="39" t="n">
        <v>0.95802222222222</v>
      </c>
      <c r="M2162" s="39" t="n">
        <v>0.95802222222222</v>
      </c>
      <c r="P2162" t="n">
        <v>0</v>
      </c>
      <c r="Q2162" t="n">
        <v>0</v>
      </c>
      <c r="R2162" t="inlineStr">
        <is>
          <t>418-2023-12-31</t>
        </is>
      </c>
    </row>
    <row r="2163" hidden="1">
      <c r="A2163" t="n">
        <v>418</v>
      </c>
      <c r="B2163" t="inlineStr">
        <is>
          <t>Cumplimiento Plan Anual Vicerrectoría Académica</t>
        </is>
      </c>
      <c r="C2163" t="inlineStr">
        <is>
          <t>Planeación Estratégica</t>
        </is>
      </c>
      <c r="D2163" t="inlineStr">
        <is>
          <t>Trimestral</t>
        </is>
      </c>
      <c r="E2163" t="inlineStr">
        <is>
          <t>Positivo</t>
        </is>
      </c>
      <c r="F2163" s="113" t="n">
        <v>45382</v>
      </c>
      <c r="G2163" t="n">
        <v>2024</v>
      </c>
      <c r="H2163" t="inlineStr">
        <is>
          <t>Marzo</t>
        </is>
      </c>
      <c r="I2163" t="inlineStr">
        <is>
          <t>2024-1</t>
        </is>
      </c>
      <c r="J2163" t="n">
        <v>100</v>
      </c>
      <c r="K2163" t="n">
        <v>105.5</v>
      </c>
      <c r="L2163" s="39" t="n">
        <v>1.055</v>
      </c>
      <c r="M2163" s="39" t="n">
        <v>1.055</v>
      </c>
      <c r="P2163" t="n">
        <v>0</v>
      </c>
      <c r="Q2163" t="n">
        <v>0</v>
      </c>
      <c r="R2163" t="inlineStr">
        <is>
          <t>418-2024-03-31</t>
        </is>
      </c>
    </row>
    <row r="2164" hidden="1">
      <c r="A2164" t="n">
        <v>418</v>
      </c>
      <c r="B2164" t="inlineStr">
        <is>
          <t>Cumplimiento Plan Anual Vicerrectoría Académica</t>
        </is>
      </c>
      <c r="C2164" t="inlineStr">
        <is>
          <t>Planeación Estratégica</t>
        </is>
      </c>
      <c r="D2164" t="inlineStr">
        <is>
          <t>Trimestral</t>
        </is>
      </c>
      <c r="E2164" t="inlineStr">
        <is>
          <t>Positivo</t>
        </is>
      </c>
      <c r="F2164" s="113" t="n">
        <v>45473</v>
      </c>
      <c r="G2164" t="n">
        <v>2024</v>
      </c>
      <c r="H2164" t="inlineStr">
        <is>
          <t>Junio</t>
        </is>
      </c>
      <c r="I2164" t="inlineStr">
        <is>
          <t>2024-1</t>
        </is>
      </c>
      <c r="J2164" t="n">
        <v>100</v>
      </c>
      <c r="K2164" t="n">
        <v>100.79</v>
      </c>
      <c r="L2164" s="39" t="n">
        <v>1.0079</v>
      </c>
      <c r="M2164" s="39" t="n">
        <v>1.0079</v>
      </c>
      <c r="P2164" t="n">
        <v>0</v>
      </c>
      <c r="Q2164" t="n">
        <v>0</v>
      </c>
      <c r="R2164" t="inlineStr">
        <is>
          <t>418-2024-06-30</t>
        </is>
      </c>
    </row>
    <row r="2165" hidden="1">
      <c r="A2165" t="n">
        <v>418</v>
      </c>
      <c r="B2165" t="inlineStr">
        <is>
          <t>Cumplimiento Plan Anual Vicerrectoría Académica</t>
        </is>
      </c>
      <c r="C2165" t="inlineStr">
        <is>
          <t>Planeación Estratégica</t>
        </is>
      </c>
      <c r="D2165" t="inlineStr">
        <is>
          <t>Trimestral</t>
        </is>
      </c>
      <c r="E2165" t="inlineStr">
        <is>
          <t>Positivo</t>
        </is>
      </c>
      <c r="F2165" s="113" t="n">
        <v>45565</v>
      </c>
      <c r="G2165" t="n">
        <v>2024</v>
      </c>
      <c r="H2165" t="inlineStr">
        <is>
          <t>Septiembre</t>
        </is>
      </c>
      <c r="I2165" t="inlineStr">
        <is>
          <t>2024-2</t>
        </is>
      </c>
      <c r="J2165" t="n">
        <v>100</v>
      </c>
      <c r="K2165" t="n">
        <v>97.2</v>
      </c>
      <c r="L2165" s="39" t="n">
        <v>0.972</v>
      </c>
      <c r="M2165" s="39" t="n">
        <v>0.972</v>
      </c>
      <c r="P2165" t="n">
        <v>0</v>
      </c>
      <c r="Q2165" t="n">
        <v>0</v>
      </c>
      <c r="R2165" t="inlineStr">
        <is>
          <t>418-2024-09-30</t>
        </is>
      </c>
    </row>
    <row r="2166" hidden="1">
      <c r="A2166" t="n">
        <v>418</v>
      </c>
      <c r="B2166" t="inlineStr">
        <is>
          <t>Cumplimiento Plan Anual Vicerrectoría Académica</t>
        </is>
      </c>
      <c r="C2166" t="inlineStr">
        <is>
          <t>Planeación Estratégica</t>
        </is>
      </c>
      <c r="D2166" t="inlineStr">
        <is>
          <t>Trimestral</t>
        </is>
      </c>
      <c r="E2166" t="inlineStr">
        <is>
          <t>Positivo</t>
        </is>
      </c>
      <c r="F2166" s="113" t="n">
        <v>45657</v>
      </c>
      <c r="G2166" t="n">
        <v>2024</v>
      </c>
      <c r="H2166" t="inlineStr">
        <is>
          <t>Diciembre</t>
        </is>
      </c>
      <c r="I2166" t="inlineStr">
        <is>
          <t>2024-2</t>
        </is>
      </c>
      <c r="J2166" t="n">
        <v>100</v>
      </c>
      <c r="K2166" t="n">
        <v>97.78</v>
      </c>
      <c r="L2166" s="39" t="n">
        <v>0.9778</v>
      </c>
      <c r="M2166" s="39" t="n">
        <v>0.9778</v>
      </c>
      <c r="P2166" t="n">
        <v>0</v>
      </c>
      <c r="Q2166" t="n">
        <v>0</v>
      </c>
      <c r="R2166" t="inlineStr">
        <is>
          <t>418-2024-12-31</t>
        </is>
      </c>
    </row>
    <row r="2167" hidden="1">
      <c r="A2167" t="n">
        <v>418</v>
      </c>
      <c r="B2167" t="inlineStr">
        <is>
          <t>Cumplimiento Plan Anual Vicerrectoría Académica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13" t="n">
        <v>45747</v>
      </c>
      <c r="G2167" t="n">
        <v>2025</v>
      </c>
      <c r="H2167" t="inlineStr">
        <is>
          <t>Marzo</t>
        </is>
      </c>
      <c r="I2167" t="inlineStr">
        <is>
          <t>2025-1</t>
        </is>
      </c>
      <c r="J2167" t="n">
        <v>100</v>
      </c>
      <c r="K2167" t="n">
        <v>246.7</v>
      </c>
      <c r="L2167" s="39" t="n">
        <v>1.3</v>
      </c>
      <c r="M2167" s="39" t="n">
        <v>2.467</v>
      </c>
      <c r="N2167" t="inlineStr">
        <is>
          <t>%</t>
        </is>
      </c>
      <c r="O2167" t="inlineStr">
        <is>
          <t>%</t>
        </is>
      </c>
      <c r="P2167" t="n">
        <v>0</v>
      </c>
      <c r="Q2167" t="n">
        <v>0</v>
      </c>
      <c r="R2167" t="inlineStr">
        <is>
          <t>418-2025-03-31</t>
        </is>
      </c>
    </row>
    <row r="2168" hidden="1">
      <c r="A2168" t="n">
        <v>418</v>
      </c>
      <c r="B2168" t="inlineStr">
        <is>
          <t>Cumplimiento Plan Anual Vicerrectoría Académica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13" t="n">
        <v>45838</v>
      </c>
      <c r="G2168" t="n">
        <v>2025</v>
      </c>
      <c r="H2168" t="inlineStr">
        <is>
          <t>Junio</t>
        </is>
      </c>
      <c r="I2168" t="inlineStr">
        <is>
          <t>2025-1</t>
        </is>
      </c>
      <c r="J2168" t="n">
        <v>100</v>
      </c>
      <c r="K2168" t="n">
        <v>105.83</v>
      </c>
      <c r="L2168" s="39" t="n">
        <v>1.0583</v>
      </c>
      <c r="M2168" s="39" t="n">
        <v>1.0583</v>
      </c>
      <c r="N2168" t="inlineStr">
        <is>
          <t>%</t>
        </is>
      </c>
      <c r="O2168" t="inlineStr">
        <is>
          <t>%</t>
        </is>
      </c>
      <c r="P2168" t="n">
        <v>0</v>
      </c>
      <c r="Q2168" t="n">
        <v>0</v>
      </c>
      <c r="R2168" t="inlineStr">
        <is>
          <t>418-2025-06-30</t>
        </is>
      </c>
    </row>
    <row r="2169" hidden="1">
      <c r="A2169" t="n">
        <v>418</v>
      </c>
      <c r="B2169" t="inlineStr">
        <is>
          <t>Cumplimiento Plan Anual Vicerrectoría Académica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13" t="n">
        <v>45930</v>
      </c>
      <c r="G2169" t="n">
        <v>2025</v>
      </c>
      <c r="H2169" t="inlineStr">
        <is>
          <t>Septiembre</t>
        </is>
      </c>
      <c r="I2169" t="inlineStr">
        <is>
          <t>2025-2</t>
        </is>
      </c>
      <c r="J2169" t="n">
        <v>100</v>
      </c>
      <c r="K2169" t="n">
        <v>93.95999999999999</v>
      </c>
      <c r="L2169" s="39" t="n">
        <v>0.9396</v>
      </c>
      <c r="M2169" s="39" t="n">
        <v>0.9396</v>
      </c>
      <c r="N2169" t="inlineStr">
        <is>
          <t>%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418-2025-09-30</t>
        </is>
      </c>
    </row>
    <row r="2170" hidden="1">
      <c r="A2170" t="n">
        <v>418</v>
      </c>
      <c r="B2170" t="inlineStr">
        <is>
          <t>Cumplimiento Plan Anual Vicerrectoría Académica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13" t="n">
        <v>46022</v>
      </c>
      <c r="G2170" t="n">
        <v>2025</v>
      </c>
      <c r="H2170" t="inlineStr">
        <is>
          <t>Diciembre</t>
        </is>
      </c>
      <c r="I2170" t="inlineStr">
        <is>
          <t>2025-2</t>
        </is>
      </c>
      <c r="J2170" t="n">
        <v>100</v>
      </c>
      <c r="K2170" t="n">
        <v>99.61</v>
      </c>
      <c r="L2170" s="39" t="n">
        <v>0.9961</v>
      </c>
      <c r="M2170" s="39" t="n">
        <v>0.9961</v>
      </c>
      <c r="N2170" t="inlineStr">
        <is>
          <t>%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418-2025-12-31</t>
        </is>
      </c>
    </row>
    <row r="2171" hidden="1">
      <c r="A2171" t="n">
        <v>419</v>
      </c>
      <c r="B2171" t="inlineStr">
        <is>
          <t>Cumplimiento Plan Anual Áreas sede Medellín</t>
        </is>
      </c>
      <c r="D2171" t="inlineStr">
        <is>
          <t>Trimestral</t>
        </is>
      </c>
      <c r="E2171" t="inlineStr">
        <is>
          <t>Positivo</t>
        </is>
      </c>
      <c r="F2171" s="113" t="n">
        <v>45107</v>
      </c>
      <c r="G2171" t="n">
        <v>2023</v>
      </c>
      <c r="H2171" t="inlineStr">
        <is>
          <t>Junio</t>
        </is>
      </c>
      <c r="I2171" t="inlineStr">
        <is>
          <t>2023-1</t>
        </is>
      </c>
      <c r="J2171" t="n">
        <v>100</v>
      </c>
      <c r="K2171" t="n">
        <v>108.3</v>
      </c>
      <c r="L2171" s="39" t="n">
        <v>1.083</v>
      </c>
      <c r="M2171" s="39" t="n">
        <v>1.083</v>
      </c>
      <c r="N2171" t="inlineStr">
        <is>
          <t>%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419-2023-06-30</t>
        </is>
      </c>
    </row>
    <row r="2172" hidden="1">
      <c r="A2172" t="n">
        <v>419</v>
      </c>
      <c r="B2172" t="inlineStr">
        <is>
          <t>Cumplimiento Plan Anual Áreas sede Medellín</t>
        </is>
      </c>
      <c r="D2172" t="inlineStr">
        <is>
          <t>Trimestral</t>
        </is>
      </c>
      <c r="E2172" t="inlineStr">
        <is>
          <t>Positivo</t>
        </is>
      </c>
      <c r="F2172" s="113" t="n">
        <v>45199</v>
      </c>
      <c r="G2172" t="n">
        <v>2023</v>
      </c>
      <c r="H2172" t="inlineStr">
        <is>
          <t>Septiembre</t>
        </is>
      </c>
      <c r="I2172" t="inlineStr">
        <is>
          <t>2023-2</t>
        </is>
      </c>
      <c r="J2172" t="n">
        <v>100</v>
      </c>
      <c r="K2172" t="n">
        <v>88.34999999999999</v>
      </c>
      <c r="L2172" s="39" t="n">
        <v>0.8835</v>
      </c>
      <c r="M2172" s="39" t="n">
        <v>0.8835</v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419-2023-09-30</t>
        </is>
      </c>
    </row>
    <row r="2173" hidden="1">
      <c r="A2173" t="n">
        <v>419</v>
      </c>
      <c r="B2173" t="inlineStr">
        <is>
          <t>Cumplimiento Plan Anual Áreas sede Medellín</t>
        </is>
      </c>
      <c r="D2173" t="inlineStr">
        <is>
          <t>Trimestral</t>
        </is>
      </c>
      <c r="E2173" t="inlineStr">
        <is>
          <t>Positivo</t>
        </is>
      </c>
      <c r="F2173" s="113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100</v>
      </c>
      <c r="K2173" t="n">
        <v>93.56</v>
      </c>
      <c r="L2173" s="39" t="n">
        <v>0.9356</v>
      </c>
      <c r="M2173" s="39" t="n">
        <v>0.9356</v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419-2023-12-31</t>
        </is>
      </c>
    </row>
    <row r="2174" hidden="1">
      <c r="A2174" t="n">
        <v>420</v>
      </c>
      <c r="B2174" t="inlineStr">
        <is>
          <t>Cumplimiento Plan Anual Gerencia de estrategia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13" t="n">
        <v>45016</v>
      </c>
      <c r="G2174" t="n">
        <v>2023</v>
      </c>
      <c r="H2174" t="inlineStr">
        <is>
          <t>Marzo</t>
        </is>
      </c>
      <c r="I2174" t="inlineStr">
        <is>
          <t>2023-1</t>
        </is>
      </c>
      <c r="J2174" t="n">
        <v>100</v>
      </c>
      <c r="K2174" t="n">
        <v>0</v>
      </c>
      <c r="L2174" s="39" t="n">
        <v>0</v>
      </c>
      <c r="M2174" s="39" t="n">
        <v>0</v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420-2023-03-31</t>
        </is>
      </c>
    </row>
    <row r="2175" hidden="1">
      <c r="A2175" t="n">
        <v>420</v>
      </c>
      <c r="B2175" t="inlineStr">
        <is>
          <t>Cumplimiento Plan Anual Gerencia de estrategia</t>
        </is>
      </c>
      <c r="D2175" t="inlineStr">
        <is>
          <t>Trimestral</t>
        </is>
      </c>
      <c r="E2175" t="inlineStr">
        <is>
          <t>Positivo</t>
        </is>
      </c>
      <c r="F2175" s="113" t="n">
        <v>45107</v>
      </c>
      <c r="G2175" t="n">
        <v>2023</v>
      </c>
      <c r="H2175" t="inlineStr">
        <is>
          <t>Junio</t>
        </is>
      </c>
      <c r="I2175" t="inlineStr">
        <is>
          <t>2023-1</t>
        </is>
      </c>
      <c r="J2175" t="n">
        <v>100</v>
      </c>
      <c r="K2175" t="n">
        <v>106.53</v>
      </c>
      <c r="L2175" s="39" t="n">
        <v>1.0653</v>
      </c>
      <c r="M2175" s="39" t="n">
        <v>1.0653</v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420-2023-06-30</t>
        </is>
      </c>
    </row>
    <row r="2176" hidden="1">
      <c r="A2176" t="n">
        <v>420</v>
      </c>
      <c r="B2176" t="inlineStr">
        <is>
          <t>Cumplimiento Plan Anual Gerencia de estrategia</t>
        </is>
      </c>
      <c r="D2176" t="inlineStr">
        <is>
          <t>Trimestral</t>
        </is>
      </c>
      <c r="E2176" t="inlineStr">
        <is>
          <t>Positivo</t>
        </is>
      </c>
      <c r="F2176" s="113" t="n">
        <v>45199</v>
      </c>
      <c r="G2176" t="n">
        <v>2023</v>
      </c>
      <c r="H2176" t="inlineStr">
        <is>
          <t>Septiembre</t>
        </is>
      </c>
      <c r="I2176" t="inlineStr">
        <is>
          <t>2023-2</t>
        </is>
      </c>
      <c r="J2176" t="n">
        <v>100</v>
      </c>
      <c r="K2176" t="n">
        <v>94.69</v>
      </c>
      <c r="L2176" s="39" t="n">
        <v>0.9469</v>
      </c>
      <c r="M2176" s="39" t="n">
        <v>0.9469</v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420-2023-09-30</t>
        </is>
      </c>
    </row>
    <row r="2177" hidden="1">
      <c r="A2177" t="n">
        <v>420</v>
      </c>
      <c r="B2177" t="inlineStr">
        <is>
          <t>Cumplimiento Plan Anual Gerencia de estrategia</t>
        </is>
      </c>
      <c r="D2177" t="inlineStr">
        <is>
          <t>Trimestral</t>
        </is>
      </c>
      <c r="E2177" t="inlineStr">
        <is>
          <t>Positivo</t>
        </is>
      </c>
      <c r="F2177" s="113" t="n">
        <v>45291</v>
      </c>
      <c r="G2177" t="n">
        <v>2023</v>
      </c>
      <c r="H2177" t="inlineStr">
        <is>
          <t>Diciembre</t>
        </is>
      </c>
      <c r="I2177" t="inlineStr">
        <is>
          <t>2023-2</t>
        </is>
      </c>
      <c r="J2177" t="n">
        <v>100</v>
      </c>
      <c r="K2177" t="n">
        <v>100</v>
      </c>
      <c r="L2177" s="39" t="n">
        <v>1</v>
      </c>
      <c r="M2177" s="39" t="n">
        <v>1</v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420-2023-12-31</t>
        </is>
      </c>
    </row>
    <row r="2178" hidden="1">
      <c r="A2178" t="n">
        <v>420</v>
      </c>
      <c r="B2178" t="inlineStr">
        <is>
          <t>Cumplimiento Plan Anual Gerencia de estrategia</t>
        </is>
      </c>
      <c r="C2178" t="inlineStr">
        <is>
          <t>Planeación Estratégica</t>
        </is>
      </c>
      <c r="D2178" t="inlineStr">
        <is>
          <t>Trimestral</t>
        </is>
      </c>
      <c r="E2178" t="inlineStr">
        <is>
          <t>Positivo</t>
        </is>
      </c>
      <c r="F2178" s="113" t="n">
        <v>45473</v>
      </c>
      <c r="G2178" t="n">
        <v>2024</v>
      </c>
      <c r="H2178" t="inlineStr">
        <is>
          <t>Junio</t>
        </is>
      </c>
      <c r="I2178" t="inlineStr">
        <is>
          <t>2024-1</t>
        </is>
      </c>
      <c r="J2178" t="n">
        <v>100</v>
      </c>
      <c r="K2178" t="n">
        <v>89.33</v>
      </c>
      <c r="L2178" s="39" t="n">
        <v>0.8933</v>
      </c>
      <c r="M2178" s="39" t="n">
        <v>0.8933</v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420-2024-06-30</t>
        </is>
      </c>
    </row>
    <row r="2179" hidden="1">
      <c r="A2179" t="n">
        <v>420</v>
      </c>
      <c r="B2179" t="inlineStr">
        <is>
          <t>Cumplimiento Plan Anual Gerencia de estrategia</t>
        </is>
      </c>
      <c r="C2179" t="inlineStr">
        <is>
          <t>Planeación Estratégica</t>
        </is>
      </c>
      <c r="D2179" t="inlineStr">
        <is>
          <t>Trimestral</t>
        </is>
      </c>
      <c r="E2179" t="inlineStr">
        <is>
          <t>Positivo</t>
        </is>
      </c>
      <c r="F2179" s="113" t="n">
        <v>45565</v>
      </c>
      <c r="G2179" t="n">
        <v>2024</v>
      </c>
      <c r="H2179" t="inlineStr">
        <is>
          <t>Septiembre</t>
        </is>
      </c>
      <c r="I2179" t="inlineStr">
        <is>
          <t>2024-2</t>
        </is>
      </c>
      <c r="J2179" t="n">
        <v>100</v>
      </c>
      <c r="K2179" t="n">
        <v>102.36</v>
      </c>
      <c r="L2179" s="39" t="n">
        <v>1.0236</v>
      </c>
      <c r="M2179" s="39" t="n">
        <v>1.0236</v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420-2024-09-30</t>
        </is>
      </c>
    </row>
    <row r="2180" hidden="1">
      <c r="A2180" t="n">
        <v>420</v>
      </c>
      <c r="B2180" t="inlineStr">
        <is>
          <t>Cumplimiento Plan Anual Gerencia de estrategia</t>
        </is>
      </c>
      <c r="C2180" t="inlineStr">
        <is>
          <t>Planeación Estratégica</t>
        </is>
      </c>
      <c r="D2180" t="inlineStr">
        <is>
          <t>Trimestral</t>
        </is>
      </c>
      <c r="E2180" t="inlineStr">
        <is>
          <t>Positivo</t>
        </is>
      </c>
      <c r="F2180" s="113" t="n">
        <v>45657</v>
      </c>
      <c r="G2180" t="n">
        <v>2024</v>
      </c>
      <c r="H2180" t="inlineStr">
        <is>
          <t>Diciembre</t>
        </is>
      </c>
      <c r="I2180" t="inlineStr">
        <is>
          <t>2024-2</t>
        </is>
      </c>
      <c r="J2180" t="n">
        <v>100</v>
      </c>
      <c r="K2180" t="n">
        <v>96.67</v>
      </c>
      <c r="L2180" s="39" t="n">
        <v>0.9667</v>
      </c>
      <c r="M2180" s="39" t="n">
        <v>0.9667</v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420-2024-12-31</t>
        </is>
      </c>
    </row>
    <row r="2181" hidden="1">
      <c r="A2181" t="n">
        <v>420</v>
      </c>
      <c r="B2181" t="inlineStr">
        <is>
          <t>Cumplimiento Plan Anual Gerencia de estrategia</t>
        </is>
      </c>
      <c r="C2181" t="inlineStr">
        <is>
          <t>Planeación Estratégica</t>
        </is>
      </c>
      <c r="D2181" t="inlineStr">
        <is>
          <t>Semestral</t>
        </is>
      </c>
      <c r="E2181" t="inlineStr">
        <is>
          <t>Positivo</t>
        </is>
      </c>
      <c r="F2181" s="113" t="n">
        <v>45747</v>
      </c>
      <c r="G2181" t="n">
        <v>2025</v>
      </c>
      <c r="H2181" t="inlineStr">
        <is>
          <t>Marzo</t>
        </is>
      </c>
      <c r="I2181" t="inlineStr">
        <is>
          <t>2025-1</t>
        </is>
      </c>
      <c r="J2181" t="n">
        <v>100</v>
      </c>
      <c r="K2181" t="n">
        <v>122.2</v>
      </c>
      <c r="L2181" s="39" t="n">
        <v>1.222</v>
      </c>
      <c r="M2181" s="39" t="n">
        <v>1.222</v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420-2025-03-31</t>
        </is>
      </c>
    </row>
    <row r="2182" hidden="1">
      <c r="A2182" t="n">
        <v>420</v>
      </c>
      <c r="B2182" t="inlineStr">
        <is>
          <t>Cumplimiento Plan Anual Gerencia de estrategia</t>
        </is>
      </c>
      <c r="C2182" t="inlineStr">
        <is>
          <t>Planeación Estratégica</t>
        </is>
      </c>
      <c r="D2182" t="inlineStr">
        <is>
          <t>Semestral</t>
        </is>
      </c>
      <c r="E2182" t="inlineStr">
        <is>
          <t>Positivo</t>
        </is>
      </c>
      <c r="F2182" s="113" t="n">
        <v>45838</v>
      </c>
      <c r="G2182" t="n">
        <v>2025</v>
      </c>
      <c r="H2182" t="inlineStr">
        <is>
          <t>Junio</t>
        </is>
      </c>
      <c r="I2182" t="inlineStr">
        <is>
          <t>2025-1</t>
        </is>
      </c>
      <c r="J2182" t="n">
        <v>100</v>
      </c>
      <c r="K2182" t="n">
        <v>108.52</v>
      </c>
      <c r="L2182" s="39" t="n">
        <v>1.0852</v>
      </c>
      <c r="M2182" s="39" t="n">
        <v>1.0852</v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420-2025-06-30</t>
        </is>
      </c>
    </row>
    <row r="2183" hidden="1">
      <c r="A2183" t="n">
        <v>420</v>
      </c>
      <c r="B2183" t="inlineStr">
        <is>
          <t>Cumplimiento Plan Anual Gerencia de estrategia</t>
        </is>
      </c>
      <c r="C2183" t="inlineStr">
        <is>
          <t>Planeación Estratégica</t>
        </is>
      </c>
      <c r="D2183" t="inlineStr">
        <is>
          <t>Semestral</t>
        </is>
      </c>
      <c r="E2183" t="inlineStr">
        <is>
          <t>Positivo</t>
        </is>
      </c>
      <c r="F2183" s="113" t="n">
        <v>45930</v>
      </c>
      <c r="G2183" t="n">
        <v>2025</v>
      </c>
      <c r="H2183" t="inlineStr">
        <is>
          <t>Septiembre</t>
        </is>
      </c>
      <c r="I2183" t="inlineStr">
        <is>
          <t>2025-2</t>
        </is>
      </c>
      <c r="J2183" t="n">
        <v>100</v>
      </c>
      <c r="K2183" t="n">
        <v>100.3</v>
      </c>
      <c r="L2183" s="39" t="n">
        <v>1.003</v>
      </c>
      <c r="M2183" s="39" t="n">
        <v>1.003</v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420-2025-09-30</t>
        </is>
      </c>
    </row>
    <row r="2184" hidden="1">
      <c r="A2184" t="n">
        <v>420</v>
      </c>
      <c r="B2184" t="inlineStr">
        <is>
          <t>Cumplimiento Plan Anual Gerencia de estrategia</t>
        </is>
      </c>
      <c r="C2184" t="inlineStr">
        <is>
          <t>Planeación Estratégica</t>
        </is>
      </c>
      <c r="D2184" t="inlineStr">
        <is>
          <t>Semestral</t>
        </is>
      </c>
      <c r="E2184" t="inlineStr">
        <is>
          <t>Positivo</t>
        </is>
      </c>
      <c r="F2184" s="113" t="n">
        <v>46022</v>
      </c>
      <c r="G2184" t="n">
        <v>2025</v>
      </c>
      <c r="H2184" t="inlineStr">
        <is>
          <t>Diciembre</t>
        </is>
      </c>
      <c r="I2184" t="inlineStr">
        <is>
          <t>2025-2</t>
        </is>
      </c>
      <c r="J2184" t="n">
        <v>100</v>
      </c>
      <c r="K2184" t="n">
        <v>100</v>
      </c>
      <c r="L2184" s="39" t="n">
        <v>1</v>
      </c>
      <c r="M2184" s="39" t="n">
        <v>1</v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420-2025-12-31</t>
        </is>
      </c>
    </row>
    <row r="2185" hidden="1">
      <c r="A2185" t="n">
        <v>421</v>
      </c>
      <c r="B2185" t="inlineStr">
        <is>
          <t>Total Leads por canales de captación</t>
        </is>
      </c>
      <c r="C2185" t="inlineStr">
        <is>
          <t>Mercadeo de programas académicos</t>
        </is>
      </c>
      <c r="D2185" t="inlineStr">
        <is>
          <t>Semestral</t>
        </is>
      </c>
      <c r="E2185" t="inlineStr">
        <is>
          <t>Positivo</t>
        </is>
      </c>
      <c r="F2185" s="113" t="n">
        <v>45107</v>
      </c>
      <c r="G2185" t="n">
        <v>2023</v>
      </c>
      <c r="H2185" t="inlineStr">
        <is>
          <t>Junio</t>
        </is>
      </c>
      <c r="I2185" t="inlineStr">
        <is>
          <t>2023-1</t>
        </is>
      </c>
      <c r="J2185" t="n">
        <v>104072</v>
      </c>
      <c r="K2185" t="n">
        <v>140002</v>
      </c>
      <c r="L2185" s="39" t="n">
        <v>1.3</v>
      </c>
      <c r="M2185" s="39" t="n">
        <v>1.345241755707587</v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421-2023-06-30</t>
        </is>
      </c>
    </row>
    <row r="2186" hidden="1">
      <c r="A2186" t="n">
        <v>421</v>
      </c>
      <c r="B2186" t="inlineStr">
        <is>
          <t>Total Leads por canales de captación</t>
        </is>
      </c>
      <c r="C2186" t="inlineStr">
        <is>
          <t>Mercadeo de programas académicos</t>
        </is>
      </c>
      <c r="D2186" t="inlineStr">
        <is>
          <t>Semestral</t>
        </is>
      </c>
      <c r="E2186" t="inlineStr">
        <is>
          <t>Positivo</t>
        </is>
      </c>
      <c r="F2186" s="113" t="n">
        <v>45291</v>
      </c>
      <c r="G2186" t="n">
        <v>2023</v>
      </c>
      <c r="H2186" t="inlineStr">
        <is>
          <t>Diciembre</t>
        </is>
      </c>
      <c r="I2186" t="inlineStr">
        <is>
          <t>2023-2</t>
        </is>
      </c>
      <c r="J2186" t="n">
        <v>97200</v>
      </c>
      <c r="K2186" t="n">
        <v>136199</v>
      </c>
      <c r="L2186" s="39" t="n">
        <v>1.3</v>
      </c>
      <c r="M2186" s="39" t="n">
        <v>1.401224279835391</v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421-2023-12-31</t>
        </is>
      </c>
    </row>
    <row r="2187" hidden="1">
      <c r="A2187" t="n">
        <v>421</v>
      </c>
      <c r="B2187" t="inlineStr">
        <is>
          <t>Total Leads por canales de captación</t>
        </is>
      </c>
      <c r="C2187" t="inlineStr">
        <is>
          <t>Mercadeo de programas académicos</t>
        </is>
      </c>
      <c r="D2187" t="inlineStr">
        <is>
          <t>Semestral</t>
        </is>
      </c>
      <c r="E2187" t="inlineStr">
        <is>
          <t>Positivo</t>
        </is>
      </c>
      <c r="F2187" s="113" t="n">
        <v>45473</v>
      </c>
      <c r="G2187" t="n">
        <v>2024</v>
      </c>
      <c r="H2187" t="inlineStr">
        <is>
          <t>Junio</t>
        </is>
      </c>
      <c r="I2187" t="inlineStr">
        <is>
          <t>2024-1</t>
        </is>
      </c>
      <c r="J2187" t="n">
        <v>147043</v>
      </c>
      <c r="K2187" t="n">
        <v>177740</v>
      </c>
      <c r="L2187" s="39" t="n">
        <v>1.208762062797957</v>
      </c>
      <c r="M2187" s="39" t="n">
        <v>1.208762062797957</v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421-2024-06-30</t>
        </is>
      </c>
    </row>
    <row r="2188" hidden="1">
      <c r="A2188" t="n">
        <v>421</v>
      </c>
      <c r="B2188" t="inlineStr">
        <is>
          <t>Total Leads por canales de captación</t>
        </is>
      </c>
      <c r="C2188" t="inlineStr">
        <is>
          <t>Mercadeo de programas académicos</t>
        </is>
      </c>
      <c r="D2188" t="inlineStr">
        <is>
          <t>Semestral</t>
        </is>
      </c>
      <c r="E2188" t="inlineStr">
        <is>
          <t>Positivo</t>
        </is>
      </c>
      <c r="F2188" s="113" t="n">
        <v>45657</v>
      </c>
      <c r="G2188" t="n">
        <v>2024</v>
      </c>
      <c r="H2188" t="inlineStr">
        <is>
          <t>Diciembre</t>
        </is>
      </c>
      <c r="I2188" t="inlineStr">
        <is>
          <t>2024-2</t>
        </is>
      </c>
      <c r="J2188" t="n">
        <v>100</v>
      </c>
      <c r="K2188" t="n">
        <v>121.44</v>
      </c>
      <c r="L2188" s="39" t="n">
        <v>1.2144</v>
      </c>
      <c r="M2188" s="39" t="n">
        <v>1.2144</v>
      </c>
      <c r="P2188" t="n">
        <v>0</v>
      </c>
      <c r="Q2188" t="n">
        <v>0</v>
      </c>
      <c r="R2188" t="inlineStr">
        <is>
          <t>421-2024-12-31</t>
        </is>
      </c>
    </row>
    <row r="2189" hidden="1">
      <c r="A2189" t="n">
        <v>422</v>
      </c>
      <c r="B2189" t="inlineStr">
        <is>
          <t>Total conversión</t>
        </is>
      </c>
      <c r="C2189" t="inlineStr">
        <is>
          <t>Mercadeo de programas académicos</t>
        </is>
      </c>
      <c r="D2189" t="inlineStr">
        <is>
          <t>Semestral</t>
        </is>
      </c>
      <c r="E2189" t="inlineStr">
        <is>
          <t>Positivo</t>
        </is>
      </c>
      <c r="F2189" s="113" t="n">
        <v>45107</v>
      </c>
      <c r="G2189" t="n">
        <v>2023</v>
      </c>
      <c r="H2189" t="inlineStr">
        <is>
          <t>Junio</t>
        </is>
      </c>
      <c r="I2189" t="inlineStr">
        <is>
          <t>2023-1</t>
        </is>
      </c>
      <c r="J2189" t="n">
        <v>11.7</v>
      </c>
      <c r="K2189" t="n">
        <v>11.973211368834</v>
      </c>
      <c r="L2189" s="39" t="n">
        <v>1.023351399045641</v>
      </c>
      <c r="M2189" s="39" t="n">
        <v>1.023351399045641</v>
      </c>
      <c r="N2189" t="inlineStr">
        <is>
          <t>%</t>
        </is>
      </c>
      <c r="O2189" t="inlineStr">
        <is>
          <t>%</t>
        </is>
      </c>
      <c r="P2189" t="n">
        <v>2</v>
      </c>
      <c r="Q2189" t="n">
        <v>2</v>
      </c>
      <c r="R2189" t="inlineStr">
        <is>
          <t>422-2023-06-30</t>
        </is>
      </c>
    </row>
    <row r="2190" hidden="1">
      <c r="A2190" t="n">
        <v>422</v>
      </c>
      <c r="B2190" t="inlineStr">
        <is>
          <t>Total conversión</t>
        </is>
      </c>
      <c r="C2190" t="inlineStr">
        <is>
          <t>Mercadeo de programas académicos</t>
        </is>
      </c>
      <c r="D2190" t="inlineStr">
        <is>
          <t>Semestral</t>
        </is>
      </c>
      <c r="E2190" t="inlineStr">
        <is>
          <t>Positivo</t>
        </is>
      </c>
      <c r="F2190" s="113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10.5</v>
      </c>
      <c r="K2190" t="n">
        <v>11.04</v>
      </c>
      <c r="L2190" s="39" t="n">
        <v>1.051428571428571</v>
      </c>
      <c r="M2190" s="39" t="n">
        <v>1.051428571428571</v>
      </c>
      <c r="N2190" t="inlineStr">
        <is>
          <t>%</t>
        </is>
      </c>
      <c r="O2190" t="inlineStr">
        <is>
          <t>%</t>
        </is>
      </c>
      <c r="P2190" t="n">
        <v>2</v>
      </c>
      <c r="Q2190" t="n">
        <v>2</v>
      </c>
      <c r="R2190" t="inlineStr">
        <is>
          <t>422-2023-12-31</t>
        </is>
      </c>
    </row>
    <row r="2191" hidden="1">
      <c r="A2191" t="n">
        <v>422</v>
      </c>
      <c r="B2191" t="inlineStr">
        <is>
          <t>Total conversión</t>
        </is>
      </c>
      <c r="C2191" t="inlineStr">
        <is>
          <t>Mercadeo de programas académicos</t>
        </is>
      </c>
      <c r="D2191" t="inlineStr">
        <is>
          <t>Semestral</t>
        </is>
      </c>
      <c r="E2191" t="inlineStr">
        <is>
          <t>Positivo</t>
        </is>
      </c>
      <c r="F2191" s="113" t="n">
        <v>45473</v>
      </c>
      <c r="G2191" t="n">
        <v>2024</v>
      </c>
      <c r="H2191" t="inlineStr">
        <is>
          <t>Junio</t>
        </is>
      </c>
      <c r="I2191" t="inlineStr">
        <is>
          <t>2024-1</t>
        </is>
      </c>
      <c r="J2191" t="n">
        <v>9.25</v>
      </c>
      <c r="K2191" t="n">
        <v>8.859999999999999</v>
      </c>
      <c r="L2191" s="39" t="n">
        <v>0.9578378378378378</v>
      </c>
      <c r="M2191" s="39" t="n">
        <v>0.9578378378378378</v>
      </c>
      <c r="N2191" t="inlineStr">
        <is>
          <t>%</t>
        </is>
      </c>
      <c r="O2191" t="inlineStr">
        <is>
          <t>%</t>
        </is>
      </c>
      <c r="P2191" t="n">
        <v>2</v>
      </c>
      <c r="Q2191" t="n">
        <v>2</v>
      </c>
      <c r="R2191" t="inlineStr">
        <is>
          <t>422-2024-06-30</t>
        </is>
      </c>
    </row>
    <row r="2192" hidden="1">
      <c r="A2192" t="n">
        <v>422</v>
      </c>
      <c r="B2192" t="inlineStr">
        <is>
          <t>Total conversión</t>
        </is>
      </c>
      <c r="C2192" t="inlineStr">
        <is>
          <t>Mercadeo de programas académicos</t>
        </is>
      </c>
      <c r="D2192" t="inlineStr">
        <is>
          <t>Semestral</t>
        </is>
      </c>
      <c r="E2192" t="inlineStr">
        <is>
          <t>Positivo</t>
        </is>
      </c>
      <c r="F2192" s="113" t="n">
        <v>45657</v>
      </c>
      <c r="G2192" t="n">
        <v>2024</v>
      </c>
      <c r="H2192" t="inlineStr">
        <is>
          <t>Diciembre</t>
        </is>
      </c>
      <c r="I2192" t="inlineStr">
        <is>
          <t>2024-2</t>
        </is>
      </c>
      <c r="J2192" t="n">
        <v>8.01</v>
      </c>
      <c r="K2192" t="n">
        <v>7.91</v>
      </c>
      <c r="L2192" s="39" t="n">
        <v>0.9875156054931337</v>
      </c>
      <c r="M2192" s="39" t="n">
        <v>0.9875156054931337</v>
      </c>
      <c r="N2192" t="inlineStr">
        <is>
          <t>%</t>
        </is>
      </c>
      <c r="O2192" t="inlineStr">
        <is>
          <t>%</t>
        </is>
      </c>
      <c r="P2192" t="n">
        <v>2</v>
      </c>
      <c r="Q2192" t="n">
        <v>2</v>
      </c>
      <c r="R2192" t="inlineStr">
        <is>
          <t>422-2024-12-31</t>
        </is>
      </c>
    </row>
    <row r="2193" hidden="1">
      <c r="A2193" t="n">
        <v>422</v>
      </c>
      <c r="B2193" t="inlineStr">
        <is>
          <t>Total conversión</t>
        </is>
      </c>
      <c r="C2193" t="inlineStr">
        <is>
          <t>Mercadeo de programas académicos</t>
        </is>
      </c>
      <c r="D2193" t="inlineStr">
        <is>
          <t>Trimestral</t>
        </is>
      </c>
      <c r="E2193" t="inlineStr">
        <is>
          <t>Positivo</t>
        </is>
      </c>
      <c r="F2193" s="113" t="n">
        <v>45838</v>
      </c>
      <c r="G2193" t="n">
        <v>2025</v>
      </c>
      <c r="H2193" t="inlineStr">
        <is>
          <t>Junio</t>
        </is>
      </c>
      <c r="I2193" t="inlineStr">
        <is>
          <t>2025-1</t>
        </is>
      </c>
      <c r="J2193" t="n">
        <v>7.83</v>
      </c>
      <c r="K2193" t="n">
        <v>8.199999999999999</v>
      </c>
      <c r="L2193" s="39" t="n">
        <v>1.047254150702426</v>
      </c>
      <c r="M2193" s="39" t="n">
        <v>1.047254150702426</v>
      </c>
      <c r="N2193" t="inlineStr">
        <is>
          <t>%</t>
        </is>
      </c>
      <c r="O2193" t="inlineStr">
        <is>
          <t>%</t>
        </is>
      </c>
      <c r="P2193" t="n">
        <v>2</v>
      </c>
      <c r="Q2193" t="n">
        <v>2</v>
      </c>
      <c r="R2193" t="inlineStr">
        <is>
          <t>422-2025-06-30</t>
        </is>
      </c>
    </row>
    <row r="2194" hidden="1">
      <c r="A2194" t="n">
        <v>422</v>
      </c>
      <c r="B2194" t="inlineStr">
        <is>
          <t>Total conversión</t>
        </is>
      </c>
      <c r="C2194" t="inlineStr">
        <is>
          <t>Mercadeo de programas académicos</t>
        </is>
      </c>
      <c r="D2194" t="inlineStr">
        <is>
          <t>Trimestral</t>
        </is>
      </c>
      <c r="E2194" t="inlineStr">
        <is>
          <t>Positivo</t>
        </is>
      </c>
      <c r="F2194" s="113" t="n">
        <v>46022</v>
      </c>
      <c r="G2194" t="n">
        <v>2025</v>
      </c>
      <c r="H2194" t="inlineStr">
        <is>
          <t>Diciembre</t>
        </is>
      </c>
      <c r="I2194" t="inlineStr">
        <is>
          <t>2025-2</t>
        </is>
      </c>
      <c r="J2194" t="n">
        <v>7.68</v>
      </c>
      <c r="K2194" t="n">
        <v>7.87</v>
      </c>
      <c r="L2194" s="39" t="n">
        <v>1.024739583333333</v>
      </c>
      <c r="M2194" s="39" t="n">
        <v>1.024739583333333</v>
      </c>
      <c r="N2194" t="inlineStr">
        <is>
          <t>%</t>
        </is>
      </c>
      <c r="O2194" t="inlineStr">
        <is>
          <t>%</t>
        </is>
      </c>
      <c r="P2194" t="n">
        <v>2</v>
      </c>
      <c r="Q2194" t="n">
        <v>2</v>
      </c>
      <c r="R2194" t="inlineStr">
        <is>
          <t>422-2025-12-31</t>
        </is>
      </c>
    </row>
    <row r="2195" hidden="1">
      <c r="A2195" t="n">
        <v>423</v>
      </c>
      <c r="B2195" t="inlineStr">
        <is>
          <t>Brand equity</t>
        </is>
      </c>
      <c r="C2195" t="inlineStr">
        <is>
          <t>Mercadeo de programas académicos</t>
        </is>
      </c>
      <c r="D2195" t="inlineStr">
        <is>
          <t>Anual</t>
        </is>
      </c>
      <c r="E2195" t="inlineStr">
        <is>
          <t>Positivo</t>
        </is>
      </c>
      <c r="F2195" s="113" t="n">
        <v>45291</v>
      </c>
      <c r="G2195" t="n">
        <v>2023</v>
      </c>
      <c r="H2195" t="inlineStr">
        <is>
          <t>Diciembre</t>
        </is>
      </c>
      <c r="I2195" t="inlineStr">
        <is>
          <t>2023-2</t>
        </is>
      </c>
      <c r="J2195" t="n">
        <v>8.4</v>
      </c>
      <c r="K2195" t="n">
        <v>7.9</v>
      </c>
      <c r="L2195" s="39" t="n">
        <v>0.9404761904761905</v>
      </c>
      <c r="M2195" s="39" t="n">
        <v>0.9404761904761905</v>
      </c>
      <c r="N2195" t="inlineStr">
        <is>
          <t>%</t>
        </is>
      </c>
      <c r="O2195" t="inlineStr">
        <is>
          <t>%</t>
        </is>
      </c>
      <c r="P2195" t="n">
        <v>1</v>
      </c>
      <c r="Q2195" t="n">
        <v>1</v>
      </c>
      <c r="R2195" t="inlineStr">
        <is>
          <t>423-2023-12-31</t>
        </is>
      </c>
    </row>
    <row r="2196" hidden="1">
      <c r="A2196" t="n">
        <v>423</v>
      </c>
      <c r="B2196" t="inlineStr">
        <is>
          <t>Brand equity</t>
        </is>
      </c>
      <c r="C2196" t="inlineStr">
        <is>
          <t>Mercadeo de programas académicos</t>
        </is>
      </c>
      <c r="D2196" t="inlineStr">
        <is>
          <t>Anual</t>
        </is>
      </c>
      <c r="E2196" t="inlineStr">
        <is>
          <t>Positivo</t>
        </is>
      </c>
      <c r="F2196" s="113" t="n">
        <v>45657</v>
      </c>
      <c r="G2196" t="n">
        <v>2024</v>
      </c>
      <c r="H2196" t="inlineStr">
        <is>
          <t>Diciembre</t>
        </is>
      </c>
      <c r="I2196" t="inlineStr">
        <is>
          <t>2024-2</t>
        </is>
      </c>
      <c r="J2196" t="n">
        <v>8.300000000000001</v>
      </c>
      <c r="K2196" t="n">
        <v>12.3</v>
      </c>
      <c r="L2196" s="39" t="n">
        <v>1.3</v>
      </c>
      <c r="M2196" s="39" t="n">
        <v>1.481927710843373</v>
      </c>
      <c r="P2196" t="n">
        <v>1</v>
      </c>
      <c r="Q2196" t="n">
        <v>1</v>
      </c>
      <c r="R2196" t="inlineStr">
        <is>
          <t>423-2024-12-31</t>
        </is>
      </c>
    </row>
    <row r="2197" hidden="1">
      <c r="A2197" t="n">
        <v>423</v>
      </c>
      <c r="B2197" t="inlineStr">
        <is>
          <t>Brand equity</t>
        </is>
      </c>
      <c r="C2197" t="inlineStr">
        <is>
          <t>Mercadeo de programas académicos</t>
        </is>
      </c>
      <c r="D2197" t="inlineStr">
        <is>
          <t>Anual</t>
        </is>
      </c>
      <c r="E2197" t="inlineStr">
        <is>
          <t>Positivo</t>
        </is>
      </c>
      <c r="F2197" s="113" t="n">
        <v>46022</v>
      </c>
      <c r="G2197" t="n">
        <v>2025</v>
      </c>
      <c r="H2197" t="inlineStr">
        <is>
          <t>Diciembre</t>
        </is>
      </c>
      <c r="I2197" t="inlineStr">
        <is>
          <t>2025-2</t>
        </is>
      </c>
      <c r="J2197" t="n">
        <v>12.3</v>
      </c>
      <c r="K2197" t="n">
        <v>15.1</v>
      </c>
      <c r="L2197" s="39" t="n">
        <v>1.227642276422764</v>
      </c>
      <c r="M2197" s="39" t="n">
        <v>1.227642276422764</v>
      </c>
      <c r="N2197" t="inlineStr">
        <is>
          <t>DEC</t>
        </is>
      </c>
      <c r="O2197" t="inlineStr">
        <is>
          <t>DEC</t>
        </is>
      </c>
      <c r="P2197" t="n">
        <v>1</v>
      </c>
      <c r="Q2197" t="n">
        <v>1</v>
      </c>
      <c r="R2197" t="inlineStr">
        <is>
          <t>423-2025-12-31</t>
        </is>
      </c>
    </row>
    <row r="2198" hidden="1">
      <c r="A2198" t="n">
        <v>424</v>
      </c>
      <c r="B2198" t="inlineStr">
        <is>
          <t>Conocimiento espontaneo</t>
        </is>
      </c>
      <c r="C2198" t="inlineStr">
        <is>
          <t>Mercadeo de programas académicos</t>
        </is>
      </c>
      <c r="D2198" t="inlineStr">
        <is>
          <t>Anual</t>
        </is>
      </c>
      <c r="E2198" t="inlineStr">
        <is>
          <t>Positivo</t>
        </is>
      </c>
      <c r="F2198" s="113" t="n">
        <v>45291</v>
      </c>
      <c r="G2198" t="n">
        <v>2023</v>
      </c>
      <c r="H2198" t="inlineStr">
        <is>
          <t>Diciembre</t>
        </is>
      </c>
      <c r="I2198" t="inlineStr">
        <is>
          <t>2023-2</t>
        </is>
      </c>
      <c r="J2198" t="n">
        <v>92</v>
      </c>
      <c r="K2198" t="n">
        <v>6</v>
      </c>
      <c r="L2198" s="39" t="n">
        <v>0.06521739130434782</v>
      </c>
      <c r="M2198" s="39" t="n">
        <v>0.06521739130434782</v>
      </c>
      <c r="P2198" t="n">
        <v>0</v>
      </c>
      <c r="Q2198" t="n">
        <v>0</v>
      </c>
      <c r="R2198" t="inlineStr">
        <is>
          <t>424-2023-12-31</t>
        </is>
      </c>
    </row>
    <row r="2199" hidden="1">
      <c r="A2199" t="n">
        <v>424</v>
      </c>
      <c r="B2199" t="inlineStr">
        <is>
          <t>Conocimiento espontaneo</t>
        </is>
      </c>
      <c r="C2199" t="inlineStr">
        <is>
          <t>Mercadeo de programas académicos</t>
        </is>
      </c>
      <c r="D2199" t="inlineStr">
        <is>
          <t>Anual</t>
        </is>
      </c>
      <c r="E2199" t="inlineStr">
        <is>
          <t>Positivo</t>
        </is>
      </c>
      <c r="F2199" s="113" t="n">
        <v>45657</v>
      </c>
      <c r="G2199" t="n">
        <v>2024</v>
      </c>
      <c r="H2199" t="inlineStr">
        <is>
          <t>Diciembre</t>
        </is>
      </c>
      <c r="I2199" t="inlineStr">
        <is>
          <t>2024-2</t>
        </is>
      </c>
      <c r="J2199" t="n">
        <v>7</v>
      </c>
      <c r="K2199" t="n">
        <v>9</v>
      </c>
      <c r="L2199" s="39" t="n">
        <v>1.285714285714286</v>
      </c>
      <c r="M2199" s="39" t="n">
        <v>1.285714285714286</v>
      </c>
      <c r="P2199" t="n">
        <v>0</v>
      </c>
      <c r="Q2199" t="n">
        <v>0</v>
      </c>
      <c r="R2199" t="inlineStr">
        <is>
          <t>424-2024-12-31</t>
        </is>
      </c>
    </row>
    <row r="2200" hidden="1">
      <c r="A2200" t="n">
        <v>424</v>
      </c>
      <c r="B2200" t="inlineStr">
        <is>
          <t>Conocimiento espontáneo</t>
        </is>
      </c>
      <c r="C2200" t="inlineStr">
        <is>
          <t>Mercadeo de programas académicos</t>
        </is>
      </c>
      <c r="D2200" t="inlineStr">
        <is>
          <t>Anual</t>
        </is>
      </c>
      <c r="E2200" t="inlineStr">
        <is>
          <t>Positivo</t>
        </is>
      </c>
      <c r="F2200" s="113" t="n">
        <v>46022</v>
      </c>
      <c r="G2200" t="n">
        <v>2025</v>
      </c>
      <c r="H2200" t="inlineStr">
        <is>
          <t>Diciembre</t>
        </is>
      </c>
      <c r="I2200" t="inlineStr">
        <is>
          <t>2025-2</t>
        </is>
      </c>
      <c r="J2200" t="n">
        <v>9</v>
      </c>
      <c r="K2200" t="n">
        <v>11</v>
      </c>
      <c r="L2200" s="39" t="n">
        <v>1.222222222222222</v>
      </c>
      <c r="M2200" s="39" t="n">
        <v>1.222222222222222</v>
      </c>
      <c r="N2200" t="inlineStr">
        <is>
          <t>ENT</t>
        </is>
      </c>
      <c r="O2200" t="inlineStr">
        <is>
          <t>ENT</t>
        </is>
      </c>
      <c r="P2200" t="n">
        <v>0</v>
      </c>
      <c r="Q2200" t="n">
        <v>0</v>
      </c>
      <c r="R2200" t="inlineStr">
        <is>
          <t>424-2025-12-31</t>
        </is>
      </c>
    </row>
    <row r="2201" hidden="1">
      <c r="A2201" t="n">
        <v>425</v>
      </c>
      <c r="B2201" t="inlineStr">
        <is>
          <t>Cumplimiento Leads Educación para la vida</t>
        </is>
      </c>
      <c r="C2201" t="inlineStr">
        <is>
          <t>Mercadeo y venta de educación para la vida</t>
        </is>
      </c>
      <c r="D2201" t="inlineStr">
        <is>
          <t>Anual</t>
        </is>
      </c>
      <c r="E2201" t="inlineStr">
        <is>
          <t>Positivo</t>
        </is>
      </c>
      <c r="F2201" s="113" t="n">
        <v>45291</v>
      </c>
      <c r="G2201" t="n">
        <v>2023</v>
      </c>
      <c r="H2201" t="inlineStr">
        <is>
          <t>Diciembre</t>
        </is>
      </c>
      <c r="I2201" t="inlineStr">
        <is>
          <t>2023-2</t>
        </is>
      </c>
      <c r="J2201" t="n">
        <v>5500</v>
      </c>
      <c r="K2201" t="n">
        <v>5785</v>
      </c>
      <c r="L2201" s="39" t="n">
        <v>1.051818181818182</v>
      </c>
      <c r="M2201" s="39" t="n">
        <v>1.051818181818182</v>
      </c>
      <c r="N2201" t="inlineStr">
        <is>
          <t>$</t>
        </is>
      </c>
      <c r="O2201" t="inlineStr">
        <is>
          <t>$</t>
        </is>
      </c>
      <c r="P2201" t="n">
        <v>0</v>
      </c>
      <c r="Q2201" t="n">
        <v>0</v>
      </c>
      <c r="R2201" t="inlineStr">
        <is>
          <t>425-2023-12-31</t>
        </is>
      </c>
    </row>
    <row r="2202" hidden="1">
      <c r="A2202" t="n">
        <v>425</v>
      </c>
      <c r="B2202" t="inlineStr">
        <is>
          <t>Cumplimiento Leads Educación para la vida</t>
        </is>
      </c>
      <c r="C2202" t="inlineStr">
        <is>
          <t>Mercadeo y venta de educación para la vida</t>
        </is>
      </c>
      <c r="D2202" t="inlineStr">
        <is>
          <t>Semestral</t>
        </is>
      </c>
      <c r="E2202" t="inlineStr">
        <is>
          <t>Positivo</t>
        </is>
      </c>
      <c r="F2202" s="113" t="n">
        <v>45473</v>
      </c>
      <c r="G2202" t="n">
        <v>2024</v>
      </c>
      <c r="H2202" t="inlineStr">
        <is>
          <t>Junio</t>
        </is>
      </c>
      <c r="I2202" t="inlineStr">
        <is>
          <t>2024-1</t>
        </is>
      </c>
      <c r="J2202" t="n">
        <v>100</v>
      </c>
      <c r="K2202" t="n">
        <v>60.69</v>
      </c>
      <c r="L2202" s="39" t="n">
        <v>0.6069</v>
      </c>
      <c r="M2202" s="39" t="n">
        <v>0.6069</v>
      </c>
      <c r="N2202" t="inlineStr">
        <is>
          <t>ENT</t>
        </is>
      </c>
      <c r="O2202" t="inlineStr">
        <is>
          <t>ENT</t>
        </is>
      </c>
      <c r="P2202" t="n">
        <v>0</v>
      </c>
      <c r="Q2202" t="n">
        <v>0</v>
      </c>
      <c r="R2202" t="inlineStr">
        <is>
          <t>425-2024-06-30</t>
        </is>
      </c>
    </row>
    <row r="2203" hidden="1">
      <c r="A2203" t="n">
        <v>425</v>
      </c>
      <c r="B2203" t="inlineStr">
        <is>
          <t>Cumplimiento Leads Educación para la vida</t>
        </is>
      </c>
      <c r="C2203" t="inlineStr">
        <is>
          <t>Mercadeo y venta de educación para la vida</t>
        </is>
      </c>
      <c r="D2203" t="inlineStr">
        <is>
          <t>Semestral</t>
        </is>
      </c>
      <c r="E2203" t="inlineStr">
        <is>
          <t>Positivo</t>
        </is>
      </c>
      <c r="F2203" s="113" t="n">
        <v>45657</v>
      </c>
      <c r="G2203" t="n">
        <v>2024</v>
      </c>
      <c r="H2203" t="inlineStr">
        <is>
          <t>Diciembre</t>
        </is>
      </c>
      <c r="I2203" t="inlineStr">
        <is>
          <t>2024-2</t>
        </is>
      </c>
      <c r="J2203" t="n">
        <v>100</v>
      </c>
      <c r="K2203" t="n">
        <v>164.69</v>
      </c>
      <c r="L2203" s="39" t="n">
        <v>1.3</v>
      </c>
      <c r="M2203" s="39" t="n">
        <v>1.6469</v>
      </c>
      <c r="N2203" t="inlineStr">
        <is>
          <t>ENT</t>
        </is>
      </c>
      <c r="O2203" t="inlineStr">
        <is>
          <t>ENT</t>
        </is>
      </c>
      <c r="P2203" t="n">
        <v>0</v>
      </c>
      <c r="Q2203" t="n">
        <v>0</v>
      </c>
      <c r="R2203" t="inlineStr">
        <is>
          <t>425-2024-12-31</t>
        </is>
      </c>
    </row>
    <row r="2204" hidden="1">
      <c r="A2204" t="n">
        <v>426</v>
      </c>
      <c r="B2204" t="inlineStr">
        <is>
          <t>Cumplimiento en la respuesta a solicitudes de comunicaciones internas</t>
        </is>
      </c>
      <c r="C2204" t="inlineStr">
        <is>
          <t>Comunicaciones Internas</t>
        </is>
      </c>
      <c r="D2204" t="inlineStr">
        <is>
          <t>Semestral</t>
        </is>
      </c>
      <c r="E2204" t="inlineStr">
        <is>
          <t>Positivo</t>
        </is>
      </c>
      <c r="F2204" s="113" t="n">
        <v>45107</v>
      </c>
      <c r="G2204" t="n">
        <v>2023</v>
      </c>
      <c r="H2204" t="inlineStr">
        <is>
          <t>Junio</t>
        </is>
      </c>
      <c r="I2204" t="inlineStr">
        <is>
          <t>2023-1</t>
        </is>
      </c>
      <c r="K2204" t="n">
        <v>86.98</v>
      </c>
      <c r="L2204" s="39" t="n"/>
      <c r="M2204" s="39" t="n"/>
      <c r="N2204" t="inlineStr">
        <is>
          <t>Linea Base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426-2023-06-30</t>
        </is>
      </c>
    </row>
    <row r="2205" hidden="1">
      <c r="A2205" t="n">
        <v>426</v>
      </c>
      <c r="B2205" t="inlineStr">
        <is>
          <t>Cumplimiento en la respuesta a solicitudes de comunicaciones internas</t>
        </is>
      </c>
      <c r="C2205" t="inlineStr">
        <is>
          <t>Comunicaciones Internas</t>
        </is>
      </c>
      <c r="D2205" t="inlineStr">
        <is>
          <t>Semestral</t>
        </is>
      </c>
      <c r="E2205" t="inlineStr">
        <is>
          <t>Positivo</t>
        </is>
      </c>
      <c r="F2205" s="113" t="n">
        <v>45291</v>
      </c>
      <c r="G2205" t="n">
        <v>2023</v>
      </c>
      <c r="H2205" t="inlineStr">
        <is>
          <t>Diciembre</t>
        </is>
      </c>
      <c r="I2205" t="inlineStr">
        <is>
          <t>2023-2</t>
        </is>
      </c>
      <c r="K2205" t="n">
        <v>92.31</v>
      </c>
      <c r="L2205" s="39" t="n"/>
      <c r="M2205" s="39" t="n"/>
      <c r="N2205" t="inlineStr">
        <is>
          <t>Linea Base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426-2023-12-31</t>
        </is>
      </c>
    </row>
    <row r="2206" hidden="1">
      <c r="A2206" t="n">
        <v>426</v>
      </c>
      <c r="B2206" t="inlineStr">
        <is>
          <t>Cumplimiento en la respuesta a solicitudes de comunicaciones internas</t>
        </is>
      </c>
      <c r="C2206" t="inlineStr">
        <is>
          <t>Comunicaciones Internas</t>
        </is>
      </c>
      <c r="D2206" t="inlineStr">
        <is>
          <t>Semestral</t>
        </is>
      </c>
      <c r="E2206" t="inlineStr">
        <is>
          <t>Positivo</t>
        </is>
      </c>
      <c r="F2206" s="113" t="n">
        <v>45473</v>
      </c>
      <c r="G2206" t="n">
        <v>2024</v>
      </c>
      <c r="H2206" t="inlineStr">
        <is>
          <t>Junio</t>
        </is>
      </c>
      <c r="I2206" t="inlineStr">
        <is>
          <t>2024-1</t>
        </is>
      </c>
      <c r="J2206" t="n">
        <v>80</v>
      </c>
      <c r="K2206" t="n">
        <v>60.27</v>
      </c>
      <c r="L2206" s="39" t="n">
        <v>0.753375</v>
      </c>
      <c r="M2206" s="39" t="n">
        <v>0.753375</v>
      </c>
      <c r="N2206" t="inlineStr">
        <is>
          <t>Linea Base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426-2024-06-30</t>
        </is>
      </c>
    </row>
    <row r="2207" hidden="1">
      <c r="A2207" t="n">
        <v>426</v>
      </c>
      <c r="B2207" t="inlineStr">
        <is>
          <t>Cumplimiento en la respuesta a solicitudes de comunicaciones internas</t>
        </is>
      </c>
      <c r="C2207" t="inlineStr">
        <is>
          <t>Comunicaciones Internas</t>
        </is>
      </c>
      <c r="D2207" t="inlineStr">
        <is>
          <t>Semestral</t>
        </is>
      </c>
      <c r="E2207" t="inlineStr">
        <is>
          <t>Positivo</t>
        </is>
      </c>
      <c r="F2207" s="113" t="n">
        <v>45657</v>
      </c>
      <c r="G2207" t="n">
        <v>2024</v>
      </c>
      <c r="H2207" t="inlineStr">
        <is>
          <t>Diciembre</t>
        </is>
      </c>
      <c r="I2207" t="inlineStr">
        <is>
          <t>2024-2</t>
        </is>
      </c>
      <c r="J2207" t="n">
        <v>80</v>
      </c>
      <c r="K2207" t="n">
        <v>86.72</v>
      </c>
      <c r="L2207" s="39" t="n">
        <v>1.084</v>
      </c>
      <c r="M2207" s="39" t="n">
        <v>1.084</v>
      </c>
      <c r="N2207" t="inlineStr">
        <is>
          <t>Linea Base</t>
        </is>
      </c>
      <c r="O2207" t="inlineStr">
        <is>
          <t>%</t>
        </is>
      </c>
      <c r="P2207" t="n">
        <v>0</v>
      </c>
      <c r="Q2207" t="n">
        <v>0</v>
      </c>
      <c r="R2207" t="inlineStr">
        <is>
          <t>426-2024-12-31</t>
        </is>
      </c>
    </row>
    <row r="2208" hidden="1">
      <c r="A2208" t="n">
        <v>427</v>
      </c>
      <c r="B2208" t="inlineStr">
        <is>
          <t>Consumo de Agua per Cápita Semestral</t>
        </is>
      </c>
      <c r="C2208" t="inlineStr">
        <is>
          <t>GESTIÓN AMBIENTAL</t>
        </is>
      </c>
      <c r="D2208" t="inlineStr">
        <is>
          <t>Semestral</t>
        </is>
      </c>
      <c r="E2208" t="inlineStr">
        <is>
          <t>Negativo</t>
        </is>
      </c>
      <c r="F2208" s="113" t="n">
        <v>45107</v>
      </c>
      <c r="G2208" t="n">
        <v>2023</v>
      </c>
      <c r="H2208" t="inlineStr">
        <is>
          <t>Junio</t>
        </is>
      </c>
      <c r="I2208" t="inlineStr">
        <is>
          <t>2023-1</t>
        </is>
      </c>
      <c r="J2208" t="n">
        <v>0.2</v>
      </c>
      <c r="K2208" t="n">
        <v>0.13666666666667</v>
      </c>
      <c r="L2208" s="39" t="n">
        <v>1.3</v>
      </c>
      <c r="M2208" s="39" t="n">
        <v>1.463414634146306</v>
      </c>
      <c r="N2208" t="inlineStr">
        <is>
          <t>DEC</t>
        </is>
      </c>
      <c r="O2208" t="inlineStr">
        <is>
          <t>DEC</t>
        </is>
      </c>
      <c r="P2208" t="n">
        <v>1</v>
      </c>
      <c r="Q2208" t="n">
        <v>2</v>
      </c>
      <c r="R2208" t="inlineStr">
        <is>
          <t>427-2023-06-30</t>
        </is>
      </c>
    </row>
    <row r="2209" hidden="1">
      <c r="A2209" t="n">
        <v>427</v>
      </c>
      <c r="B2209" t="inlineStr">
        <is>
          <t>Consumo de Agua per Cápita Semestral</t>
        </is>
      </c>
      <c r="C2209" t="inlineStr">
        <is>
          <t>GESTIÓN AMBIENTAL</t>
        </is>
      </c>
      <c r="D2209" t="inlineStr">
        <is>
          <t>Semestral</t>
        </is>
      </c>
      <c r="E2209" t="inlineStr">
        <is>
          <t>Negativo</t>
        </is>
      </c>
      <c r="F2209" s="113" t="n">
        <v>45291</v>
      </c>
      <c r="G2209" t="n">
        <v>2023</v>
      </c>
      <c r="H2209" t="inlineStr">
        <is>
          <t>Diciembre</t>
        </is>
      </c>
      <c r="I2209" t="inlineStr">
        <is>
          <t>2023-2</t>
        </is>
      </c>
      <c r="J2209" t="n">
        <v>0.2</v>
      </c>
      <c r="K2209" t="n">
        <v>0.2</v>
      </c>
      <c r="L2209" s="39" t="n">
        <v>1</v>
      </c>
      <c r="M2209" s="39" t="n">
        <v>1</v>
      </c>
      <c r="N2209" t="inlineStr">
        <is>
          <t>DEC</t>
        </is>
      </c>
      <c r="O2209" t="inlineStr">
        <is>
          <t>DEC</t>
        </is>
      </c>
      <c r="P2209" t="n">
        <v>1</v>
      </c>
      <c r="Q2209" t="n">
        <v>2</v>
      </c>
      <c r="R2209" t="inlineStr">
        <is>
          <t>427-2023-12-31</t>
        </is>
      </c>
    </row>
    <row r="2210" hidden="1">
      <c r="A2210" t="n">
        <v>427</v>
      </c>
      <c r="B2210" t="inlineStr">
        <is>
          <t>Consumo de Agua per Cápita Semestral</t>
        </is>
      </c>
      <c r="C2210" t="inlineStr">
        <is>
          <t>GESTIÓN AMBIENTAL</t>
        </is>
      </c>
      <c r="D2210" t="inlineStr">
        <is>
          <t>Semestral</t>
        </is>
      </c>
      <c r="E2210" t="inlineStr">
        <is>
          <t>Negativo</t>
        </is>
      </c>
      <c r="F2210" s="113" t="n">
        <v>45473</v>
      </c>
      <c r="G2210" t="n">
        <v>2024</v>
      </c>
      <c r="H2210" t="inlineStr">
        <is>
          <t>Junio</t>
        </is>
      </c>
      <c r="I2210" t="inlineStr">
        <is>
          <t>2024-1</t>
        </is>
      </c>
      <c r="J2210" t="n">
        <v>0.2</v>
      </c>
      <c r="K2210" t="n">
        <v>0.17</v>
      </c>
      <c r="L2210" s="39" t="n">
        <v>1.176470588235294</v>
      </c>
      <c r="M2210" s="39" t="n">
        <v>1.176470588235294</v>
      </c>
      <c r="N2210" t="inlineStr">
        <is>
          <t>DEC</t>
        </is>
      </c>
      <c r="O2210" t="inlineStr">
        <is>
          <t>DEC</t>
        </is>
      </c>
      <c r="P2210" t="n">
        <v>1</v>
      </c>
      <c r="Q2210" t="n">
        <v>2</v>
      </c>
      <c r="R2210" t="inlineStr">
        <is>
          <t>427-2024-06-30</t>
        </is>
      </c>
    </row>
    <row r="2211" hidden="1">
      <c r="A2211" t="n">
        <v>427</v>
      </c>
      <c r="B2211" t="inlineStr">
        <is>
          <t>Consumo de Agua per Cápita Semestral</t>
        </is>
      </c>
      <c r="C2211" t="inlineStr">
        <is>
          <t>GESTIÓN AMBIENTAL</t>
        </is>
      </c>
      <c r="D2211" t="inlineStr">
        <is>
          <t>Semestral</t>
        </is>
      </c>
      <c r="E2211" t="inlineStr">
        <is>
          <t>Negativo</t>
        </is>
      </c>
      <c r="F2211" s="113" t="n">
        <v>45657</v>
      </c>
      <c r="G2211" t="n">
        <v>2024</v>
      </c>
      <c r="H2211" t="inlineStr">
        <is>
          <t>Diciembre</t>
        </is>
      </c>
      <c r="I2211" t="inlineStr">
        <is>
          <t>2024-2</t>
        </is>
      </c>
      <c r="J2211" t="n">
        <v>0.2</v>
      </c>
      <c r="K2211" t="n">
        <v>0.17</v>
      </c>
      <c r="L2211" s="39" t="n">
        <v>1.176470588235294</v>
      </c>
      <c r="M2211" s="39" t="n">
        <v>1.176470588235294</v>
      </c>
      <c r="N2211" t="inlineStr">
        <is>
          <t>DEC</t>
        </is>
      </c>
      <c r="O2211" t="inlineStr">
        <is>
          <t>DEC</t>
        </is>
      </c>
      <c r="P2211" t="n">
        <v>1</v>
      </c>
      <c r="Q2211" t="n">
        <v>2</v>
      </c>
      <c r="R2211" t="inlineStr">
        <is>
          <t>427-2024-12-31</t>
        </is>
      </c>
    </row>
    <row r="2212" hidden="1">
      <c r="A2212" t="n">
        <v>427</v>
      </c>
      <c r="B2212" t="inlineStr">
        <is>
          <t>Consumo de Agua per Cápita Semestral</t>
        </is>
      </c>
      <c r="C2212" t="inlineStr">
        <is>
          <t>GESTIÓN AMBIENTAL</t>
        </is>
      </c>
      <c r="D2212" t="inlineStr">
        <is>
          <t>Semestral</t>
        </is>
      </c>
      <c r="E2212" t="inlineStr">
        <is>
          <t>Negativo</t>
        </is>
      </c>
      <c r="F2212" s="113" t="n">
        <v>45838</v>
      </c>
      <c r="G2212" t="n">
        <v>2025</v>
      </c>
      <c r="H2212" t="inlineStr">
        <is>
          <t>Junio</t>
        </is>
      </c>
      <c r="I2212" t="inlineStr">
        <is>
          <t>2025-1</t>
        </is>
      </c>
      <c r="J2212" t="n">
        <v>0.2</v>
      </c>
      <c r="K2212" t="n">
        <v>0.14</v>
      </c>
      <c r="L2212" s="39" t="n">
        <v>1.3</v>
      </c>
      <c r="M2212" s="39" t="n">
        <v>1.428571428571429</v>
      </c>
      <c r="N2212" t="inlineStr">
        <is>
          <t>DEC</t>
        </is>
      </c>
      <c r="O2212" t="inlineStr">
        <is>
          <t>DEC</t>
        </is>
      </c>
      <c r="P2212" t="n">
        <v>1</v>
      </c>
      <c r="Q2212" t="n">
        <v>2</v>
      </c>
      <c r="R2212" t="inlineStr">
        <is>
          <t>427-2025-06-30</t>
        </is>
      </c>
    </row>
    <row r="2213" hidden="1">
      <c r="A2213" t="n">
        <v>427</v>
      </c>
      <c r="B2213" t="inlineStr">
        <is>
          <t>Consumo de Agua per Cápita Semestral</t>
        </is>
      </c>
      <c r="C2213" t="inlineStr">
        <is>
          <t>GESTIÓN AMBIENTAL</t>
        </is>
      </c>
      <c r="D2213" t="inlineStr">
        <is>
          <t>Trimestral</t>
        </is>
      </c>
      <c r="E2213" t="inlineStr">
        <is>
          <t>Negativo</t>
        </is>
      </c>
      <c r="F2213" s="113" t="n">
        <v>46022</v>
      </c>
      <c r="G2213" t="n">
        <v>2025</v>
      </c>
      <c r="H2213" t="inlineStr">
        <is>
          <t>Diciembre</t>
        </is>
      </c>
      <c r="I2213" t="inlineStr">
        <is>
          <t>2025-2</t>
        </is>
      </c>
      <c r="J2213" t="n">
        <v>0.2</v>
      </c>
      <c r="K2213" t="n">
        <v>0.15</v>
      </c>
      <c r="L2213" s="39" t="n">
        <v>1.3</v>
      </c>
      <c r="M2213" s="39" t="n">
        <v>1.333333333333333</v>
      </c>
      <c r="N2213" t="inlineStr">
        <is>
          <t>DEC</t>
        </is>
      </c>
      <c r="O2213" t="inlineStr">
        <is>
          <t>DEC</t>
        </is>
      </c>
      <c r="P2213" t="n">
        <v>2</v>
      </c>
      <c r="Q2213" t="n">
        <v>2</v>
      </c>
      <c r="R2213" t="inlineStr">
        <is>
          <t>427-2025-12-31</t>
        </is>
      </c>
    </row>
    <row r="2214" hidden="1">
      <c r="A2214" t="n">
        <v>428</v>
      </c>
      <c r="B2214" t="inlineStr">
        <is>
          <t>Consumo de Energía Eléctrica per Cápita Semestral</t>
        </is>
      </c>
      <c r="C2214" t="inlineStr">
        <is>
          <t>GESTIÓN AMBIENTAL</t>
        </is>
      </c>
      <c r="D2214" t="inlineStr">
        <is>
          <t>Semestral</t>
        </is>
      </c>
      <c r="E2214" t="inlineStr">
        <is>
          <t>Negativo</t>
        </is>
      </c>
      <c r="F2214" s="113" t="n">
        <v>45107</v>
      </c>
      <c r="G2214" t="n">
        <v>2023</v>
      </c>
      <c r="H2214" t="inlineStr">
        <is>
          <t>Junio</t>
        </is>
      </c>
      <c r="I2214" t="inlineStr">
        <is>
          <t>2023-1</t>
        </is>
      </c>
      <c r="J2214" t="n">
        <v>1</v>
      </c>
      <c r="K2214" t="n">
        <v>17.59</v>
      </c>
      <c r="L2214" s="39" t="n">
        <v>0.05685048322910745</v>
      </c>
      <c r="M2214" s="39" t="n">
        <v>0.05685048322910745</v>
      </c>
      <c r="N2214" t="inlineStr">
        <is>
          <t>kWh</t>
        </is>
      </c>
      <c r="O2214" t="inlineStr">
        <is>
          <t>kWh</t>
        </is>
      </c>
      <c r="P2214" t="n">
        <v>0</v>
      </c>
      <c r="Q2214" t="n">
        <v>1</v>
      </c>
      <c r="R2214" t="inlineStr">
        <is>
          <t>428-2023-06-30</t>
        </is>
      </c>
    </row>
    <row r="2215" hidden="1">
      <c r="A2215" t="n">
        <v>428</v>
      </c>
      <c r="B2215" t="inlineStr">
        <is>
          <t>Consumo de Energía Eléctrica per Cápita Semestral</t>
        </is>
      </c>
      <c r="C2215" t="inlineStr">
        <is>
          <t>GESTIÓN AMBIENTAL</t>
        </is>
      </c>
      <c r="D2215" t="inlineStr">
        <is>
          <t>Semestral</t>
        </is>
      </c>
      <c r="E2215" t="inlineStr">
        <is>
          <t>Negativo</t>
        </is>
      </c>
      <c r="F2215" s="113" t="n">
        <v>45291</v>
      </c>
      <c r="G2215" t="n">
        <v>2023</v>
      </c>
      <c r="H2215" t="inlineStr">
        <is>
          <t>Diciembre</t>
        </is>
      </c>
      <c r="I2215" t="inlineStr">
        <is>
          <t>2023-2</t>
        </is>
      </c>
      <c r="J2215" t="n">
        <v>1</v>
      </c>
      <c r="K2215" t="n">
        <v>18.63</v>
      </c>
      <c r="L2215" s="39" t="n">
        <v>0.05367686527106817</v>
      </c>
      <c r="M2215" s="39" t="n">
        <v>0.05367686527106817</v>
      </c>
      <c r="N2215" t="inlineStr">
        <is>
          <t>kWh</t>
        </is>
      </c>
      <c r="O2215" t="inlineStr">
        <is>
          <t>kWh</t>
        </is>
      </c>
      <c r="P2215" t="n">
        <v>0</v>
      </c>
      <c r="Q2215" t="n">
        <v>1</v>
      </c>
      <c r="R2215" t="inlineStr">
        <is>
          <t>428-2023-12-31</t>
        </is>
      </c>
    </row>
    <row r="2216" hidden="1">
      <c r="A2216" t="n">
        <v>428</v>
      </c>
      <c r="B2216" t="inlineStr">
        <is>
          <t>Consumo de Energía Eléctrica per Cápita Semestral</t>
        </is>
      </c>
      <c r="C2216" t="inlineStr">
        <is>
          <t>GESTIÓN AMBIENTAL</t>
        </is>
      </c>
      <c r="D2216" t="inlineStr">
        <is>
          <t>Semestral</t>
        </is>
      </c>
      <c r="E2216" t="inlineStr">
        <is>
          <t>Negativo</t>
        </is>
      </c>
      <c r="F2216" s="113" t="n">
        <v>45473</v>
      </c>
      <c r="G2216" t="n">
        <v>2024</v>
      </c>
      <c r="H2216" t="inlineStr">
        <is>
          <t>Junio</t>
        </is>
      </c>
      <c r="I2216" t="inlineStr">
        <is>
          <t>2024-1</t>
        </is>
      </c>
      <c r="J2216" t="n">
        <v>1</v>
      </c>
      <c r="K2216" t="n">
        <v>16.58</v>
      </c>
      <c r="L2216" s="39" t="n">
        <v>0.06031363088057902</v>
      </c>
      <c r="M2216" s="39" t="n">
        <v>0.06031363088057902</v>
      </c>
      <c r="N2216" t="inlineStr">
        <is>
          <t>kWh</t>
        </is>
      </c>
      <c r="O2216" t="inlineStr">
        <is>
          <t>kWh</t>
        </is>
      </c>
      <c r="P2216" t="n">
        <v>0</v>
      </c>
      <c r="Q2216" t="n">
        <v>1</v>
      </c>
      <c r="R2216" t="inlineStr">
        <is>
          <t>428-2024-06-30</t>
        </is>
      </c>
    </row>
    <row r="2217" hidden="1">
      <c r="A2217" t="n">
        <v>428</v>
      </c>
      <c r="B2217" t="inlineStr">
        <is>
          <t>Consumo de Energía Eléctrica per Cápita Semestral</t>
        </is>
      </c>
      <c r="C2217" t="inlineStr">
        <is>
          <t>GESTIÓN AMBIENTAL</t>
        </is>
      </c>
      <c r="D2217" t="inlineStr">
        <is>
          <t>Semestral</t>
        </is>
      </c>
      <c r="E2217" t="inlineStr">
        <is>
          <t>Negativo</t>
        </is>
      </c>
      <c r="F2217" s="113" t="n">
        <v>45657</v>
      </c>
      <c r="G2217" t="n">
        <v>2024</v>
      </c>
      <c r="H2217" t="inlineStr">
        <is>
          <t>Diciembre</t>
        </is>
      </c>
      <c r="I2217" t="inlineStr">
        <is>
          <t>2024-2</t>
        </is>
      </c>
      <c r="J2217" t="n">
        <v>1</v>
      </c>
      <c r="K2217" t="n">
        <v>18.53</v>
      </c>
      <c r="L2217" s="39" t="n">
        <v>0.05396654074473826</v>
      </c>
      <c r="M2217" s="39" t="n">
        <v>0.05396654074473826</v>
      </c>
      <c r="N2217" t="inlineStr">
        <is>
          <t>kWh</t>
        </is>
      </c>
      <c r="O2217" t="inlineStr">
        <is>
          <t>kWh</t>
        </is>
      </c>
      <c r="P2217" t="n">
        <v>0</v>
      </c>
      <c r="Q2217" t="n">
        <v>1</v>
      </c>
      <c r="R2217" t="inlineStr">
        <is>
          <t>428-2024-12-31</t>
        </is>
      </c>
    </row>
    <row r="2218" hidden="1">
      <c r="A2218" t="n">
        <v>428</v>
      </c>
      <c r="B2218" t="inlineStr">
        <is>
          <t>Consumo de Energía Eléctrica per Cápita Semestral</t>
        </is>
      </c>
      <c r="C2218" t="inlineStr">
        <is>
          <t>GESTIÓN AMBIENTAL</t>
        </is>
      </c>
      <c r="D2218" t="inlineStr">
        <is>
          <t>Trimestral</t>
        </is>
      </c>
      <c r="E2218" t="inlineStr">
        <is>
          <t>Negativo</t>
        </is>
      </c>
      <c r="F2218" s="113" t="n">
        <v>45838</v>
      </c>
      <c r="G2218" t="n">
        <v>2025</v>
      </c>
      <c r="H2218" t="inlineStr">
        <is>
          <t>Junio</t>
        </is>
      </c>
      <c r="I2218" t="inlineStr">
        <is>
          <t>2025-1</t>
        </is>
      </c>
      <c r="J2218" t="n">
        <v>1</v>
      </c>
      <c r="K2218" t="n">
        <v>15.12</v>
      </c>
      <c r="L2218" s="39" t="n">
        <v>0.06613756613756615</v>
      </c>
      <c r="M2218" s="39" t="n">
        <v>0.06613756613756615</v>
      </c>
      <c r="N2218" t="inlineStr">
        <is>
          <t>kWh</t>
        </is>
      </c>
      <c r="O2218" t="inlineStr">
        <is>
          <t>kWh</t>
        </is>
      </c>
      <c r="P2218" t="n">
        <v>0</v>
      </c>
      <c r="Q2218" t="n">
        <v>1</v>
      </c>
      <c r="R2218" t="inlineStr">
        <is>
          <t>428-2025-06-30</t>
        </is>
      </c>
    </row>
    <row r="2219" hidden="1">
      <c r="A2219" t="n">
        <v>428</v>
      </c>
      <c r="B2219" t="inlineStr">
        <is>
          <t>Consumo de Energía Eléctrica per Cápita Semestral</t>
        </is>
      </c>
      <c r="C2219" t="inlineStr">
        <is>
          <t>GESTIÓN AMBIENTAL</t>
        </is>
      </c>
      <c r="D2219" t="inlineStr">
        <is>
          <t>Trimestral</t>
        </is>
      </c>
      <c r="E2219" t="inlineStr">
        <is>
          <t>Negativo</t>
        </is>
      </c>
      <c r="F2219" s="113" t="n">
        <v>46022</v>
      </c>
      <c r="G2219" t="n">
        <v>2025</v>
      </c>
      <c r="H2219" t="inlineStr">
        <is>
          <t>Diciembre</t>
        </is>
      </c>
      <c r="I2219" t="inlineStr">
        <is>
          <t>2025-2</t>
        </is>
      </c>
      <c r="J2219" t="n">
        <v>1</v>
      </c>
      <c r="K2219" t="n">
        <v>17.88</v>
      </c>
      <c r="L2219" s="39" t="n">
        <v>0.05592841163310962</v>
      </c>
      <c r="M2219" s="39" t="n">
        <v>0.05592841163310962</v>
      </c>
      <c r="N2219" t="inlineStr">
        <is>
          <t>kWh</t>
        </is>
      </c>
      <c r="O2219" t="inlineStr">
        <is>
          <t>kWh</t>
        </is>
      </c>
      <c r="P2219" t="n">
        <v>0</v>
      </c>
      <c r="Q2219" t="n">
        <v>1</v>
      </c>
      <c r="R2219" t="inlineStr">
        <is>
          <t>428-2025-12-31</t>
        </is>
      </c>
    </row>
    <row r="2220" hidden="1">
      <c r="A2220" t="n">
        <v>429</v>
      </c>
      <c r="B2220" t="inlineStr">
        <is>
          <t>Generación de Residuos Sólidos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13" t="n">
        <v>45107</v>
      </c>
      <c r="G2220" t="n">
        <v>2023</v>
      </c>
      <c r="H2220" t="inlineStr">
        <is>
          <t>Junio</t>
        </is>
      </c>
      <c r="I2220" t="inlineStr">
        <is>
          <t>2023-1</t>
        </is>
      </c>
      <c r="J2220" t="n">
        <v>0.76</v>
      </c>
      <c r="K2220" t="n">
        <v>0.3</v>
      </c>
      <c r="L2220" s="39" t="n">
        <v>1.3</v>
      </c>
      <c r="M2220" s="39" t="n">
        <v>2.533333333333334</v>
      </c>
      <c r="N2220" t="inlineStr">
        <is>
          <t>DEC</t>
        </is>
      </c>
      <c r="O2220" t="inlineStr">
        <is>
          <t>DEC</t>
        </is>
      </c>
      <c r="P2220" t="n">
        <v>1</v>
      </c>
      <c r="Q2220" t="n">
        <v>1</v>
      </c>
      <c r="R2220" t="inlineStr">
        <is>
          <t>429-2023-06-30</t>
        </is>
      </c>
    </row>
    <row r="2221" hidden="1">
      <c r="A2221" t="n">
        <v>429</v>
      </c>
      <c r="B2221" t="inlineStr">
        <is>
          <t>Generación de Residuos Sólidos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13" t="n">
        <v>45291</v>
      </c>
      <c r="G2221" t="n">
        <v>2023</v>
      </c>
      <c r="H2221" t="inlineStr">
        <is>
          <t>Diciembre</t>
        </is>
      </c>
      <c r="I2221" t="inlineStr">
        <is>
          <t>2023-2</t>
        </is>
      </c>
      <c r="J2221" t="n">
        <v>0.76</v>
      </c>
      <c r="K2221" t="n">
        <v>0.76</v>
      </c>
      <c r="L2221" s="39" t="n">
        <v>1</v>
      </c>
      <c r="M2221" s="39" t="n">
        <v>1</v>
      </c>
      <c r="N2221" t="inlineStr">
        <is>
          <t>DEC</t>
        </is>
      </c>
      <c r="O2221" t="inlineStr">
        <is>
          <t>DEC</t>
        </is>
      </c>
      <c r="P2221" t="n">
        <v>0</v>
      </c>
      <c r="Q2221" t="n">
        <v>0</v>
      </c>
      <c r="R2221" t="inlineStr">
        <is>
          <t>429-2023-12-31</t>
        </is>
      </c>
    </row>
    <row r="2222" hidden="1">
      <c r="A2222" t="n">
        <v>429</v>
      </c>
      <c r="B2222" t="inlineStr">
        <is>
          <t>Generación de Residuos Sólidos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13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0.76</v>
      </c>
      <c r="K2222" t="n">
        <v>0.66</v>
      </c>
      <c r="L2222" s="39" t="n">
        <v>1.151515151515151</v>
      </c>
      <c r="M2222" s="39" t="n">
        <v>1.151515151515151</v>
      </c>
      <c r="N2222" t="inlineStr">
        <is>
          <t>DEC</t>
        </is>
      </c>
      <c r="O2222" t="inlineStr">
        <is>
          <t>DEC</t>
        </is>
      </c>
      <c r="P2222" t="n">
        <v>1</v>
      </c>
      <c r="Q2222" t="n">
        <v>1</v>
      </c>
      <c r="R2222" t="inlineStr">
        <is>
          <t>429-2024-06-30</t>
        </is>
      </c>
    </row>
    <row r="2223" hidden="1">
      <c r="A2223" t="n">
        <v>429</v>
      </c>
      <c r="B2223" t="inlineStr">
        <is>
          <t>Generación de Residuos Sólidos per Cápita Semestral</t>
        </is>
      </c>
      <c r="C2223" t="inlineStr">
        <is>
          <t>GESTIÓN AMBIENTAL</t>
        </is>
      </c>
      <c r="D2223" t="inlineStr">
        <is>
          <t>Semestral</t>
        </is>
      </c>
      <c r="E2223" t="inlineStr">
        <is>
          <t>Negativo</t>
        </is>
      </c>
      <c r="F2223" s="113" t="n">
        <v>45657</v>
      </c>
      <c r="G2223" t="n">
        <v>2024</v>
      </c>
      <c r="H2223" t="inlineStr">
        <is>
          <t>Diciembre</t>
        </is>
      </c>
      <c r="I2223" t="inlineStr">
        <is>
          <t>2024-2</t>
        </is>
      </c>
      <c r="J2223" t="n">
        <v>0.76</v>
      </c>
      <c r="K2223" t="n">
        <v>0.67</v>
      </c>
      <c r="L2223" s="39" t="n">
        <v>1.134328358208955</v>
      </c>
      <c r="M2223" s="39" t="n">
        <v>1.134328358208955</v>
      </c>
      <c r="N2223" t="inlineStr">
        <is>
          <t>DEC</t>
        </is>
      </c>
      <c r="O2223" t="inlineStr">
        <is>
          <t>DEC</t>
        </is>
      </c>
      <c r="P2223" t="n">
        <v>1</v>
      </c>
      <c r="Q2223" t="n">
        <v>1</v>
      </c>
      <c r="R2223" t="inlineStr">
        <is>
          <t>429-2024-12-31</t>
        </is>
      </c>
    </row>
    <row r="2224" hidden="1">
      <c r="A2224" t="n">
        <v>429</v>
      </c>
      <c r="B2224" t="inlineStr">
        <is>
          <t>Generación de Residuos Sólidos per Cápita Semestral</t>
        </is>
      </c>
      <c r="C2224" t="inlineStr">
        <is>
          <t>GESTIÓN AMBIENTAL</t>
        </is>
      </c>
      <c r="D2224" t="inlineStr">
        <is>
          <t>Semestral</t>
        </is>
      </c>
      <c r="E2224" t="inlineStr">
        <is>
          <t>Negativo</t>
        </is>
      </c>
      <c r="F2224" s="113" t="n">
        <v>45838</v>
      </c>
      <c r="G2224" t="n">
        <v>2025</v>
      </c>
      <c r="H2224" t="inlineStr">
        <is>
          <t>Junio</t>
        </is>
      </c>
      <c r="I2224" t="inlineStr">
        <is>
          <t>2025-1</t>
        </is>
      </c>
      <c r="J2224" t="n">
        <v>0.76</v>
      </c>
      <c r="K2224" t="n">
        <v>0.59</v>
      </c>
      <c r="L2224" s="39" t="n">
        <v>1.288135593220339</v>
      </c>
      <c r="M2224" s="39" t="n">
        <v>1.288135593220339</v>
      </c>
      <c r="N2224" t="inlineStr">
        <is>
          <t>DEC</t>
        </is>
      </c>
      <c r="O2224" t="inlineStr">
        <is>
          <t>DEC</t>
        </is>
      </c>
      <c r="P2224" t="n">
        <v>1</v>
      </c>
      <c r="Q2224" t="n">
        <v>1</v>
      </c>
      <c r="R2224" t="inlineStr">
        <is>
          <t>429-2025-06-30</t>
        </is>
      </c>
    </row>
    <row r="2225" hidden="1">
      <c r="A2225" t="n">
        <v>429</v>
      </c>
      <c r="B2225" t="inlineStr">
        <is>
          <t>Generación de Residuos Sólidos per Cápita Semestral</t>
        </is>
      </c>
      <c r="C2225" t="inlineStr">
        <is>
          <t>GESTIÓN AMBIENTAL</t>
        </is>
      </c>
      <c r="D2225" t="inlineStr">
        <is>
          <t>Trimestral</t>
        </is>
      </c>
      <c r="E2225" t="inlineStr">
        <is>
          <t>Negativo</t>
        </is>
      </c>
      <c r="F2225" s="113" t="n">
        <v>46022</v>
      </c>
      <c r="G2225" t="n">
        <v>2025</v>
      </c>
      <c r="H2225" t="inlineStr">
        <is>
          <t>Diciembre</t>
        </is>
      </c>
      <c r="I2225" t="inlineStr">
        <is>
          <t>2025-2</t>
        </is>
      </c>
      <c r="J2225" t="n">
        <v>0.76</v>
      </c>
      <c r="K2225" t="n">
        <v>0.52</v>
      </c>
      <c r="L2225" s="39" t="n">
        <v>1.3</v>
      </c>
      <c r="M2225" s="39" t="n">
        <v>1.461538461538461</v>
      </c>
      <c r="N2225" t="inlineStr">
        <is>
          <t>DEC</t>
        </is>
      </c>
      <c r="O2225" t="inlineStr">
        <is>
          <t>DEC</t>
        </is>
      </c>
      <c r="P2225" t="n">
        <v>2</v>
      </c>
      <c r="Q2225" t="n">
        <v>2</v>
      </c>
      <c r="R2225" t="inlineStr">
        <is>
          <t>429-2025-12-31</t>
        </is>
      </c>
    </row>
    <row r="2226" hidden="1">
      <c r="A2226" t="n">
        <v>430</v>
      </c>
      <c r="B2226" t="inlineStr">
        <is>
          <t>Cumplimiento ingresos por matriculas</t>
        </is>
      </c>
      <c r="C2226" t="inlineStr">
        <is>
          <t>Planeación Financiera</t>
        </is>
      </c>
      <c r="D2226" t="inlineStr">
        <is>
          <t>Semestral</t>
        </is>
      </c>
      <c r="E2226" t="inlineStr">
        <is>
          <t>Positivo</t>
        </is>
      </c>
      <c r="F2226" s="113" t="n">
        <v>45107</v>
      </c>
      <c r="G2226" t="n">
        <v>2023</v>
      </c>
      <c r="H2226" t="inlineStr">
        <is>
          <t>Junio</t>
        </is>
      </c>
      <c r="I2226" t="inlineStr">
        <is>
          <t>2023-1</t>
        </is>
      </c>
      <c r="J2226" t="n">
        <v>95</v>
      </c>
      <c r="K2226" t="n">
        <v>104.59563552424</v>
      </c>
      <c r="L2226" s="39" t="n">
        <v>1.101006689728842</v>
      </c>
      <c r="M2226" s="39" t="n">
        <v>1.101006689728842</v>
      </c>
      <c r="N2226" t="inlineStr">
        <is>
          <t>%</t>
        </is>
      </c>
      <c r="O2226" t="inlineStr">
        <is>
          <t>%</t>
        </is>
      </c>
      <c r="P2226" t="n">
        <v>0</v>
      </c>
      <c r="Q2226" t="n">
        <v>0</v>
      </c>
      <c r="R2226" t="inlineStr">
        <is>
          <t>430-2023-06-30</t>
        </is>
      </c>
    </row>
    <row r="2227" hidden="1">
      <c r="A2227" t="n">
        <v>430</v>
      </c>
      <c r="B2227" t="inlineStr">
        <is>
          <t>Cumplimiento ingresos por matriculas</t>
        </is>
      </c>
      <c r="C2227" t="inlineStr">
        <is>
          <t>Planeación Financiera</t>
        </is>
      </c>
      <c r="D2227" t="inlineStr">
        <is>
          <t>Semestral</t>
        </is>
      </c>
      <c r="E2227" t="inlineStr">
        <is>
          <t>Positivo</t>
        </is>
      </c>
      <c r="F2227" s="113" t="n">
        <v>45291</v>
      </c>
      <c r="G2227" t="n">
        <v>2023</v>
      </c>
      <c r="H2227" t="inlineStr">
        <is>
          <t>Diciembre</t>
        </is>
      </c>
      <c r="I2227" t="inlineStr">
        <is>
          <t>2023-2</t>
        </is>
      </c>
      <c r="J2227" t="n">
        <v>95</v>
      </c>
      <c r="K2227" t="n">
        <v>101.39526345983</v>
      </c>
      <c r="L2227" s="39" t="n">
        <v>1.067318562735053</v>
      </c>
      <c r="M2227" s="39" t="n">
        <v>1.067318562735053</v>
      </c>
      <c r="N2227" t="inlineStr">
        <is>
          <t>%</t>
        </is>
      </c>
      <c r="O2227" t="inlineStr">
        <is>
          <t>%</t>
        </is>
      </c>
      <c r="P2227" t="n">
        <v>0</v>
      </c>
      <c r="Q2227" t="n">
        <v>0</v>
      </c>
      <c r="R2227" t="inlineStr">
        <is>
          <t>430-2023-12-31</t>
        </is>
      </c>
    </row>
    <row r="2228" hidden="1">
      <c r="A2228" t="n">
        <v>430</v>
      </c>
      <c r="B2228" t="inlineStr">
        <is>
          <t>Cumplimiento ingresos por matriculas</t>
        </is>
      </c>
      <c r="C2228" t="inlineStr">
        <is>
          <t>Planeación Financiera</t>
        </is>
      </c>
      <c r="D2228" t="inlineStr">
        <is>
          <t>Semestral</t>
        </is>
      </c>
      <c r="E2228" t="inlineStr">
        <is>
          <t>Positivo</t>
        </is>
      </c>
      <c r="F2228" s="113" t="n">
        <v>45473</v>
      </c>
      <c r="G2228" t="n">
        <v>2024</v>
      </c>
      <c r="H2228" t="inlineStr">
        <is>
          <t>Junio</t>
        </is>
      </c>
      <c r="I2228" t="inlineStr">
        <is>
          <t>2024-1</t>
        </is>
      </c>
      <c r="J2228" t="n">
        <v>95</v>
      </c>
      <c r="K2228" t="n">
        <v>101.88</v>
      </c>
      <c r="L2228" s="39" t="n">
        <v>1.072421052631579</v>
      </c>
      <c r="M2228" s="39" t="n">
        <v>1.072421052631579</v>
      </c>
      <c r="N2228" t="inlineStr">
        <is>
          <t>%</t>
        </is>
      </c>
      <c r="O2228" t="inlineStr">
        <is>
          <t>%</t>
        </is>
      </c>
      <c r="P2228" t="n">
        <v>0</v>
      </c>
      <c r="Q2228" t="n">
        <v>0</v>
      </c>
      <c r="R2228" t="inlineStr">
        <is>
          <t>430-2024-06-30</t>
        </is>
      </c>
    </row>
    <row r="2229" hidden="1">
      <c r="A2229" t="n">
        <v>430</v>
      </c>
      <c r="B2229" t="inlineStr">
        <is>
          <t>Cumplimiento ingresos por matriculas</t>
        </is>
      </c>
      <c r="C2229" t="inlineStr">
        <is>
          <t>Planeación Financiera</t>
        </is>
      </c>
      <c r="D2229" t="inlineStr">
        <is>
          <t>Semestral</t>
        </is>
      </c>
      <c r="E2229" t="inlineStr">
        <is>
          <t>Positivo</t>
        </is>
      </c>
      <c r="F2229" s="113" t="n">
        <v>45657</v>
      </c>
      <c r="G2229" t="n">
        <v>2024</v>
      </c>
      <c r="H2229" t="inlineStr">
        <is>
          <t>Diciembre</t>
        </is>
      </c>
      <c r="I2229" t="inlineStr">
        <is>
          <t>2024-2</t>
        </is>
      </c>
      <c r="J2229" t="n">
        <v>95</v>
      </c>
      <c r="K2229" t="n">
        <v>102.9374919710379</v>
      </c>
      <c r="L2229" s="39" t="n">
        <v>1.083552547063557</v>
      </c>
      <c r="M2229" s="39" t="n">
        <v>1.083552547063557</v>
      </c>
      <c r="N2229" t="inlineStr">
        <is>
          <t>%</t>
        </is>
      </c>
      <c r="O2229" t="inlineStr">
        <is>
          <t>%</t>
        </is>
      </c>
      <c r="P2229" t="n">
        <v>0</v>
      </c>
      <c r="Q2229" t="n">
        <v>0</v>
      </c>
      <c r="R2229" t="inlineStr">
        <is>
          <t>430-2024-12-31</t>
        </is>
      </c>
    </row>
    <row r="2230" hidden="1">
      <c r="A2230" t="n">
        <v>430</v>
      </c>
      <c r="B2230" t="inlineStr">
        <is>
          <t>Cumplimiento ingresos por matriculas</t>
        </is>
      </c>
      <c r="C2230" t="inlineStr">
        <is>
          <t>Planeación Financiera</t>
        </is>
      </c>
      <c r="D2230" t="inlineStr">
        <is>
          <t>Semestral</t>
        </is>
      </c>
      <c r="E2230" t="inlineStr">
        <is>
          <t>Positivo</t>
        </is>
      </c>
      <c r="F2230" s="113" t="n">
        <v>45838</v>
      </c>
      <c r="G2230" t="n">
        <v>2025</v>
      </c>
      <c r="H2230" t="inlineStr">
        <is>
          <t>Junio</t>
        </is>
      </c>
      <c r="I2230" t="inlineStr">
        <is>
          <t>2025-1</t>
        </is>
      </c>
      <c r="J2230" t="n">
        <v>95</v>
      </c>
      <c r="K2230" t="n">
        <v>110.79</v>
      </c>
      <c r="L2230" s="39" t="n">
        <v>1.16621052631579</v>
      </c>
      <c r="M2230" s="39" t="n">
        <v>1.16621052631579</v>
      </c>
      <c r="N2230" t="inlineStr">
        <is>
          <t>%</t>
        </is>
      </c>
      <c r="O2230" t="inlineStr">
        <is>
          <t>%</t>
        </is>
      </c>
      <c r="P2230" t="n">
        <v>0</v>
      </c>
      <c r="Q2230" t="n">
        <v>0</v>
      </c>
      <c r="R2230" t="inlineStr">
        <is>
          <t>430-2025-06-30</t>
        </is>
      </c>
    </row>
    <row r="2231" hidden="1">
      <c r="A2231" t="n">
        <v>430</v>
      </c>
      <c r="B2231" t="inlineStr">
        <is>
          <t>Cumplimiento ingresos por matriculas</t>
        </is>
      </c>
      <c r="C2231" t="inlineStr">
        <is>
          <t>Planeación Financiera</t>
        </is>
      </c>
      <c r="D2231" t="inlineStr">
        <is>
          <t>Trimestral</t>
        </is>
      </c>
      <c r="E2231" t="inlineStr">
        <is>
          <t>Positivo</t>
        </is>
      </c>
      <c r="F2231" s="113" t="n">
        <v>46022</v>
      </c>
      <c r="G2231" t="n">
        <v>2025</v>
      </c>
      <c r="H2231" t="inlineStr">
        <is>
          <t>Diciembre</t>
        </is>
      </c>
      <c r="I2231" t="inlineStr">
        <is>
          <t>2025-2</t>
        </is>
      </c>
      <c r="J2231" t="n">
        <v>95</v>
      </c>
      <c r="K2231" t="n">
        <v>111.76</v>
      </c>
      <c r="L2231" s="39" t="n">
        <v>1.176421052631579</v>
      </c>
      <c r="M2231" s="39" t="n">
        <v>1.176421052631579</v>
      </c>
      <c r="N2231" t="inlineStr">
        <is>
          <t>%</t>
        </is>
      </c>
      <c r="O2231" t="inlineStr">
        <is>
          <t>%</t>
        </is>
      </c>
      <c r="P2231" t="n">
        <v>0</v>
      </c>
      <c r="Q2231" t="n">
        <v>0</v>
      </c>
      <c r="R2231" t="inlineStr">
        <is>
          <t>430-2025-12-31</t>
        </is>
      </c>
    </row>
    <row r="2232" hidden="1">
      <c r="A2232" t="n">
        <v>431</v>
      </c>
      <c r="B2232" t="inlineStr">
        <is>
          <t>Gestión de casos de salud que impactan a los colaboradores</t>
        </is>
      </c>
      <c r="C2232" t="inlineStr">
        <is>
          <t>GESTIÓN DE SEGURIDAD Y SALUD EN EL TRABAJO</t>
        </is>
      </c>
      <c r="D2232" t="inlineStr">
        <is>
          <t>Trimestral</t>
        </is>
      </c>
      <c r="E2232" t="inlineStr">
        <is>
          <t>Positivo</t>
        </is>
      </c>
      <c r="F2232" s="113" t="n">
        <v>45199</v>
      </c>
      <c r="G2232" t="n">
        <v>2023</v>
      </c>
      <c r="H2232" t="inlineStr">
        <is>
          <t>Septiembre</t>
        </is>
      </c>
      <c r="I2232" t="inlineStr">
        <is>
          <t>2023-2</t>
        </is>
      </c>
      <c r="J2232" t="n">
        <v>100</v>
      </c>
      <c r="K2232" t="n">
        <v>100</v>
      </c>
      <c r="L2232" s="39" t="n">
        <v>1</v>
      </c>
      <c r="M2232" s="39" t="n">
        <v>1</v>
      </c>
      <c r="N2232" t="inlineStr">
        <is>
          <t>%</t>
        </is>
      </c>
      <c r="O2232" t="inlineStr">
        <is>
          <t>%</t>
        </is>
      </c>
      <c r="P2232" t="n">
        <v>0</v>
      </c>
      <c r="Q2232" t="n">
        <v>0</v>
      </c>
      <c r="R2232" t="inlineStr">
        <is>
          <t>431-2023-09-30</t>
        </is>
      </c>
    </row>
    <row r="2233" hidden="1">
      <c r="A2233" t="n">
        <v>431</v>
      </c>
      <c r="B2233" t="inlineStr">
        <is>
          <t>Gestión de casos de salud que impactan a los colaboradores</t>
        </is>
      </c>
      <c r="C2233" t="inlineStr">
        <is>
          <t>GESTIÓN DE SEGURIDAD Y SALUD EN EL TRABAJO</t>
        </is>
      </c>
      <c r="D2233" t="inlineStr">
        <is>
          <t>Trimestral</t>
        </is>
      </c>
      <c r="E2233" t="inlineStr">
        <is>
          <t>Positivo</t>
        </is>
      </c>
      <c r="F2233" s="113" t="n">
        <v>45291</v>
      </c>
      <c r="G2233" t="n">
        <v>2023</v>
      </c>
      <c r="H2233" t="inlineStr">
        <is>
          <t>Diciembre</t>
        </is>
      </c>
      <c r="I2233" t="inlineStr">
        <is>
          <t>2023-2</t>
        </is>
      </c>
      <c r="J2233" t="n">
        <v>100</v>
      </c>
      <c r="K2233" t="n">
        <v>100</v>
      </c>
      <c r="L2233" s="39" t="n">
        <v>1</v>
      </c>
      <c r="M2233" s="39" t="n">
        <v>1</v>
      </c>
      <c r="N2233" t="inlineStr">
        <is>
          <t>%</t>
        </is>
      </c>
      <c r="O2233" t="inlineStr">
        <is>
          <t>%</t>
        </is>
      </c>
      <c r="P2233" t="n">
        <v>0</v>
      </c>
      <c r="Q2233" t="n">
        <v>0</v>
      </c>
      <c r="R2233" t="inlineStr">
        <is>
          <t>431-2023-12-31</t>
        </is>
      </c>
    </row>
    <row r="2234" hidden="1">
      <c r="A2234" t="n">
        <v>431</v>
      </c>
      <c r="B2234" t="inlineStr">
        <is>
          <t>Gestión de casos de salud que impactan a los colaboradores</t>
        </is>
      </c>
      <c r="C2234" t="inlineStr">
        <is>
          <t>GESTIÓN DE SEGURIDAD Y SALUD EN EL TRABAJO</t>
        </is>
      </c>
      <c r="D2234" t="inlineStr">
        <is>
          <t>Trimestral</t>
        </is>
      </c>
      <c r="E2234" t="inlineStr">
        <is>
          <t>Positivo</t>
        </is>
      </c>
      <c r="F2234" s="113" t="n">
        <v>45382</v>
      </c>
      <c r="G2234" t="n">
        <v>2024</v>
      </c>
      <c r="H2234" t="inlineStr">
        <is>
          <t>Marzo</t>
        </is>
      </c>
      <c r="I2234" t="inlineStr">
        <is>
          <t>2024-1</t>
        </is>
      </c>
      <c r="J2234" t="n">
        <v>100</v>
      </c>
      <c r="K2234" t="n">
        <v>100</v>
      </c>
      <c r="L2234" s="39" t="n">
        <v>1</v>
      </c>
      <c r="M2234" s="39" t="n">
        <v>1</v>
      </c>
      <c r="N2234" t="inlineStr">
        <is>
          <t>%</t>
        </is>
      </c>
      <c r="O2234" t="inlineStr">
        <is>
          <t>%</t>
        </is>
      </c>
      <c r="P2234" t="n">
        <v>0</v>
      </c>
      <c r="Q2234" t="n">
        <v>0</v>
      </c>
      <c r="R2234" t="inlineStr">
        <is>
          <t>431-2024-03-31</t>
        </is>
      </c>
    </row>
    <row r="2235" hidden="1">
      <c r="A2235" t="n">
        <v>431</v>
      </c>
      <c r="B2235" t="inlineStr">
        <is>
          <t>Gestión de casos de salud que impactan a los colaboradores</t>
        </is>
      </c>
      <c r="C2235" t="inlineStr">
        <is>
          <t>GESTIÓN DE SEGURIDAD Y SALUD EN EL TRABAJO</t>
        </is>
      </c>
      <c r="D2235" t="inlineStr">
        <is>
          <t>Trimestral</t>
        </is>
      </c>
      <c r="E2235" t="inlineStr">
        <is>
          <t>Positivo</t>
        </is>
      </c>
      <c r="F2235" s="113" t="n">
        <v>45473</v>
      </c>
      <c r="G2235" t="n">
        <v>2024</v>
      </c>
      <c r="H2235" t="inlineStr">
        <is>
          <t>Junio</t>
        </is>
      </c>
      <c r="I2235" t="inlineStr">
        <is>
          <t>2024-1</t>
        </is>
      </c>
      <c r="J2235" t="n">
        <v>100</v>
      </c>
      <c r="K2235" t="n">
        <v>100</v>
      </c>
      <c r="L2235" s="39" t="n">
        <v>1</v>
      </c>
      <c r="M2235" s="39" t="n">
        <v>1</v>
      </c>
      <c r="N2235" t="inlineStr">
        <is>
          <t>%</t>
        </is>
      </c>
      <c r="O2235" t="inlineStr">
        <is>
          <t>%</t>
        </is>
      </c>
      <c r="P2235" t="n">
        <v>0</v>
      </c>
      <c r="Q2235" t="n">
        <v>0</v>
      </c>
      <c r="R2235" t="inlineStr">
        <is>
          <t>431-2024-06-30</t>
        </is>
      </c>
    </row>
    <row r="2236" hidden="1">
      <c r="A2236" t="n">
        <v>431</v>
      </c>
      <c r="B2236" t="inlineStr">
        <is>
          <t>Gestión de casos de salud que impactan a los colaboradores</t>
        </is>
      </c>
      <c r="C2236" t="inlineStr">
        <is>
          <t>GESTIÓN DE SEGURIDAD Y SALUD EN EL TRABAJO</t>
        </is>
      </c>
      <c r="D2236" t="inlineStr">
        <is>
          <t>Trimestral</t>
        </is>
      </c>
      <c r="E2236" t="inlineStr">
        <is>
          <t>Positivo</t>
        </is>
      </c>
      <c r="F2236" s="113" t="n">
        <v>45565</v>
      </c>
      <c r="G2236" t="n">
        <v>2024</v>
      </c>
      <c r="H2236" t="inlineStr">
        <is>
          <t>Septiembre</t>
        </is>
      </c>
      <c r="I2236" t="inlineStr">
        <is>
          <t>2024-2</t>
        </is>
      </c>
      <c r="J2236" t="n">
        <v>100</v>
      </c>
      <c r="K2236" t="n">
        <v>100</v>
      </c>
      <c r="L2236" s="39" t="n">
        <v>1</v>
      </c>
      <c r="M2236" s="39" t="n">
        <v>1</v>
      </c>
      <c r="N2236" t="inlineStr">
        <is>
          <t>%</t>
        </is>
      </c>
      <c r="O2236" t="inlineStr">
        <is>
          <t>%</t>
        </is>
      </c>
      <c r="P2236" t="n">
        <v>0</v>
      </c>
      <c r="Q2236" t="n">
        <v>0</v>
      </c>
      <c r="R2236" t="inlineStr">
        <is>
          <t>431-2024-09-30</t>
        </is>
      </c>
    </row>
    <row r="2237" hidden="1">
      <c r="A2237" t="n">
        <v>431</v>
      </c>
      <c r="B2237" t="inlineStr">
        <is>
          <t>Gestión de casos de salud que impactan a los colaboradores</t>
        </is>
      </c>
      <c r="C2237" t="inlineStr">
        <is>
          <t>GESTIÓN DE SEGURIDAD Y SALUD EN EL TRABAJO</t>
        </is>
      </c>
      <c r="D2237" t="inlineStr">
        <is>
          <t>Trimestral</t>
        </is>
      </c>
      <c r="E2237" t="inlineStr">
        <is>
          <t>Positivo</t>
        </is>
      </c>
      <c r="F2237" s="113" t="n">
        <v>45657</v>
      </c>
      <c r="G2237" t="n">
        <v>2024</v>
      </c>
      <c r="H2237" t="inlineStr">
        <is>
          <t>Diciembre</t>
        </is>
      </c>
      <c r="I2237" t="inlineStr">
        <is>
          <t>2024-2</t>
        </is>
      </c>
      <c r="J2237" t="n">
        <v>100</v>
      </c>
      <c r="K2237" t="n">
        <v>100</v>
      </c>
      <c r="L2237" s="39" t="n">
        <v>1</v>
      </c>
      <c r="M2237" s="39" t="n">
        <v>1</v>
      </c>
      <c r="N2237" t="inlineStr">
        <is>
          <t>%</t>
        </is>
      </c>
      <c r="O2237" t="inlineStr">
        <is>
          <t>%</t>
        </is>
      </c>
      <c r="P2237" t="n">
        <v>0</v>
      </c>
      <c r="Q2237" t="n">
        <v>0</v>
      </c>
      <c r="R2237" t="inlineStr">
        <is>
          <t>431-2024-12-31</t>
        </is>
      </c>
    </row>
    <row r="2238" hidden="1">
      <c r="A2238" t="n">
        <v>431</v>
      </c>
      <c r="B2238" t="inlineStr">
        <is>
          <t>Gestión de casos de salud que impactan a los colaboradores</t>
        </is>
      </c>
      <c r="C2238" t="inlineStr">
        <is>
          <t>GESTIÓN DE SEGURIDAD Y SALUD EN EL TRABAJO</t>
        </is>
      </c>
      <c r="D2238" t="inlineStr">
        <is>
          <t>Trimestral</t>
        </is>
      </c>
      <c r="E2238" t="inlineStr">
        <is>
          <t>Positivo</t>
        </is>
      </c>
      <c r="F2238" s="113" t="n">
        <v>45747</v>
      </c>
      <c r="G2238" t="n">
        <v>2025</v>
      </c>
      <c r="H2238" t="inlineStr">
        <is>
          <t>Marzo</t>
        </is>
      </c>
      <c r="I2238" t="inlineStr">
        <is>
          <t>2025-1</t>
        </is>
      </c>
      <c r="J2238" t="n">
        <v>100</v>
      </c>
      <c r="K2238" t="n">
        <v>100</v>
      </c>
      <c r="L2238" s="39" t="n">
        <v>1</v>
      </c>
      <c r="M2238" s="39" t="n">
        <v>1</v>
      </c>
      <c r="N2238" t="inlineStr">
        <is>
          <t>%</t>
        </is>
      </c>
      <c r="O2238" t="inlineStr">
        <is>
          <t>%</t>
        </is>
      </c>
      <c r="P2238" t="n">
        <v>0</v>
      </c>
      <c r="Q2238" t="n">
        <v>0</v>
      </c>
      <c r="R2238" t="inlineStr">
        <is>
          <t>431-2025-03-31</t>
        </is>
      </c>
    </row>
    <row r="2239" hidden="1">
      <c r="A2239" t="n">
        <v>431</v>
      </c>
      <c r="B2239" t="inlineStr">
        <is>
          <t>Gestión de casos de salud que impactan a los colaboradores</t>
        </is>
      </c>
      <c r="C2239" t="inlineStr">
        <is>
          <t>GESTIÓN DE SEGURIDAD Y SALUD EN EL TRABAJO</t>
        </is>
      </c>
      <c r="D2239" t="inlineStr">
        <is>
          <t>Trimestral</t>
        </is>
      </c>
      <c r="E2239" t="inlineStr">
        <is>
          <t>Positivo</t>
        </is>
      </c>
      <c r="F2239" s="113" t="n">
        <v>45838</v>
      </c>
      <c r="G2239" t="n">
        <v>2025</v>
      </c>
      <c r="H2239" t="inlineStr">
        <is>
          <t>Junio</t>
        </is>
      </c>
      <c r="I2239" t="inlineStr">
        <is>
          <t>2025-1</t>
        </is>
      </c>
      <c r="J2239" t="n">
        <v>100</v>
      </c>
      <c r="K2239" t="n">
        <v>100</v>
      </c>
      <c r="L2239" s="39" t="n">
        <v>1</v>
      </c>
      <c r="M2239" s="39" t="n">
        <v>1</v>
      </c>
      <c r="N2239" t="inlineStr">
        <is>
          <t>%</t>
        </is>
      </c>
      <c r="O2239" t="inlineStr">
        <is>
          <t>%</t>
        </is>
      </c>
      <c r="P2239" t="n">
        <v>0</v>
      </c>
      <c r="Q2239" t="n">
        <v>0</v>
      </c>
      <c r="R2239" t="inlineStr">
        <is>
          <t>431-2025-06-30</t>
        </is>
      </c>
    </row>
    <row r="2240" hidden="1">
      <c r="A2240" t="n">
        <v>431</v>
      </c>
      <c r="B2240" t="inlineStr">
        <is>
          <t>Gestión de casos de salud que impactan a los colaboradores</t>
        </is>
      </c>
      <c r="C2240" t="inlineStr">
        <is>
          <t>GESTIÓN DE SEGURIDAD Y SALUD EN EL TRABAJO</t>
        </is>
      </c>
      <c r="D2240" t="inlineStr">
        <is>
          <t>Semestral</t>
        </is>
      </c>
      <c r="E2240" t="inlineStr">
        <is>
          <t>Positivo</t>
        </is>
      </c>
      <c r="F2240" s="113" t="n">
        <v>45930</v>
      </c>
      <c r="G2240" t="n">
        <v>2025</v>
      </c>
      <c r="H2240" t="inlineStr">
        <is>
          <t>Septiembre</t>
        </is>
      </c>
      <c r="I2240" t="inlineStr">
        <is>
          <t>2025-2</t>
        </is>
      </c>
      <c r="J2240" t="n">
        <v>100</v>
      </c>
      <c r="K2240" t="n">
        <v>100</v>
      </c>
      <c r="L2240" s="39" t="n">
        <v>1</v>
      </c>
      <c r="M2240" s="39" t="n">
        <v>1</v>
      </c>
      <c r="N2240" t="inlineStr">
        <is>
          <t>%</t>
        </is>
      </c>
      <c r="O2240" t="inlineStr">
        <is>
          <t>%</t>
        </is>
      </c>
      <c r="P2240" t="n">
        <v>0</v>
      </c>
      <c r="Q2240" t="n">
        <v>0</v>
      </c>
      <c r="R2240" t="inlineStr">
        <is>
          <t>431-2025-09-30</t>
        </is>
      </c>
    </row>
    <row r="2241" hidden="1" customFormat="1" s="2">
      <c r="A2241" t="n">
        <v>431</v>
      </c>
      <c r="B2241" t="inlineStr">
        <is>
          <t>Gestión de casos de salud que impactan a los colaboradores</t>
        </is>
      </c>
      <c r="C2241" t="inlineStr">
        <is>
          <t>GESTIÓN DE SEGURIDAD Y SALUD EN EL TRABAJO</t>
        </is>
      </c>
      <c r="D2241" t="inlineStr">
        <is>
          <t>Semestral</t>
        </is>
      </c>
      <c r="E2241" t="inlineStr">
        <is>
          <t>Positivo</t>
        </is>
      </c>
      <c r="F2241" s="113" t="n">
        <v>46022</v>
      </c>
      <c r="G2241" t="n">
        <v>2025</v>
      </c>
      <c r="H2241" t="inlineStr">
        <is>
          <t>Diciembre</t>
        </is>
      </c>
      <c r="I2241" t="inlineStr">
        <is>
          <t>2025-2</t>
        </is>
      </c>
      <c r="J2241" t="n">
        <v>100</v>
      </c>
      <c r="K2241" t="n">
        <v>100</v>
      </c>
      <c r="L2241" s="39" t="n">
        <v>1</v>
      </c>
      <c r="M2241" s="39" t="n">
        <v>1</v>
      </c>
      <c r="N2241" t="inlineStr">
        <is>
          <t>%</t>
        </is>
      </c>
      <c r="O2241" t="inlineStr">
        <is>
          <t>%</t>
        </is>
      </c>
      <c r="P2241" t="n">
        <v>0</v>
      </c>
      <c r="Q2241" t="n">
        <v>0</v>
      </c>
      <c r="R2241" t="inlineStr">
        <is>
          <t>431-2025-12-31</t>
        </is>
      </c>
    </row>
    <row r="2242" hidden="1" customFormat="1" s="2">
      <c r="A2242" t="n">
        <v>431</v>
      </c>
      <c r="B2242" t="inlineStr">
        <is>
          <t>Gestión de casos de salud que impactan a los colaboradores</t>
        </is>
      </c>
      <c r="C2242" t="inlineStr">
        <is>
          <t>GESTIÓN DE SEGURIDAD Y SALUD EN EL TRABAJO</t>
        </is>
      </c>
      <c r="D2242" t="inlineStr">
        <is>
          <t>Semestral</t>
        </is>
      </c>
      <c r="E2242" t="inlineStr">
        <is>
          <t>Positivo</t>
        </is>
      </c>
      <c r="F2242" s="113" t="n">
        <v>46112</v>
      </c>
      <c r="G2242" t="n">
        <v>2026</v>
      </c>
      <c r="H2242" t="inlineStr">
        <is>
          <t>Marzo</t>
        </is>
      </c>
      <c r="I2242" t="inlineStr">
        <is>
          <t>2026-1</t>
        </is>
      </c>
      <c r="J2242" t="n">
        <v>100</v>
      </c>
      <c r="K2242" t="n">
        <v>100</v>
      </c>
      <c r="L2242" s="39" t="n">
        <v>1</v>
      </c>
      <c r="M2242" s="39" t="n">
        <v>1</v>
      </c>
      <c r="N2242" t="inlineStr">
        <is>
          <t>%</t>
        </is>
      </c>
      <c r="O2242" t="inlineStr">
        <is>
          <t>%</t>
        </is>
      </c>
      <c r="P2242" t="n">
        <v>0</v>
      </c>
      <c r="Q2242" t="n">
        <v>0</v>
      </c>
      <c r="R2242" t="inlineStr">
        <is>
          <t>431-2026-03-31</t>
        </is>
      </c>
    </row>
    <row r="2243" hidden="1" customFormat="1" s="2">
      <c r="A2243" t="n">
        <v>432</v>
      </c>
      <c r="B2243" t="inlineStr">
        <is>
          <t>Intervención a la gestión del riesgo de los colaboradores</t>
        </is>
      </c>
      <c r="C2243" t="inlineStr">
        <is>
          <t>GESTIÓN DE SEGURIDAD Y SALUD EN EL TRABAJO</t>
        </is>
      </c>
      <c r="D2243" t="inlineStr">
        <is>
          <t>Semestral</t>
        </is>
      </c>
      <c r="E2243" t="inlineStr">
        <is>
          <t>Positivo</t>
        </is>
      </c>
      <c r="F2243" s="113" t="n">
        <v>45107</v>
      </c>
      <c r="G2243" t="n">
        <v>2023</v>
      </c>
      <c r="H2243" t="inlineStr">
        <is>
          <t>Junio</t>
        </is>
      </c>
      <c r="I2243" t="inlineStr">
        <is>
          <t>2023-1</t>
        </is>
      </c>
      <c r="L2243" s="39" t="n"/>
      <c r="M2243" s="39" t="n"/>
      <c r="N2243" t="inlineStr">
        <is>
          <t>%</t>
        </is>
      </c>
      <c r="O2243" t="inlineStr">
        <is>
          <t>No Aplica</t>
        </is>
      </c>
      <c r="P2243" t="n">
        <v>0</v>
      </c>
      <c r="Q2243" t="n">
        <v>0</v>
      </c>
      <c r="R2243" t="inlineStr">
        <is>
          <t>432-2023-06-30</t>
        </is>
      </c>
      <c r="S2243" t="inlineStr">
        <is>
          <t>No Aplica</t>
        </is>
      </c>
    </row>
    <row r="2244" hidden="1" customFormat="1" s="2">
      <c r="A2244" t="n">
        <v>432</v>
      </c>
      <c r="B2244" t="inlineStr">
        <is>
          <t>Intervención a la gestión del riesgo de los colaboradores</t>
        </is>
      </c>
      <c r="C2244" t="inlineStr">
        <is>
          <t>GESTIÓN DE SEGURIDAD Y SALUD EN EL TRABAJO</t>
        </is>
      </c>
      <c r="D2244" t="inlineStr">
        <is>
          <t>Trimestral</t>
        </is>
      </c>
      <c r="E2244" t="inlineStr">
        <is>
          <t>Positivo</t>
        </is>
      </c>
      <c r="F2244" s="113" t="n">
        <v>45199</v>
      </c>
      <c r="G2244" t="n">
        <v>2023</v>
      </c>
      <c r="H2244" t="inlineStr">
        <is>
          <t>Septiembre</t>
        </is>
      </c>
      <c r="I2244" t="inlineStr">
        <is>
          <t>2023-2</t>
        </is>
      </c>
      <c r="J2244" t="n">
        <v>90</v>
      </c>
      <c r="K2244" t="n">
        <v>100</v>
      </c>
      <c r="L2244" s="39" t="n">
        <v>1.111111111111111</v>
      </c>
      <c r="M2244" s="39" t="n">
        <v>1.111111111111111</v>
      </c>
      <c r="N2244" t="inlineStr">
        <is>
          <t>%</t>
        </is>
      </c>
      <c r="O2244" t="inlineStr">
        <is>
          <t>%</t>
        </is>
      </c>
      <c r="P2244" t="n">
        <v>0</v>
      </c>
      <c r="Q2244" t="n">
        <v>0</v>
      </c>
      <c r="R2244" t="inlineStr">
        <is>
          <t>432-2023-09-30</t>
        </is>
      </c>
    </row>
    <row r="2245" hidden="1" customFormat="1" s="2">
      <c r="A2245" t="n">
        <v>432</v>
      </c>
      <c r="B2245" t="inlineStr">
        <is>
          <t>Intervención a la gestión del riesgo de los colaboradores</t>
        </is>
      </c>
      <c r="C2245" t="inlineStr">
        <is>
          <t>GESTIÓN DE SEGURIDAD Y SALUD EN EL TRABAJO</t>
        </is>
      </c>
      <c r="D2245" t="inlineStr">
        <is>
          <t>Trimestral</t>
        </is>
      </c>
      <c r="E2245" t="inlineStr">
        <is>
          <t>Positivo</t>
        </is>
      </c>
      <c r="F2245" s="113" t="n">
        <v>45291</v>
      </c>
      <c r="G2245" t="n">
        <v>2023</v>
      </c>
      <c r="H2245" t="inlineStr">
        <is>
          <t>Diciembre</t>
        </is>
      </c>
      <c r="I2245" t="inlineStr">
        <is>
          <t>2023-2</t>
        </is>
      </c>
      <c r="J2245" t="n">
        <v>90</v>
      </c>
      <c r="K2245" t="n">
        <v>98.76555555555601</v>
      </c>
      <c r="L2245" s="39" t="n">
        <v>1.0973950617284</v>
      </c>
      <c r="M2245" s="39" t="n">
        <v>1.0973950617284</v>
      </c>
      <c r="N2245" t="inlineStr">
        <is>
          <t>%</t>
        </is>
      </c>
      <c r="O2245" t="inlineStr">
        <is>
          <t>%</t>
        </is>
      </c>
      <c r="P2245" t="n">
        <v>0</v>
      </c>
      <c r="Q2245" t="n">
        <v>0</v>
      </c>
      <c r="R2245" t="inlineStr">
        <is>
          <t>432-2023-12-31</t>
        </is>
      </c>
    </row>
    <row r="2246" hidden="1" customFormat="1" s="2">
      <c r="A2246" t="n">
        <v>432</v>
      </c>
      <c r="B2246" t="inlineStr">
        <is>
          <t>Intervención a la gestión del riesgo de los colaboradores</t>
        </is>
      </c>
      <c r="C2246" t="inlineStr">
        <is>
          <t>GESTIÓN DE SEGURIDAD Y SALUD EN EL TRABAJO</t>
        </is>
      </c>
      <c r="D2246" t="inlineStr">
        <is>
          <t>Trimestral</t>
        </is>
      </c>
      <c r="E2246" t="inlineStr">
        <is>
          <t>Positivo</t>
        </is>
      </c>
      <c r="F2246" s="113" t="n">
        <v>45382</v>
      </c>
      <c r="G2246" t="n">
        <v>2024</v>
      </c>
      <c r="H2246" t="inlineStr">
        <is>
          <t>Marzo</t>
        </is>
      </c>
      <c r="I2246" t="inlineStr">
        <is>
          <t>2024-1</t>
        </is>
      </c>
      <c r="J2246" t="n">
        <v>90</v>
      </c>
      <c r="K2246" t="n">
        <v>100</v>
      </c>
      <c r="L2246" s="39" t="n">
        <v>1.111111111111111</v>
      </c>
      <c r="M2246" s="39" t="n">
        <v>1.111111111111111</v>
      </c>
      <c r="N2246" t="inlineStr">
        <is>
          <t>%</t>
        </is>
      </c>
      <c r="O2246" t="inlineStr">
        <is>
          <t>%</t>
        </is>
      </c>
      <c r="P2246" t="n">
        <v>0</v>
      </c>
      <c r="Q2246" t="n">
        <v>0</v>
      </c>
      <c r="R2246" t="inlineStr">
        <is>
          <t>432-2024-03-31</t>
        </is>
      </c>
    </row>
    <row r="2247" hidden="1" customFormat="1" s="2">
      <c r="A2247" t="n">
        <v>432</v>
      </c>
      <c r="B2247" t="inlineStr">
        <is>
          <t>Intervención a la gestión del riesgo de los colaboradores</t>
        </is>
      </c>
      <c r="C2247" t="inlineStr">
        <is>
          <t>GESTIÓN DE SEGURIDAD Y SALUD EN EL TRABAJO</t>
        </is>
      </c>
      <c r="D2247" t="inlineStr">
        <is>
          <t>Trimestral</t>
        </is>
      </c>
      <c r="E2247" t="inlineStr">
        <is>
          <t>Positivo</t>
        </is>
      </c>
      <c r="F2247" s="113" t="n">
        <v>45473</v>
      </c>
      <c r="G2247" t="n">
        <v>2024</v>
      </c>
      <c r="H2247" t="inlineStr">
        <is>
          <t>Junio</t>
        </is>
      </c>
      <c r="I2247" t="inlineStr">
        <is>
          <t>2024-1</t>
        </is>
      </c>
      <c r="J2247" t="n">
        <v>90</v>
      </c>
      <c r="K2247" t="n">
        <v>100</v>
      </c>
      <c r="L2247" s="39" t="n">
        <v>1.111111111111111</v>
      </c>
      <c r="M2247" s="39" t="n">
        <v>1.111111111111111</v>
      </c>
      <c r="N2247" t="inlineStr">
        <is>
          <t>%</t>
        </is>
      </c>
      <c r="O2247" t="inlineStr">
        <is>
          <t>%</t>
        </is>
      </c>
      <c r="P2247" t="n">
        <v>0</v>
      </c>
      <c r="Q2247" t="n">
        <v>0</v>
      </c>
      <c r="R2247" t="inlineStr">
        <is>
          <t>432-2024-06-30</t>
        </is>
      </c>
    </row>
    <row r="2248" hidden="1">
      <c r="A2248" t="n">
        <v>432</v>
      </c>
      <c r="B2248" t="inlineStr">
        <is>
          <t>Intervención a la gestión del riesgo de los colaboradores</t>
        </is>
      </c>
      <c r="C2248" t="inlineStr">
        <is>
          <t>GESTIÓN DE SEGURIDAD Y SALUD EN EL TRABAJO</t>
        </is>
      </c>
      <c r="D2248" t="inlineStr">
        <is>
          <t>Trimestral</t>
        </is>
      </c>
      <c r="E2248" t="inlineStr">
        <is>
          <t>Positivo</t>
        </is>
      </c>
      <c r="F2248" s="113" t="n">
        <v>45565</v>
      </c>
      <c r="G2248" t="n">
        <v>2024</v>
      </c>
      <c r="H2248" t="inlineStr">
        <is>
          <t>Septiembre</t>
        </is>
      </c>
      <c r="I2248" t="inlineStr">
        <is>
          <t>2024-2</t>
        </is>
      </c>
      <c r="J2248" t="n">
        <v>90</v>
      </c>
      <c r="K2248" t="n">
        <v>0</v>
      </c>
      <c r="L2248" s="39" t="n">
        <v>0</v>
      </c>
      <c r="M2248" s="39" t="n">
        <v>0</v>
      </c>
      <c r="N2248" t="inlineStr">
        <is>
          <t>%</t>
        </is>
      </c>
      <c r="O2248" t="inlineStr">
        <is>
          <t>%</t>
        </is>
      </c>
      <c r="P2248" t="n">
        <v>0</v>
      </c>
      <c r="Q2248" t="n">
        <v>0</v>
      </c>
      <c r="R2248" t="inlineStr">
        <is>
          <t>432-2024-09-30</t>
        </is>
      </c>
    </row>
    <row r="2249" hidden="1">
      <c r="A2249" t="n">
        <v>432</v>
      </c>
      <c r="B2249" t="inlineStr">
        <is>
          <t>Intervención a la gestión del riesgo de los colaboradores</t>
        </is>
      </c>
      <c r="C2249" t="inlineStr">
        <is>
          <t>GESTIÓN DE SEGURIDAD Y SALUD EN EL TRABAJO</t>
        </is>
      </c>
      <c r="D2249" t="inlineStr">
        <is>
          <t>Trimestral</t>
        </is>
      </c>
      <c r="E2249" t="inlineStr">
        <is>
          <t>Positivo</t>
        </is>
      </c>
      <c r="F2249" s="113" t="n">
        <v>45657</v>
      </c>
      <c r="G2249" t="n">
        <v>2024</v>
      </c>
      <c r="H2249" t="inlineStr">
        <is>
          <t>Diciembre</t>
        </is>
      </c>
      <c r="I2249" t="inlineStr">
        <is>
          <t>2024-2</t>
        </is>
      </c>
      <c r="J2249" t="n">
        <v>90</v>
      </c>
      <c r="K2249" t="n">
        <v>100</v>
      </c>
      <c r="L2249" s="39" t="n">
        <v>1.111111111111111</v>
      </c>
      <c r="M2249" s="39" t="n">
        <v>1.111111111111111</v>
      </c>
      <c r="N2249" t="inlineStr">
        <is>
          <t>%</t>
        </is>
      </c>
      <c r="O2249" t="inlineStr">
        <is>
          <t>%</t>
        </is>
      </c>
      <c r="P2249" t="n">
        <v>0</v>
      </c>
      <c r="Q2249" t="n">
        <v>0</v>
      </c>
      <c r="R2249" t="inlineStr">
        <is>
          <t>432-2024-12-31</t>
        </is>
      </c>
    </row>
    <row r="2250" hidden="1">
      <c r="A2250" t="n">
        <v>432</v>
      </c>
      <c r="B2250" t="inlineStr">
        <is>
          <t>Intervención a la gestión del riesgo de los colaboradores</t>
        </is>
      </c>
      <c r="C2250" t="inlineStr">
        <is>
          <t>GESTIÓN DE SEGURIDAD Y SALUD EN EL TRABAJO</t>
        </is>
      </c>
      <c r="D2250" t="inlineStr">
        <is>
          <t>Trimestral</t>
        </is>
      </c>
      <c r="E2250" t="inlineStr">
        <is>
          <t>Positivo</t>
        </is>
      </c>
      <c r="F2250" s="113" t="n">
        <v>45747</v>
      </c>
      <c r="G2250" t="n">
        <v>2025</v>
      </c>
      <c r="H2250" t="inlineStr">
        <is>
          <t>Marzo</t>
        </is>
      </c>
      <c r="I2250" t="inlineStr">
        <is>
          <t>2025-1</t>
        </is>
      </c>
      <c r="J2250" t="n">
        <v>90</v>
      </c>
      <c r="K2250" t="n">
        <v>100</v>
      </c>
      <c r="L2250" s="39" t="n">
        <v>1.111111111111111</v>
      </c>
      <c r="M2250" s="39" t="n">
        <v>1.111111111111111</v>
      </c>
      <c r="N2250" t="inlineStr">
        <is>
          <t>%</t>
        </is>
      </c>
      <c r="O2250" t="inlineStr">
        <is>
          <t>%</t>
        </is>
      </c>
      <c r="P2250" t="n">
        <v>0</v>
      </c>
      <c r="Q2250" t="n">
        <v>0</v>
      </c>
      <c r="R2250" t="inlineStr">
        <is>
          <t>432-2025-03-31</t>
        </is>
      </c>
    </row>
    <row r="2251" hidden="1">
      <c r="A2251" t="n">
        <v>432</v>
      </c>
      <c r="B2251" t="inlineStr">
        <is>
          <t>Intervención a la gestión del riesgo de los colaboradores</t>
        </is>
      </c>
      <c r="C2251" t="inlineStr">
        <is>
          <t>GESTIÓN DE SEGURIDAD Y SALUD EN EL TRABAJO</t>
        </is>
      </c>
      <c r="D2251" t="inlineStr">
        <is>
          <t>Trimestral</t>
        </is>
      </c>
      <c r="E2251" t="inlineStr">
        <is>
          <t>Positivo</t>
        </is>
      </c>
      <c r="F2251" s="113" t="n">
        <v>45838</v>
      </c>
      <c r="G2251" t="n">
        <v>2025</v>
      </c>
      <c r="H2251" t="inlineStr">
        <is>
          <t>Junio</t>
        </is>
      </c>
      <c r="I2251" t="inlineStr">
        <is>
          <t>2025-1</t>
        </is>
      </c>
      <c r="J2251" t="n">
        <v>90</v>
      </c>
      <c r="K2251" t="n">
        <v>100</v>
      </c>
      <c r="L2251" s="39" t="n">
        <v>1.111111111111111</v>
      </c>
      <c r="M2251" s="39" t="n">
        <v>1.111111111111111</v>
      </c>
      <c r="N2251" t="inlineStr">
        <is>
          <t>%</t>
        </is>
      </c>
      <c r="O2251" t="inlineStr">
        <is>
          <t>%</t>
        </is>
      </c>
      <c r="P2251" t="n">
        <v>0</v>
      </c>
      <c r="Q2251" t="n">
        <v>0</v>
      </c>
      <c r="R2251" t="inlineStr">
        <is>
          <t>432-2025-06-30</t>
        </is>
      </c>
    </row>
    <row r="2252" hidden="1">
      <c r="A2252" t="n">
        <v>432</v>
      </c>
      <c r="B2252" t="inlineStr">
        <is>
          <t>Intervención a la gestión del riesgo de los colaboradores</t>
        </is>
      </c>
      <c r="C2252" t="inlineStr">
        <is>
          <t>GESTIÓN DE SEGURIDAD Y SALUD EN EL TRABAJO</t>
        </is>
      </c>
      <c r="D2252" t="inlineStr">
        <is>
          <t>Semestral</t>
        </is>
      </c>
      <c r="E2252" t="inlineStr">
        <is>
          <t>Positivo</t>
        </is>
      </c>
      <c r="F2252" s="113" t="n">
        <v>45930</v>
      </c>
      <c r="G2252" t="n">
        <v>2025</v>
      </c>
      <c r="H2252" t="inlineStr">
        <is>
          <t>Septiembre</t>
        </is>
      </c>
      <c r="I2252" t="inlineStr">
        <is>
          <t>2025-2</t>
        </is>
      </c>
      <c r="J2252" t="n">
        <v>90</v>
      </c>
      <c r="K2252" t="n">
        <v>100</v>
      </c>
      <c r="L2252" s="39" t="n">
        <v>1.111111111111111</v>
      </c>
      <c r="M2252" s="39" t="n">
        <v>1.111111111111111</v>
      </c>
      <c r="N2252" t="inlineStr">
        <is>
          <t>%</t>
        </is>
      </c>
      <c r="O2252" t="inlineStr">
        <is>
          <t>%</t>
        </is>
      </c>
      <c r="P2252" t="n">
        <v>0</v>
      </c>
      <c r="Q2252" t="n">
        <v>0</v>
      </c>
      <c r="R2252" t="inlineStr">
        <is>
          <t>432-2025-09-30</t>
        </is>
      </c>
    </row>
    <row r="2253" hidden="1">
      <c r="A2253" t="n">
        <v>432</v>
      </c>
      <c r="B2253" t="inlineStr">
        <is>
          <t>Intervención a la gestión del riesgo de los colaboradores</t>
        </is>
      </c>
      <c r="C2253" t="inlineStr">
        <is>
          <t>GESTIÓN DE SEGURIDAD Y SALUD EN EL TRABAJO</t>
        </is>
      </c>
      <c r="D2253" t="inlineStr">
        <is>
          <t>Semestral</t>
        </is>
      </c>
      <c r="E2253" t="inlineStr">
        <is>
          <t>Positivo</t>
        </is>
      </c>
      <c r="F2253" s="113" t="n">
        <v>46022</v>
      </c>
      <c r="G2253" t="n">
        <v>2025</v>
      </c>
      <c r="H2253" t="inlineStr">
        <is>
          <t>Diciembre</t>
        </is>
      </c>
      <c r="I2253" t="inlineStr">
        <is>
          <t>2025-2</t>
        </is>
      </c>
      <c r="J2253" t="n">
        <v>90</v>
      </c>
      <c r="K2253" t="n">
        <v>100</v>
      </c>
      <c r="L2253" s="39" t="n">
        <v>1.111111111111111</v>
      </c>
      <c r="M2253" s="39" t="n">
        <v>1.111111111111111</v>
      </c>
      <c r="N2253" t="inlineStr">
        <is>
          <t>%</t>
        </is>
      </c>
      <c r="O2253" t="inlineStr">
        <is>
          <t>%</t>
        </is>
      </c>
      <c r="P2253" t="n">
        <v>0</v>
      </c>
      <c r="Q2253" t="n">
        <v>0</v>
      </c>
      <c r="R2253" t="inlineStr">
        <is>
          <t>432-2025-12-31</t>
        </is>
      </c>
    </row>
    <row r="2254" hidden="1">
      <c r="A2254" t="n">
        <v>432</v>
      </c>
      <c r="B2254" t="inlineStr">
        <is>
          <t>Intervención a la gestión del riesgo de los colaboradores</t>
        </is>
      </c>
      <c r="C2254" t="inlineStr">
        <is>
          <t>GESTIÓN DE SEGURIDAD Y SALUD EN EL TRABAJO</t>
        </is>
      </c>
      <c r="D2254" t="inlineStr">
        <is>
          <t>Semestral</t>
        </is>
      </c>
      <c r="E2254" t="inlineStr">
        <is>
          <t>Positivo</t>
        </is>
      </c>
      <c r="F2254" s="113" t="n">
        <v>46112</v>
      </c>
      <c r="G2254" t="n">
        <v>2026</v>
      </c>
      <c r="H2254" t="inlineStr">
        <is>
          <t>Marzo</t>
        </is>
      </c>
      <c r="I2254" t="inlineStr">
        <is>
          <t>2026-1</t>
        </is>
      </c>
      <c r="K2254" t="n">
        <v>100</v>
      </c>
      <c r="L2254" s="39" t="n"/>
      <c r="M2254" s="39" t="n"/>
      <c r="N2254" t="inlineStr">
        <is>
          <t>%</t>
        </is>
      </c>
      <c r="O2254" t="inlineStr">
        <is>
          <t>%</t>
        </is>
      </c>
      <c r="P2254" t="n">
        <v>0</v>
      </c>
      <c r="Q2254" t="n">
        <v>0</v>
      </c>
      <c r="R2254" t="inlineStr">
        <is>
          <t>432-2026-03-31</t>
        </is>
      </c>
    </row>
    <row r="2255" hidden="1">
      <c r="A2255" t="n">
        <v>433</v>
      </c>
      <c r="B2255" t="inlineStr">
        <is>
          <t>Generación de Residuos Peligrosos per Cápita Semestral</t>
        </is>
      </c>
      <c r="C2255" t="inlineStr">
        <is>
          <t>GESTIÓN AMBIENTAL</t>
        </is>
      </c>
      <c r="D2255" t="inlineStr">
        <is>
          <t>Semestral</t>
        </is>
      </c>
      <c r="E2255" t="inlineStr">
        <is>
          <t>Negativo</t>
        </is>
      </c>
      <c r="F2255" s="113" t="n">
        <v>45107</v>
      </c>
      <c r="G2255" t="n">
        <v>2023</v>
      </c>
      <c r="H2255" t="inlineStr">
        <is>
          <t>Junio</t>
        </is>
      </c>
      <c r="I2255" t="inlineStr">
        <is>
          <t>2023-1</t>
        </is>
      </c>
      <c r="J2255" t="n">
        <v>0.05</v>
      </c>
      <c r="K2255" t="n">
        <v>0.02</v>
      </c>
      <c r="L2255" s="39" t="n">
        <v>1.3</v>
      </c>
      <c r="M2255" s="39" t="n">
        <v>2.5</v>
      </c>
      <c r="N2255" t="inlineStr">
        <is>
          <t>DEC</t>
        </is>
      </c>
      <c r="O2255" t="inlineStr">
        <is>
          <t>DEC</t>
        </is>
      </c>
      <c r="P2255" t="n">
        <v>1</v>
      </c>
      <c r="Q2255" t="n">
        <v>2</v>
      </c>
      <c r="R2255" t="inlineStr">
        <is>
          <t>433-2023-06-30</t>
        </is>
      </c>
    </row>
    <row r="2256" hidden="1">
      <c r="A2256" t="n">
        <v>433</v>
      </c>
      <c r="B2256" t="inlineStr">
        <is>
          <t>Generación de Residuos Peligrosos per Cápita Semestral</t>
        </is>
      </c>
      <c r="C2256" t="inlineStr">
        <is>
          <t>GESTIÓN AMBIENTAL</t>
        </is>
      </c>
      <c r="D2256" t="inlineStr">
        <is>
          <t>Semestral</t>
        </is>
      </c>
      <c r="E2256" t="inlineStr">
        <is>
          <t>Negativo</t>
        </is>
      </c>
      <c r="F2256" s="113" t="n">
        <v>45291</v>
      </c>
      <c r="G2256" t="n">
        <v>2023</v>
      </c>
      <c r="H2256" t="inlineStr">
        <is>
          <t>Diciembre</t>
        </is>
      </c>
      <c r="I2256" t="inlineStr">
        <is>
          <t>2023-2</t>
        </is>
      </c>
      <c r="J2256" t="n">
        <v>0.05</v>
      </c>
      <c r="K2256" t="n">
        <v>0.05</v>
      </c>
      <c r="L2256" s="39" t="n">
        <v>1</v>
      </c>
      <c r="M2256" s="39" t="n">
        <v>1</v>
      </c>
      <c r="N2256" t="inlineStr">
        <is>
          <t>DEC</t>
        </is>
      </c>
      <c r="O2256" t="inlineStr">
        <is>
          <t>DEC</t>
        </is>
      </c>
      <c r="P2256" t="n">
        <v>0</v>
      </c>
      <c r="Q2256" t="n">
        <v>0</v>
      </c>
      <c r="R2256" t="inlineStr">
        <is>
          <t>433-2023-12-31</t>
        </is>
      </c>
    </row>
    <row r="2257" hidden="1">
      <c r="A2257" t="n">
        <v>433</v>
      </c>
      <c r="B2257" t="inlineStr">
        <is>
          <t>Generación de Residuos Peligrosos per Cápita Semestral</t>
        </is>
      </c>
      <c r="C2257" t="inlineStr">
        <is>
          <t>GESTIÓN AMBIENTAL</t>
        </is>
      </c>
      <c r="D2257" t="inlineStr">
        <is>
          <t>Semestral</t>
        </is>
      </c>
      <c r="E2257" t="inlineStr">
        <is>
          <t>Negativo</t>
        </is>
      </c>
      <c r="F2257" s="113" t="n">
        <v>45473</v>
      </c>
      <c r="G2257" t="n">
        <v>2024</v>
      </c>
      <c r="H2257" t="inlineStr">
        <is>
          <t>Junio</t>
        </is>
      </c>
      <c r="I2257" t="inlineStr">
        <is>
          <t>2024-1</t>
        </is>
      </c>
      <c r="J2257" t="n">
        <v>0.05</v>
      </c>
      <c r="K2257" t="n">
        <v>0.07000000000000001</v>
      </c>
      <c r="L2257" s="39" t="n">
        <v>0.7142857142857143</v>
      </c>
      <c r="M2257" s="39" t="n">
        <v>0.7142857142857143</v>
      </c>
      <c r="N2257" t="inlineStr">
        <is>
          <t>DEC</t>
        </is>
      </c>
      <c r="O2257" t="inlineStr">
        <is>
          <t>DEC</t>
        </is>
      </c>
      <c r="P2257" t="n">
        <v>2</v>
      </c>
      <c r="Q2257" t="n">
        <v>2</v>
      </c>
      <c r="R2257" t="inlineStr">
        <is>
          <t>433-2024-06-30</t>
        </is>
      </c>
    </row>
    <row r="2258" hidden="1">
      <c r="A2258" t="n">
        <v>433</v>
      </c>
      <c r="B2258" t="inlineStr">
        <is>
          <t>Generación de Residuos Peligrosos per Cápita Semestral</t>
        </is>
      </c>
      <c r="C2258" t="inlineStr">
        <is>
          <t>GESTIÓN AMBIENTAL</t>
        </is>
      </c>
      <c r="D2258" t="inlineStr">
        <is>
          <t>Semestral</t>
        </is>
      </c>
      <c r="E2258" t="inlineStr">
        <is>
          <t>Negativo</t>
        </is>
      </c>
      <c r="F2258" s="113" t="n">
        <v>45657</v>
      </c>
      <c r="G2258" t="n">
        <v>2024</v>
      </c>
      <c r="H2258" t="inlineStr">
        <is>
          <t>Diciembre</t>
        </is>
      </c>
      <c r="I2258" t="inlineStr">
        <is>
          <t>2024-2</t>
        </is>
      </c>
      <c r="J2258" t="n">
        <v>0.05</v>
      </c>
      <c r="K2258" t="n">
        <v>0.14</v>
      </c>
      <c r="L2258" s="39" t="n">
        <v>0.3571428571428572</v>
      </c>
      <c r="M2258" s="39" t="n">
        <v>0.3571428571428572</v>
      </c>
      <c r="N2258" t="inlineStr">
        <is>
          <t>DEC</t>
        </is>
      </c>
      <c r="O2258" t="inlineStr">
        <is>
          <t>DEC</t>
        </is>
      </c>
      <c r="P2258" t="n">
        <v>2</v>
      </c>
      <c r="Q2258" t="n">
        <v>2</v>
      </c>
      <c r="R2258" t="inlineStr">
        <is>
          <t>433-2024-12-31</t>
        </is>
      </c>
    </row>
    <row r="2259" hidden="1">
      <c r="A2259" t="n">
        <v>433</v>
      </c>
      <c r="B2259" t="inlineStr">
        <is>
          <t>Generación de Residuos Peligrosos per Cápita Semestral</t>
        </is>
      </c>
      <c r="C2259" t="inlineStr">
        <is>
          <t>GESTIÓN AMBIENTAL</t>
        </is>
      </c>
      <c r="D2259" t="inlineStr">
        <is>
          <t>Semestral</t>
        </is>
      </c>
      <c r="E2259" t="inlineStr">
        <is>
          <t>Negativo</t>
        </is>
      </c>
      <c r="F2259" s="113" t="n">
        <v>45838</v>
      </c>
      <c r="G2259" t="n">
        <v>2025</v>
      </c>
      <c r="H2259" t="inlineStr">
        <is>
          <t>Junio</t>
        </is>
      </c>
      <c r="I2259" t="inlineStr">
        <is>
          <t>2025-1</t>
        </is>
      </c>
      <c r="J2259" t="n">
        <v>0.05</v>
      </c>
      <c r="K2259" t="n">
        <v>0.02</v>
      </c>
      <c r="L2259" s="39" t="n">
        <v>1.3</v>
      </c>
      <c r="M2259" s="39" t="n">
        <v>2.5</v>
      </c>
      <c r="N2259" t="inlineStr">
        <is>
          <t>DEC</t>
        </is>
      </c>
      <c r="O2259" t="inlineStr">
        <is>
          <t>DEC</t>
        </is>
      </c>
      <c r="P2259" t="n">
        <v>2</v>
      </c>
      <c r="Q2259" t="n">
        <v>2</v>
      </c>
      <c r="R2259" t="inlineStr">
        <is>
          <t>433-2025-06-30</t>
        </is>
      </c>
    </row>
    <row r="2260" hidden="1">
      <c r="A2260" t="n">
        <v>433</v>
      </c>
      <c r="B2260" t="inlineStr">
        <is>
          <t>Generación de Residuos Peligrosos per Cápita Semestral</t>
        </is>
      </c>
      <c r="C2260" t="inlineStr">
        <is>
          <t>GESTIÓN AMBIENTAL</t>
        </is>
      </c>
      <c r="D2260" t="inlineStr">
        <is>
          <t>Trimestral</t>
        </is>
      </c>
      <c r="E2260" t="inlineStr">
        <is>
          <t>Negativo</t>
        </is>
      </c>
      <c r="F2260" s="113" t="n">
        <v>46022</v>
      </c>
      <c r="G2260" t="n">
        <v>2025</v>
      </c>
      <c r="H2260" t="inlineStr">
        <is>
          <t>Diciembre</t>
        </is>
      </c>
      <c r="I2260" t="inlineStr">
        <is>
          <t>2025-2</t>
        </is>
      </c>
      <c r="J2260" t="n">
        <v>0.05</v>
      </c>
      <c r="K2260" t="n">
        <v>0.17</v>
      </c>
      <c r="L2260" s="39" t="n">
        <v>0.2941176470588235</v>
      </c>
      <c r="M2260" s="39" t="n">
        <v>0.2941176470588235</v>
      </c>
      <c r="N2260" t="inlineStr">
        <is>
          <t>DEC</t>
        </is>
      </c>
      <c r="O2260" t="inlineStr">
        <is>
          <t>DEC</t>
        </is>
      </c>
      <c r="P2260" t="n">
        <v>2</v>
      </c>
      <c r="Q2260" t="n">
        <v>2</v>
      </c>
      <c r="R2260" t="inlineStr">
        <is>
          <t>433-2025-12-31</t>
        </is>
      </c>
    </row>
    <row r="2261" hidden="1">
      <c r="A2261" t="n">
        <v>434</v>
      </c>
      <c r="B2261" t="inlineStr">
        <is>
          <t>Generación de Residuos Peligrosos Mensual</t>
        </is>
      </c>
      <c r="C2261" t="inlineStr">
        <is>
          <t>GESTIÓN AMBIENTAL</t>
        </is>
      </c>
      <c r="D2261" t="inlineStr">
        <is>
          <t>Mensual</t>
        </is>
      </c>
      <c r="E2261" t="inlineStr">
        <is>
          <t>Negativo</t>
        </is>
      </c>
      <c r="F2261" s="113" t="n">
        <v>44957</v>
      </c>
      <c r="G2261" t="n">
        <v>2023</v>
      </c>
      <c r="H2261" t="inlineStr">
        <is>
          <t>Enero</t>
        </is>
      </c>
      <c r="I2261" t="inlineStr">
        <is>
          <t>2023-1</t>
        </is>
      </c>
      <c r="J2261" t="n">
        <v>200</v>
      </c>
      <c r="K2261" t="n">
        <v>7</v>
      </c>
      <c r="L2261" s="39" t="n">
        <v>1.3</v>
      </c>
      <c r="M2261" s="39" t="n">
        <v>28.57142857142857</v>
      </c>
      <c r="N2261" t="inlineStr">
        <is>
          <t>Kg</t>
        </is>
      </c>
      <c r="O2261" t="inlineStr">
        <is>
          <t>Kg</t>
        </is>
      </c>
      <c r="P2261" t="n">
        <v>0</v>
      </c>
      <c r="Q2261" t="n">
        <v>0</v>
      </c>
      <c r="R2261" t="inlineStr">
        <is>
          <t>434-2023-01-31</t>
        </is>
      </c>
    </row>
    <row r="2262" hidden="1">
      <c r="A2262" t="n">
        <v>434</v>
      </c>
      <c r="B2262" t="inlineStr">
        <is>
          <t>Generación de Residuos Peligrosos Mensual</t>
        </is>
      </c>
      <c r="C2262" t="inlineStr">
        <is>
          <t>GESTIÓN AMBIENTAL</t>
        </is>
      </c>
      <c r="D2262" t="inlineStr">
        <is>
          <t>Mensual</t>
        </is>
      </c>
      <c r="E2262" t="inlineStr">
        <is>
          <t>Negativo</t>
        </is>
      </c>
      <c r="F2262" s="113" t="n">
        <v>44985</v>
      </c>
      <c r="G2262" t="n">
        <v>2023</v>
      </c>
      <c r="H2262" t="inlineStr">
        <is>
          <t>Febrero</t>
        </is>
      </c>
      <c r="I2262" t="inlineStr">
        <is>
          <t>2023-1</t>
        </is>
      </c>
      <c r="J2262" t="n">
        <v>200</v>
      </c>
      <c r="K2262" t="n">
        <v>0</v>
      </c>
      <c r="L2262" s="39" t="n">
        <v>1</v>
      </c>
      <c r="M2262" s="39" t="n">
        <v>1</v>
      </c>
      <c r="N2262" t="inlineStr">
        <is>
          <t>Kg</t>
        </is>
      </c>
      <c r="O2262" t="inlineStr">
        <is>
          <t>Kg</t>
        </is>
      </c>
      <c r="P2262" t="n">
        <v>0</v>
      </c>
      <c r="Q2262" t="n">
        <v>0</v>
      </c>
      <c r="R2262" t="inlineStr">
        <is>
          <t>434-2023-02-28</t>
        </is>
      </c>
    </row>
    <row r="2263" hidden="1">
      <c r="A2263" t="n">
        <v>434</v>
      </c>
      <c r="B2263" t="inlineStr">
        <is>
          <t>Generación de Residuos Peligrosos Mensual</t>
        </is>
      </c>
      <c r="C2263" t="inlineStr">
        <is>
          <t>GESTIÓN AMBIENTAL</t>
        </is>
      </c>
      <c r="D2263" t="inlineStr">
        <is>
          <t>Mensual</t>
        </is>
      </c>
      <c r="E2263" t="inlineStr">
        <is>
          <t>Negativo</t>
        </is>
      </c>
      <c r="F2263" s="113" t="n">
        <v>45016</v>
      </c>
      <c r="G2263" t="n">
        <v>2023</v>
      </c>
      <c r="H2263" t="inlineStr">
        <is>
          <t>Marzo</t>
        </is>
      </c>
      <c r="I2263" t="inlineStr">
        <is>
          <t>2023-1</t>
        </is>
      </c>
      <c r="J2263" t="n">
        <v>200</v>
      </c>
      <c r="K2263" t="n">
        <v>1</v>
      </c>
      <c r="L2263" s="39" t="n">
        <v>1.3</v>
      </c>
      <c r="M2263" s="39" t="n">
        <v>200</v>
      </c>
      <c r="N2263" t="inlineStr">
        <is>
          <t>Kg</t>
        </is>
      </c>
      <c r="O2263" t="inlineStr">
        <is>
          <t>Kg</t>
        </is>
      </c>
      <c r="P2263" t="n">
        <v>0</v>
      </c>
      <c r="Q2263" t="n">
        <v>0</v>
      </c>
      <c r="R2263" t="inlineStr">
        <is>
          <t>434-2023-03-31</t>
        </is>
      </c>
    </row>
    <row r="2264" hidden="1">
      <c r="A2264" t="n">
        <v>434</v>
      </c>
      <c r="B2264" t="inlineStr">
        <is>
          <t>Generación de Residuos Peligrosos Mensual</t>
        </is>
      </c>
      <c r="C2264" t="inlineStr">
        <is>
          <t>GESTIÓN AMBIENTAL</t>
        </is>
      </c>
      <c r="D2264" t="inlineStr">
        <is>
          <t>Mensual</t>
        </is>
      </c>
      <c r="E2264" t="inlineStr">
        <is>
          <t>Negativo</t>
        </is>
      </c>
      <c r="F2264" s="113" t="n">
        <v>45046</v>
      </c>
      <c r="G2264" t="n">
        <v>2023</v>
      </c>
      <c r="H2264" t="inlineStr">
        <is>
          <t>Abril</t>
        </is>
      </c>
      <c r="I2264" t="inlineStr">
        <is>
          <t>2023-1</t>
        </is>
      </c>
      <c r="J2264" t="n">
        <v>200</v>
      </c>
      <c r="K2264" t="n">
        <v>0.8</v>
      </c>
      <c r="L2264" s="39" t="n">
        <v>1.3</v>
      </c>
      <c r="M2264" s="39" t="n">
        <v>250</v>
      </c>
      <c r="N2264" t="inlineStr">
        <is>
          <t>Kg</t>
        </is>
      </c>
      <c r="O2264" t="inlineStr">
        <is>
          <t>Kg</t>
        </is>
      </c>
      <c r="P2264" t="n">
        <v>0</v>
      </c>
      <c r="Q2264" t="n">
        <v>0</v>
      </c>
      <c r="R2264" t="inlineStr">
        <is>
          <t>434-2023-04-30</t>
        </is>
      </c>
    </row>
    <row r="2265" hidden="1">
      <c r="A2265" t="n">
        <v>434</v>
      </c>
      <c r="B2265" t="inlineStr">
        <is>
          <t>Generación de Residuos Peligrosos Mensual</t>
        </is>
      </c>
      <c r="C2265" t="inlineStr">
        <is>
          <t>GESTIÓN AMBIENTAL</t>
        </is>
      </c>
      <c r="D2265" t="inlineStr">
        <is>
          <t>Mensual</t>
        </is>
      </c>
      <c r="E2265" t="inlineStr">
        <is>
          <t>Negativo</t>
        </is>
      </c>
      <c r="F2265" s="113" t="n">
        <v>45077</v>
      </c>
      <c r="G2265" t="n">
        <v>2023</v>
      </c>
      <c r="H2265" t="inlineStr">
        <is>
          <t>Mayo</t>
        </is>
      </c>
      <c r="I2265" t="inlineStr">
        <is>
          <t>2023-1</t>
        </is>
      </c>
      <c r="J2265" t="n">
        <v>200</v>
      </c>
      <c r="K2265" t="n">
        <v>4.6</v>
      </c>
      <c r="L2265" s="39" t="n">
        <v>1.3</v>
      </c>
      <c r="M2265" s="39" t="n">
        <v>43.47826086956522</v>
      </c>
      <c r="N2265" t="inlineStr">
        <is>
          <t>Kg</t>
        </is>
      </c>
      <c r="O2265" t="inlineStr">
        <is>
          <t>Kg</t>
        </is>
      </c>
      <c r="P2265" t="n">
        <v>0</v>
      </c>
      <c r="Q2265" t="n">
        <v>0</v>
      </c>
      <c r="R2265" t="inlineStr">
        <is>
          <t>434-2023-05-31</t>
        </is>
      </c>
    </row>
    <row r="2266" hidden="1">
      <c r="A2266" t="n">
        <v>434</v>
      </c>
      <c r="B2266" t="inlineStr">
        <is>
          <t>Generación de Residuos Peligrosos Mensual</t>
        </is>
      </c>
      <c r="C2266" t="inlineStr">
        <is>
          <t>GESTIÓN AMBIENTAL</t>
        </is>
      </c>
      <c r="D2266" t="inlineStr">
        <is>
          <t>Mensual</t>
        </is>
      </c>
      <c r="E2266" t="inlineStr">
        <is>
          <t>Negativo</t>
        </is>
      </c>
      <c r="F2266" s="113" t="n">
        <v>45107</v>
      </c>
      <c r="G2266" t="n">
        <v>2023</v>
      </c>
      <c r="H2266" t="inlineStr">
        <is>
          <t>Junio</t>
        </is>
      </c>
      <c r="I2266" t="inlineStr">
        <is>
          <t>2023-1</t>
        </is>
      </c>
      <c r="J2266" t="n">
        <v>200</v>
      </c>
      <c r="K2266" t="n">
        <v>5.1</v>
      </c>
      <c r="L2266" s="39" t="n">
        <v>1.3</v>
      </c>
      <c r="M2266" s="39" t="n">
        <v>39.21568627450981</v>
      </c>
      <c r="N2266" t="inlineStr">
        <is>
          <t>Kg</t>
        </is>
      </c>
      <c r="O2266" t="inlineStr">
        <is>
          <t>Kg</t>
        </is>
      </c>
      <c r="P2266" t="n">
        <v>0</v>
      </c>
      <c r="Q2266" t="n">
        <v>0</v>
      </c>
      <c r="R2266" t="inlineStr">
        <is>
          <t>434-2023-06-30</t>
        </is>
      </c>
    </row>
    <row r="2267" hidden="1">
      <c r="A2267" t="n">
        <v>434</v>
      </c>
      <c r="B2267" t="inlineStr">
        <is>
          <t>Generación de Residuos Peligrosos Mensual</t>
        </is>
      </c>
      <c r="C2267" t="inlineStr">
        <is>
          <t>GESTIÓN AMBIENTAL</t>
        </is>
      </c>
      <c r="D2267" t="inlineStr">
        <is>
          <t>Mensual</t>
        </is>
      </c>
      <c r="E2267" t="inlineStr">
        <is>
          <t>Negativo</t>
        </is>
      </c>
      <c r="F2267" s="113" t="n">
        <v>45138</v>
      </c>
      <c r="G2267" t="n">
        <v>2023</v>
      </c>
      <c r="H2267" t="inlineStr">
        <is>
          <t>Julio</t>
        </is>
      </c>
      <c r="I2267" t="inlineStr">
        <is>
          <t>2023-2</t>
        </is>
      </c>
      <c r="J2267" t="n">
        <v>200</v>
      </c>
      <c r="K2267" t="n">
        <v>18.9</v>
      </c>
      <c r="L2267" s="39" t="n">
        <v>1.3</v>
      </c>
      <c r="M2267" s="39" t="n">
        <v>10.58201058201058</v>
      </c>
      <c r="N2267" t="inlineStr">
        <is>
          <t>Kg</t>
        </is>
      </c>
      <c r="O2267" t="inlineStr">
        <is>
          <t>Kg</t>
        </is>
      </c>
      <c r="P2267" t="n">
        <v>0</v>
      </c>
      <c r="Q2267" t="n">
        <v>0</v>
      </c>
      <c r="R2267" t="inlineStr">
        <is>
          <t>434-2023-07-31</t>
        </is>
      </c>
    </row>
    <row r="2268" hidden="1">
      <c r="A2268" t="n">
        <v>434</v>
      </c>
      <c r="B2268" t="inlineStr">
        <is>
          <t>Generación de Residuos Peligrosos Mensual</t>
        </is>
      </c>
      <c r="C2268" t="inlineStr">
        <is>
          <t>GESTIÓN AMBIENTAL</t>
        </is>
      </c>
      <c r="D2268" t="inlineStr">
        <is>
          <t>Mensual</t>
        </is>
      </c>
      <c r="E2268" t="inlineStr">
        <is>
          <t>Negativo</t>
        </is>
      </c>
      <c r="F2268" s="113" t="n">
        <v>45169</v>
      </c>
      <c r="G2268" t="n">
        <v>2023</v>
      </c>
      <c r="H2268" t="inlineStr">
        <is>
          <t>Agosto</t>
        </is>
      </c>
      <c r="I2268" t="inlineStr">
        <is>
          <t>2023-2</t>
        </is>
      </c>
      <c r="J2268" t="n">
        <v>200</v>
      </c>
      <c r="K2268" t="n">
        <v>20.9</v>
      </c>
      <c r="L2268" s="39" t="n">
        <v>1.3</v>
      </c>
      <c r="M2268" s="39" t="n">
        <v>9.569377990430622</v>
      </c>
      <c r="N2268" t="inlineStr">
        <is>
          <t>Kg</t>
        </is>
      </c>
      <c r="O2268" t="inlineStr">
        <is>
          <t>Kg</t>
        </is>
      </c>
      <c r="P2268" t="n">
        <v>0</v>
      </c>
      <c r="Q2268" t="n">
        <v>0</v>
      </c>
      <c r="R2268" t="inlineStr">
        <is>
          <t>434-2023-08-31</t>
        </is>
      </c>
    </row>
    <row r="2269" hidden="1">
      <c r="A2269" t="n">
        <v>434</v>
      </c>
      <c r="B2269" t="inlineStr">
        <is>
          <t>Generación de Residuos Peligrosos Mensual</t>
        </is>
      </c>
      <c r="C2269" t="inlineStr">
        <is>
          <t>GESTIÓN AMBIENTAL</t>
        </is>
      </c>
      <c r="D2269" t="inlineStr">
        <is>
          <t>Mensual</t>
        </is>
      </c>
      <c r="E2269" t="inlineStr">
        <is>
          <t>Negativo</t>
        </is>
      </c>
      <c r="F2269" s="113" t="n">
        <v>45199</v>
      </c>
      <c r="G2269" t="n">
        <v>2023</v>
      </c>
      <c r="H2269" t="inlineStr">
        <is>
          <t>Septiembre</t>
        </is>
      </c>
      <c r="I2269" t="inlineStr">
        <is>
          <t>2023-2</t>
        </is>
      </c>
      <c r="J2269" t="n">
        <v>200</v>
      </c>
      <c r="K2269" t="n">
        <v>1803.72</v>
      </c>
      <c r="L2269" s="39" t="n">
        <v>0.1108819550706318</v>
      </c>
      <c r="M2269" s="39" t="n">
        <v>0.1108819550706318</v>
      </c>
      <c r="N2269" t="inlineStr">
        <is>
          <t>Kg</t>
        </is>
      </c>
      <c r="O2269" t="inlineStr">
        <is>
          <t>Kg</t>
        </is>
      </c>
      <c r="P2269" t="n">
        <v>0</v>
      </c>
      <c r="Q2269" t="n">
        <v>1</v>
      </c>
      <c r="R2269" t="inlineStr">
        <is>
          <t>434-2023-09-30</t>
        </is>
      </c>
    </row>
    <row r="2270" hidden="1">
      <c r="A2270" t="n">
        <v>434</v>
      </c>
      <c r="B2270" t="inlineStr">
        <is>
          <t>Generación de Residuos Peligrosos Mensual</t>
        </is>
      </c>
      <c r="C2270" t="inlineStr">
        <is>
          <t>GESTIÓN AMBIENTAL</t>
        </is>
      </c>
      <c r="D2270" t="inlineStr">
        <is>
          <t>Mensual</t>
        </is>
      </c>
      <c r="E2270" t="inlineStr">
        <is>
          <t>Negativo</t>
        </is>
      </c>
      <c r="F2270" s="113" t="n">
        <v>45230</v>
      </c>
      <c r="G2270" t="n">
        <v>2023</v>
      </c>
      <c r="H2270" t="inlineStr">
        <is>
          <t>Octubre</t>
        </is>
      </c>
      <c r="I2270" t="inlineStr">
        <is>
          <t>2023-2</t>
        </is>
      </c>
      <c r="J2270" t="n">
        <v>200</v>
      </c>
      <c r="K2270" t="n">
        <v>2.1</v>
      </c>
      <c r="L2270" s="39" t="n">
        <v>1.3</v>
      </c>
      <c r="M2270" s="39" t="n">
        <v>95.23809523809524</v>
      </c>
      <c r="N2270" t="inlineStr">
        <is>
          <t>Kg</t>
        </is>
      </c>
      <c r="O2270" t="inlineStr">
        <is>
          <t>Kg</t>
        </is>
      </c>
      <c r="P2270" t="n">
        <v>0</v>
      </c>
      <c r="Q2270" t="n">
        <v>0</v>
      </c>
      <c r="R2270" t="inlineStr">
        <is>
          <t>434-2023-10-31</t>
        </is>
      </c>
    </row>
    <row r="2271" hidden="1">
      <c r="A2271" t="n">
        <v>434</v>
      </c>
      <c r="B2271" t="inlineStr">
        <is>
          <t>Generación de Residuos Peligrosos Mensual</t>
        </is>
      </c>
      <c r="C2271" t="inlineStr">
        <is>
          <t>GESTIÓN AMBIENTAL</t>
        </is>
      </c>
      <c r="D2271" t="inlineStr">
        <is>
          <t>Mensual</t>
        </is>
      </c>
      <c r="E2271" t="inlineStr">
        <is>
          <t>Negativo</t>
        </is>
      </c>
      <c r="F2271" s="113" t="n">
        <v>45260</v>
      </c>
      <c r="G2271" t="n">
        <v>2023</v>
      </c>
      <c r="H2271" t="inlineStr">
        <is>
          <t>Noviembre</t>
        </is>
      </c>
      <c r="I2271" t="inlineStr">
        <is>
          <t>2023-2</t>
        </is>
      </c>
      <c r="J2271" t="n">
        <v>200</v>
      </c>
      <c r="K2271" t="n">
        <v>14.31</v>
      </c>
      <c r="L2271" s="39" t="n">
        <v>1.3</v>
      </c>
      <c r="M2271" s="39" t="n">
        <v>13.97624039133473</v>
      </c>
      <c r="N2271" t="inlineStr">
        <is>
          <t>Kg</t>
        </is>
      </c>
      <c r="O2271" t="inlineStr">
        <is>
          <t>Kg</t>
        </is>
      </c>
      <c r="P2271" t="n">
        <v>0</v>
      </c>
      <c r="Q2271" t="n">
        <v>0</v>
      </c>
      <c r="R2271" t="inlineStr">
        <is>
          <t>434-2023-11-30</t>
        </is>
      </c>
    </row>
    <row r="2272" hidden="1">
      <c r="A2272" t="n">
        <v>434</v>
      </c>
      <c r="B2272" t="inlineStr">
        <is>
          <t>Generación de Residuos Peligrosos Mensual</t>
        </is>
      </c>
      <c r="C2272" t="inlineStr">
        <is>
          <t>GESTIÓN AMBIENTAL</t>
        </is>
      </c>
      <c r="D2272" t="inlineStr">
        <is>
          <t>Mensual</t>
        </is>
      </c>
      <c r="E2272" t="inlineStr">
        <is>
          <t>Negativo</t>
        </is>
      </c>
      <c r="F2272" s="113" t="n">
        <v>45291</v>
      </c>
      <c r="G2272" t="n">
        <v>2023</v>
      </c>
      <c r="H2272" t="inlineStr">
        <is>
          <t>Diciembre</t>
        </is>
      </c>
      <c r="I2272" t="inlineStr">
        <is>
          <t>2023-2</t>
        </is>
      </c>
      <c r="J2272" t="n">
        <v>200</v>
      </c>
      <c r="K2272" t="n">
        <v>415.7</v>
      </c>
      <c r="L2272" s="39" t="n">
        <v>0.4811161895597787</v>
      </c>
      <c r="M2272" s="39" t="n">
        <v>0.4811161895597787</v>
      </c>
      <c r="N2272" t="inlineStr">
        <is>
          <t>Kg</t>
        </is>
      </c>
      <c r="O2272" t="inlineStr">
        <is>
          <t>Kg</t>
        </is>
      </c>
      <c r="P2272" t="n">
        <v>0</v>
      </c>
      <c r="Q2272" t="n">
        <v>0</v>
      </c>
      <c r="R2272" t="inlineStr">
        <is>
          <t>434-2023-12-31</t>
        </is>
      </c>
    </row>
    <row r="2273" hidden="1">
      <c r="A2273" t="n">
        <v>434</v>
      </c>
      <c r="B2273" t="inlineStr">
        <is>
          <t>Generación de Residuos Peligrosos Mensual</t>
        </is>
      </c>
      <c r="C2273" t="inlineStr">
        <is>
          <t>GESTIÓN AMBIENTAL</t>
        </is>
      </c>
      <c r="D2273" t="inlineStr">
        <is>
          <t>Mensual</t>
        </is>
      </c>
      <c r="E2273" t="inlineStr">
        <is>
          <t>Negativo</t>
        </is>
      </c>
      <c r="F2273" s="113" t="n">
        <v>45322</v>
      </c>
      <c r="G2273" t="n">
        <v>2024</v>
      </c>
      <c r="H2273" t="inlineStr">
        <is>
          <t>Enero</t>
        </is>
      </c>
      <c r="I2273" t="inlineStr">
        <is>
          <t>2024-1</t>
        </is>
      </c>
      <c r="J2273" t="n">
        <v>200</v>
      </c>
      <c r="K2273" t="n">
        <v>9.65</v>
      </c>
      <c r="L2273" s="39" t="n">
        <v>1.3</v>
      </c>
      <c r="M2273" s="39" t="n">
        <v>20.72538860103627</v>
      </c>
      <c r="N2273" t="inlineStr">
        <is>
          <t>Kg</t>
        </is>
      </c>
      <c r="O2273" t="inlineStr">
        <is>
          <t>Kg</t>
        </is>
      </c>
      <c r="P2273" t="n">
        <v>0</v>
      </c>
      <c r="Q2273" t="n">
        <v>1</v>
      </c>
      <c r="R2273" t="inlineStr">
        <is>
          <t>434-2024-01-31</t>
        </is>
      </c>
    </row>
    <row r="2274" hidden="1">
      <c r="A2274" t="n">
        <v>434</v>
      </c>
      <c r="B2274" t="inlineStr">
        <is>
          <t>Generación de Residuos Peligrosos Mensual</t>
        </is>
      </c>
      <c r="C2274" t="inlineStr">
        <is>
          <t>GESTIÓN AMBIENTAL</t>
        </is>
      </c>
      <c r="D2274" t="inlineStr">
        <is>
          <t>Mensual</t>
        </is>
      </c>
      <c r="E2274" t="inlineStr">
        <is>
          <t>Negativo</t>
        </is>
      </c>
      <c r="F2274" s="113" t="n">
        <v>45351</v>
      </c>
      <c r="G2274" t="n">
        <v>2024</v>
      </c>
      <c r="H2274" t="inlineStr">
        <is>
          <t>Febrero</t>
        </is>
      </c>
      <c r="I2274" t="inlineStr">
        <is>
          <t>2024-1</t>
        </is>
      </c>
      <c r="J2274" t="n">
        <v>200</v>
      </c>
      <c r="K2274" t="n">
        <v>107.7</v>
      </c>
      <c r="L2274" s="39" t="n">
        <v>1.3</v>
      </c>
      <c r="M2274" s="39" t="n">
        <v>1.857010213556175</v>
      </c>
      <c r="N2274" t="inlineStr">
        <is>
          <t>Kg</t>
        </is>
      </c>
      <c r="O2274" t="inlineStr">
        <is>
          <t>Kg</t>
        </is>
      </c>
      <c r="P2274" t="n">
        <v>0</v>
      </c>
      <c r="Q2274" t="n">
        <v>1</v>
      </c>
      <c r="R2274" t="inlineStr">
        <is>
          <t>434-2024-02-29</t>
        </is>
      </c>
    </row>
    <row r="2275" hidden="1">
      <c r="A2275" t="n">
        <v>434</v>
      </c>
      <c r="B2275" t="inlineStr">
        <is>
          <t>Generación de Residuos Peligrosos Mensual</t>
        </is>
      </c>
      <c r="C2275" t="inlineStr">
        <is>
          <t>GESTIÓN AMBIENTAL</t>
        </is>
      </c>
      <c r="D2275" t="inlineStr">
        <is>
          <t>Mensual</t>
        </is>
      </c>
      <c r="E2275" t="inlineStr">
        <is>
          <t>Negativo</t>
        </is>
      </c>
      <c r="F2275" s="113" t="n">
        <v>45382</v>
      </c>
      <c r="G2275" t="n">
        <v>2024</v>
      </c>
      <c r="H2275" t="inlineStr">
        <is>
          <t>Marzo</t>
        </is>
      </c>
      <c r="I2275" t="inlineStr">
        <is>
          <t>2024-1</t>
        </is>
      </c>
      <c r="J2275" t="n">
        <v>200</v>
      </c>
      <c r="K2275" t="n">
        <v>22.02</v>
      </c>
      <c r="L2275" s="39" t="n">
        <v>1.3</v>
      </c>
      <c r="M2275" s="39" t="n">
        <v>9.082652134423252</v>
      </c>
      <c r="N2275" t="inlineStr">
        <is>
          <t>Kg</t>
        </is>
      </c>
      <c r="O2275" t="inlineStr">
        <is>
          <t>Kg</t>
        </is>
      </c>
      <c r="P2275" t="n">
        <v>0</v>
      </c>
      <c r="Q2275" t="n">
        <v>1</v>
      </c>
      <c r="R2275" t="inlineStr">
        <is>
          <t>434-2024-03-31</t>
        </is>
      </c>
    </row>
    <row r="2276" hidden="1">
      <c r="A2276" t="n">
        <v>434</v>
      </c>
      <c r="B2276" t="inlineStr">
        <is>
          <t>Generación de Residuos Peligrosos Mensual</t>
        </is>
      </c>
      <c r="C2276" t="inlineStr">
        <is>
          <t>GESTIÓN AMBIENTAL</t>
        </is>
      </c>
      <c r="D2276" t="inlineStr">
        <is>
          <t>Mensual</t>
        </is>
      </c>
      <c r="E2276" t="inlineStr">
        <is>
          <t>Negativo</t>
        </is>
      </c>
      <c r="F2276" s="113" t="n">
        <v>45412</v>
      </c>
      <c r="G2276" t="n">
        <v>2024</v>
      </c>
      <c r="H2276" t="inlineStr">
        <is>
          <t>Abril</t>
        </is>
      </c>
      <c r="I2276" t="inlineStr">
        <is>
          <t>2024-1</t>
        </is>
      </c>
      <c r="J2276" t="n">
        <v>200</v>
      </c>
      <c r="K2276" t="n">
        <v>89.04000000000001</v>
      </c>
      <c r="L2276" s="39" t="n">
        <v>1.3</v>
      </c>
      <c r="M2276" s="39" t="n">
        <v>2.24618149146451</v>
      </c>
      <c r="N2276" t="inlineStr">
        <is>
          <t>Kg</t>
        </is>
      </c>
      <c r="O2276" t="inlineStr">
        <is>
          <t>Kg</t>
        </is>
      </c>
      <c r="P2276" t="n">
        <v>0</v>
      </c>
      <c r="Q2276" t="n">
        <v>1</v>
      </c>
      <c r="R2276" t="inlineStr">
        <is>
          <t>434-2024-04-30</t>
        </is>
      </c>
    </row>
    <row r="2277" hidden="1">
      <c r="A2277" t="n">
        <v>434</v>
      </c>
      <c r="B2277" t="inlineStr">
        <is>
          <t>Generación de Residuos Peligrosos Mensual</t>
        </is>
      </c>
      <c r="C2277" t="inlineStr">
        <is>
          <t>GESTIÓN AMBIENTAL</t>
        </is>
      </c>
      <c r="D2277" t="inlineStr">
        <is>
          <t>Mensual</t>
        </is>
      </c>
      <c r="E2277" t="inlineStr">
        <is>
          <t>Negativo</t>
        </is>
      </c>
      <c r="F2277" s="113" t="n">
        <v>45443</v>
      </c>
      <c r="G2277" t="n">
        <v>2024</v>
      </c>
      <c r="H2277" t="inlineStr">
        <is>
          <t>Mayo</t>
        </is>
      </c>
      <c r="I2277" t="inlineStr">
        <is>
          <t>2024-1</t>
        </is>
      </c>
      <c r="J2277" t="n">
        <v>200</v>
      </c>
      <c r="K2277" t="n">
        <v>42</v>
      </c>
      <c r="L2277" s="39" t="n">
        <v>1.3</v>
      </c>
      <c r="M2277" s="39" t="n">
        <v>4.761904761904762</v>
      </c>
      <c r="N2277" t="inlineStr">
        <is>
          <t>Kg</t>
        </is>
      </c>
      <c r="O2277" t="inlineStr">
        <is>
          <t>Kg</t>
        </is>
      </c>
      <c r="P2277" t="n">
        <v>0</v>
      </c>
      <c r="Q2277" t="n">
        <v>0</v>
      </c>
      <c r="R2277" t="inlineStr">
        <is>
          <t>434-2024-05-31</t>
        </is>
      </c>
    </row>
    <row r="2278" hidden="1">
      <c r="A2278" t="n">
        <v>434</v>
      </c>
      <c r="B2278" t="inlineStr">
        <is>
          <t>Generación de Residuos Peligrosos Mensual</t>
        </is>
      </c>
      <c r="C2278" t="inlineStr">
        <is>
          <t>GESTIÓN AMBIENTAL</t>
        </is>
      </c>
      <c r="D2278" t="inlineStr">
        <is>
          <t>Mensual</t>
        </is>
      </c>
      <c r="E2278" t="inlineStr">
        <is>
          <t>Negativo</t>
        </is>
      </c>
      <c r="F2278" s="113" t="n">
        <v>45473</v>
      </c>
      <c r="G2278" t="n">
        <v>2024</v>
      </c>
      <c r="H2278" t="inlineStr">
        <is>
          <t>Junio</t>
        </is>
      </c>
      <c r="I2278" t="inlineStr">
        <is>
          <t>2024-1</t>
        </is>
      </c>
      <c r="J2278" t="n">
        <v>200</v>
      </c>
      <c r="K2278" t="n">
        <v>3219.1</v>
      </c>
      <c r="L2278" s="39" t="n">
        <v>0.06212916653723091</v>
      </c>
      <c r="M2278" s="39" t="n">
        <v>0.06212916653723091</v>
      </c>
      <c r="N2278" t="inlineStr">
        <is>
          <t>Kg</t>
        </is>
      </c>
      <c r="O2278" t="inlineStr">
        <is>
          <t>Kg</t>
        </is>
      </c>
      <c r="P2278" t="n">
        <v>0</v>
      </c>
      <c r="Q2278" t="n">
        <v>1</v>
      </c>
      <c r="R2278" t="inlineStr">
        <is>
          <t>434-2024-06-30</t>
        </is>
      </c>
    </row>
    <row r="2279" hidden="1">
      <c r="A2279" t="n">
        <v>434</v>
      </c>
      <c r="B2279" t="inlineStr">
        <is>
          <t>Generación de Residuos Peligrosos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13" t="n">
        <v>45504</v>
      </c>
      <c r="G2279" t="n">
        <v>2024</v>
      </c>
      <c r="H2279" t="inlineStr">
        <is>
          <t>Julio</t>
        </is>
      </c>
      <c r="I2279" t="inlineStr">
        <is>
          <t>2024-2</t>
        </is>
      </c>
      <c r="J2279" t="n">
        <v>200</v>
      </c>
      <c r="K2279" t="n">
        <v>1689.599975585938</v>
      </c>
      <c r="L2279" s="39" t="n">
        <v>0.1183712138316301</v>
      </c>
      <c r="M2279" s="39" t="n">
        <v>0.1183712138316301</v>
      </c>
      <c r="N2279" t="inlineStr">
        <is>
          <t>Kg</t>
        </is>
      </c>
      <c r="O2279" t="inlineStr">
        <is>
          <t>Kg</t>
        </is>
      </c>
      <c r="P2279" t="n">
        <v>0</v>
      </c>
      <c r="Q2279" t="n">
        <v>1</v>
      </c>
      <c r="R2279" t="inlineStr">
        <is>
          <t>434-2024-07-31</t>
        </is>
      </c>
    </row>
    <row r="2280" hidden="1">
      <c r="A2280" t="n">
        <v>434</v>
      </c>
      <c r="B2280" t="inlineStr">
        <is>
          <t>Generación de Residuos Peligrosos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13" t="n">
        <v>45535</v>
      </c>
      <c r="G2280" t="n">
        <v>2024</v>
      </c>
      <c r="H2280" t="inlineStr">
        <is>
          <t>Agosto</t>
        </is>
      </c>
      <c r="I2280" t="inlineStr">
        <is>
          <t>2024-2</t>
        </is>
      </c>
      <c r="J2280" t="n">
        <v>200</v>
      </c>
      <c r="K2280" t="n">
        <v>855.1</v>
      </c>
      <c r="L2280" s="39" t="n">
        <v>0.2338907730090048</v>
      </c>
      <c r="M2280" s="39" t="n">
        <v>0.2338907730090048</v>
      </c>
      <c r="N2280" t="inlineStr">
        <is>
          <t>Kg</t>
        </is>
      </c>
      <c r="O2280" t="inlineStr">
        <is>
          <t>Kg</t>
        </is>
      </c>
      <c r="P2280" t="n">
        <v>0</v>
      </c>
      <c r="Q2280" t="n">
        <v>1</v>
      </c>
      <c r="R2280" t="inlineStr">
        <is>
          <t>434-2024-08-31</t>
        </is>
      </c>
    </row>
    <row r="2281" hidden="1">
      <c r="A2281" t="n">
        <v>434</v>
      </c>
      <c r="B2281" t="inlineStr">
        <is>
          <t>Generación de Residuos Peligrosos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13" t="n">
        <v>45565</v>
      </c>
      <c r="G2281" t="n">
        <v>2024</v>
      </c>
      <c r="H2281" t="inlineStr">
        <is>
          <t>Septiembre</t>
        </is>
      </c>
      <c r="I2281" t="inlineStr">
        <is>
          <t>2024-2</t>
        </is>
      </c>
      <c r="J2281" t="n">
        <v>200</v>
      </c>
      <c r="K2281" t="n">
        <v>16.37</v>
      </c>
      <c r="L2281" s="39" t="n">
        <v>1.3</v>
      </c>
      <c r="M2281" s="39" t="n">
        <v>12.21747098350641</v>
      </c>
      <c r="N2281" t="inlineStr">
        <is>
          <t>Kg</t>
        </is>
      </c>
      <c r="O2281" t="inlineStr">
        <is>
          <t>Kg</t>
        </is>
      </c>
      <c r="P2281" t="n">
        <v>0</v>
      </c>
      <c r="Q2281" t="n">
        <v>1</v>
      </c>
      <c r="R2281" t="inlineStr">
        <is>
          <t>434-2024-09-30</t>
        </is>
      </c>
    </row>
    <row r="2282" hidden="1">
      <c r="A2282" t="n">
        <v>434</v>
      </c>
      <c r="B2282" t="inlineStr">
        <is>
          <t>Generación de Residuos Peligrosos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13" t="n">
        <v>45596</v>
      </c>
      <c r="G2282" t="n">
        <v>2024</v>
      </c>
      <c r="H2282" t="inlineStr">
        <is>
          <t>Octubre</t>
        </is>
      </c>
      <c r="I2282" t="inlineStr">
        <is>
          <t>2024-2</t>
        </is>
      </c>
      <c r="J2282" t="n">
        <v>200</v>
      </c>
      <c r="K2282" t="n">
        <v>992.38</v>
      </c>
      <c r="L2282" s="39" t="n">
        <v>0.2015357020496181</v>
      </c>
      <c r="M2282" s="39" t="n">
        <v>0.2015357020496181</v>
      </c>
      <c r="N2282" t="inlineStr">
        <is>
          <t>Kg</t>
        </is>
      </c>
      <c r="O2282" t="inlineStr">
        <is>
          <t>Kg</t>
        </is>
      </c>
      <c r="P2282" t="n">
        <v>0</v>
      </c>
      <c r="Q2282" t="n">
        <v>1</v>
      </c>
      <c r="R2282" t="inlineStr">
        <is>
          <t>434-2024-10-31</t>
        </is>
      </c>
    </row>
    <row r="2283" hidden="1">
      <c r="A2283" t="n">
        <v>434</v>
      </c>
      <c r="B2283" t="inlineStr">
        <is>
          <t>Generación de Residuos Peligrosos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13" t="n">
        <v>45626</v>
      </c>
      <c r="G2283" t="n">
        <v>2024</v>
      </c>
      <c r="H2283" t="inlineStr">
        <is>
          <t>Noviembre</t>
        </is>
      </c>
      <c r="I2283" t="inlineStr">
        <is>
          <t>2024-2</t>
        </is>
      </c>
      <c r="J2283" t="n">
        <v>200</v>
      </c>
      <c r="K2283" t="n">
        <v>73.88</v>
      </c>
      <c r="L2283" s="39" t="n">
        <v>1.3</v>
      </c>
      <c r="M2283" s="39" t="n">
        <v>2.707092582566324</v>
      </c>
      <c r="N2283" t="inlineStr">
        <is>
          <t>Kg</t>
        </is>
      </c>
      <c r="O2283" t="inlineStr">
        <is>
          <t>Kg</t>
        </is>
      </c>
      <c r="P2283" t="n">
        <v>0</v>
      </c>
      <c r="Q2283" t="n">
        <v>1</v>
      </c>
      <c r="R2283" t="inlineStr">
        <is>
          <t>434-2024-11-30</t>
        </is>
      </c>
    </row>
    <row r="2284" hidden="1">
      <c r="A2284" t="n">
        <v>434</v>
      </c>
      <c r="B2284" t="inlineStr">
        <is>
          <t>Generación de Residuos Peligrosos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13" t="n">
        <v>45657</v>
      </c>
      <c r="G2284" t="n">
        <v>2024</v>
      </c>
      <c r="H2284" t="inlineStr">
        <is>
          <t>Diciembre</t>
        </is>
      </c>
      <c r="I2284" t="inlineStr">
        <is>
          <t>2024-2</t>
        </is>
      </c>
      <c r="J2284" t="n">
        <v>200</v>
      </c>
      <c r="K2284" t="n">
        <v>2364.490097716451</v>
      </c>
      <c r="L2284" s="39" t="n">
        <v>0.08458483298075707</v>
      </c>
      <c r="M2284" s="39" t="n">
        <v>0.08458483298075707</v>
      </c>
      <c r="N2284" t="inlineStr">
        <is>
          <t>Kg</t>
        </is>
      </c>
      <c r="O2284" t="inlineStr">
        <is>
          <t>Kg</t>
        </is>
      </c>
      <c r="P2284" t="n">
        <v>0</v>
      </c>
      <c r="Q2284" t="n">
        <v>1</v>
      </c>
      <c r="R2284" t="inlineStr">
        <is>
          <t>434-2024-12-31</t>
        </is>
      </c>
    </row>
    <row r="2285" hidden="1">
      <c r="A2285" t="n">
        <v>434</v>
      </c>
      <c r="B2285" t="inlineStr">
        <is>
          <t>Generación de Residuos Peligrosos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13" t="n">
        <v>45688</v>
      </c>
      <c r="G2285" t="n">
        <v>2025</v>
      </c>
      <c r="H2285" t="inlineStr">
        <is>
          <t>Enero</t>
        </is>
      </c>
      <c r="I2285" t="inlineStr">
        <is>
          <t>2025-1</t>
        </is>
      </c>
      <c r="J2285" t="n">
        <v>200</v>
      </c>
      <c r="K2285" t="n">
        <v>2072.47</v>
      </c>
      <c r="L2285" s="39" t="n">
        <v>0.09650320631902996</v>
      </c>
      <c r="M2285" s="39" t="n">
        <v>0.09650320631902996</v>
      </c>
      <c r="N2285" t="inlineStr">
        <is>
          <t>Kg</t>
        </is>
      </c>
      <c r="O2285" t="inlineStr">
        <is>
          <t>Kg</t>
        </is>
      </c>
      <c r="P2285" t="n">
        <v>0</v>
      </c>
      <c r="Q2285" t="n">
        <v>1</v>
      </c>
      <c r="R2285" t="inlineStr">
        <is>
          <t>434-2025-01-31</t>
        </is>
      </c>
    </row>
    <row r="2286" hidden="1">
      <c r="A2286" t="n">
        <v>434</v>
      </c>
      <c r="B2286" t="inlineStr">
        <is>
          <t>Generación de Residuos Peligrosos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13" t="n">
        <v>45716</v>
      </c>
      <c r="G2286" t="n">
        <v>2025</v>
      </c>
      <c r="H2286" t="inlineStr">
        <is>
          <t>Febrero</t>
        </is>
      </c>
      <c r="I2286" t="inlineStr">
        <is>
          <t>2025-1</t>
        </is>
      </c>
      <c r="J2286" t="n">
        <v>200</v>
      </c>
      <c r="K2286" t="n">
        <v>71.68000000000001</v>
      </c>
      <c r="L2286" s="39" t="n">
        <v>1.3</v>
      </c>
      <c r="M2286" s="39" t="n">
        <v>2.790178571428571</v>
      </c>
      <c r="N2286" t="inlineStr">
        <is>
          <t>Kg</t>
        </is>
      </c>
      <c r="O2286" t="inlineStr">
        <is>
          <t>Kg</t>
        </is>
      </c>
      <c r="P2286" t="n">
        <v>0</v>
      </c>
      <c r="Q2286" t="n">
        <v>1</v>
      </c>
      <c r="R2286" t="inlineStr">
        <is>
          <t>434-2025-02-28</t>
        </is>
      </c>
    </row>
    <row r="2287" hidden="1">
      <c r="A2287" t="n">
        <v>434</v>
      </c>
      <c r="B2287" t="inlineStr">
        <is>
          <t>Generación de Residuos Peligrosos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13" t="n">
        <v>45747</v>
      </c>
      <c r="G2287" t="n">
        <v>2025</v>
      </c>
      <c r="H2287" t="inlineStr">
        <is>
          <t>Marzo</t>
        </is>
      </c>
      <c r="I2287" t="inlineStr">
        <is>
          <t>2025-1</t>
        </is>
      </c>
      <c r="J2287" t="n">
        <v>200</v>
      </c>
      <c r="K2287" t="n">
        <v>53.29</v>
      </c>
      <c r="L2287" s="39" t="n">
        <v>1.3</v>
      </c>
      <c r="M2287" s="39" t="n">
        <v>3.753049352598987</v>
      </c>
      <c r="N2287" t="inlineStr">
        <is>
          <t>Kg</t>
        </is>
      </c>
      <c r="O2287" t="inlineStr">
        <is>
          <t>Kg</t>
        </is>
      </c>
      <c r="P2287" t="n">
        <v>0</v>
      </c>
      <c r="Q2287" t="n">
        <v>1</v>
      </c>
      <c r="R2287" t="inlineStr">
        <is>
          <t>434-2025-03-31</t>
        </is>
      </c>
    </row>
    <row r="2288" hidden="1">
      <c r="A2288" t="n">
        <v>434</v>
      </c>
      <c r="B2288" t="inlineStr">
        <is>
          <t>Generación de Residuos Peligrosos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13" t="n">
        <v>45777</v>
      </c>
      <c r="G2288" t="n">
        <v>2025</v>
      </c>
      <c r="H2288" t="inlineStr">
        <is>
          <t>Abril</t>
        </is>
      </c>
      <c r="I2288" t="inlineStr">
        <is>
          <t>2025-1</t>
        </is>
      </c>
      <c r="J2288" t="n">
        <v>200</v>
      </c>
      <c r="K2288" t="n">
        <v>126.74</v>
      </c>
      <c r="L2288" s="39" t="n">
        <v>1.3</v>
      </c>
      <c r="M2288" s="39" t="n">
        <v>1.578033769922676</v>
      </c>
      <c r="N2288" t="inlineStr">
        <is>
          <t>Kg</t>
        </is>
      </c>
      <c r="O2288" t="inlineStr">
        <is>
          <t>Kg</t>
        </is>
      </c>
      <c r="P2288" t="n">
        <v>0</v>
      </c>
      <c r="Q2288" t="n">
        <v>1</v>
      </c>
      <c r="R2288" t="inlineStr">
        <is>
          <t>434-2025-04-30</t>
        </is>
      </c>
    </row>
    <row r="2289" hidden="1">
      <c r="A2289" t="n">
        <v>434</v>
      </c>
      <c r="B2289" t="inlineStr">
        <is>
          <t>Generación de Residuos Peligrosos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13" t="n">
        <v>45808</v>
      </c>
      <c r="G2289" t="n">
        <v>2025</v>
      </c>
      <c r="H2289" t="inlineStr">
        <is>
          <t>Mayo</t>
        </is>
      </c>
      <c r="I2289" t="inlineStr">
        <is>
          <t>2025-1</t>
        </is>
      </c>
      <c r="J2289" t="n">
        <v>200</v>
      </c>
      <c r="K2289" t="n">
        <v>12.6</v>
      </c>
      <c r="L2289" s="39" t="n">
        <v>1.3</v>
      </c>
      <c r="M2289" s="39" t="n">
        <v>15.87301587301587</v>
      </c>
      <c r="N2289" t="inlineStr">
        <is>
          <t>Kg</t>
        </is>
      </c>
      <c r="O2289" t="inlineStr">
        <is>
          <t>Kg</t>
        </is>
      </c>
      <c r="P2289" t="n">
        <v>0</v>
      </c>
      <c r="Q2289" t="n">
        <v>1</v>
      </c>
      <c r="R2289" t="inlineStr">
        <is>
          <t>434-2025-05-31</t>
        </is>
      </c>
    </row>
    <row r="2290" hidden="1">
      <c r="A2290" t="n">
        <v>434</v>
      </c>
      <c r="B2290" t="inlineStr">
        <is>
          <t>Generación de Residuos Peligrosos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13" t="n">
        <v>45838</v>
      </c>
      <c r="G2290" t="n">
        <v>2025</v>
      </c>
      <c r="H2290" t="inlineStr">
        <is>
          <t>Junio</t>
        </is>
      </c>
      <c r="I2290" t="inlineStr">
        <is>
          <t>2025-1</t>
        </is>
      </c>
      <c r="J2290" t="n">
        <v>200</v>
      </c>
      <c r="K2290" t="n">
        <v>130.58</v>
      </c>
      <c r="L2290" s="39" t="n">
        <v>1.3</v>
      </c>
      <c r="M2290" s="39" t="n">
        <v>1.531628120692296</v>
      </c>
      <c r="N2290" t="inlineStr">
        <is>
          <t>Kg</t>
        </is>
      </c>
      <c r="O2290" t="inlineStr">
        <is>
          <t>Kg</t>
        </is>
      </c>
      <c r="P2290" t="n">
        <v>0</v>
      </c>
      <c r="Q2290" t="n">
        <v>1</v>
      </c>
      <c r="R2290" t="inlineStr">
        <is>
          <t>434-2025-06-30</t>
        </is>
      </c>
    </row>
    <row r="2291" hidden="1">
      <c r="A2291" t="n">
        <v>434</v>
      </c>
      <c r="B2291" t="inlineStr">
        <is>
          <t>Generación de Residuos Peligrosos Mensual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Negativo</t>
        </is>
      </c>
      <c r="F2291" s="113" t="n">
        <v>45869</v>
      </c>
      <c r="G2291" t="n">
        <v>2025</v>
      </c>
      <c r="H2291" t="inlineStr">
        <is>
          <t>Julio</t>
        </is>
      </c>
      <c r="I2291" t="inlineStr">
        <is>
          <t>2025-2</t>
        </is>
      </c>
      <c r="J2291" t="n">
        <v>200</v>
      </c>
      <c r="K2291" t="n">
        <v>312.11</v>
      </c>
      <c r="L2291" s="39" t="n">
        <v>0.6407997180481241</v>
      </c>
      <c r="M2291" s="39" t="n">
        <v>0.6407997180481241</v>
      </c>
      <c r="N2291" t="inlineStr">
        <is>
          <t>Kg</t>
        </is>
      </c>
      <c r="O2291" t="inlineStr">
        <is>
          <t>Kg</t>
        </is>
      </c>
      <c r="P2291" t="n">
        <v>0</v>
      </c>
      <c r="Q2291" t="n">
        <v>0</v>
      </c>
      <c r="R2291" t="inlineStr">
        <is>
          <t>434-2025-07-31</t>
        </is>
      </c>
    </row>
    <row r="2292" hidden="1">
      <c r="A2292" t="n">
        <v>434</v>
      </c>
      <c r="B2292" t="inlineStr">
        <is>
          <t>Generación de Residuos Peligrosos Mensual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Negativo</t>
        </is>
      </c>
      <c r="F2292" s="113" t="n">
        <v>45900</v>
      </c>
      <c r="G2292" t="n">
        <v>2025</v>
      </c>
      <c r="H2292" t="inlineStr">
        <is>
          <t>Agosto</t>
        </is>
      </c>
      <c r="I2292" t="inlineStr">
        <is>
          <t>2025-2</t>
        </is>
      </c>
      <c r="J2292" t="n">
        <v>200</v>
      </c>
      <c r="K2292" t="n">
        <v>84.75</v>
      </c>
      <c r="L2292" s="39" t="n">
        <v>1.3</v>
      </c>
      <c r="M2292" s="39" t="n">
        <v>2.359882005899705</v>
      </c>
      <c r="N2292" t="inlineStr">
        <is>
          <t>Kg</t>
        </is>
      </c>
      <c r="O2292" t="inlineStr">
        <is>
          <t>Kg</t>
        </is>
      </c>
      <c r="P2292" t="n">
        <v>0</v>
      </c>
      <c r="Q2292" t="n">
        <v>0</v>
      </c>
      <c r="R2292" t="inlineStr">
        <is>
          <t>434-2025-08-31</t>
        </is>
      </c>
    </row>
    <row r="2293" hidden="1">
      <c r="A2293" t="n">
        <v>434</v>
      </c>
      <c r="B2293" t="inlineStr">
        <is>
          <t>Generación de Residuos Peligrosos Mensual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Negativo</t>
        </is>
      </c>
      <c r="F2293" s="113" t="n">
        <v>45930</v>
      </c>
      <c r="G2293" t="n">
        <v>2025</v>
      </c>
      <c r="H2293" t="inlineStr">
        <is>
          <t>Septiembre</t>
        </is>
      </c>
      <c r="I2293" t="inlineStr">
        <is>
          <t>2025-2</t>
        </is>
      </c>
      <c r="J2293" t="n">
        <v>200</v>
      </c>
      <c r="K2293" t="n">
        <v>109.73</v>
      </c>
      <c r="L2293" s="39" t="n">
        <v>1.3</v>
      </c>
      <c r="M2293" s="39" t="n">
        <v>1.822655609222637</v>
      </c>
      <c r="N2293" t="inlineStr">
        <is>
          <t>Kg</t>
        </is>
      </c>
      <c r="O2293" t="inlineStr">
        <is>
          <t>Kg</t>
        </is>
      </c>
      <c r="P2293" t="n">
        <v>0</v>
      </c>
      <c r="Q2293" t="n">
        <v>0</v>
      </c>
      <c r="R2293" t="inlineStr">
        <is>
          <t>434-2025-09-30</t>
        </is>
      </c>
    </row>
    <row r="2294" hidden="1">
      <c r="A2294" t="n">
        <v>434</v>
      </c>
      <c r="B2294" t="inlineStr">
        <is>
          <t>Generación de Residuos Peligrosos Mensual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Negativo</t>
        </is>
      </c>
      <c r="F2294" s="113" t="n">
        <v>45961</v>
      </c>
      <c r="G2294" t="n">
        <v>2025</v>
      </c>
      <c r="H2294" t="inlineStr">
        <is>
          <t>Octubre</t>
        </is>
      </c>
      <c r="I2294" t="inlineStr">
        <is>
          <t>2025-2</t>
        </is>
      </c>
      <c r="J2294" t="n">
        <v>200</v>
      </c>
      <c r="K2294" t="n">
        <v>4524.46</v>
      </c>
      <c r="L2294" s="39" t="n">
        <v>0.04420417022141869</v>
      </c>
      <c r="M2294" s="39" t="n">
        <v>0.04420417022141869</v>
      </c>
      <c r="N2294" t="inlineStr">
        <is>
          <t>Kg</t>
        </is>
      </c>
      <c r="O2294" t="inlineStr">
        <is>
          <t>Kg</t>
        </is>
      </c>
      <c r="P2294" t="n">
        <v>0</v>
      </c>
      <c r="Q2294" t="n">
        <v>0</v>
      </c>
      <c r="R2294" t="inlineStr">
        <is>
          <t>434-2025-10-31</t>
        </is>
      </c>
    </row>
    <row r="2295" hidden="1">
      <c r="A2295" t="n">
        <v>434</v>
      </c>
      <c r="B2295" t="inlineStr">
        <is>
          <t>Generación de Residuos Peligrosos Mensual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Negativo</t>
        </is>
      </c>
      <c r="F2295" s="113" t="n">
        <v>45991</v>
      </c>
      <c r="G2295" t="n">
        <v>2025</v>
      </c>
      <c r="H2295" t="inlineStr">
        <is>
          <t>Noviembre</t>
        </is>
      </c>
      <c r="I2295" t="inlineStr">
        <is>
          <t>2025-2</t>
        </is>
      </c>
      <c r="J2295" t="n">
        <v>200</v>
      </c>
      <c r="K2295" t="n">
        <v>285.15</v>
      </c>
      <c r="L2295" s="39" t="n">
        <v>0.7013852358407856</v>
      </c>
      <c r="M2295" s="39" t="n">
        <v>0.7013852358407856</v>
      </c>
      <c r="N2295" t="inlineStr">
        <is>
          <t>Kg</t>
        </is>
      </c>
      <c r="O2295" t="inlineStr">
        <is>
          <t>Kg</t>
        </is>
      </c>
      <c r="P2295" t="n">
        <v>0</v>
      </c>
      <c r="Q2295" t="n">
        <v>0</v>
      </c>
      <c r="R2295" t="inlineStr">
        <is>
          <t>434-2025-11-30</t>
        </is>
      </c>
    </row>
    <row r="2296" hidden="1">
      <c r="A2296" t="n">
        <v>434</v>
      </c>
      <c r="B2296" t="inlineStr">
        <is>
          <t>Generación de Residuos Peligrosos Mensual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Negativo</t>
        </is>
      </c>
      <c r="F2296" s="113" t="n">
        <v>46022</v>
      </c>
      <c r="G2296" t="n">
        <v>2025</v>
      </c>
      <c r="H2296" t="inlineStr">
        <is>
          <t>Diciembre</t>
        </is>
      </c>
      <c r="I2296" t="inlineStr">
        <is>
          <t>2025-2</t>
        </is>
      </c>
      <c r="J2296" t="n">
        <v>200</v>
      </c>
      <c r="K2296" t="n">
        <v>150.1299935057759</v>
      </c>
      <c r="L2296" s="39" t="n">
        <v>1.3</v>
      </c>
      <c r="M2296" s="39" t="n">
        <v>1.33217883601857</v>
      </c>
      <c r="N2296" t="inlineStr">
        <is>
          <t>Kg</t>
        </is>
      </c>
      <c r="O2296" t="inlineStr">
        <is>
          <t>Kg</t>
        </is>
      </c>
      <c r="P2296" t="n">
        <v>0</v>
      </c>
      <c r="Q2296" t="n">
        <v>0</v>
      </c>
      <c r="R2296" t="inlineStr">
        <is>
          <t>434-2025-12-31</t>
        </is>
      </c>
    </row>
    <row r="2297" hidden="1">
      <c r="A2297" t="n">
        <v>435</v>
      </c>
      <c r="B2297" t="inlineStr">
        <is>
          <t>Disminución de la Generación de Residuos Peligrosos per Cápita</t>
        </is>
      </c>
      <c r="C2297" t="inlineStr">
        <is>
          <t>GESTIÓN AMBIENTAL</t>
        </is>
      </c>
      <c r="D2297" t="inlineStr">
        <is>
          <t>Trimestral</t>
        </is>
      </c>
      <c r="E2297" t="inlineStr">
        <is>
          <t>Positivo</t>
        </is>
      </c>
      <c r="F2297" s="113" t="n">
        <v>45107</v>
      </c>
      <c r="G2297" t="n">
        <v>2023</v>
      </c>
      <c r="H2297" t="inlineStr">
        <is>
          <t>Junio</t>
        </is>
      </c>
      <c r="I2297" t="inlineStr">
        <is>
          <t>2023-1</t>
        </is>
      </c>
      <c r="J2297" t="n">
        <v>100</v>
      </c>
      <c r="L2297" s="39" t="n"/>
      <c r="M2297" s="39" t="n"/>
      <c r="N2297" t="inlineStr">
        <is>
          <t>%</t>
        </is>
      </c>
      <c r="O2297" t="inlineStr">
        <is>
          <t>No Aplica</t>
        </is>
      </c>
      <c r="P2297" t="n">
        <v>2</v>
      </c>
      <c r="Q2297" t="n">
        <v>2</v>
      </c>
      <c r="R2297" t="inlineStr">
        <is>
          <t>435-2023-06-30</t>
        </is>
      </c>
      <c r="S2297" t="inlineStr">
        <is>
          <t>No Aplica</t>
        </is>
      </c>
    </row>
    <row r="2298" hidden="1">
      <c r="A2298" t="n">
        <v>435</v>
      </c>
      <c r="B2298" t="inlineStr">
        <is>
          <t>Disminución de la Generación de Residuos Peligrosos per Cápita</t>
        </is>
      </c>
      <c r="C2298" t="inlineStr">
        <is>
          <t>GESTIÓN AMBIENTAL</t>
        </is>
      </c>
      <c r="D2298" t="inlineStr">
        <is>
          <t>Trimestral</t>
        </is>
      </c>
      <c r="E2298" t="inlineStr">
        <is>
          <t>Positivo</t>
        </is>
      </c>
      <c r="F2298" s="113" t="n">
        <v>45291</v>
      </c>
      <c r="G2298" t="n">
        <v>2023</v>
      </c>
      <c r="H2298" t="inlineStr">
        <is>
          <t>Diciembre</t>
        </is>
      </c>
      <c r="I2298" t="inlineStr">
        <is>
          <t>2023-2</t>
        </is>
      </c>
      <c r="J2298" t="n">
        <v>100</v>
      </c>
      <c r="K2298" t="n">
        <v>-111.57</v>
      </c>
      <c r="L2298" s="39" t="n">
        <v>0</v>
      </c>
      <c r="M2298" s="39" t="n">
        <v>0</v>
      </c>
      <c r="N2298" t="inlineStr">
        <is>
          <t>%</t>
        </is>
      </c>
      <c r="O2298" t="inlineStr">
        <is>
          <t>%</t>
        </is>
      </c>
      <c r="P2298" t="n">
        <v>2</v>
      </c>
      <c r="Q2298" t="n">
        <v>2</v>
      </c>
      <c r="R2298" t="inlineStr">
        <is>
          <t>435-2023-12-31</t>
        </is>
      </c>
    </row>
    <row r="2299" hidden="1">
      <c r="A2299" t="n">
        <v>435</v>
      </c>
      <c r="B2299" t="inlineStr">
        <is>
          <t>Disminución de la Generación de Residuos Peligrosos per Cápita</t>
        </is>
      </c>
      <c r="C2299" t="inlineStr">
        <is>
          <t>GESTIÓN AMBIENTAL</t>
        </is>
      </c>
      <c r="D2299" t="inlineStr">
        <is>
          <t>Semestral</t>
        </is>
      </c>
      <c r="E2299" t="inlineStr">
        <is>
          <t>Positivo</t>
        </is>
      </c>
      <c r="F2299" s="113" t="n">
        <v>45473</v>
      </c>
      <c r="G2299" t="n">
        <v>2024</v>
      </c>
      <c r="H2299" t="inlineStr">
        <is>
          <t>Junio</t>
        </is>
      </c>
      <c r="I2299" t="inlineStr">
        <is>
          <t>2024-1</t>
        </is>
      </c>
      <c r="J2299" t="n">
        <v>100</v>
      </c>
      <c r="K2299" t="n">
        <v>-20.67</v>
      </c>
      <c r="L2299" s="39" t="n">
        <v>0</v>
      </c>
      <c r="M2299" s="39" t="n">
        <v>0</v>
      </c>
      <c r="N2299" t="inlineStr">
        <is>
          <t>%</t>
        </is>
      </c>
      <c r="O2299" t="inlineStr">
        <is>
          <t>%</t>
        </is>
      </c>
      <c r="P2299" t="n">
        <v>2</v>
      </c>
      <c r="Q2299" t="n">
        <v>2</v>
      </c>
      <c r="R2299" t="inlineStr">
        <is>
          <t>435-2024-06-30</t>
        </is>
      </c>
    </row>
    <row r="2300" hidden="1">
      <c r="A2300" t="n">
        <v>435</v>
      </c>
      <c r="B2300" t="inlineStr">
        <is>
          <t>Disminución de la Generación de Residuos Peligrosos per Cápita</t>
        </is>
      </c>
      <c r="C2300" t="inlineStr">
        <is>
          <t>GESTIÓN AMBIENTAL</t>
        </is>
      </c>
      <c r="D2300" t="inlineStr">
        <is>
          <t>Semestral</t>
        </is>
      </c>
      <c r="E2300" t="inlineStr">
        <is>
          <t>Positivo</t>
        </is>
      </c>
      <c r="F2300" s="113" t="n">
        <v>45657</v>
      </c>
      <c r="G2300" t="n">
        <v>2024</v>
      </c>
      <c r="H2300" t="inlineStr">
        <is>
          <t>Diciembre</t>
        </is>
      </c>
      <c r="I2300" t="inlineStr">
        <is>
          <t>2024-2</t>
        </is>
      </c>
      <c r="J2300" t="n">
        <v>100</v>
      </c>
      <c r="K2300" t="n">
        <v>71.09</v>
      </c>
      <c r="L2300" s="39" t="n">
        <v>0.7109000000000001</v>
      </c>
      <c r="M2300" s="39" t="n">
        <v>0.7109000000000001</v>
      </c>
      <c r="N2300" t="inlineStr">
        <is>
          <t>%</t>
        </is>
      </c>
      <c r="O2300" t="inlineStr">
        <is>
          <t>%</t>
        </is>
      </c>
      <c r="P2300" t="n">
        <v>2</v>
      </c>
      <c r="Q2300" t="n">
        <v>2</v>
      </c>
      <c r="R2300" t="inlineStr">
        <is>
          <t>435-2024-12-31</t>
        </is>
      </c>
    </row>
    <row r="2301" hidden="1">
      <c r="A2301" t="n">
        <v>435</v>
      </c>
      <c r="B2301" t="inlineStr">
        <is>
          <t>Disminución de la Generación de Residuos Peligrosos per Cápita</t>
        </is>
      </c>
      <c r="C2301" t="inlineStr">
        <is>
          <t>GESTIÓN AMBIENTAL</t>
        </is>
      </c>
      <c r="D2301" t="inlineStr">
        <is>
          <t>Semestral</t>
        </is>
      </c>
      <c r="E2301" t="inlineStr">
        <is>
          <t>Positivo</t>
        </is>
      </c>
      <c r="F2301" s="113" t="n">
        <v>45838</v>
      </c>
      <c r="G2301" t="n">
        <v>2025</v>
      </c>
      <c r="H2301" t="inlineStr">
        <is>
          <t>Junio</t>
        </is>
      </c>
      <c r="I2301" t="inlineStr">
        <is>
          <t>2025-1</t>
        </is>
      </c>
      <c r="J2301" t="n">
        <v>1</v>
      </c>
      <c r="K2301" t="n">
        <v>96.09</v>
      </c>
      <c r="L2301" s="39" t="n">
        <v>1.3</v>
      </c>
      <c r="M2301" s="39" t="n">
        <v>96.09</v>
      </c>
      <c r="N2301" t="inlineStr">
        <is>
          <t>%</t>
        </is>
      </c>
      <c r="O2301" t="inlineStr">
        <is>
          <t>%</t>
        </is>
      </c>
      <c r="P2301" t="n">
        <v>2</v>
      </c>
      <c r="Q2301" t="n">
        <v>2</v>
      </c>
      <c r="R2301" t="inlineStr">
        <is>
          <t>435-2025-06-30</t>
        </is>
      </c>
    </row>
    <row r="2302" hidden="1">
      <c r="A2302" t="n">
        <v>435</v>
      </c>
      <c r="B2302" t="inlineStr">
        <is>
          <t>Disminución de la Generación de Residuos Peligrosos per Cápita</t>
        </is>
      </c>
      <c r="C2302" t="inlineStr">
        <is>
          <t>GESTIÓN AMBIENTAL</t>
        </is>
      </c>
      <c r="D2302" t="inlineStr">
        <is>
          <t>Trimestral</t>
        </is>
      </c>
      <c r="E2302" t="inlineStr">
        <is>
          <t>Positivo</t>
        </is>
      </c>
      <c r="F2302" s="113" t="n">
        <v>46022</v>
      </c>
      <c r="G2302" t="n">
        <v>2025</v>
      </c>
      <c r="H2302" t="inlineStr">
        <is>
          <t>Diciembre</t>
        </is>
      </c>
      <c r="I2302" t="inlineStr">
        <is>
          <t>2025-2</t>
        </is>
      </c>
      <c r="J2302" t="n">
        <v>1</v>
      </c>
      <c r="K2302" t="n">
        <v>-732.08</v>
      </c>
      <c r="L2302" s="39" t="n">
        <v>0</v>
      </c>
      <c r="M2302" s="39" t="n">
        <v>0</v>
      </c>
      <c r="N2302" t="inlineStr">
        <is>
          <t>%</t>
        </is>
      </c>
      <c r="O2302" t="inlineStr">
        <is>
          <t>%</t>
        </is>
      </c>
      <c r="P2302" t="n">
        <v>2</v>
      </c>
      <c r="Q2302" t="n">
        <v>2</v>
      </c>
      <c r="R2302" t="inlineStr">
        <is>
          <t>435-2025-12-31</t>
        </is>
      </c>
    </row>
    <row r="2303" hidden="1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13" t="n">
        <v>44957</v>
      </c>
      <c r="G2303" t="n">
        <v>2023</v>
      </c>
      <c r="H2303" t="inlineStr">
        <is>
          <t>Enero</t>
        </is>
      </c>
      <c r="I2303" t="inlineStr">
        <is>
          <t>2023-1</t>
        </is>
      </c>
      <c r="J2303" t="n">
        <v>14</v>
      </c>
      <c r="L2303" s="39" t="n"/>
      <c r="M2303" s="39" t="n"/>
      <c r="N2303" t="inlineStr">
        <is>
          <t>Días</t>
        </is>
      </c>
      <c r="O2303" t="inlineStr">
        <is>
          <t>No Aplica</t>
        </is>
      </c>
      <c r="P2303" t="n">
        <v>0</v>
      </c>
      <c r="Q2303" t="n">
        <v>1</v>
      </c>
      <c r="R2303" t="inlineStr">
        <is>
          <t>436-2023-01-31</t>
        </is>
      </c>
      <c r="S2303" t="inlineStr">
        <is>
          <t>No Aplica</t>
        </is>
      </c>
    </row>
    <row r="2304" hidden="1">
      <c r="A2304" t="n">
        <v>436</v>
      </c>
      <c r="B2304" t="inlineStr">
        <is>
          <t>ANS documentos operativos</t>
        </is>
      </c>
      <c r="C2304" t="inlineStr">
        <is>
          <t>Gestión de calidad</t>
        </is>
      </c>
      <c r="D2304" t="inlineStr">
        <is>
          <t>Mensual</t>
        </is>
      </c>
      <c r="E2304" t="inlineStr">
        <is>
          <t>Negativo</t>
        </is>
      </c>
      <c r="F2304" s="113" t="n">
        <v>44985</v>
      </c>
      <c r="G2304" t="n">
        <v>2023</v>
      </c>
      <c r="H2304" t="inlineStr">
        <is>
          <t>Febrero</t>
        </is>
      </c>
      <c r="I2304" t="inlineStr">
        <is>
          <t>2023-1</t>
        </is>
      </c>
      <c r="J2304" t="n">
        <v>14</v>
      </c>
      <c r="L2304" s="39" t="n"/>
      <c r="M2304" s="39" t="n"/>
      <c r="N2304" t="inlineStr">
        <is>
          <t>Días</t>
        </is>
      </c>
      <c r="O2304" t="inlineStr">
        <is>
          <t>No Aplica</t>
        </is>
      </c>
      <c r="P2304" t="n">
        <v>0</v>
      </c>
      <c r="Q2304" t="n">
        <v>1</v>
      </c>
      <c r="R2304" t="inlineStr">
        <is>
          <t>436-2023-02-28</t>
        </is>
      </c>
      <c r="S2304" t="inlineStr">
        <is>
          <t>No Aplica</t>
        </is>
      </c>
    </row>
    <row r="2305" hidden="1">
      <c r="A2305" t="n">
        <v>436</v>
      </c>
      <c r="B2305" t="inlineStr">
        <is>
          <t>ANS documentos operativos</t>
        </is>
      </c>
      <c r="C2305" t="inlineStr">
        <is>
          <t>Gestión de calidad</t>
        </is>
      </c>
      <c r="D2305" t="inlineStr">
        <is>
          <t>Mensual</t>
        </is>
      </c>
      <c r="E2305" t="inlineStr">
        <is>
          <t>Negativo</t>
        </is>
      </c>
      <c r="F2305" s="113" t="n">
        <v>45016</v>
      </c>
      <c r="G2305" t="n">
        <v>2023</v>
      </c>
      <c r="H2305" t="inlineStr">
        <is>
          <t>Marzo</t>
        </is>
      </c>
      <c r="I2305" t="inlineStr">
        <is>
          <t>2023-1</t>
        </is>
      </c>
      <c r="J2305" t="n">
        <v>14</v>
      </c>
      <c r="L2305" s="39" t="n"/>
      <c r="M2305" s="39" t="n"/>
      <c r="N2305" t="inlineStr">
        <is>
          <t>Días</t>
        </is>
      </c>
      <c r="O2305" t="inlineStr">
        <is>
          <t>No Aplica</t>
        </is>
      </c>
      <c r="P2305" t="n">
        <v>0</v>
      </c>
      <c r="Q2305" t="n">
        <v>1</v>
      </c>
      <c r="R2305" t="inlineStr">
        <is>
          <t>436-2023-03-31</t>
        </is>
      </c>
      <c r="S2305" t="inlineStr">
        <is>
          <t>No Aplica</t>
        </is>
      </c>
    </row>
    <row r="2306" hidden="1">
      <c r="A2306" t="n">
        <v>436</v>
      </c>
      <c r="B2306" t="inlineStr">
        <is>
          <t>ANS documentos operativos</t>
        </is>
      </c>
      <c r="C2306" t="inlineStr">
        <is>
          <t>Gestión de calidad</t>
        </is>
      </c>
      <c r="D2306" t="inlineStr">
        <is>
          <t>Mensual</t>
        </is>
      </c>
      <c r="E2306" t="inlineStr">
        <is>
          <t>Negativo</t>
        </is>
      </c>
      <c r="F2306" s="113" t="n">
        <v>45046</v>
      </c>
      <c r="G2306" t="n">
        <v>2023</v>
      </c>
      <c r="H2306" t="inlineStr">
        <is>
          <t>Abril</t>
        </is>
      </c>
      <c r="I2306" t="inlineStr">
        <is>
          <t>2023-1</t>
        </is>
      </c>
      <c r="J2306" t="n">
        <v>14</v>
      </c>
      <c r="L2306" s="39" t="n"/>
      <c r="M2306" s="39" t="n"/>
      <c r="N2306" t="inlineStr">
        <is>
          <t>Días</t>
        </is>
      </c>
      <c r="O2306" t="inlineStr">
        <is>
          <t>No Aplica</t>
        </is>
      </c>
      <c r="P2306" t="n">
        <v>0</v>
      </c>
      <c r="Q2306" t="n">
        <v>1</v>
      </c>
      <c r="R2306" t="inlineStr">
        <is>
          <t>436-2023-04-30</t>
        </is>
      </c>
      <c r="S2306" t="inlineStr">
        <is>
          <t>No Aplica</t>
        </is>
      </c>
    </row>
    <row r="2307" hidden="1">
      <c r="A2307" t="n">
        <v>436</v>
      </c>
      <c r="B2307" t="inlineStr">
        <is>
          <t>ANS documentos operativos</t>
        </is>
      </c>
      <c r="C2307" t="inlineStr">
        <is>
          <t>Gestión de calidad</t>
        </is>
      </c>
      <c r="D2307" t="inlineStr">
        <is>
          <t>Mensual</t>
        </is>
      </c>
      <c r="E2307" t="inlineStr">
        <is>
          <t>Negativo</t>
        </is>
      </c>
      <c r="F2307" s="113" t="n">
        <v>45077</v>
      </c>
      <c r="G2307" t="n">
        <v>2023</v>
      </c>
      <c r="H2307" t="inlineStr">
        <is>
          <t>Mayo</t>
        </is>
      </c>
      <c r="I2307" t="inlineStr">
        <is>
          <t>2023-1</t>
        </is>
      </c>
      <c r="J2307" t="n">
        <v>14</v>
      </c>
      <c r="L2307" s="39" t="n"/>
      <c r="M2307" s="39" t="n"/>
      <c r="N2307" t="inlineStr">
        <is>
          <t>Días</t>
        </is>
      </c>
      <c r="O2307" t="inlineStr">
        <is>
          <t>No Aplica</t>
        </is>
      </c>
      <c r="P2307" t="n">
        <v>0</v>
      </c>
      <c r="Q2307" t="n">
        <v>1</v>
      </c>
      <c r="R2307" t="inlineStr">
        <is>
          <t>436-2023-05-31</t>
        </is>
      </c>
      <c r="S2307" t="inlineStr">
        <is>
          <t>No Aplica</t>
        </is>
      </c>
    </row>
    <row r="2308" hidden="1">
      <c r="A2308" t="n">
        <v>436</v>
      </c>
      <c r="B2308" t="inlineStr">
        <is>
          <t>ANS documentos operativos</t>
        </is>
      </c>
      <c r="C2308" t="inlineStr">
        <is>
          <t>Gestión de calidad</t>
        </is>
      </c>
      <c r="D2308" t="inlineStr">
        <is>
          <t>Mensual</t>
        </is>
      </c>
      <c r="E2308" t="inlineStr">
        <is>
          <t>Negativo</t>
        </is>
      </c>
      <c r="F2308" s="113" t="n">
        <v>45107</v>
      </c>
      <c r="G2308" t="n">
        <v>2023</v>
      </c>
      <c r="H2308" t="inlineStr">
        <is>
          <t>Junio</t>
        </is>
      </c>
      <c r="I2308" t="inlineStr">
        <is>
          <t>2023-1</t>
        </is>
      </c>
      <c r="J2308" t="n">
        <v>14</v>
      </c>
      <c r="L2308" s="39" t="n"/>
      <c r="M2308" s="39" t="n"/>
      <c r="N2308" t="inlineStr">
        <is>
          <t>Días</t>
        </is>
      </c>
      <c r="O2308" t="inlineStr">
        <is>
          <t>No Aplica</t>
        </is>
      </c>
      <c r="P2308" t="n">
        <v>0</v>
      </c>
      <c r="Q2308" t="n">
        <v>1</v>
      </c>
      <c r="R2308" t="inlineStr">
        <is>
          <t>436-2023-06-30</t>
        </is>
      </c>
      <c r="S2308" t="inlineStr">
        <is>
          <t>No Aplica</t>
        </is>
      </c>
    </row>
    <row r="2309" hidden="1">
      <c r="A2309" t="n">
        <v>436</v>
      </c>
      <c r="B2309" t="inlineStr">
        <is>
          <t>ANS documentos operativos</t>
        </is>
      </c>
      <c r="C2309" t="inlineStr">
        <is>
          <t>Gestión de calidad</t>
        </is>
      </c>
      <c r="D2309" t="inlineStr">
        <is>
          <t>Mensual</t>
        </is>
      </c>
      <c r="E2309" t="inlineStr">
        <is>
          <t>Negativo</t>
        </is>
      </c>
      <c r="F2309" s="113" t="n">
        <v>45138</v>
      </c>
      <c r="G2309" t="n">
        <v>2023</v>
      </c>
      <c r="H2309" t="inlineStr">
        <is>
          <t>Julio</t>
        </is>
      </c>
      <c r="I2309" t="inlineStr">
        <is>
          <t>2023-2</t>
        </is>
      </c>
      <c r="J2309" t="n">
        <v>21</v>
      </c>
      <c r="K2309" t="n">
        <v>11.7</v>
      </c>
      <c r="L2309" s="39" t="n">
        <v>1.3</v>
      </c>
      <c r="M2309" s="39" t="n">
        <v>1.794871794871795</v>
      </c>
      <c r="N2309" t="inlineStr">
        <is>
          <t>Días</t>
        </is>
      </c>
      <c r="O2309" t="inlineStr">
        <is>
          <t>Días</t>
        </is>
      </c>
      <c r="P2309" t="n">
        <v>0</v>
      </c>
      <c r="Q2309" t="n">
        <v>0</v>
      </c>
      <c r="R2309" t="inlineStr">
        <is>
          <t>436-2023-07-31</t>
        </is>
      </c>
    </row>
    <row r="2310" hidden="1">
      <c r="A2310" t="n">
        <v>436</v>
      </c>
      <c r="B2310" t="inlineStr">
        <is>
          <t>ANS documentos operativos</t>
        </is>
      </c>
      <c r="C2310" t="inlineStr">
        <is>
          <t>Gestión de calidad</t>
        </is>
      </c>
      <c r="D2310" t="inlineStr">
        <is>
          <t>Mensual</t>
        </is>
      </c>
      <c r="E2310" t="inlineStr">
        <is>
          <t>Negativo</t>
        </is>
      </c>
      <c r="F2310" s="113" t="n">
        <v>45169</v>
      </c>
      <c r="G2310" t="n">
        <v>2023</v>
      </c>
      <c r="H2310" t="inlineStr">
        <is>
          <t>Agosto</t>
        </is>
      </c>
      <c r="I2310" t="inlineStr">
        <is>
          <t>2023-2</t>
        </is>
      </c>
      <c r="J2310" t="n">
        <v>21</v>
      </c>
      <c r="K2310" t="n">
        <v>8.699999999999999</v>
      </c>
      <c r="L2310" s="39" t="n">
        <v>1.3</v>
      </c>
      <c r="M2310" s="39" t="n">
        <v>2.413793103448276</v>
      </c>
      <c r="N2310" t="inlineStr">
        <is>
          <t>Días</t>
        </is>
      </c>
      <c r="O2310" t="inlineStr">
        <is>
          <t>Días</t>
        </is>
      </c>
      <c r="P2310" t="n">
        <v>0</v>
      </c>
      <c r="Q2310" t="n">
        <v>0</v>
      </c>
      <c r="R2310" t="inlineStr">
        <is>
          <t>436-2023-08-31</t>
        </is>
      </c>
    </row>
    <row r="2311" hidden="1">
      <c r="A2311" t="n">
        <v>436</v>
      </c>
      <c r="B2311" t="inlineStr">
        <is>
          <t>ANS documentos operativos</t>
        </is>
      </c>
      <c r="C2311" t="inlineStr">
        <is>
          <t>Gestión de calidad</t>
        </is>
      </c>
      <c r="D2311" t="inlineStr">
        <is>
          <t>Mensual</t>
        </is>
      </c>
      <c r="E2311" t="inlineStr">
        <is>
          <t>Negativo</t>
        </is>
      </c>
      <c r="F2311" s="113" t="n">
        <v>45199</v>
      </c>
      <c r="G2311" t="n">
        <v>2023</v>
      </c>
      <c r="H2311" t="inlineStr">
        <is>
          <t>Septiembre</t>
        </is>
      </c>
      <c r="I2311" t="inlineStr">
        <is>
          <t>2023-2</t>
        </is>
      </c>
      <c r="J2311" t="n">
        <v>21</v>
      </c>
      <c r="K2311" t="n">
        <v>17.3</v>
      </c>
      <c r="L2311" s="39" t="n">
        <v>1.213872832369942</v>
      </c>
      <c r="M2311" s="39" t="n">
        <v>1.213872832369942</v>
      </c>
      <c r="N2311" t="inlineStr">
        <is>
          <t>Días</t>
        </is>
      </c>
      <c r="O2311" t="inlineStr">
        <is>
          <t>Días</t>
        </is>
      </c>
      <c r="P2311" t="n">
        <v>0</v>
      </c>
      <c r="Q2311" t="n">
        <v>0</v>
      </c>
      <c r="R2311" t="inlineStr">
        <is>
          <t>436-2023-09-30</t>
        </is>
      </c>
    </row>
    <row r="2312" hidden="1">
      <c r="A2312" t="n">
        <v>436</v>
      </c>
      <c r="B2312" t="inlineStr">
        <is>
          <t>ANS documentos operativos</t>
        </is>
      </c>
      <c r="C2312" t="inlineStr">
        <is>
          <t>Gestión de calidad</t>
        </is>
      </c>
      <c r="D2312" t="inlineStr">
        <is>
          <t>Mensual</t>
        </is>
      </c>
      <c r="E2312" t="inlineStr">
        <is>
          <t>Negativo</t>
        </is>
      </c>
      <c r="F2312" s="113" t="n">
        <v>45230</v>
      </c>
      <c r="G2312" t="n">
        <v>2023</v>
      </c>
      <c r="H2312" t="inlineStr">
        <is>
          <t>Octubre</t>
        </is>
      </c>
      <c r="I2312" t="inlineStr">
        <is>
          <t>2023-2</t>
        </is>
      </c>
      <c r="J2312" t="n">
        <v>21</v>
      </c>
      <c r="K2312" t="n">
        <v>5.1</v>
      </c>
      <c r="L2312" s="39" t="n">
        <v>1.3</v>
      </c>
      <c r="M2312" s="39" t="n">
        <v>4.11764705882353</v>
      </c>
      <c r="N2312" t="inlineStr">
        <is>
          <t>Días</t>
        </is>
      </c>
      <c r="O2312" t="inlineStr">
        <is>
          <t>Días</t>
        </is>
      </c>
      <c r="P2312" t="n">
        <v>0</v>
      </c>
      <c r="Q2312" t="n">
        <v>0</v>
      </c>
      <c r="R2312" t="inlineStr">
        <is>
          <t>436-2023-10-31</t>
        </is>
      </c>
    </row>
    <row r="2313" hidden="1">
      <c r="A2313" t="n">
        <v>436</v>
      </c>
      <c r="B2313" t="inlineStr">
        <is>
          <t>ANS documentos operativos</t>
        </is>
      </c>
      <c r="C2313" t="inlineStr">
        <is>
          <t>Gestión de calidad</t>
        </is>
      </c>
      <c r="D2313" t="inlineStr">
        <is>
          <t>Mensual</t>
        </is>
      </c>
      <c r="E2313" t="inlineStr">
        <is>
          <t>Negativo</t>
        </is>
      </c>
      <c r="F2313" s="113" t="n">
        <v>45260</v>
      </c>
      <c r="G2313" t="n">
        <v>2023</v>
      </c>
      <c r="H2313" t="inlineStr">
        <is>
          <t>Noviembre</t>
        </is>
      </c>
      <c r="I2313" t="inlineStr">
        <is>
          <t>2023-2</t>
        </is>
      </c>
      <c r="J2313" t="n">
        <v>21</v>
      </c>
      <c r="K2313" t="n">
        <v>10.91</v>
      </c>
      <c r="L2313" s="39" t="n">
        <v>1.3</v>
      </c>
      <c r="M2313" s="39" t="n">
        <v>1.924839596700275</v>
      </c>
      <c r="N2313" t="inlineStr">
        <is>
          <t>Días</t>
        </is>
      </c>
      <c r="O2313" t="inlineStr">
        <is>
          <t>Días</t>
        </is>
      </c>
      <c r="P2313" t="n">
        <v>0</v>
      </c>
      <c r="Q2313" t="n">
        <v>0</v>
      </c>
      <c r="R2313" t="inlineStr">
        <is>
          <t>436-2023-11-30</t>
        </is>
      </c>
    </row>
    <row r="2314" hidden="1">
      <c r="A2314" t="n">
        <v>436</v>
      </c>
      <c r="B2314" t="inlineStr">
        <is>
          <t>ANS documentos operativos</t>
        </is>
      </c>
      <c r="C2314" t="inlineStr">
        <is>
          <t>Gestión de calidad</t>
        </is>
      </c>
      <c r="D2314" t="inlineStr">
        <is>
          <t>Mensual</t>
        </is>
      </c>
      <c r="E2314" t="inlineStr">
        <is>
          <t>Negativo</t>
        </is>
      </c>
      <c r="F2314" s="113" t="n">
        <v>45291</v>
      </c>
      <c r="G2314" t="n">
        <v>2023</v>
      </c>
      <c r="H2314" t="inlineStr">
        <is>
          <t>Diciembre</t>
        </is>
      </c>
      <c r="I2314" t="inlineStr">
        <is>
          <t>2023-2</t>
        </is>
      </c>
      <c r="J2314" t="n">
        <v>21</v>
      </c>
      <c r="K2314" t="n">
        <v>12.7</v>
      </c>
      <c r="L2314" s="39" t="n">
        <v>1.3</v>
      </c>
      <c r="M2314" s="39" t="n">
        <v>1.653543307086614</v>
      </c>
      <c r="N2314" t="inlineStr">
        <is>
          <t>Días</t>
        </is>
      </c>
      <c r="O2314" t="inlineStr">
        <is>
          <t>Días</t>
        </is>
      </c>
      <c r="P2314" t="n">
        <v>0</v>
      </c>
      <c r="Q2314" t="n">
        <v>0</v>
      </c>
      <c r="R2314" t="inlineStr">
        <is>
          <t>436-2023-12-31</t>
        </is>
      </c>
    </row>
    <row r="2315" hidden="1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13" t="n">
        <v>45322</v>
      </c>
      <c r="G2315" t="n">
        <v>2024</v>
      </c>
      <c r="H2315" t="inlineStr">
        <is>
          <t>Enero</t>
        </is>
      </c>
      <c r="I2315" t="inlineStr">
        <is>
          <t>2024-1</t>
        </is>
      </c>
      <c r="J2315" t="n">
        <v>14</v>
      </c>
      <c r="K2315" t="n">
        <v>9.699999999999999</v>
      </c>
      <c r="L2315" s="39" t="n">
        <v>1.3</v>
      </c>
      <c r="M2315" s="39" t="n">
        <v>1.443298969072165</v>
      </c>
      <c r="N2315" t="inlineStr">
        <is>
          <t>Días</t>
        </is>
      </c>
      <c r="O2315" t="inlineStr">
        <is>
          <t>Días</t>
        </is>
      </c>
      <c r="P2315" t="n">
        <v>0</v>
      </c>
      <c r="Q2315" t="n">
        <v>0</v>
      </c>
      <c r="R2315" t="inlineStr">
        <is>
          <t>436-2024-01-31</t>
        </is>
      </c>
    </row>
    <row r="2316" hidden="1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13" t="n">
        <v>45351</v>
      </c>
      <c r="G2316" t="n">
        <v>2024</v>
      </c>
      <c r="H2316" t="inlineStr">
        <is>
          <t>Febrero</t>
        </is>
      </c>
      <c r="I2316" t="inlineStr">
        <is>
          <t>2024-1</t>
        </is>
      </c>
      <c r="J2316" t="n">
        <v>14</v>
      </c>
      <c r="K2316" t="n">
        <v>13.5</v>
      </c>
      <c r="L2316" s="39" t="n">
        <v>1.037037037037037</v>
      </c>
      <c r="M2316" s="39" t="n">
        <v>1.037037037037037</v>
      </c>
      <c r="N2316" t="inlineStr">
        <is>
          <t>Días</t>
        </is>
      </c>
      <c r="O2316" t="inlineStr">
        <is>
          <t>Días</t>
        </is>
      </c>
      <c r="P2316" t="n">
        <v>0</v>
      </c>
      <c r="Q2316" t="n">
        <v>0</v>
      </c>
      <c r="R2316" t="inlineStr">
        <is>
          <t>436-2024-02-29</t>
        </is>
      </c>
    </row>
    <row r="2317" hidden="1">
      <c r="A2317" t="n">
        <v>436</v>
      </c>
      <c r="B2317" t="inlineStr">
        <is>
          <t>ANS documentos operativos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Negativo</t>
        </is>
      </c>
      <c r="F2317" s="113" t="n">
        <v>45382</v>
      </c>
      <c r="G2317" t="n">
        <v>2024</v>
      </c>
      <c r="H2317" t="inlineStr">
        <is>
          <t>Marzo</t>
        </is>
      </c>
      <c r="I2317" t="inlineStr">
        <is>
          <t>2024-1</t>
        </is>
      </c>
      <c r="J2317" t="n">
        <v>14</v>
      </c>
      <c r="K2317" t="n">
        <v>15.7</v>
      </c>
      <c r="L2317" s="39" t="n">
        <v>0.89171974522293</v>
      </c>
      <c r="M2317" s="39" t="n">
        <v>0.89171974522293</v>
      </c>
      <c r="N2317" t="inlineStr">
        <is>
          <t>Días</t>
        </is>
      </c>
      <c r="O2317" t="inlineStr">
        <is>
          <t>Días</t>
        </is>
      </c>
      <c r="P2317" t="n">
        <v>0</v>
      </c>
      <c r="Q2317" t="n">
        <v>0</v>
      </c>
      <c r="R2317" t="inlineStr">
        <is>
          <t>436-2024-03-31</t>
        </is>
      </c>
    </row>
    <row r="2318" hidden="1">
      <c r="A2318" t="n">
        <v>436</v>
      </c>
      <c r="B2318" t="inlineStr">
        <is>
          <t>ANS documentos operativos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Negativo</t>
        </is>
      </c>
      <c r="F2318" s="113" t="n">
        <v>45412</v>
      </c>
      <c r="G2318" t="n">
        <v>2024</v>
      </c>
      <c r="H2318" t="inlineStr">
        <is>
          <t>Abril</t>
        </is>
      </c>
      <c r="I2318" t="inlineStr">
        <is>
          <t>2024-1</t>
        </is>
      </c>
      <c r="J2318" t="n">
        <v>14</v>
      </c>
      <c r="K2318" t="n">
        <v>11.1</v>
      </c>
      <c r="L2318" s="39" t="n">
        <v>1.261261261261261</v>
      </c>
      <c r="M2318" s="39" t="n">
        <v>1.261261261261261</v>
      </c>
      <c r="N2318" t="inlineStr">
        <is>
          <t>Días</t>
        </is>
      </c>
      <c r="O2318" t="inlineStr">
        <is>
          <t>Días</t>
        </is>
      </c>
      <c r="P2318" t="n">
        <v>0</v>
      </c>
      <c r="Q2318" t="n">
        <v>0</v>
      </c>
      <c r="R2318" t="inlineStr">
        <is>
          <t>436-2024-04-30</t>
        </is>
      </c>
    </row>
    <row r="2319" hidden="1">
      <c r="A2319" t="n">
        <v>436</v>
      </c>
      <c r="B2319" t="inlineStr">
        <is>
          <t>ANS documentos operativos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Negativo</t>
        </is>
      </c>
      <c r="F2319" s="113" t="n">
        <v>45443</v>
      </c>
      <c r="G2319" t="n">
        <v>2024</v>
      </c>
      <c r="H2319" t="inlineStr">
        <is>
          <t>Mayo</t>
        </is>
      </c>
      <c r="I2319" t="inlineStr">
        <is>
          <t>2024-1</t>
        </is>
      </c>
      <c r="J2319" t="n">
        <v>14</v>
      </c>
      <c r="K2319" t="n">
        <v>10.6</v>
      </c>
      <c r="L2319" s="39" t="n">
        <v>1.3</v>
      </c>
      <c r="M2319" s="39" t="n">
        <v>1.320754716981132</v>
      </c>
      <c r="N2319" t="inlineStr">
        <is>
          <t>Días</t>
        </is>
      </c>
      <c r="O2319" t="inlineStr">
        <is>
          <t>Días</t>
        </is>
      </c>
      <c r="P2319" t="n">
        <v>0</v>
      </c>
      <c r="Q2319" t="n">
        <v>0</v>
      </c>
      <c r="R2319" t="inlineStr">
        <is>
          <t>436-2024-05-31</t>
        </is>
      </c>
    </row>
    <row r="2320" hidden="1">
      <c r="A2320" t="n">
        <v>436</v>
      </c>
      <c r="B2320" t="inlineStr">
        <is>
          <t>ANS documentos operativos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Negativo</t>
        </is>
      </c>
      <c r="F2320" s="113" t="n">
        <v>45473</v>
      </c>
      <c r="G2320" t="n">
        <v>2024</v>
      </c>
      <c r="H2320" t="inlineStr">
        <is>
          <t>Junio</t>
        </is>
      </c>
      <c r="I2320" t="inlineStr">
        <is>
          <t>2024-1</t>
        </is>
      </c>
      <c r="J2320" t="n">
        <v>14</v>
      </c>
      <c r="K2320" t="n">
        <v>8.800000000000001</v>
      </c>
      <c r="L2320" s="39" t="n">
        <v>1.3</v>
      </c>
      <c r="M2320" s="39" t="n">
        <v>1.590909090909091</v>
      </c>
      <c r="N2320" t="inlineStr">
        <is>
          <t>Días</t>
        </is>
      </c>
      <c r="O2320" t="inlineStr">
        <is>
          <t>Días</t>
        </is>
      </c>
      <c r="P2320" t="n">
        <v>0</v>
      </c>
      <c r="Q2320" t="n">
        <v>0</v>
      </c>
      <c r="R2320" t="inlineStr">
        <is>
          <t>436-2024-06-30</t>
        </is>
      </c>
    </row>
    <row r="2321" hidden="1">
      <c r="A2321" t="n">
        <v>436</v>
      </c>
      <c r="B2321" t="inlineStr">
        <is>
          <t>ANS documentos operativos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Negativo</t>
        </is>
      </c>
      <c r="F2321" s="113" t="n">
        <v>45504</v>
      </c>
      <c r="G2321" t="n">
        <v>2024</v>
      </c>
      <c r="H2321" t="inlineStr">
        <is>
          <t>Julio</t>
        </is>
      </c>
      <c r="I2321" t="inlineStr">
        <is>
          <t>2024-2</t>
        </is>
      </c>
      <c r="J2321" t="n">
        <v>14</v>
      </c>
      <c r="K2321" t="n">
        <v>9.4</v>
      </c>
      <c r="L2321" s="39" t="n">
        <v>1.3</v>
      </c>
      <c r="M2321" s="39" t="n">
        <v>1.48936170212766</v>
      </c>
      <c r="N2321" t="inlineStr">
        <is>
          <t>Días</t>
        </is>
      </c>
      <c r="O2321" t="inlineStr">
        <is>
          <t>Días</t>
        </is>
      </c>
      <c r="P2321" t="n">
        <v>0</v>
      </c>
      <c r="Q2321" t="n">
        <v>0</v>
      </c>
      <c r="R2321" t="inlineStr">
        <is>
          <t>436-2024-07-31</t>
        </is>
      </c>
    </row>
    <row r="2322" hidden="1">
      <c r="A2322" t="n">
        <v>436</v>
      </c>
      <c r="B2322" t="inlineStr">
        <is>
          <t>ANS documentos operativos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Negativo</t>
        </is>
      </c>
      <c r="F2322" s="113" t="n">
        <v>45535</v>
      </c>
      <c r="G2322" t="n">
        <v>2024</v>
      </c>
      <c r="H2322" t="inlineStr">
        <is>
          <t>Agosto</t>
        </is>
      </c>
      <c r="I2322" t="inlineStr">
        <is>
          <t>2024-2</t>
        </is>
      </c>
      <c r="J2322" t="n">
        <v>14</v>
      </c>
      <c r="K2322" t="n">
        <v>8.5</v>
      </c>
      <c r="L2322" s="39" t="n">
        <v>1.3</v>
      </c>
      <c r="M2322" s="39" t="n">
        <v>1.647058823529412</v>
      </c>
      <c r="N2322" t="inlineStr">
        <is>
          <t>Días</t>
        </is>
      </c>
      <c r="O2322" t="inlineStr">
        <is>
          <t>Días</t>
        </is>
      </c>
      <c r="P2322" t="n">
        <v>0</v>
      </c>
      <c r="Q2322" t="n">
        <v>0</v>
      </c>
      <c r="R2322" t="inlineStr">
        <is>
          <t>436-2024-08-31</t>
        </is>
      </c>
    </row>
    <row r="2323" hidden="1">
      <c r="A2323" t="n">
        <v>436</v>
      </c>
      <c r="B2323" t="inlineStr">
        <is>
          <t>ANS documentos operativos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Negativo</t>
        </is>
      </c>
      <c r="F2323" s="113" t="n">
        <v>45565</v>
      </c>
      <c r="G2323" t="n">
        <v>2024</v>
      </c>
      <c r="H2323" t="inlineStr">
        <is>
          <t>Septiembre</t>
        </is>
      </c>
      <c r="I2323" t="inlineStr">
        <is>
          <t>2024-2</t>
        </is>
      </c>
      <c r="J2323" t="n">
        <v>14</v>
      </c>
      <c r="K2323" t="n">
        <v>10.5</v>
      </c>
      <c r="L2323" s="39" t="n">
        <v>1.3</v>
      </c>
      <c r="M2323" s="39" t="n">
        <v>1.333333333333333</v>
      </c>
      <c r="N2323" t="inlineStr">
        <is>
          <t>Días</t>
        </is>
      </c>
      <c r="O2323" t="inlineStr">
        <is>
          <t>Días</t>
        </is>
      </c>
      <c r="P2323" t="n">
        <v>0</v>
      </c>
      <c r="Q2323" t="n">
        <v>0</v>
      </c>
      <c r="R2323" t="inlineStr">
        <is>
          <t>436-2024-09-30</t>
        </is>
      </c>
    </row>
    <row r="2324" hidden="1">
      <c r="A2324" t="n">
        <v>436</v>
      </c>
      <c r="B2324" t="inlineStr">
        <is>
          <t>ANS documentos operativos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Negativo</t>
        </is>
      </c>
      <c r="F2324" s="113" t="n">
        <v>45596</v>
      </c>
      <c r="G2324" t="n">
        <v>2024</v>
      </c>
      <c r="H2324" t="inlineStr">
        <is>
          <t>Octubre</t>
        </is>
      </c>
      <c r="I2324" t="inlineStr">
        <is>
          <t>2024-2</t>
        </is>
      </c>
      <c r="J2324" t="n">
        <v>14</v>
      </c>
      <c r="K2324" t="n">
        <v>8</v>
      </c>
      <c r="L2324" s="39" t="n">
        <v>1.3</v>
      </c>
      <c r="M2324" s="39" t="n">
        <v>1.75</v>
      </c>
      <c r="N2324" t="inlineStr">
        <is>
          <t>Días</t>
        </is>
      </c>
      <c r="O2324" t="inlineStr">
        <is>
          <t>Días</t>
        </is>
      </c>
      <c r="P2324" t="n">
        <v>0</v>
      </c>
      <c r="Q2324" t="n">
        <v>0</v>
      </c>
      <c r="R2324" t="inlineStr">
        <is>
          <t>436-2024-10-31</t>
        </is>
      </c>
    </row>
    <row r="2325" hidden="1">
      <c r="A2325" t="n">
        <v>436</v>
      </c>
      <c r="B2325" t="inlineStr">
        <is>
          <t>ANS documentos operativos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Negativo</t>
        </is>
      </c>
      <c r="F2325" s="113" t="n">
        <v>45626</v>
      </c>
      <c r="G2325" t="n">
        <v>2024</v>
      </c>
      <c r="H2325" t="inlineStr">
        <is>
          <t>Noviembre</t>
        </is>
      </c>
      <c r="I2325" t="inlineStr">
        <is>
          <t>2024-2</t>
        </is>
      </c>
      <c r="J2325" t="n">
        <v>14</v>
      </c>
      <c r="K2325" t="n">
        <v>10</v>
      </c>
      <c r="L2325" s="39" t="n">
        <v>1.3</v>
      </c>
      <c r="M2325" s="39" t="n">
        <v>1.4</v>
      </c>
      <c r="N2325" t="inlineStr">
        <is>
          <t>Días</t>
        </is>
      </c>
      <c r="O2325" t="inlineStr">
        <is>
          <t>Días</t>
        </is>
      </c>
      <c r="P2325" t="n">
        <v>0</v>
      </c>
      <c r="Q2325" t="n">
        <v>0</v>
      </c>
      <c r="R2325" t="inlineStr">
        <is>
          <t>436-2024-11-30</t>
        </is>
      </c>
    </row>
    <row r="2326" hidden="1">
      <c r="A2326" t="n">
        <v>436</v>
      </c>
      <c r="B2326" t="inlineStr">
        <is>
          <t>ANS documentos operativos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Negativo</t>
        </is>
      </c>
      <c r="F2326" s="113" t="n">
        <v>45657</v>
      </c>
      <c r="G2326" t="n">
        <v>2024</v>
      </c>
      <c r="H2326" t="inlineStr">
        <is>
          <t>Diciembre</t>
        </is>
      </c>
      <c r="I2326" t="inlineStr">
        <is>
          <t>2024-2</t>
        </is>
      </c>
      <c r="J2326" t="n">
        <v>14</v>
      </c>
      <c r="K2326" t="n">
        <v>16.97</v>
      </c>
      <c r="L2326" s="39" t="n">
        <v>0.8249852681202122</v>
      </c>
      <c r="M2326" s="39" t="n">
        <v>0.8249852681202122</v>
      </c>
      <c r="N2326" t="inlineStr">
        <is>
          <t>Días</t>
        </is>
      </c>
      <c r="O2326" t="inlineStr">
        <is>
          <t>Días</t>
        </is>
      </c>
      <c r="P2326" t="n">
        <v>0</v>
      </c>
      <c r="Q2326" t="n">
        <v>0</v>
      </c>
      <c r="R2326" t="inlineStr">
        <is>
          <t>436-2024-12-31</t>
        </is>
      </c>
    </row>
    <row r="2327" hidden="1">
      <c r="A2327" t="n">
        <v>436</v>
      </c>
      <c r="B2327" t="inlineStr">
        <is>
          <t>ANS documentos operativos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Negativo</t>
        </is>
      </c>
      <c r="F2327" s="113" t="n">
        <v>45688</v>
      </c>
      <c r="G2327" t="n">
        <v>2025</v>
      </c>
      <c r="H2327" t="inlineStr">
        <is>
          <t>Enero</t>
        </is>
      </c>
      <c r="I2327" t="inlineStr">
        <is>
          <t>2025-1</t>
        </is>
      </c>
      <c r="J2327" t="n">
        <v>14</v>
      </c>
      <c r="K2327" t="n">
        <v>9.199999999999999</v>
      </c>
      <c r="L2327" s="39" t="n">
        <v>1.3</v>
      </c>
      <c r="M2327" s="39" t="n">
        <v>1.521739130434783</v>
      </c>
      <c r="N2327" t="inlineStr">
        <is>
          <t>Días</t>
        </is>
      </c>
      <c r="O2327" t="inlineStr">
        <is>
          <t>Días</t>
        </is>
      </c>
      <c r="P2327" t="n">
        <v>0</v>
      </c>
      <c r="Q2327" t="n">
        <v>0</v>
      </c>
      <c r="R2327" t="inlineStr">
        <is>
          <t>436-2025-01-31</t>
        </is>
      </c>
    </row>
    <row r="2328" hidden="1">
      <c r="A2328" t="n">
        <v>436</v>
      </c>
      <c r="B2328" t="inlineStr">
        <is>
          <t>ANS documentos operativos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Negativo</t>
        </is>
      </c>
      <c r="F2328" s="113" t="n">
        <v>45716</v>
      </c>
      <c r="G2328" t="n">
        <v>2025</v>
      </c>
      <c r="H2328" t="inlineStr">
        <is>
          <t>Febrero</t>
        </is>
      </c>
      <c r="I2328" t="inlineStr">
        <is>
          <t>2025-1</t>
        </is>
      </c>
      <c r="J2328" t="n">
        <v>14</v>
      </c>
      <c r="K2328" t="n">
        <v>3.34</v>
      </c>
      <c r="L2328" s="39" t="n">
        <v>1.3</v>
      </c>
      <c r="M2328" s="39" t="n">
        <v>4.191616766467066</v>
      </c>
      <c r="N2328" t="inlineStr">
        <is>
          <t>Días</t>
        </is>
      </c>
      <c r="O2328" t="inlineStr">
        <is>
          <t>Días</t>
        </is>
      </c>
      <c r="P2328" t="n">
        <v>0</v>
      </c>
      <c r="Q2328" t="n">
        <v>0</v>
      </c>
      <c r="R2328" t="inlineStr">
        <is>
          <t>436-2025-02-28</t>
        </is>
      </c>
    </row>
    <row r="2329" hidden="1">
      <c r="A2329" t="n">
        <v>436</v>
      </c>
      <c r="B2329" t="inlineStr">
        <is>
          <t>ANS documentos operativos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Negativo</t>
        </is>
      </c>
      <c r="F2329" s="113" t="n">
        <v>45747</v>
      </c>
      <c r="G2329" t="n">
        <v>2025</v>
      </c>
      <c r="H2329" t="inlineStr">
        <is>
          <t>Marzo</t>
        </is>
      </c>
      <c r="I2329" t="inlineStr">
        <is>
          <t>2025-1</t>
        </is>
      </c>
      <c r="J2329" t="n">
        <v>14</v>
      </c>
      <c r="K2329" t="n">
        <v>10.6</v>
      </c>
      <c r="L2329" s="39" t="n">
        <v>1.3</v>
      </c>
      <c r="M2329" s="39" t="n">
        <v>1.320754716981132</v>
      </c>
      <c r="N2329" t="inlineStr">
        <is>
          <t>Días</t>
        </is>
      </c>
      <c r="O2329" t="inlineStr">
        <is>
          <t>Días</t>
        </is>
      </c>
      <c r="P2329" t="n">
        <v>0</v>
      </c>
      <c r="Q2329" t="n">
        <v>0</v>
      </c>
      <c r="R2329" t="inlineStr">
        <is>
          <t>436-2025-03-31</t>
        </is>
      </c>
    </row>
    <row r="2330" hidden="1">
      <c r="A2330" t="n">
        <v>436</v>
      </c>
      <c r="B2330" t="inlineStr">
        <is>
          <t>ANS documentos operativos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Negativo</t>
        </is>
      </c>
      <c r="F2330" s="113" t="n">
        <v>45777</v>
      </c>
      <c r="G2330" t="n">
        <v>2025</v>
      </c>
      <c r="H2330" t="inlineStr">
        <is>
          <t>Abril</t>
        </is>
      </c>
      <c r="I2330" t="inlineStr">
        <is>
          <t>2025-1</t>
        </is>
      </c>
      <c r="J2330" t="n">
        <v>14</v>
      </c>
      <c r="K2330" t="n">
        <v>6.4</v>
      </c>
      <c r="L2330" s="39" t="n">
        <v>1.3</v>
      </c>
      <c r="M2330" s="39" t="n">
        <v>2.1875</v>
      </c>
      <c r="N2330" t="inlineStr">
        <is>
          <t>Días</t>
        </is>
      </c>
      <c r="O2330" t="inlineStr">
        <is>
          <t>Días</t>
        </is>
      </c>
      <c r="P2330" t="n">
        <v>0</v>
      </c>
      <c r="Q2330" t="n">
        <v>0</v>
      </c>
      <c r="R2330" t="inlineStr">
        <is>
          <t>436-2025-04-30</t>
        </is>
      </c>
    </row>
    <row r="2331" hidden="1">
      <c r="A2331" t="n">
        <v>436</v>
      </c>
      <c r="B2331" t="inlineStr">
        <is>
          <t>ANS documentos operativos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Negativo</t>
        </is>
      </c>
      <c r="F2331" s="113" t="n">
        <v>45808</v>
      </c>
      <c r="G2331" t="n">
        <v>2025</v>
      </c>
      <c r="H2331" t="inlineStr">
        <is>
          <t>Mayo</t>
        </is>
      </c>
      <c r="I2331" t="inlineStr">
        <is>
          <t>2025-1</t>
        </is>
      </c>
      <c r="J2331" t="n">
        <v>14</v>
      </c>
      <c r="K2331" t="n">
        <v>10.17</v>
      </c>
      <c r="L2331" s="39" t="n">
        <v>1.3</v>
      </c>
      <c r="M2331" s="39" t="n">
        <v>1.376597836774828</v>
      </c>
      <c r="N2331" t="inlineStr">
        <is>
          <t>Días</t>
        </is>
      </c>
      <c r="O2331" t="inlineStr">
        <is>
          <t>Días</t>
        </is>
      </c>
      <c r="P2331" t="n">
        <v>0</v>
      </c>
      <c r="Q2331" t="n">
        <v>0</v>
      </c>
      <c r="R2331" t="inlineStr">
        <is>
          <t>436-2025-05-31</t>
        </is>
      </c>
    </row>
    <row r="2332" hidden="1">
      <c r="A2332" t="n">
        <v>436</v>
      </c>
      <c r="B2332" t="inlineStr">
        <is>
          <t>ANS documentos operativos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Negativo</t>
        </is>
      </c>
      <c r="F2332" s="113" t="n">
        <v>45838</v>
      </c>
      <c r="G2332" t="n">
        <v>2025</v>
      </c>
      <c r="H2332" t="inlineStr">
        <is>
          <t>Junio</t>
        </is>
      </c>
      <c r="I2332" t="inlineStr">
        <is>
          <t>2025-1</t>
        </is>
      </c>
      <c r="J2332" t="n">
        <v>14</v>
      </c>
      <c r="K2332" t="n">
        <v>11.93</v>
      </c>
      <c r="L2332" s="39" t="n">
        <v>1.173512154233026</v>
      </c>
      <c r="M2332" s="39" t="n">
        <v>1.173512154233026</v>
      </c>
      <c r="N2332" t="inlineStr">
        <is>
          <t>Días</t>
        </is>
      </c>
      <c r="O2332" t="inlineStr">
        <is>
          <t>Días</t>
        </is>
      </c>
      <c r="P2332" t="n">
        <v>0</v>
      </c>
      <c r="Q2332" t="n">
        <v>0</v>
      </c>
      <c r="R2332" t="inlineStr">
        <is>
          <t>436-2025-06-30</t>
        </is>
      </c>
    </row>
    <row r="2333" hidden="1">
      <c r="A2333" t="n">
        <v>436</v>
      </c>
      <c r="B2333" t="inlineStr">
        <is>
          <t>ANS documentos operativos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Negativo</t>
        </is>
      </c>
      <c r="F2333" s="113" t="n">
        <v>45869</v>
      </c>
      <c r="G2333" t="n">
        <v>2025</v>
      </c>
      <c r="H2333" t="inlineStr">
        <is>
          <t>Julio</t>
        </is>
      </c>
      <c r="I2333" t="inlineStr">
        <is>
          <t>2025-2</t>
        </is>
      </c>
      <c r="J2333" t="n">
        <v>14</v>
      </c>
      <c r="K2333" t="n">
        <v>13.41</v>
      </c>
      <c r="L2333" s="39" t="n">
        <v>1.043997017151379</v>
      </c>
      <c r="M2333" s="39" t="n">
        <v>1.043997017151379</v>
      </c>
      <c r="N2333" t="inlineStr">
        <is>
          <t>Días</t>
        </is>
      </c>
      <c r="O2333" t="inlineStr">
        <is>
          <t>Días</t>
        </is>
      </c>
      <c r="P2333" t="n">
        <v>0</v>
      </c>
      <c r="Q2333" t="n">
        <v>0</v>
      </c>
      <c r="R2333" t="inlineStr">
        <is>
          <t>436-2025-07-31</t>
        </is>
      </c>
    </row>
    <row r="2334" hidden="1">
      <c r="A2334" t="n">
        <v>436</v>
      </c>
      <c r="B2334" t="inlineStr">
        <is>
          <t>ANS documentos operativos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Negativo</t>
        </is>
      </c>
      <c r="F2334" s="113" t="n">
        <v>45900</v>
      </c>
      <c r="G2334" t="n">
        <v>2025</v>
      </c>
      <c r="H2334" t="inlineStr">
        <is>
          <t>Agosto</t>
        </is>
      </c>
      <c r="I2334" t="inlineStr">
        <is>
          <t>2025-2</t>
        </is>
      </c>
      <c r="J2334" t="n">
        <v>14</v>
      </c>
      <c r="K2334" t="n">
        <v>14.17</v>
      </c>
      <c r="L2334" s="39" t="n">
        <v>0.9880028228652082</v>
      </c>
      <c r="M2334" s="39" t="n">
        <v>0.9880028228652082</v>
      </c>
      <c r="N2334" t="inlineStr">
        <is>
          <t>Días</t>
        </is>
      </c>
      <c r="O2334" t="inlineStr">
        <is>
          <t>Días</t>
        </is>
      </c>
      <c r="P2334" t="n">
        <v>0</v>
      </c>
      <c r="Q2334" t="n">
        <v>0</v>
      </c>
      <c r="R2334" t="inlineStr">
        <is>
          <t>436-2025-08-31</t>
        </is>
      </c>
    </row>
    <row r="2335" hidden="1">
      <c r="A2335" t="n">
        <v>436</v>
      </c>
      <c r="B2335" t="inlineStr">
        <is>
          <t>ANS documentos operativos</t>
        </is>
      </c>
      <c r="C2335" t="inlineStr">
        <is>
          <t>Gestión de calidad</t>
        </is>
      </c>
      <c r="D2335" t="inlineStr">
        <is>
          <t>Mensual</t>
        </is>
      </c>
      <c r="E2335" t="inlineStr">
        <is>
          <t>Negativo</t>
        </is>
      </c>
      <c r="F2335" s="113" t="n">
        <v>45930</v>
      </c>
      <c r="G2335" t="n">
        <v>2025</v>
      </c>
      <c r="H2335" t="inlineStr">
        <is>
          <t>Septiembre</t>
        </is>
      </c>
      <c r="I2335" t="inlineStr">
        <is>
          <t>2025-2</t>
        </is>
      </c>
      <c r="J2335" t="n">
        <v>14</v>
      </c>
      <c r="K2335" t="n">
        <v>7.08</v>
      </c>
      <c r="L2335" s="39" t="n">
        <v>1.3</v>
      </c>
      <c r="M2335" s="39" t="n">
        <v>1.977401129943503</v>
      </c>
      <c r="N2335" t="inlineStr">
        <is>
          <t>Días</t>
        </is>
      </c>
      <c r="O2335" t="inlineStr">
        <is>
          <t>Días</t>
        </is>
      </c>
      <c r="P2335" t="n">
        <v>0</v>
      </c>
      <c r="Q2335" t="n">
        <v>1</v>
      </c>
      <c r="R2335" t="inlineStr">
        <is>
          <t>436-2025-09-30</t>
        </is>
      </c>
    </row>
    <row r="2336" hidden="1">
      <c r="A2336" t="n">
        <v>436</v>
      </c>
      <c r="B2336" t="inlineStr">
        <is>
          <t>ANS documentos operativos</t>
        </is>
      </c>
      <c r="C2336" t="inlineStr">
        <is>
          <t>Gestión de calidad</t>
        </is>
      </c>
      <c r="D2336" t="inlineStr">
        <is>
          <t>Mensual</t>
        </is>
      </c>
      <c r="E2336" t="inlineStr">
        <is>
          <t>Negativo</t>
        </is>
      </c>
      <c r="F2336" s="113" t="n">
        <v>45961</v>
      </c>
      <c r="G2336" t="n">
        <v>2025</v>
      </c>
      <c r="H2336" t="inlineStr">
        <is>
          <t>Octubre</t>
        </is>
      </c>
      <c r="I2336" t="inlineStr">
        <is>
          <t>2025-2</t>
        </is>
      </c>
      <c r="J2336" t="n">
        <v>14</v>
      </c>
      <c r="K2336" t="n">
        <v>15.49</v>
      </c>
      <c r="L2336" s="39" t="n">
        <v>0.9038089089735313</v>
      </c>
      <c r="M2336" s="39" t="n">
        <v>0.9038089089735313</v>
      </c>
      <c r="N2336" t="inlineStr">
        <is>
          <t>Días</t>
        </is>
      </c>
      <c r="O2336" t="inlineStr">
        <is>
          <t>Días</t>
        </is>
      </c>
      <c r="P2336" t="n">
        <v>0</v>
      </c>
      <c r="Q2336" t="n">
        <v>1</v>
      </c>
      <c r="R2336" t="inlineStr">
        <is>
          <t>436-2025-10-31</t>
        </is>
      </c>
    </row>
    <row r="2337" hidden="1">
      <c r="A2337" t="n">
        <v>436</v>
      </c>
      <c r="B2337" t="inlineStr">
        <is>
          <t>ANS documentos operativos</t>
        </is>
      </c>
      <c r="C2337" t="inlineStr">
        <is>
          <t>Gestión de calidad</t>
        </is>
      </c>
      <c r="D2337" t="inlineStr">
        <is>
          <t>Mensual</t>
        </is>
      </c>
      <c r="E2337" t="inlineStr">
        <is>
          <t>Negativo</t>
        </is>
      </c>
      <c r="F2337" s="113" t="n">
        <v>45991</v>
      </c>
      <c r="G2337" t="n">
        <v>2025</v>
      </c>
      <c r="H2337" t="inlineStr">
        <is>
          <t>Noviembre</t>
        </is>
      </c>
      <c r="I2337" t="inlineStr">
        <is>
          <t>2025-2</t>
        </is>
      </c>
      <c r="J2337" t="n">
        <v>14</v>
      </c>
      <c r="K2337" t="n">
        <v>8.119999999999999</v>
      </c>
      <c r="L2337" s="39" t="n">
        <v>1.3</v>
      </c>
      <c r="M2337" s="39" t="n">
        <v>1.724137931034483</v>
      </c>
      <c r="N2337" t="inlineStr">
        <is>
          <t>Días</t>
        </is>
      </c>
      <c r="O2337" t="inlineStr">
        <is>
          <t>Días</t>
        </is>
      </c>
      <c r="P2337" t="n">
        <v>0</v>
      </c>
      <c r="Q2337" t="n">
        <v>1</v>
      </c>
      <c r="R2337" t="inlineStr">
        <is>
          <t>436-2025-11-30</t>
        </is>
      </c>
    </row>
    <row r="2338" hidden="1">
      <c r="A2338" t="n">
        <v>436</v>
      </c>
      <c r="B2338" t="inlineStr">
        <is>
          <t>ANS documentos operativos</t>
        </is>
      </c>
      <c r="C2338" t="inlineStr">
        <is>
          <t>Gestión de calidad</t>
        </is>
      </c>
      <c r="D2338" t="inlineStr">
        <is>
          <t>Mensual</t>
        </is>
      </c>
      <c r="E2338" t="inlineStr">
        <is>
          <t>Negativo</t>
        </is>
      </c>
      <c r="F2338" s="113" t="n">
        <v>46022</v>
      </c>
      <c r="G2338" t="n">
        <v>2025</v>
      </c>
      <c r="H2338" t="inlineStr">
        <is>
          <t>Diciembre</t>
        </is>
      </c>
      <c r="I2338" t="inlineStr">
        <is>
          <t>2025-2</t>
        </is>
      </c>
      <c r="J2338" t="n">
        <v>14</v>
      </c>
      <c r="K2338" t="n">
        <v>11.77</v>
      </c>
      <c r="L2338" s="39" t="n">
        <v>1.18946474086661</v>
      </c>
      <c r="M2338" s="39" t="n">
        <v>1.18946474086661</v>
      </c>
      <c r="N2338" t="inlineStr">
        <is>
          <t>Días</t>
        </is>
      </c>
      <c r="O2338" t="inlineStr">
        <is>
          <t>Días</t>
        </is>
      </c>
      <c r="P2338" t="n">
        <v>0</v>
      </c>
      <c r="Q2338" t="n">
        <v>1</v>
      </c>
      <c r="R2338" t="inlineStr">
        <is>
          <t>436-2025-12-31</t>
        </is>
      </c>
    </row>
    <row r="2339" hidden="1">
      <c r="A2339" t="n">
        <v>436</v>
      </c>
      <c r="B2339" t="inlineStr">
        <is>
          <t>ANS documentos operativos</t>
        </is>
      </c>
      <c r="C2339" t="inlineStr">
        <is>
          <t>Gestión de calidad</t>
        </is>
      </c>
      <c r="D2339" t="inlineStr">
        <is>
          <t>Mensual</t>
        </is>
      </c>
      <c r="E2339" t="inlineStr">
        <is>
          <t>Negativo</t>
        </is>
      </c>
      <c r="F2339" s="113" t="n">
        <v>46053</v>
      </c>
      <c r="G2339" t="n">
        <v>2026</v>
      </c>
      <c r="H2339" t="inlineStr">
        <is>
          <t>Enero</t>
        </is>
      </c>
      <c r="I2339" t="inlineStr">
        <is>
          <t>2026-1</t>
        </is>
      </c>
      <c r="J2339" t="n">
        <v>1</v>
      </c>
      <c r="L2339" s="39" t="n"/>
      <c r="M2339" s="39" t="n"/>
      <c r="N2339" t="inlineStr">
        <is>
          <t>Días</t>
        </is>
      </c>
      <c r="O2339" t="inlineStr">
        <is>
          <t>No Aplica</t>
        </is>
      </c>
      <c r="P2339" t="n">
        <v>0</v>
      </c>
      <c r="Q2339" t="n">
        <v>1</v>
      </c>
      <c r="R2339" t="inlineStr">
        <is>
          <t>436-2026-01-31</t>
        </is>
      </c>
      <c r="S2339" t="inlineStr">
        <is>
          <t>No Aplica</t>
        </is>
      </c>
    </row>
    <row r="2340" hidden="1">
      <c r="A2340" t="n">
        <v>436</v>
      </c>
      <c r="B2340" t="inlineStr">
        <is>
          <t>ANS documentos operativos</t>
        </is>
      </c>
      <c r="C2340" t="inlineStr">
        <is>
          <t>Gestión de calidad</t>
        </is>
      </c>
      <c r="D2340" t="inlineStr">
        <is>
          <t>Mensual</t>
        </is>
      </c>
      <c r="E2340" t="inlineStr">
        <is>
          <t>Negativo</t>
        </is>
      </c>
      <c r="F2340" s="113" t="n">
        <v>46081</v>
      </c>
      <c r="G2340" t="n">
        <v>2026</v>
      </c>
      <c r="H2340" t="inlineStr">
        <is>
          <t>Febrero</t>
        </is>
      </c>
      <c r="I2340" t="inlineStr">
        <is>
          <t>2026-1</t>
        </is>
      </c>
      <c r="J2340" t="n">
        <v>14</v>
      </c>
      <c r="K2340" t="n">
        <v>12.51</v>
      </c>
      <c r="L2340" s="39" t="n">
        <v>1.119104716227018</v>
      </c>
      <c r="M2340" s="39" t="n">
        <v>1.119104716227018</v>
      </c>
      <c r="N2340" t="inlineStr">
        <is>
          <t>Días</t>
        </is>
      </c>
      <c r="O2340" t="inlineStr">
        <is>
          <t>Días</t>
        </is>
      </c>
      <c r="P2340" t="n">
        <v>0</v>
      </c>
      <c r="Q2340" t="n">
        <v>1</v>
      </c>
      <c r="R2340" t="inlineStr">
        <is>
          <t>436-2026-02-28</t>
        </is>
      </c>
    </row>
    <row r="2341" hidden="1">
      <c r="A2341" t="n">
        <v>436</v>
      </c>
      <c r="B2341" t="inlineStr">
        <is>
          <t>ANS documentos operativos</t>
        </is>
      </c>
      <c r="C2341" t="inlineStr">
        <is>
          <t>Gestión de calidad</t>
        </is>
      </c>
      <c r="D2341" t="inlineStr">
        <is>
          <t>Mensual</t>
        </is>
      </c>
      <c r="E2341" t="inlineStr">
        <is>
          <t>Negativo</t>
        </is>
      </c>
      <c r="F2341" s="113" t="n">
        <v>46112</v>
      </c>
      <c r="G2341" t="n">
        <v>2026</v>
      </c>
      <c r="H2341" t="inlineStr">
        <is>
          <t>Marzo</t>
        </is>
      </c>
      <c r="I2341" t="inlineStr">
        <is>
          <t>2026-1</t>
        </is>
      </c>
      <c r="J2341" t="n">
        <v>14</v>
      </c>
      <c r="K2341" t="n">
        <v>11.52</v>
      </c>
      <c r="L2341" s="39" t="n">
        <v>1.215277777777778</v>
      </c>
      <c r="M2341" s="39" t="n">
        <v>1.215277777777778</v>
      </c>
      <c r="N2341" t="inlineStr">
        <is>
          <t>Días</t>
        </is>
      </c>
      <c r="O2341" t="inlineStr">
        <is>
          <t>Días</t>
        </is>
      </c>
      <c r="P2341" t="n">
        <v>0</v>
      </c>
      <c r="Q2341" t="n">
        <v>1</v>
      </c>
      <c r="R2341" t="inlineStr">
        <is>
          <t>436-2026-03-31</t>
        </is>
      </c>
    </row>
    <row r="2342" hidden="1">
      <c r="A2342" t="n">
        <v>436</v>
      </c>
      <c r="B2342" t="inlineStr">
        <is>
          <t>ANS documentos operativos</t>
        </is>
      </c>
      <c r="C2342" t="inlineStr">
        <is>
          <t>Gestión de calidad</t>
        </is>
      </c>
      <c r="D2342" t="inlineStr">
        <is>
          <t>Mensual</t>
        </is>
      </c>
      <c r="E2342" t="inlineStr">
        <is>
          <t>Negativo</t>
        </is>
      </c>
      <c r="F2342" s="113" t="n">
        <v>46142</v>
      </c>
      <c r="G2342" t="n">
        <v>2026</v>
      </c>
      <c r="H2342" t="inlineStr">
        <is>
          <t>Abril</t>
        </is>
      </c>
      <c r="I2342" t="inlineStr">
        <is>
          <t>2026-1</t>
        </is>
      </c>
      <c r="J2342" t="n">
        <v>14</v>
      </c>
      <c r="K2342" t="n">
        <v>8.43</v>
      </c>
      <c r="L2342" s="39" t="n">
        <v>1.3</v>
      </c>
      <c r="M2342" s="39" t="n">
        <v>1.66073546856465</v>
      </c>
      <c r="N2342" t="inlineStr">
        <is>
          <t>Días</t>
        </is>
      </c>
      <c r="O2342" t="inlineStr">
        <is>
          <t>Días</t>
        </is>
      </c>
      <c r="P2342" t="n">
        <v>0</v>
      </c>
      <c r="Q2342" t="n">
        <v>1</v>
      </c>
      <c r="R2342" t="inlineStr">
        <is>
          <t>436-2026-04-30</t>
        </is>
      </c>
    </row>
    <row r="2343" hidden="1">
      <c r="A2343" t="n">
        <v>437</v>
      </c>
      <c r="B2343" t="inlineStr">
        <is>
          <t>Nivel de Satisfacción Servicios Prestados</t>
        </is>
      </c>
      <c r="C2343" t="inlineStr">
        <is>
          <t>GESTIÓN DE RIESGOS</t>
        </is>
      </c>
      <c r="D2343" t="inlineStr">
        <is>
          <t>Anual</t>
        </is>
      </c>
      <c r="E2343" t="inlineStr">
        <is>
          <t>Positivo</t>
        </is>
      </c>
      <c r="F2343" s="113" t="n">
        <v>45230</v>
      </c>
      <c r="G2343" t="n">
        <v>2023</v>
      </c>
      <c r="H2343" t="inlineStr">
        <is>
          <t>Octubre</t>
        </is>
      </c>
      <c r="I2343" t="inlineStr">
        <is>
          <t>2023-2</t>
        </is>
      </c>
      <c r="J2343" t="n">
        <v>80</v>
      </c>
      <c r="K2343" t="n">
        <v>96.239806704923</v>
      </c>
      <c r="L2343" s="39" t="n">
        <v>1.202997583811537</v>
      </c>
      <c r="M2343" s="39" t="n">
        <v>1.202997583811537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437-2023-10-31</t>
        </is>
      </c>
    </row>
    <row r="2344" hidden="1">
      <c r="A2344" t="n">
        <v>437</v>
      </c>
      <c r="B2344" t="inlineStr">
        <is>
          <t>Nivel de Satisfacción Servicios Prestados - Riesgos</t>
        </is>
      </c>
      <c r="C2344" t="inlineStr">
        <is>
          <t>GESTIÓN DE RIESGOS</t>
        </is>
      </c>
      <c r="D2344" t="inlineStr">
        <is>
          <t>Anual</t>
        </is>
      </c>
      <c r="E2344" t="inlineStr">
        <is>
          <t>Positivo</t>
        </is>
      </c>
      <c r="F2344" s="113" t="n">
        <v>45291</v>
      </c>
      <c r="G2344" t="n">
        <v>2023</v>
      </c>
      <c r="H2344" t="inlineStr">
        <is>
          <t>Diciembre</t>
        </is>
      </c>
      <c r="I2344" t="inlineStr">
        <is>
          <t>2023-2</t>
        </is>
      </c>
      <c r="J2344" t="n">
        <v>80</v>
      </c>
      <c r="K2344" t="n">
        <v>96</v>
      </c>
      <c r="L2344" s="39" t="n">
        <v>1.2</v>
      </c>
      <c r="M2344" s="39" t="n">
        <v>1.2</v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437-2023-12-31</t>
        </is>
      </c>
    </row>
    <row r="2345" hidden="1">
      <c r="A2345" t="n">
        <v>437</v>
      </c>
      <c r="B2345" t="inlineStr">
        <is>
          <t>Nivel de Satisfacción Servicios Prestados - Riesgos</t>
        </is>
      </c>
      <c r="C2345" t="inlineStr">
        <is>
          <t>GESTIÓN DE RIESGOS</t>
        </is>
      </c>
      <c r="D2345" t="inlineStr">
        <is>
          <t>Anual</t>
        </is>
      </c>
      <c r="E2345" t="inlineStr">
        <is>
          <t>Positivo</t>
        </is>
      </c>
      <c r="F2345" s="113" t="n">
        <v>45657</v>
      </c>
      <c r="G2345" t="n">
        <v>2024</v>
      </c>
      <c r="H2345" t="inlineStr">
        <is>
          <t>Diciembre</t>
        </is>
      </c>
      <c r="I2345" t="inlineStr">
        <is>
          <t>2024-2</t>
        </is>
      </c>
      <c r="J2345" t="n">
        <v>80</v>
      </c>
      <c r="K2345" t="n">
        <v>84</v>
      </c>
      <c r="L2345" s="39" t="n">
        <v>1.05</v>
      </c>
      <c r="M2345" s="39" t="n">
        <v>1.05</v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437-2024-12-31</t>
        </is>
      </c>
    </row>
    <row r="2346" hidden="1">
      <c r="A2346" t="n">
        <v>437</v>
      </c>
      <c r="B2346" t="inlineStr">
        <is>
          <t>Nivel de Satisfacción Servicios Prestados - Riesgos</t>
        </is>
      </c>
      <c r="C2346" t="inlineStr">
        <is>
          <t>GESTIÓN DE RIESGOS</t>
        </is>
      </c>
      <c r="D2346" t="inlineStr">
        <is>
          <t>Anual</t>
        </is>
      </c>
      <c r="E2346" t="inlineStr">
        <is>
          <t>Positivo</t>
        </is>
      </c>
      <c r="F2346" s="113" t="n">
        <v>46022</v>
      </c>
      <c r="G2346" t="n">
        <v>2025</v>
      </c>
      <c r="H2346" t="inlineStr">
        <is>
          <t>Diciembre</t>
        </is>
      </c>
      <c r="I2346" t="inlineStr">
        <is>
          <t>2025-2</t>
        </is>
      </c>
      <c r="J2346" t="n">
        <v>80</v>
      </c>
      <c r="K2346" t="n">
        <v>99</v>
      </c>
      <c r="L2346" s="39" t="n">
        <v>1.2375</v>
      </c>
      <c r="M2346" s="39" t="n">
        <v>1.2375</v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437-2025-12-31</t>
        </is>
      </c>
    </row>
    <row r="2347" hidden="1">
      <c r="A2347" t="n">
        <v>438</v>
      </c>
      <c r="B2347" t="inlineStr">
        <is>
          <t>Seguimiento de asignación docente a NRC Pregrado-Posgrado Virtual</t>
        </is>
      </c>
      <c r="C2347" t="inlineStr">
        <is>
          <t>Operaciones Académicas</t>
        </is>
      </c>
      <c r="D2347" t="inlineStr">
        <is>
          <t>Semestral</t>
        </is>
      </c>
      <c r="E2347" t="inlineStr">
        <is>
          <t>Positivo</t>
        </is>
      </c>
      <c r="F2347" s="113" t="n">
        <v>45291</v>
      </c>
      <c r="G2347" t="n">
        <v>2023</v>
      </c>
      <c r="H2347" t="inlineStr">
        <is>
          <t>Diciembre</t>
        </is>
      </c>
      <c r="I2347" t="inlineStr">
        <is>
          <t>2023-2</t>
        </is>
      </c>
      <c r="J2347" t="n">
        <v>100</v>
      </c>
      <c r="K2347" t="n">
        <v>100</v>
      </c>
      <c r="L2347" s="39" t="n">
        <v>1</v>
      </c>
      <c r="M2347" s="39" t="n">
        <v>1</v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438-2023-12-31</t>
        </is>
      </c>
    </row>
    <row r="2348" hidden="1">
      <c r="A2348" t="n">
        <v>439</v>
      </c>
      <c r="B2348" t="inlineStr">
        <is>
          <t>Disponibilidad de catálogo de asignaturas pregrado y posgrado virtual</t>
        </is>
      </c>
      <c r="C2348" t="inlineStr">
        <is>
          <t>Operaciones Académicas</t>
        </is>
      </c>
      <c r="D2348" t="inlineStr">
        <is>
          <t>Trimestral</t>
        </is>
      </c>
      <c r="E2348" t="inlineStr">
        <is>
          <t>Positivo</t>
        </is>
      </c>
      <c r="F2348" s="113" t="n">
        <v>45016</v>
      </c>
      <c r="G2348" t="n">
        <v>2023</v>
      </c>
      <c r="H2348" t="inlineStr">
        <is>
          <t>Marzo</t>
        </is>
      </c>
      <c r="I2348" t="inlineStr">
        <is>
          <t>2023-1</t>
        </is>
      </c>
      <c r="L2348" s="39" t="n"/>
      <c r="M2348" s="39" t="n"/>
      <c r="N2348" t="inlineStr">
        <is>
          <t>%</t>
        </is>
      </c>
      <c r="O2348" t="inlineStr">
        <is>
          <t>No Aplica</t>
        </is>
      </c>
      <c r="P2348" t="n">
        <v>0</v>
      </c>
      <c r="Q2348" t="n">
        <v>0</v>
      </c>
      <c r="R2348" t="inlineStr">
        <is>
          <t>439-2023-03-31</t>
        </is>
      </c>
      <c r="S2348" t="inlineStr">
        <is>
          <t>No Aplica</t>
        </is>
      </c>
    </row>
    <row r="2349" hidden="1">
      <c r="A2349" t="n">
        <v>439</v>
      </c>
      <c r="B2349" t="inlineStr">
        <is>
          <t>Disponibilidad de catálogo de asignaturas pregrado y posgrado virtual</t>
        </is>
      </c>
      <c r="C2349" t="inlineStr">
        <is>
          <t>Operaciones Académicas</t>
        </is>
      </c>
      <c r="D2349" t="inlineStr">
        <is>
          <t>Trimestral</t>
        </is>
      </c>
      <c r="E2349" t="inlineStr">
        <is>
          <t>Positivo</t>
        </is>
      </c>
      <c r="F2349" s="113" t="n">
        <v>45107</v>
      </c>
      <c r="G2349" t="n">
        <v>2023</v>
      </c>
      <c r="H2349" t="inlineStr">
        <is>
          <t>Junio</t>
        </is>
      </c>
      <c r="I2349" t="inlineStr">
        <is>
          <t>2023-1</t>
        </is>
      </c>
      <c r="L2349" s="39" t="n"/>
      <c r="M2349" s="39" t="n"/>
      <c r="N2349" t="inlineStr">
        <is>
          <t>%</t>
        </is>
      </c>
      <c r="O2349" t="inlineStr">
        <is>
          <t>No Aplica</t>
        </is>
      </c>
      <c r="P2349" t="n">
        <v>0</v>
      </c>
      <c r="Q2349" t="n">
        <v>0</v>
      </c>
      <c r="R2349" t="inlineStr">
        <is>
          <t>439-2023-06-30</t>
        </is>
      </c>
      <c r="S2349" t="inlineStr">
        <is>
          <t>No Aplica</t>
        </is>
      </c>
    </row>
    <row r="2350" hidden="1">
      <c r="A2350" t="n">
        <v>439</v>
      </c>
      <c r="B2350" t="inlineStr">
        <is>
          <t>Disponibilidad de catálogo de asignaturas pregrado y posgrado virtual</t>
        </is>
      </c>
      <c r="C2350" t="inlineStr">
        <is>
          <t>Operaciones Académicas</t>
        </is>
      </c>
      <c r="D2350" t="inlineStr">
        <is>
          <t>Semestral</t>
        </is>
      </c>
      <c r="E2350" t="inlineStr">
        <is>
          <t>Positivo</t>
        </is>
      </c>
      <c r="F2350" s="113" t="n">
        <v>45291</v>
      </c>
      <c r="G2350" t="n">
        <v>2023</v>
      </c>
      <c r="H2350" t="inlineStr">
        <is>
          <t>Diciembre</t>
        </is>
      </c>
      <c r="I2350" t="inlineStr">
        <is>
          <t>2023-2</t>
        </is>
      </c>
      <c r="J2350" t="n">
        <v>100</v>
      </c>
      <c r="K2350" t="n">
        <v>100</v>
      </c>
      <c r="L2350" s="39" t="n">
        <v>1</v>
      </c>
      <c r="M2350" s="39" t="n">
        <v>1</v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439-2023-12-31</t>
        </is>
      </c>
    </row>
    <row r="2351" hidden="1">
      <c r="A2351" t="n">
        <v>439</v>
      </c>
      <c r="B2351" t="inlineStr">
        <is>
          <t>Disponibilidad de catálogo de asignaturas pregrado y posgrado virtual</t>
        </is>
      </c>
      <c r="C2351" t="inlineStr">
        <is>
          <t>Operaciones Académicas</t>
        </is>
      </c>
      <c r="D2351" t="inlineStr">
        <is>
          <t>Semestral</t>
        </is>
      </c>
      <c r="E2351" t="inlineStr">
        <is>
          <t>Positivo</t>
        </is>
      </c>
      <c r="F2351" s="113" t="n">
        <v>45473</v>
      </c>
      <c r="G2351" t="n">
        <v>2024</v>
      </c>
      <c r="H2351" t="inlineStr">
        <is>
          <t>Junio</t>
        </is>
      </c>
      <c r="I2351" t="inlineStr">
        <is>
          <t>2024-1</t>
        </is>
      </c>
      <c r="J2351" t="n">
        <v>100</v>
      </c>
      <c r="K2351" t="n">
        <v>100</v>
      </c>
      <c r="L2351" s="39" t="n">
        <v>1</v>
      </c>
      <c r="M2351" s="39" t="n">
        <v>1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439-2024-06-30</t>
        </is>
      </c>
    </row>
    <row r="2352" hidden="1">
      <c r="A2352" t="n">
        <v>439</v>
      </c>
      <c r="B2352" t="inlineStr">
        <is>
          <t>Disponibilidad de catálogo de asignaturas pregrado y posgrado virtual</t>
        </is>
      </c>
      <c r="C2352" t="inlineStr">
        <is>
          <t>Operaciones Académicas</t>
        </is>
      </c>
      <c r="D2352" t="inlineStr">
        <is>
          <t>Semestral</t>
        </is>
      </c>
      <c r="E2352" t="inlineStr">
        <is>
          <t>Positivo</t>
        </is>
      </c>
      <c r="F2352" s="113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100</v>
      </c>
      <c r="K2352" t="n">
        <v>100</v>
      </c>
      <c r="L2352" s="39" t="n">
        <v>1</v>
      </c>
      <c r="M2352" s="39" t="n">
        <v>1</v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439-2024-12-31</t>
        </is>
      </c>
    </row>
    <row r="2353" hidden="1">
      <c r="A2353" t="n">
        <v>439</v>
      </c>
      <c r="B2353" t="inlineStr">
        <is>
          <t>Disponibilidad de catálogo de asignaturas pregrado y posgrado virtual</t>
        </is>
      </c>
      <c r="C2353" t="inlineStr">
        <is>
          <t>Operaciones Académicas</t>
        </is>
      </c>
      <c r="D2353" t="inlineStr">
        <is>
          <t>Semestral</t>
        </is>
      </c>
      <c r="E2353" t="inlineStr">
        <is>
          <t>Positivo</t>
        </is>
      </c>
      <c r="F2353" s="113" t="n">
        <v>45838</v>
      </c>
      <c r="G2353" t="n">
        <v>2025</v>
      </c>
      <c r="H2353" t="inlineStr">
        <is>
          <t>Junio</t>
        </is>
      </c>
      <c r="I2353" t="inlineStr">
        <is>
          <t>2025-1</t>
        </is>
      </c>
      <c r="J2353" t="n">
        <v>100</v>
      </c>
      <c r="K2353" t="n">
        <v>100</v>
      </c>
      <c r="L2353" s="39" t="n">
        <v>1</v>
      </c>
      <c r="M2353" s="39" t="n">
        <v>1</v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439-2025-06-30</t>
        </is>
      </c>
    </row>
    <row r="2354" hidden="1">
      <c r="A2354" t="n">
        <v>439</v>
      </c>
      <c r="B2354" t="inlineStr">
        <is>
          <t>Disponibilidad de catálogo de asignaturas pregrado y posgrado virtual</t>
        </is>
      </c>
      <c r="C2354" t="inlineStr">
        <is>
          <t>Operaciones Académicas</t>
        </is>
      </c>
      <c r="D2354" t="inlineStr">
        <is>
          <t>Trimestral</t>
        </is>
      </c>
      <c r="E2354" t="inlineStr">
        <is>
          <t>Positivo</t>
        </is>
      </c>
      <c r="F2354" s="113" t="n">
        <v>46022</v>
      </c>
      <c r="G2354" t="n">
        <v>2025</v>
      </c>
      <c r="H2354" t="inlineStr">
        <is>
          <t>Diciembre</t>
        </is>
      </c>
      <c r="I2354" t="inlineStr">
        <is>
          <t>2025-2</t>
        </is>
      </c>
      <c r="J2354" t="n">
        <v>100</v>
      </c>
      <c r="K2354" t="n">
        <v>100</v>
      </c>
      <c r="L2354" s="39" t="n">
        <v>1</v>
      </c>
      <c r="M2354" s="39" t="n">
        <v>1</v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439-2025-12-31</t>
        </is>
      </c>
    </row>
    <row r="2355" hidden="1">
      <c r="A2355" t="n">
        <v>440</v>
      </c>
      <c r="B2355" t="inlineStr">
        <is>
          <t>Aseguramiento de matricula académica virtual</t>
        </is>
      </c>
      <c r="C2355" t="inlineStr">
        <is>
          <t>Operaciones Académicas</t>
        </is>
      </c>
      <c r="D2355" t="inlineStr">
        <is>
          <t>Trimestral</t>
        </is>
      </c>
      <c r="E2355" t="inlineStr">
        <is>
          <t>Positivo</t>
        </is>
      </c>
      <c r="F2355" s="113" t="n">
        <v>45016</v>
      </c>
      <c r="G2355" t="n">
        <v>2023</v>
      </c>
      <c r="H2355" t="inlineStr">
        <is>
          <t>Marzo</t>
        </is>
      </c>
      <c r="I2355" t="inlineStr">
        <is>
          <t>2023-1</t>
        </is>
      </c>
      <c r="L2355" s="39" t="n"/>
      <c r="M2355" s="39" t="n"/>
      <c r="N2355" t="inlineStr">
        <is>
          <t>%</t>
        </is>
      </c>
      <c r="O2355" t="inlineStr">
        <is>
          <t>No Aplica</t>
        </is>
      </c>
      <c r="P2355" t="n">
        <v>0</v>
      </c>
      <c r="Q2355" t="n">
        <v>1</v>
      </c>
      <c r="R2355" t="inlineStr">
        <is>
          <t>440-2023-03-31</t>
        </is>
      </c>
      <c r="S2355" t="inlineStr">
        <is>
          <t>No Aplica</t>
        </is>
      </c>
    </row>
    <row r="2356" hidden="1">
      <c r="A2356" t="n">
        <v>440</v>
      </c>
      <c r="B2356" t="inlineStr">
        <is>
          <t>Aseguramiento de matricula académica virtual</t>
        </is>
      </c>
      <c r="C2356" t="inlineStr">
        <is>
          <t>Operaciones Académicas</t>
        </is>
      </c>
      <c r="D2356" t="inlineStr">
        <is>
          <t>Trimestral</t>
        </is>
      </c>
      <c r="E2356" t="inlineStr">
        <is>
          <t>Positivo</t>
        </is>
      </c>
      <c r="F2356" s="113" t="n">
        <v>45107</v>
      </c>
      <c r="G2356" t="n">
        <v>2023</v>
      </c>
      <c r="H2356" t="inlineStr">
        <is>
          <t>Junio</t>
        </is>
      </c>
      <c r="I2356" t="inlineStr">
        <is>
          <t>2023-1</t>
        </is>
      </c>
      <c r="L2356" s="39" t="n"/>
      <c r="M2356" s="39" t="n"/>
      <c r="N2356" t="inlineStr">
        <is>
          <t>%</t>
        </is>
      </c>
      <c r="O2356" t="inlineStr">
        <is>
          <t>No Aplica</t>
        </is>
      </c>
      <c r="P2356" t="n">
        <v>0</v>
      </c>
      <c r="Q2356" t="n">
        <v>1</v>
      </c>
      <c r="R2356" t="inlineStr">
        <is>
          <t>440-2023-06-30</t>
        </is>
      </c>
      <c r="S2356" t="inlineStr">
        <is>
          <t>No Aplica</t>
        </is>
      </c>
    </row>
    <row r="2357" hidden="1">
      <c r="A2357" t="n">
        <v>440</v>
      </c>
      <c r="B2357" t="inlineStr">
        <is>
          <t>Aseguramiento de matricula académica virtual</t>
        </is>
      </c>
      <c r="C2357" t="inlineStr">
        <is>
          <t>Operaciones Académicas</t>
        </is>
      </c>
      <c r="D2357" t="inlineStr">
        <is>
          <t>Semestral</t>
        </is>
      </c>
      <c r="E2357" t="inlineStr">
        <is>
          <t>Positivo</t>
        </is>
      </c>
      <c r="F2357" s="113" t="n">
        <v>45291</v>
      </c>
      <c r="G2357" t="n">
        <v>2023</v>
      </c>
      <c r="H2357" t="inlineStr">
        <is>
          <t>Diciembre</t>
        </is>
      </c>
      <c r="I2357" t="inlineStr">
        <is>
          <t>2023-2</t>
        </is>
      </c>
      <c r="J2357" t="n">
        <v>98</v>
      </c>
      <c r="K2357" t="n">
        <v>97.746062537527</v>
      </c>
      <c r="L2357" s="39" t="n">
        <v>0.9974088014033367</v>
      </c>
      <c r="M2357" s="39" t="n">
        <v>0.9974088014033367</v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1</v>
      </c>
      <c r="R2357" t="inlineStr">
        <is>
          <t>440-2023-12-31</t>
        </is>
      </c>
    </row>
    <row r="2358" hidden="1">
      <c r="A2358" t="n">
        <v>440</v>
      </c>
      <c r="B2358" t="inlineStr">
        <is>
          <t>Aseguramiento de matricula académica virtual</t>
        </is>
      </c>
      <c r="C2358" t="inlineStr">
        <is>
          <t>Operaciones Académicas</t>
        </is>
      </c>
      <c r="D2358" t="inlineStr">
        <is>
          <t>Semestral</t>
        </is>
      </c>
      <c r="E2358" t="inlineStr">
        <is>
          <t>Positivo</t>
        </is>
      </c>
      <c r="F2358" s="113" t="n">
        <v>45473</v>
      </c>
      <c r="G2358" t="n">
        <v>2024</v>
      </c>
      <c r="H2358" t="inlineStr">
        <is>
          <t>Junio</t>
        </is>
      </c>
      <c r="I2358" t="inlineStr">
        <is>
          <t>2024-1</t>
        </is>
      </c>
      <c r="J2358" t="n">
        <v>98</v>
      </c>
      <c r="K2358" t="n">
        <v>99.73</v>
      </c>
      <c r="L2358" s="39" t="n">
        <v>1.01765306122449</v>
      </c>
      <c r="M2358" s="39" t="n">
        <v>1.01765306122449</v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1</v>
      </c>
      <c r="R2358" t="inlineStr">
        <is>
          <t>440-2024-06-30</t>
        </is>
      </c>
    </row>
    <row r="2359" hidden="1">
      <c r="A2359" t="n">
        <v>440</v>
      </c>
      <c r="B2359" t="inlineStr">
        <is>
          <t>Aseguramiento de matricula académica virtual</t>
        </is>
      </c>
      <c r="C2359" t="inlineStr">
        <is>
          <t>Operaciones Académicas</t>
        </is>
      </c>
      <c r="D2359" t="inlineStr">
        <is>
          <t>Semestral</t>
        </is>
      </c>
      <c r="E2359" t="inlineStr">
        <is>
          <t>Positivo</t>
        </is>
      </c>
      <c r="F2359" s="113" t="n">
        <v>45657</v>
      </c>
      <c r="G2359" t="n">
        <v>2024</v>
      </c>
      <c r="H2359" t="inlineStr">
        <is>
          <t>Diciembre</t>
        </is>
      </c>
      <c r="I2359" t="inlineStr">
        <is>
          <t>2024-2</t>
        </is>
      </c>
      <c r="J2359" t="n">
        <v>98</v>
      </c>
      <c r="K2359" t="n">
        <v>99.23999999999999</v>
      </c>
      <c r="L2359" s="39" t="n">
        <v>1.01265306122449</v>
      </c>
      <c r="M2359" s="39" t="n">
        <v>1.01265306122449</v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1</v>
      </c>
      <c r="R2359" t="inlineStr">
        <is>
          <t>440-2024-12-31</t>
        </is>
      </c>
    </row>
    <row r="2360" hidden="1">
      <c r="A2360" t="n">
        <v>440</v>
      </c>
      <c r="B2360" t="inlineStr">
        <is>
          <t>Aseguramiento de matricula académica virtual</t>
        </is>
      </c>
      <c r="C2360" t="inlineStr">
        <is>
          <t>Operaciones Académicas</t>
        </is>
      </c>
      <c r="D2360" t="inlineStr">
        <is>
          <t>Semestral</t>
        </is>
      </c>
      <c r="E2360" t="inlineStr">
        <is>
          <t>Positivo</t>
        </is>
      </c>
      <c r="F2360" s="113" t="n">
        <v>45838</v>
      </c>
      <c r="G2360" t="n">
        <v>2025</v>
      </c>
      <c r="H2360" t="inlineStr">
        <is>
          <t>Junio</t>
        </is>
      </c>
      <c r="I2360" t="inlineStr">
        <is>
          <t>2025-1</t>
        </is>
      </c>
      <c r="J2360" t="n">
        <v>98</v>
      </c>
      <c r="K2360" t="n">
        <v>99.77</v>
      </c>
      <c r="L2360" s="39" t="n">
        <v>1.018061224489796</v>
      </c>
      <c r="M2360" s="39" t="n">
        <v>1.018061224489796</v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1</v>
      </c>
      <c r="R2360" t="inlineStr">
        <is>
          <t>440-2025-06-30</t>
        </is>
      </c>
    </row>
    <row r="2361" hidden="1">
      <c r="A2361" t="n">
        <v>440</v>
      </c>
      <c r="B2361" t="inlineStr">
        <is>
          <t>Aseguramiento de matricula académica virtual</t>
        </is>
      </c>
      <c r="C2361" t="inlineStr">
        <is>
          <t>Operaciones Académicas</t>
        </is>
      </c>
      <c r="D2361" t="inlineStr">
        <is>
          <t>Trimestral</t>
        </is>
      </c>
      <c r="E2361" t="inlineStr">
        <is>
          <t>Positivo</t>
        </is>
      </c>
      <c r="F2361" s="113" t="n">
        <v>46022</v>
      </c>
      <c r="G2361" t="n">
        <v>2025</v>
      </c>
      <c r="H2361" t="inlineStr">
        <is>
          <t>Diciembre</t>
        </is>
      </c>
      <c r="I2361" t="inlineStr">
        <is>
          <t>2025-2</t>
        </is>
      </c>
      <c r="J2361" t="n">
        <v>98</v>
      </c>
      <c r="K2361" t="n">
        <v>99.73999999999999</v>
      </c>
      <c r="L2361" s="39" t="n">
        <v>1.017755102040816</v>
      </c>
      <c r="M2361" s="39" t="n">
        <v>1.017755102040816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1</v>
      </c>
      <c r="R2361" t="inlineStr">
        <is>
          <t>440-2025-12-31</t>
        </is>
      </c>
    </row>
    <row r="2362" hidden="1">
      <c r="A2362" t="n">
        <v>441</v>
      </c>
      <c r="B2362" t="inlineStr">
        <is>
          <t>Cumplimiento a cronograma de proyectos 2024</t>
        </is>
      </c>
      <c r="C2362" t="inlineStr">
        <is>
          <t>Gestión de Proyectos</t>
        </is>
      </c>
      <c r="D2362" t="inlineStr">
        <is>
          <t>Mensual</t>
        </is>
      </c>
      <c r="E2362" t="inlineStr">
        <is>
          <t>Positivo</t>
        </is>
      </c>
      <c r="F2362" s="113" t="n">
        <v>45322</v>
      </c>
      <c r="G2362" t="n">
        <v>2024</v>
      </c>
      <c r="H2362" t="inlineStr">
        <is>
          <t>Enero</t>
        </is>
      </c>
      <c r="I2362" t="inlineStr">
        <is>
          <t>2024-1</t>
        </is>
      </c>
      <c r="J2362" t="n">
        <v>90</v>
      </c>
      <c r="K2362" t="n">
        <v>87.81999999999999</v>
      </c>
      <c r="L2362" s="39" t="n">
        <v>0.9757777777777777</v>
      </c>
      <c r="M2362" s="39" t="n">
        <v>0.9757777777777777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1</v>
      </c>
      <c r="R2362" t="inlineStr">
        <is>
          <t>441-2024-01-31</t>
        </is>
      </c>
    </row>
    <row r="2363" hidden="1">
      <c r="A2363" t="n">
        <v>441</v>
      </c>
      <c r="B2363" t="inlineStr">
        <is>
          <t>Cumplimiento a cronograma de proyectos 2024</t>
        </is>
      </c>
      <c r="C2363" t="inlineStr">
        <is>
          <t>Gestión de Proyectos</t>
        </is>
      </c>
      <c r="D2363" t="inlineStr">
        <is>
          <t>Mensual</t>
        </is>
      </c>
      <c r="E2363" t="inlineStr">
        <is>
          <t>Positivo</t>
        </is>
      </c>
      <c r="F2363" s="113" t="n">
        <v>45351</v>
      </c>
      <c r="G2363" t="n">
        <v>2024</v>
      </c>
      <c r="H2363" t="inlineStr">
        <is>
          <t>Febrero</t>
        </is>
      </c>
      <c r="I2363" t="inlineStr">
        <is>
          <t>2024-1</t>
        </is>
      </c>
      <c r="J2363" t="n">
        <v>90</v>
      </c>
      <c r="K2363" t="n">
        <v>90.88</v>
      </c>
      <c r="L2363" s="39" t="n">
        <v>1.009777777777778</v>
      </c>
      <c r="M2363" s="39" t="n">
        <v>1.009777777777778</v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1</v>
      </c>
      <c r="R2363" t="inlineStr">
        <is>
          <t>441-2024-02-29</t>
        </is>
      </c>
    </row>
    <row r="2364" hidden="1">
      <c r="A2364" t="n">
        <v>441</v>
      </c>
      <c r="B2364" t="inlineStr">
        <is>
          <t>Cumplimiento a cronograma de proyectos 2024</t>
        </is>
      </c>
      <c r="C2364" t="inlineStr">
        <is>
          <t>Gestión de Proyectos</t>
        </is>
      </c>
      <c r="D2364" t="inlineStr">
        <is>
          <t>Mensual</t>
        </is>
      </c>
      <c r="E2364" t="inlineStr">
        <is>
          <t>Positivo</t>
        </is>
      </c>
      <c r="F2364" s="113" t="n">
        <v>45382</v>
      </c>
      <c r="G2364" t="n">
        <v>2024</v>
      </c>
      <c r="H2364" t="inlineStr">
        <is>
          <t>Marzo</t>
        </is>
      </c>
      <c r="I2364" t="inlineStr">
        <is>
          <t>2024-1</t>
        </is>
      </c>
      <c r="J2364" t="n">
        <v>90</v>
      </c>
      <c r="K2364" t="n">
        <v>91.52</v>
      </c>
      <c r="L2364" s="39" t="n">
        <v>1.016888888888889</v>
      </c>
      <c r="M2364" s="39" t="n">
        <v>1.016888888888889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1</v>
      </c>
      <c r="R2364" t="inlineStr">
        <is>
          <t>441-2024-03-31</t>
        </is>
      </c>
    </row>
    <row r="2365" hidden="1">
      <c r="A2365" t="n">
        <v>441</v>
      </c>
      <c r="B2365" t="inlineStr">
        <is>
          <t>Cumplimiento a cronograma de proyectos 2024</t>
        </is>
      </c>
      <c r="C2365" t="inlineStr">
        <is>
          <t>Gestión de Proyectos</t>
        </is>
      </c>
      <c r="D2365" t="inlineStr">
        <is>
          <t>Mensual</t>
        </is>
      </c>
      <c r="E2365" t="inlineStr">
        <is>
          <t>Positivo</t>
        </is>
      </c>
      <c r="F2365" s="113" t="n">
        <v>45412</v>
      </c>
      <c r="G2365" t="n">
        <v>2024</v>
      </c>
      <c r="H2365" t="inlineStr">
        <is>
          <t>Abril</t>
        </is>
      </c>
      <c r="I2365" t="inlineStr">
        <is>
          <t>2024-1</t>
        </is>
      </c>
      <c r="J2365" t="n">
        <v>90</v>
      </c>
      <c r="K2365" t="n">
        <v>95.81999999999999</v>
      </c>
      <c r="L2365" s="39" t="n">
        <v>1.064666666666667</v>
      </c>
      <c r="M2365" s="39" t="n">
        <v>1.064666666666667</v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1</v>
      </c>
      <c r="R2365" t="inlineStr">
        <is>
          <t>441-2024-04-30</t>
        </is>
      </c>
    </row>
    <row r="2366" hidden="1">
      <c r="A2366" t="n">
        <v>441</v>
      </c>
      <c r="B2366" t="inlineStr">
        <is>
          <t>Cumplimiento a cronograma de proyectos 2024</t>
        </is>
      </c>
      <c r="C2366" t="inlineStr">
        <is>
          <t>Gestión de Proyectos</t>
        </is>
      </c>
      <c r="D2366" t="inlineStr">
        <is>
          <t>Mensual</t>
        </is>
      </c>
      <c r="E2366" t="inlineStr">
        <is>
          <t>Positivo</t>
        </is>
      </c>
      <c r="F2366" s="113" t="n">
        <v>45443</v>
      </c>
      <c r="G2366" t="n">
        <v>2024</v>
      </c>
      <c r="H2366" t="inlineStr">
        <is>
          <t>Mayo</t>
        </is>
      </c>
      <c r="I2366" t="inlineStr">
        <is>
          <t>2024-1</t>
        </is>
      </c>
      <c r="J2366" t="n">
        <v>90</v>
      </c>
      <c r="K2366" t="n">
        <v>96.89</v>
      </c>
      <c r="L2366" s="39" t="n">
        <v>1.076555555555555</v>
      </c>
      <c r="M2366" s="39" t="n">
        <v>1.076555555555555</v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1</v>
      </c>
      <c r="R2366" t="inlineStr">
        <is>
          <t>441-2024-05-31</t>
        </is>
      </c>
    </row>
    <row r="2367" hidden="1">
      <c r="A2367" t="n">
        <v>441</v>
      </c>
      <c r="B2367" t="inlineStr">
        <is>
          <t>Cumplimiento a cronograma de proyectos 2024</t>
        </is>
      </c>
      <c r="C2367" t="inlineStr">
        <is>
          <t>Gestión de Proyectos</t>
        </is>
      </c>
      <c r="D2367" t="inlineStr">
        <is>
          <t>Mensual</t>
        </is>
      </c>
      <c r="E2367" t="inlineStr">
        <is>
          <t>Positivo</t>
        </is>
      </c>
      <c r="F2367" s="113" t="n">
        <v>45473</v>
      </c>
      <c r="G2367" t="n">
        <v>2024</v>
      </c>
      <c r="H2367" t="inlineStr">
        <is>
          <t>Junio</t>
        </is>
      </c>
      <c r="I2367" t="inlineStr">
        <is>
          <t>2024-1</t>
        </is>
      </c>
      <c r="J2367" t="n">
        <v>90</v>
      </c>
      <c r="K2367" t="n">
        <v>101.449275362318</v>
      </c>
      <c r="L2367" s="39" t="n">
        <v>1.127214170692422</v>
      </c>
      <c r="M2367" s="39" t="n">
        <v>1.127214170692422</v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441-2024-06-30</t>
        </is>
      </c>
    </row>
    <row r="2368" hidden="1">
      <c r="A2368" t="n">
        <v>441</v>
      </c>
      <c r="B2368" t="inlineStr">
        <is>
          <t>Cumplimiento a cronograma de proyectos 2024</t>
        </is>
      </c>
      <c r="C2368" t="inlineStr">
        <is>
          <t>Gestión de Proyectos</t>
        </is>
      </c>
      <c r="D2368" t="inlineStr">
        <is>
          <t>Mensual</t>
        </is>
      </c>
      <c r="E2368" t="inlineStr">
        <is>
          <t>Positivo</t>
        </is>
      </c>
      <c r="F2368" s="113" t="n">
        <v>45504</v>
      </c>
      <c r="G2368" t="n">
        <v>2024</v>
      </c>
      <c r="H2368" t="inlineStr">
        <is>
          <t>Julio</t>
        </is>
      </c>
      <c r="I2368" t="inlineStr">
        <is>
          <t>2024-2</t>
        </is>
      </c>
      <c r="J2368" t="n">
        <v>90</v>
      </c>
      <c r="K2368" t="n">
        <v>91.2</v>
      </c>
      <c r="L2368" s="39" t="n">
        <v>1.013333333333333</v>
      </c>
      <c r="M2368" s="39" t="n">
        <v>1.013333333333333</v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441-2024-07-31</t>
        </is>
      </c>
    </row>
    <row r="2369" hidden="1">
      <c r="A2369" t="n">
        <v>441</v>
      </c>
      <c r="B2369" t="inlineStr">
        <is>
          <t>Cumplimiento a cronograma de proyectos 2024</t>
        </is>
      </c>
      <c r="C2369" t="inlineStr">
        <is>
          <t>Gestión de Proyectos</t>
        </is>
      </c>
      <c r="D2369" t="inlineStr">
        <is>
          <t>Mensual</t>
        </is>
      </c>
      <c r="E2369" t="inlineStr">
        <is>
          <t>Positivo</t>
        </is>
      </c>
      <c r="F2369" s="113" t="n">
        <v>45535</v>
      </c>
      <c r="G2369" t="n">
        <v>2024</v>
      </c>
      <c r="H2369" t="inlineStr">
        <is>
          <t>Agosto</t>
        </is>
      </c>
      <c r="I2369" t="inlineStr">
        <is>
          <t>2024-2</t>
        </is>
      </c>
      <c r="J2369" t="n">
        <v>90</v>
      </c>
      <c r="K2369" t="n">
        <v>98.1605351170568</v>
      </c>
      <c r="L2369" s="39" t="n">
        <v>1.090672612411742</v>
      </c>
      <c r="M2369" s="39" t="n">
        <v>1.090672612411742</v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441-2024-08-31</t>
        </is>
      </c>
    </row>
    <row r="2370" hidden="1">
      <c r="A2370" t="n">
        <v>441</v>
      </c>
      <c r="B2370" t="inlineStr">
        <is>
          <t>Cumplimiento a cronograma de proyectos 2024</t>
        </is>
      </c>
      <c r="C2370" t="inlineStr">
        <is>
          <t>Gestión de Proyectos</t>
        </is>
      </c>
      <c r="D2370" t="inlineStr">
        <is>
          <t>Mensual</t>
        </is>
      </c>
      <c r="E2370" t="inlineStr">
        <is>
          <t>Positivo</t>
        </is>
      </c>
      <c r="F2370" s="113" t="n">
        <v>45565</v>
      </c>
      <c r="G2370" t="n">
        <v>2024</v>
      </c>
      <c r="H2370" t="inlineStr">
        <is>
          <t>Septiembre</t>
        </is>
      </c>
      <c r="I2370" t="inlineStr">
        <is>
          <t>2024-2</t>
        </is>
      </c>
      <c r="J2370" t="n">
        <v>90</v>
      </c>
      <c r="K2370" t="n">
        <v>97.789566755084</v>
      </c>
      <c r="L2370" s="39" t="n">
        <v>1.086550741723155</v>
      </c>
      <c r="M2370" s="39" t="n">
        <v>1.086550741723155</v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441-2024-09-30</t>
        </is>
      </c>
    </row>
    <row r="2371" hidden="1">
      <c r="A2371" t="n">
        <v>441</v>
      </c>
      <c r="B2371" t="inlineStr">
        <is>
          <t>Cumplimiento a cronograma de proyectos 2024</t>
        </is>
      </c>
      <c r="C2371" t="inlineStr">
        <is>
          <t>Gestión de Proyectos</t>
        </is>
      </c>
      <c r="D2371" t="inlineStr">
        <is>
          <t>Mensual</t>
        </is>
      </c>
      <c r="E2371" t="inlineStr">
        <is>
          <t>Positivo</t>
        </is>
      </c>
      <c r="F2371" s="113" t="n">
        <v>45596</v>
      </c>
      <c r="G2371" t="n">
        <v>2024</v>
      </c>
      <c r="H2371" t="inlineStr">
        <is>
          <t>Octubre</t>
        </is>
      </c>
      <c r="I2371" t="inlineStr">
        <is>
          <t>2024-2</t>
        </is>
      </c>
      <c r="J2371" t="n">
        <v>90</v>
      </c>
      <c r="K2371" t="n">
        <v>96.61908339594289</v>
      </c>
      <c r="L2371" s="39" t="n">
        <v>1.073545371066032</v>
      </c>
      <c r="M2371" s="39" t="n">
        <v>1.073545371066032</v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441-2024-10-31</t>
        </is>
      </c>
    </row>
    <row r="2372" hidden="1">
      <c r="A2372" t="n">
        <v>441</v>
      </c>
      <c r="B2372" t="inlineStr">
        <is>
          <t>Cumplimiento a cronograma de proyectos 2024</t>
        </is>
      </c>
      <c r="C2372" t="inlineStr">
        <is>
          <t>Gestión de Proyectos</t>
        </is>
      </c>
      <c r="D2372" t="inlineStr">
        <is>
          <t>Mensual</t>
        </is>
      </c>
      <c r="E2372" t="inlineStr">
        <is>
          <t>Positivo</t>
        </is>
      </c>
      <c r="F2372" s="113" t="n">
        <v>45626</v>
      </c>
      <c r="G2372" t="n">
        <v>2024</v>
      </c>
      <c r="H2372" t="inlineStr">
        <is>
          <t>Noviembre</t>
        </is>
      </c>
      <c r="I2372" t="inlineStr">
        <is>
          <t>2024-2</t>
        </is>
      </c>
      <c r="J2372" t="n">
        <v>90</v>
      </c>
      <c r="K2372" t="n">
        <v>97.5359342915811</v>
      </c>
      <c r="L2372" s="39" t="n">
        <v>1.08373260323979</v>
      </c>
      <c r="M2372" s="39" t="n">
        <v>1.08373260323979</v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0</v>
      </c>
      <c r="R2372" t="inlineStr">
        <is>
          <t>441-2024-11-30</t>
        </is>
      </c>
    </row>
    <row r="2373" hidden="1">
      <c r="A2373" t="n">
        <v>441</v>
      </c>
      <c r="B2373" t="inlineStr">
        <is>
          <t>Cumplimiento a cronograma de proyectos 2024</t>
        </is>
      </c>
      <c r="C2373" t="inlineStr">
        <is>
          <t>Gestión de Proyectos</t>
        </is>
      </c>
      <c r="D2373" t="inlineStr">
        <is>
          <t>Mensual</t>
        </is>
      </c>
      <c r="E2373" t="inlineStr">
        <is>
          <t>Positivo</t>
        </is>
      </c>
      <c r="F2373" s="113" t="n">
        <v>45657</v>
      </c>
      <c r="G2373" t="n">
        <v>2024</v>
      </c>
      <c r="H2373" t="inlineStr">
        <is>
          <t>Diciembre</t>
        </is>
      </c>
      <c r="I2373" t="inlineStr">
        <is>
          <t>2024-2</t>
        </is>
      </c>
      <c r="J2373" t="n">
        <v>90</v>
      </c>
      <c r="K2373" t="n">
        <v>99.919935948759</v>
      </c>
      <c r="L2373" s="39" t="n">
        <v>1.110221510541767</v>
      </c>
      <c r="M2373" s="39" t="n">
        <v>1.110221510541767</v>
      </c>
      <c r="N2373" t="inlineStr">
        <is>
          <t>%</t>
        </is>
      </c>
      <c r="O2373" t="inlineStr">
        <is>
          <t>%</t>
        </is>
      </c>
      <c r="P2373" t="n">
        <v>0</v>
      </c>
      <c r="Q2373" t="n">
        <v>0</v>
      </c>
      <c r="R2373" t="inlineStr">
        <is>
          <t>441-2024-12-31</t>
        </is>
      </c>
    </row>
    <row r="2374" hidden="1">
      <c r="A2374" t="n">
        <v>442</v>
      </c>
      <c r="B2374" t="inlineStr">
        <is>
          <t>Participación de docentes invitados en eventos académicos virtuales en Poli</t>
        </is>
      </c>
      <c r="C2374" t="inlineStr">
        <is>
          <t>VISIBILIDAD NACIONAL E INTERNACIONAL</t>
        </is>
      </c>
      <c r="D2374" t="inlineStr">
        <is>
          <t>Semestral</t>
        </is>
      </c>
      <c r="E2374" t="inlineStr">
        <is>
          <t>Positivo</t>
        </is>
      </c>
      <c r="F2374" s="113" t="n">
        <v>45473</v>
      </c>
      <c r="G2374" t="n">
        <v>2024</v>
      </c>
      <c r="H2374" t="inlineStr">
        <is>
          <t>Junio</t>
        </is>
      </c>
      <c r="I2374" t="inlineStr">
        <is>
          <t>2024-1</t>
        </is>
      </c>
      <c r="J2374" t="n">
        <v>100</v>
      </c>
      <c r="K2374" t="n">
        <v>80</v>
      </c>
      <c r="L2374" s="39" t="n">
        <v>0.8</v>
      </c>
      <c r="M2374" s="39" t="n">
        <v>0.8</v>
      </c>
      <c r="P2374" t="n">
        <v>0</v>
      </c>
      <c r="Q2374" t="n">
        <v>0</v>
      </c>
      <c r="R2374" t="inlineStr">
        <is>
          <t>442-2024-06-30</t>
        </is>
      </c>
    </row>
    <row r="2375" hidden="1">
      <c r="A2375" t="n">
        <v>442</v>
      </c>
      <c r="B2375" t="inlineStr">
        <is>
          <t>Participación de docentes invitados en eventos académicos virtuales en Poli</t>
        </is>
      </c>
      <c r="C2375" t="inlineStr">
        <is>
          <t>VISIBILIDAD NACIONAL E INTERNACIONAL</t>
        </is>
      </c>
      <c r="D2375" t="inlineStr">
        <is>
          <t>Semestral</t>
        </is>
      </c>
      <c r="E2375" t="inlineStr">
        <is>
          <t>Positivo</t>
        </is>
      </c>
      <c r="F2375" s="113" t="n">
        <v>45657</v>
      </c>
      <c r="G2375" t="n">
        <v>2024</v>
      </c>
      <c r="H2375" t="inlineStr">
        <is>
          <t>Diciembre</t>
        </is>
      </c>
      <c r="I2375" t="inlineStr">
        <is>
          <t>2024-2</t>
        </is>
      </c>
      <c r="J2375" t="n">
        <v>100</v>
      </c>
      <c r="K2375" t="n">
        <v>145</v>
      </c>
      <c r="L2375" s="39" t="n">
        <v>1.3</v>
      </c>
      <c r="M2375" s="39" t="n">
        <v>1.45</v>
      </c>
      <c r="P2375" t="n">
        <v>0</v>
      </c>
      <c r="Q2375" t="n">
        <v>0</v>
      </c>
      <c r="R2375" t="inlineStr">
        <is>
          <t>442-2024-12-31</t>
        </is>
      </c>
    </row>
    <row r="2376" hidden="1">
      <c r="A2376" t="n">
        <v>443</v>
      </c>
      <c r="B2376" t="inlineStr">
        <is>
          <t>Participación de estudiantes invitados en eventos académicos virtuales en Poli</t>
        </is>
      </c>
      <c r="C2376" t="inlineStr">
        <is>
          <t>VISIBILIDAD NACIONAL E INTERNACIONAL</t>
        </is>
      </c>
      <c r="D2376" t="inlineStr">
        <is>
          <t>Semestral</t>
        </is>
      </c>
      <c r="E2376" t="inlineStr">
        <is>
          <t>Positivo</t>
        </is>
      </c>
      <c r="F2376" s="113" t="n">
        <v>45473</v>
      </c>
      <c r="G2376" t="n">
        <v>2024</v>
      </c>
      <c r="H2376" t="inlineStr">
        <is>
          <t>Junio</t>
        </is>
      </c>
      <c r="I2376" t="inlineStr">
        <is>
          <t>2024-1</t>
        </is>
      </c>
      <c r="J2376" t="n">
        <v>100</v>
      </c>
      <c r="K2376" t="n">
        <v>114.33</v>
      </c>
      <c r="L2376" s="39" t="n">
        <v>1.1433</v>
      </c>
      <c r="M2376" s="39" t="n">
        <v>1.1433</v>
      </c>
      <c r="P2376" t="n">
        <v>0</v>
      </c>
      <c r="Q2376" t="n">
        <v>0</v>
      </c>
      <c r="R2376" t="inlineStr">
        <is>
          <t>443-2024-06-30</t>
        </is>
      </c>
    </row>
    <row r="2377" hidden="1">
      <c r="A2377" t="n">
        <v>443</v>
      </c>
      <c r="B2377" t="inlineStr">
        <is>
          <t>Participación de estudiantes invitados en eventos académicos virtuales en Poli</t>
        </is>
      </c>
      <c r="C2377" t="inlineStr">
        <is>
          <t>VISIBILIDAD NACIONAL E INTERNACIONAL</t>
        </is>
      </c>
      <c r="D2377" t="inlineStr">
        <is>
          <t>Semestral</t>
        </is>
      </c>
      <c r="E2377" t="inlineStr">
        <is>
          <t>Positivo</t>
        </is>
      </c>
      <c r="F2377" s="113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100</v>
      </c>
      <c r="K2377" t="n">
        <v>209</v>
      </c>
      <c r="L2377" s="39" t="n">
        <v>1.3</v>
      </c>
      <c r="M2377" s="39" t="n">
        <v>2.09</v>
      </c>
      <c r="P2377" t="n">
        <v>0</v>
      </c>
      <c r="Q2377" t="n">
        <v>0</v>
      </c>
      <c r="R2377" t="inlineStr">
        <is>
          <t>443-2024-12-31</t>
        </is>
      </c>
    </row>
    <row r="2378" hidden="1">
      <c r="A2378" t="n">
        <v>444</v>
      </c>
      <c r="B2378" t="inlineStr">
        <is>
          <t>CES Proceso de grados</t>
        </is>
      </c>
      <c r="C2378" t="inlineStr">
        <is>
          <t>Registro y Control</t>
        </is>
      </c>
      <c r="D2378" t="inlineStr">
        <is>
          <t>Semestral</t>
        </is>
      </c>
      <c r="E2378" t="inlineStr">
        <is>
          <t>Positivo</t>
        </is>
      </c>
      <c r="F2378" s="113" t="n">
        <v>45657</v>
      </c>
      <c r="G2378" t="n">
        <v>2024</v>
      </c>
      <c r="H2378" t="inlineStr">
        <is>
          <t>Diciembre</t>
        </is>
      </c>
      <c r="I2378" t="inlineStr">
        <is>
          <t>2024-2</t>
        </is>
      </c>
      <c r="K2378" t="n">
        <v>2.1</v>
      </c>
      <c r="L2378" s="39" t="n"/>
      <c r="M2378" s="39" t="n"/>
      <c r="N2378" t="inlineStr">
        <is>
          <t>Linea Base</t>
        </is>
      </c>
      <c r="P2378" t="n">
        <v>0</v>
      </c>
      <c r="Q2378" t="n">
        <v>1</v>
      </c>
      <c r="R2378" t="inlineStr">
        <is>
          <t>444-2024-12-31</t>
        </is>
      </c>
    </row>
    <row r="2379" hidden="1">
      <c r="A2379" t="n">
        <v>444</v>
      </c>
      <c r="B2379" t="inlineStr">
        <is>
          <t>CES Proceso de grados</t>
        </is>
      </c>
      <c r="C2379" t="inlineStr">
        <is>
          <t>Registro y Control</t>
        </is>
      </c>
      <c r="D2379" t="inlineStr">
        <is>
          <t>Semestral</t>
        </is>
      </c>
      <c r="E2379" t="inlineStr">
        <is>
          <t>Negativo</t>
        </is>
      </c>
      <c r="F2379" s="113" t="n">
        <v>45838</v>
      </c>
      <c r="G2379" t="n">
        <v>2025</v>
      </c>
      <c r="H2379" t="inlineStr">
        <is>
          <t>Junio</t>
        </is>
      </c>
      <c r="I2379" t="inlineStr">
        <is>
          <t>2025-1</t>
        </is>
      </c>
      <c r="J2379" t="n">
        <v>3</v>
      </c>
      <c r="K2379" t="n">
        <v>1.6</v>
      </c>
      <c r="L2379" s="39" t="n">
        <v>1.3</v>
      </c>
      <c r="M2379" s="39" t="n">
        <v>1.875</v>
      </c>
      <c r="N2379" t="inlineStr">
        <is>
          <t>DEC</t>
        </is>
      </c>
      <c r="O2379" t="inlineStr">
        <is>
          <t>DEC</t>
        </is>
      </c>
      <c r="P2379" t="n">
        <v>0</v>
      </c>
      <c r="Q2379" t="n">
        <v>1</v>
      </c>
      <c r="R2379" t="inlineStr">
        <is>
          <t>444-2025-06-30</t>
        </is>
      </c>
    </row>
    <row r="2380" hidden="1">
      <c r="A2380" t="n">
        <v>444</v>
      </c>
      <c r="B2380" t="inlineStr">
        <is>
          <t>CES Proceso de grados</t>
        </is>
      </c>
      <c r="C2380" t="inlineStr">
        <is>
          <t>Registro y Control</t>
        </is>
      </c>
      <c r="D2380" t="inlineStr">
        <is>
          <t>Trimestral</t>
        </is>
      </c>
      <c r="E2380" t="inlineStr">
        <is>
          <t>Negativo</t>
        </is>
      </c>
      <c r="F2380" s="113" t="n">
        <v>46022</v>
      </c>
      <c r="G2380" t="n">
        <v>2025</v>
      </c>
      <c r="H2380" t="inlineStr">
        <is>
          <t>Diciembre</t>
        </is>
      </c>
      <c r="I2380" t="inlineStr">
        <is>
          <t>2025-2</t>
        </is>
      </c>
      <c r="J2380" t="n">
        <v>3</v>
      </c>
      <c r="K2380" t="n">
        <v>1.7</v>
      </c>
      <c r="L2380" s="39" t="n">
        <v>1.3</v>
      </c>
      <c r="M2380" s="39" t="n">
        <v>1.764705882352941</v>
      </c>
      <c r="N2380" t="inlineStr">
        <is>
          <t>ENT</t>
        </is>
      </c>
      <c r="O2380" t="inlineStr">
        <is>
          <t>DEC</t>
        </is>
      </c>
      <c r="P2380" t="n">
        <v>0</v>
      </c>
      <c r="Q2380" t="n">
        <v>1</v>
      </c>
      <c r="R2380" t="inlineStr">
        <is>
          <t>444-2025-12-31</t>
        </is>
      </c>
    </row>
    <row r="2381" hidden="1">
      <c r="A2381" t="n">
        <v>445</v>
      </c>
      <c r="B2381" t="inlineStr">
        <is>
          <t>Satisfacción del proceso de grados virtual</t>
        </is>
      </c>
      <c r="C2381" t="inlineStr">
        <is>
          <t>Registro y Control</t>
        </is>
      </c>
      <c r="D2381" t="inlineStr">
        <is>
          <t>Semestral</t>
        </is>
      </c>
      <c r="E2381" t="inlineStr">
        <is>
          <t>Positivo</t>
        </is>
      </c>
      <c r="F2381" s="113" t="n">
        <v>45473</v>
      </c>
      <c r="G2381" t="n">
        <v>2024</v>
      </c>
      <c r="H2381" t="inlineStr">
        <is>
          <t>Junio</t>
        </is>
      </c>
      <c r="I2381" t="inlineStr">
        <is>
          <t>2024-1</t>
        </is>
      </c>
      <c r="J2381" t="n">
        <v>67.5</v>
      </c>
      <c r="K2381" t="n">
        <v>55.2</v>
      </c>
      <c r="L2381" s="39" t="n">
        <v>0.8177777777777778</v>
      </c>
      <c r="M2381" s="39" t="n">
        <v>0.8177777777777778</v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445-2024-06-30</t>
        </is>
      </c>
    </row>
    <row r="2382" hidden="1">
      <c r="A2382" t="n">
        <v>445</v>
      </c>
      <c r="B2382" t="inlineStr">
        <is>
          <t>Satisfacción del proceso de grados virtual</t>
        </is>
      </c>
      <c r="C2382" t="inlineStr">
        <is>
          <t>Registro y Control</t>
        </is>
      </c>
      <c r="D2382" t="inlineStr">
        <is>
          <t>Semestral</t>
        </is>
      </c>
      <c r="E2382" t="inlineStr">
        <is>
          <t>Positivo</t>
        </is>
      </c>
      <c r="F2382" s="113" t="n">
        <v>45657</v>
      </c>
      <c r="G2382" t="n">
        <v>2024</v>
      </c>
      <c r="H2382" t="inlineStr">
        <is>
          <t>Diciembre</t>
        </is>
      </c>
      <c r="I2382" t="inlineStr">
        <is>
          <t>2024-2</t>
        </is>
      </c>
      <c r="J2382" t="n">
        <v>67.5</v>
      </c>
      <c r="K2382" t="n">
        <v>86.5</v>
      </c>
      <c r="L2382" s="39" t="n">
        <v>1.281481481481481</v>
      </c>
      <c r="M2382" s="39" t="n">
        <v>1.281481481481481</v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445-2024-12-31</t>
        </is>
      </c>
    </row>
    <row r="2383" hidden="1">
      <c r="A2383" t="n">
        <v>445</v>
      </c>
      <c r="B2383" t="inlineStr">
        <is>
          <t>Satisfacción del proceso de grados virtual</t>
        </is>
      </c>
      <c r="C2383" t="inlineStr">
        <is>
          <t>Registro y Control</t>
        </is>
      </c>
      <c r="D2383" t="inlineStr">
        <is>
          <t>Trimestral</t>
        </is>
      </c>
      <c r="E2383" t="inlineStr">
        <is>
          <t>Positivo</t>
        </is>
      </c>
      <c r="F2383" s="113" t="n">
        <v>45838</v>
      </c>
      <c r="G2383" t="n">
        <v>2025</v>
      </c>
      <c r="H2383" t="inlineStr">
        <is>
          <t>Junio</t>
        </is>
      </c>
      <c r="I2383" t="inlineStr">
        <is>
          <t>2025-1</t>
        </is>
      </c>
      <c r="J2383" t="n">
        <v>70</v>
      </c>
      <c r="K2383" t="n">
        <v>75.7</v>
      </c>
      <c r="L2383" s="39" t="n">
        <v>1.081428571428571</v>
      </c>
      <c r="M2383" s="39" t="n">
        <v>1.081428571428571</v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445-2025-06-30</t>
        </is>
      </c>
    </row>
    <row r="2384" hidden="1">
      <c r="A2384" t="n">
        <v>445</v>
      </c>
      <c r="B2384" t="inlineStr">
        <is>
          <t>Satisfacción del proceso de grados virtual</t>
        </is>
      </c>
      <c r="C2384" t="inlineStr">
        <is>
          <t>Registro y Control</t>
        </is>
      </c>
      <c r="D2384" t="inlineStr">
        <is>
          <t>Trimestral</t>
        </is>
      </c>
      <c r="E2384" t="inlineStr">
        <is>
          <t>Positivo</t>
        </is>
      </c>
      <c r="F2384" s="113" t="n">
        <v>46022</v>
      </c>
      <c r="G2384" t="n">
        <v>2025</v>
      </c>
      <c r="H2384" t="inlineStr">
        <is>
          <t>Diciembre</t>
        </is>
      </c>
      <c r="I2384" t="inlineStr">
        <is>
          <t>2025-2</t>
        </is>
      </c>
      <c r="J2384" t="n">
        <v>70</v>
      </c>
      <c r="K2384" t="n">
        <v>85.3</v>
      </c>
      <c r="L2384" s="39" t="n">
        <v>1.218571428571429</v>
      </c>
      <c r="M2384" s="39" t="n">
        <v>1.218571428571429</v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445-2025-12-31</t>
        </is>
      </c>
    </row>
    <row r="2385" hidden="1">
      <c r="A2385" t="n">
        <v>447</v>
      </c>
      <c r="B2385" t="inlineStr">
        <is>
          <t>Participación en actividades culturales</t>
        </is>
      </c>
      <c r="C2385" t="inlineStr">
        <is>
          <t>Biblioteca Institucional</t>
        </is>
      </c>
      <c r="D2385" t="inlineStr">
        <is>
          <t>Semestral</t>
        </is>
      </c>
      <c r="E2385" t="inlineStr">
        <is>
          <t>Positivo</t>
        </is>
      </c>
      <c r="F2385" s="113" t="n">
        <v>45473</v>
      </c>
      <c r="G2385" t="n">
        <v>2024</v>
      </c>
      <c r="H2385" t="inlineStr">
        <is>
          <t>Junio</t>
        </is>
      </c>
      <c r="I2385" t="inlineStr">
        <is>
          <t>2024-1</t>
        </is>
      </c>
      <c r="J2385" t="n">
        <v>15</v>
      </c>
      <c r="K2385" t="n">
        <v>31.04</v>
      </c>
      <c r="L2385" s="39" t="n">
        <v>1.3</v>
      </c>
      <c r="M2385" s="39" t="n">
        <v>2.069333333333333</v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447-2024-06-30</t>
        </is>
      </c>
    </row>
    <row r="2386" hidden="1">
      <c r="A2386" t="n">
        <v>447</v>
      </c>
      <c r="B2386" t="inlineStr">
        <is>
          <t>Participación en actividades culturales</t>
        </is>
      </c>
      <c r="C2386" t="inlineStr">
        <is>
          <t>Biblioteca Institucional</t>
        </is>
      </c>
      <c r="D2386" t="inlineStr">
        <is>
          <t>Semestral</t>
        </is>
      </c>
      <c r="E2386" t="inlineStr">
        <is>
          <t>Positivo</t>
        </is>
      </c>
      <c r="F2386" s="113" t="n">
        <v>45657</v>
      </c>
      <c r="G2386" t="n">
        <v>2024</v>
      </c>
      <c r="H2386" t="inlineStr">
        <is>
          <t>Diciembre</t>
        </is>
      </c>
      <c r="I2386" t="inlineStr">
        <is>
          <t>2024-2</t>
        </is>
      </c>
      <c r="J2386" t="n">
        <v>15</v>
      </c>
      <c r="K2386" t="n">
        <v>16.16</v>
      </c>
      <c r="L2386" s="39" t="n">
        <v>1.077333333333333</v>
      </c>
      <c r="M2386" s="39" t="n">
        <v>1.077333333333333</v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447-2024-12-31</t>
        </is>
      </c>
    </row>
    <row r="2387" hidden="1">
      <c r="A2387" t="n">
        <v>447</v>
      </c>
      <c r="B2387" t="inlineStr">
        <is>
          <t>Participación en actividades culturales</t>
        </is>
      </c>
      <c r="C2387" t="inlineStr">
        <is>
          <t>Biblioteca Institucional</t>
        </is>
      </c>
      <c r="D2387" t="inlineStr">
        <is>
          <t>Semestral</t>
        </is>
      </c>
      <c r="E2387" t="inlineStr">
        <is>
          <t>Positivo</t>
        </is>
      </c>
      <c r="F2387" s="113" t="n">
        <v>45838</v>
      </c>
      <c r="G2387" t="n">
        <v>2025</v>
      </c>
      <c r="H2387" t="inlineStr">
        <is>
          <t>Junio</t>
        </is>
      </c>
      <c r="I2387" t="inlineStr">
        <is>
          <t>2025-1</t>
        </is>
      </c>
      <c r="J2387" t="n">
        <v>15</v>
      </c>
      <c r="K2387" t="n">
        <v>16.54</v>
      </c>
      <c r="L2387" s="39" t="n">
        <v>1.102666666666667</v>
      </c>
      <c r="M2387" s="39" t="n">
        <v>1.102666666666667</v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447-2025-06-30</t>
        </is>
      </c>
    </row>
    <row r="2388" hidden="1">
      <c r="A2388" t="n">
        <v>447</v>
      </c>
      <c r="B2388" t="inlineStr">
        <is>
          <t>Participación en actividades culturales</t>
        </is>
      </c>
      <c r="C2388" t="inlineStr">
        <is>
          <t>Biblioteca Institucional</t>
        </is>
      </c>
      <c r="D2388" t="inlineStr">
        <is>
          <t>Trimestral</t>
        </is>
      </c>
      <c r="E2388" t="inlineStr">
        <is>
          <t>Positivo</t>
        </is>
      </c>
      <c r="F2388" s="113" t="n">
        <v>46022</v>
      </c>
      <c r="G2388" t="n">
        <v>2025</v>
      </c>
      <c r="H2388" t="inlineStr">
        <is>
          <t>Diciembre</t>
        </is>
      </c>
      <c r="I2388" t="inlineStr">
        <is>
          <t>2025-2</t>
        </is>
      </c>
      <c r="J2388" t="n">
        <v>15</v>
      </c>
      <c r="K2388" t="n">
        <v>15.01</v>
      </c>
      <c r="L2388" s="39" t="n">
        <v>1.000666666666667</v>
      </c>
      <c r="M2388" s="39" t="n">
        <v>1.000666666666667</v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447-2025-12-31</t>
        </is>
      </c>
    </row>
    <row r="2389" hidden="1">
      <c r="A2389" t="n">
        <v>448</v>
      </c>
      <c r="B2389" t="inlineStr">
        <is>
          <t>Participación en actividades de formación</t>
        </is>
      </c>
      <c r="C2389" t="inlineStr">
        <is>
          <t>Biblioteca Institucional</t>
        </is>
      </c>
      <c r="D2389" t="inlineStr">
        <is>
          <t>Semestral</t>
        </is>
      </c>
      <c r="E2389" t="inlineStr">
        <is>
          <t>Positivo</t>
        </is>
      </c>
      <c r="F2389" s="113" t="n">
        <v>45473</v>
      </c>
      <c r="G2389" t="n">
        <v>2024</v>
      </c>
      <c r="H2389" t="inlineStr">
        <is>
          <t>Junio</t>
        </is>
      </c>
      <c r="I2389" t="inlineStr">
        <is>
          <t>2024-1</t>
        </is>
      </c>
      <c r="J2389" t="n">
        <v>9</v>
      </c>
      <c r="K2389" t="n">
        <v>18.93</v>
      </c>
      <c r="L2389" s="39" t="n">
        <v>1.3</v>
      </c>
      <c r="M2389" s="39" t="n">
        <v>2.103333333333333</v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448-2024-06-30</t>
        </is>
      </c>
    </row>
    <row r="2390" hidden="1">
      <c r="A2390" t="n">
        <v>448</v>
      </c>
      <c r="B2390" t="inlineStr">
        <is>
          <t>Participación en actividades de formación</t>
        </is>
      </c>
      <c r="C2390" t="inlineStr">
        <is>
          <t>Biblioteca Institucional</t>
        </is>
      </c>
      <c r="D2390" t="inlineStr">
        <is>
          <t>Semestral</t>
        </is>
      </c>
      <c r="E2390" t="inlineStr">
        <is>
          <t>Positivo</t>
        </is>
      </c>
      <c r="F2390" s="113" t="n">
        <v>45657</v>
      </c>
      <c r="G2390" t="n">
        <v>2024</v>
      </c>
      <c r="H2390" t="inlineStr">
        <is>
          <t>Diciembre</t>
        </is>
      </c>
      <c r="I2390" t="inlineStr">
        <is>
          <t>2024-2</t>
        </is>
      </c>
      <c r="J2390" t="n">
        <v>9</v>
      </c>
      <c r="K2390" t="n">
        <v>9.32</v>
      </c>
      <c r="L2390" s="39" t="n">
        <v>1.035555555555556</v>
      </c>
      <c r="M2390" s="39" t="n">
        <v>1.035555555555556</v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448-2024-12-31</t>
        </is>
      </c>
    </row>
    <row r="2391" hidden="1">
      <c r="A2391" t="n">
        <v>448</v>
      </c>
      <c r="B2391" t="inlineStr">
        <is>
          <t>Participación en actividades de formación</t>
        </is>
      </c>
      <c r="C2391" t="inlineStr">
        <is>
          <t>Biblioteca Institucional</t>
        </is>
      </c>
      <c r="D2391" t="inlineStr">
        <is>
          <t>Semestral</t>
        </is>
      </c>
      <c r="E2391" t="inlineStr">
        <is>
          <t>Positivo</t>
        </is>
      </c>
      <c r="F2391" s="113" t="n">
        <v>45838</v>
      </c>
      <c r="G2391" t="n">
        <v>2025</v>
      </c>
      <c r="H2391" t="inlineStr">
        <is>
          <t>Junio</t>
        </is>
      </c>
      <c r="I2391" t="inlineStr">
        <is>
          <t>2025-1</t>
        </is>
      </c>
      <c r="J2391" t="n">
        <v>17</v>
      </c>
      <c r="K2391" t="n">
        <v>39.62</v>
      </c>
      <c r="L2391" s="39" t="n">
        <v>1.3</v>
      </c>
      <c r="M2391" s="39" t="n">
        <v>2.330588235294118</v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448-2025-06-30</t>
        </is>
      </c>
    </row>
    <row r="2392" hidden="1">
      <c r="A2392" t="n">
        <v>448</v>
      </c>
      <c r="B2392" t="inlineStr">
        <is>
          <t>Participación en actividades de formación</t>
        </is>
      </c>
      <c r="C2392" t="inlineStr">
        <is>
          <t>Biblioteca Institucional</t>
        </is>
      </c>
      <c r="D2392" t="inlineStr">
        <is>
          <t>Trimestral</t>
        </is>
      </c>
      <c r="E2392" t="inlineStr">
        <is>
          <t>Positivo</t>
        </is>
      </c>
      <c r="F2392" s="113" t="n">
        <v>46022</v>
      </c>
      <c r="G2392" t="n">
        <v>2025</v>
      </c>
      <c r="H2392" t="inlineStr">
        <is>
          <t>Diciembre</t>
        </is>
      </c>
      <c r="I2392" t="inlineStr">
        <is>
          <t>2025-2</t>
        </is>
      </c>
      <c r="J2392" t="n">
        <v>17</v>
      </c>
      <c r="K2392" t="n">
        <v>59.36</v>
      </c>
      <c r="L2392" s="39" t="n">
        <v>1.3</v>
      </c>
      <c r="M2392" s="39" t="n">
        <v>3.491764705882353</v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1</v>
      </c>
      <c r="R2392" t="inlineStr">
        <is>
          <t>448-2025-12-31</t>
        </is>
      </c>
    </row>
    <row r="2393" hidden="1">
      <c r="A2393" t="n">
        <v>449</v>
      </c>
      <c r="B2393" t="inlineStr">
        <is>
          <t>Cumplimiento en la supervisión y monitoreo a los planes de tratamiento de los riesgos institucionales en nivel alto y extremo</t>
        </is>
      </c>
      <c r="C2393" t="inlineStr">
        <is>
          <t>GESTIÓN DE RIESGOS</t>
        </is>
      </c>
      <c r="D2393" t="inlineStr">
        <is>
          <t>Trimestral</t>
        </is>
      </c>
      <c r="E2393" t="inlineStr">
        <is>
          <t>Positivo</t>
        </is>
      </c>
      <c r="F2393" s="113" t="n">
        <v>45382</v>
      </c>
      <c r="G2393" t="n">
        <v>2024</v>
      </c>
      <c r="H2393" t="inlineStr">
        <is>
          <t>Marzo</t>
        </is>
      </c>
      <c r="I2393" t="inlineStr">
        <is>
          <t>2024-1</t>
        </is>
      </c>
      <c r="J2393" t="n">
        <v>20</v>
      </c>
      <c r="K2393" t="n">
        <v>51.28</v>
      </c>
      <c r="L2393" s="39" t="n">
        <v>1.3</v>
      </c>
      <c r="M2393" s="39" t="n">
        <v>2.564</v>
      </c>
      <c r="P2393" t="n">
        <v>0</v>
      </c>
      <c r="Q2393" t="n">
        <v>0</v>
      </c>
      <c r="R2393" t="inlineStr">
        <is>
          <t>449-2024-03-31</t>
        </is>
      </c>
    </row>
    <row r="2394" hidden="1">
      <c r="A2394" t="n">
        <v>449</v>
      </c>
      <c r="B2394" t="inlineStr">
        <is>
          <t>Cumplimiento en la supervisión y monitoreo a los planes de tratamiento de los riesgos institucionales en nivel alto y extremo</t>
        </is>
      </c>
      <c r="C2394" t="inlineStr">
        <is>
          <t>GESTIÓN DE RIESGOS</t>
        </is>
      </c>
      <c r="D2394" t="inlineStr">
        <is>
          <t>Trimestral</t>
        </is>
      </c>
      <c r="E2394" t="inlineStr">
        <is>
          <t>Positivo</t>
        </is>
      </c>
      <c r="F2394" s="113" t="n">
        <v>45565</v>
      </c>
      <c r="G2394" t="n">
        <v>2024</v>
      </c>
      <c r="H2394" t="inlineStr">
        <is>
          <t>Septiembre</t>
        </is>
      </c>
      <c r="I2394" t="inlineStr">
        <is>
          <t>2024-2</t>
        </is>
      </c>
      <c r="J2394" t="n">
        <v>70</v>
      </c>
      <c r="K2394" t="n">
        <v>84.6153846153846</v>
      </c>
      <c r="L2394" s="39" t="n">
        <v>1.208791208791208</v>
      </c>
      <c r="M2394" s="39" t="n">
        <v>1.208791208791208</v>
      </c>
      <c r="P2394" t="n">
        <v>0</v>
      </c>
      <c r="Q2394" t="n">
        <v>0</v>
      </c>
      <c r="R2394" t="inlineStr">
        <is>
          <t>449-2024-09-30</t>
        </is>
      </c>
    </row>
    <row r="2395" hidden="1">
      <c r="A2395" t="n">
        <v>449</v>
      </c>
      <c r="B2395" t="inlineStr">
        <is>
          <t>Cumplimiento en la supervisión y monitoreo a los planes de tratamiento de los riesgos institucionales en nivel alto y extremo</t>
        </is>
      </c>
      <c r="C2395" t="inlineStr">
        <is>
          <t>GESTIÓN DE RIESGOS</t>
        </is>
      </c>
      <c r="D2395" t="inlineStr">
        <is>
          <t>Trimestral</t>
        </is>
      </c>
      <c r="E2395" t="inlineStr">
        <is>
          <t>Positivo</t>
        </is>
      </c>
      <c r="F2395" s="113" t="n">
        <v>45657</v>
      </c>
      <c r="G2395" t="n">
        <v>2024</v>
      </c>
      <c r="H2395" t="inlineStr">
        <is>
          <t>Diciembre</t>
        </is>
      </c>
      <c r="I2395" t="inlineStr">
        <is>
          <t>2024-2</t>
        </is>
      </c>
      <c r="J2395" t="n">
        <v>100</v>
      </c>
      <c r="K2395" t="n">
        <v>100</v>
      </c>
      <c r="L2395" s="39" t="n">
        <v>1</v>
      </c>
      <c r="M2395" s="39" t="n">
        <v>1</v>
      </c>
      <c r="P2395" t="n">
        <v>0</v>
      </c>
      <c r="Q2395" t="n">
        <v>0</v>
      </c>
      <c r="R2395" t="inlineStr">
        <is>
          <t>449-2024-12-31</t>
        </is>
      </c>
    </row>
    <row r="2396" hidden="1">
      <c r="A2396" t="n">
        <v>451</v>
      </c>
      <c r="B2396" t="inlineStr">
        <is>
          <t>% Participación de publicaciones positiva</t>
        </is>
      </c>
      <c r="C2396" t="inlineStr">
        <is>
          <t>Comunicaciones Externas</t>
        </is>
      </c>
      <c r="D2396" t="inlineStr">
        <is>
          <t>Semestral</t>
        </is>
      </c>
      <c r="E2396" t="inlineStr">
        <is>
          <t>Positivo</t>
        </is>
      </c>
      <c r="F2396" s="113" t="n">
        <v>45473</v>
      </c>
      <c r="G2396" t="n">
        <v>2024</v>
      </c>
      <c r="H2396" t="inlineStr">
        <is>
          <t>Junio</t>
        </is>
      </c>
      <c r="I2396" t="inlineStr">
        <is>
          <t>2024-1</t>
        </is>
      </c>
      <c r="J2396" t="n">
        <v>0</v>
      </c>
      <c r="K2396" t="n">
        <v>34.9</v>
      </c>
      <c r="L2396" s="39" t="n"/>
      <c r="M2396" s="39" t="n"/>
      <c r="P2396" t="n">
        <v>0</v>
      </c>
      <c r="Q2396" t="n">
        <v>0</v>
      </c>
      <c r="R2396" t="inlineStr">
        <is>
          <t>451-2024-06-30</t>
        </is>
      </c>
    </row>
    <row r="2397" hidden="1">
      <c r="A2397" t="n">
        <v>451</v>
      </c>
      <c r="B2397" t="inlineStr">
        <is>
          <t>% Participación de publicaciones positiva</t>
        </is>
      </c>
      <c r="C2397" t="inlineStr">
        <is>
          <t>Comunicaciones Externas</t>
        </is>
      </c>
      <c r="D2397" t="inlineStr">
        <is>
          <t>Semestral</t>
        </is>
      </c>
      <c r="E2397" t="inlineStr">
        <is>
          <t>Positivo</t>
        </is>
      </c>
      <c r="F2397" s="113" t="n">
        <v>45657</v>
      </c>
      <c r="G2397" t="n">
        <v>2024</v>
      </c>
      <c r="H2397" t="inlineStr">
        <is>
          <t>Diciembre</t>
        </is>
      </c>
      <c r="I2397" t="inlineStr">
        <is>
          <t>2024-2</t>
        </is>
      </c>
      <c r="J2397" t="n">
        <v>0</v>
      </c>
      <c r="K2397" t="n">
        <v>42.7</v>
      </c>
      <c r="L2397" s="39" t="n"/>
      <c r="M2397" s="39" t="n"/>
      <c r="P2397" t="n">
        <v>0</v>
      </c>
      <c r="Q2397" t="n">
        <v>0</v>
      </c>
      <c r="R2397" t="inlineStr">
        <is>
          <t>451-2024-12-31</t>
        </is>
      </c>
    </row>
    <row r="2398" hidden="1">
      <c r="A2398" t="n">
        <v>451</v>
      </c>
      <c r="B2398" t="inlineStr">
        <is>
          <t>% Participación de publicaciones positiva</t>
        </is>
      </c>
      <c r="C2398" t="inlineStr">
        <is>
          <t>Comunicaciones Externas</t>
        </is>
      </c>
      <c r="D2398" t="inlineStr">
        <is>
          <t>Semestral</t>
        </is>
      </c>
      <c r="E2398" t="inlineStr">
        <is>
          <t>Positivo</t>
        </is>
      </c>
      <c r="F2398" s="113" t="n">
        <v>45838</v>
      </c>
      <c r="G2398" t="n">
        <v>2025</v>
      </c>
      <c r="H2398" t="inlineStr">
        <is>
          <t>Junio</t>
        </is>
      </c>
      <c r="I2398" t="inlineStr">
        <is>
          <t>2025-1</t>
        </is>
      </c>
      <c r="J2398" t="n">
        <v>100</v>
      </c>
      <c r="K2398" t="n">
        <v>119.5</v>
      </c>
      <c r="L2398" s="39" t="n">
        <v>1.195</v>
      </c>
      <c r="M2398" s="39" t="n">
        <v>1.195</v>
      </c>
      <c r="P2398" t="n">
        <v>0</v>
      </c>
      <c r="Q2398" t="n">
        <v>0</v>
      </c>
      <c r="R2398" t="inlineStr">
        <is>
          <t>451-2025-06-30</t>
        </is>
      </c>
    </row>
    <row r="2399" hidden="1">
      <c r="A2399" t="n">
        <v>451</v>
      </c>
      <c r="B2399" t="inlineStr">
        <is>
          <t>% de publicaciones con sentimiento positivo</t>
        </is>
      </c>
      <c r="C2399" t="inlineStr">
        <is>
          <t>Comunicaciones Externas</t>
        </is>
      </c>
      <c r="D2399" t="inlineStr">
        <is>
          <t>Trimestral</t>
        </is>
      </c>
      <c r="E2399" t="inlineStr">
        <is>
          <t>Positivo</t>
        </is>
      </c>
      <c r="F2399" s="113" t="n">
        <v>46022</v>
      </c>
      <c r="G2399" t="n">
        <v>2025</v>
      </c>
      <c r="H2399" t="inlineStr">
        <is>
          <t>Diciembre</t>
        </is>
      </c>
      <c r="I2399" t="inlineStr">
        <is>
          <t>2025-2</t>
        </is>
      </c>
      <c r="J2399" t="n">
        <v>100</v>
      </c>
      <c r="K2399" t="n">
        <v>130.8</v>
      </c>
      <c r="L2399" s="39" t="n">
        <v>1.3</v>
      </c>
      <c r="M2399" s="39" t="n">
        <v>1.308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451-2025-12-31</t>
        </is>
      </c>
    </row>
    <row r="2400" hidden="1">
      <c r="A2400" t="n">
        <v>452</v>
      </c>
      <c r="B2400" t="inlineStr">
        <is>
          <t>Seguimiento a eventos internos y externos institucionales</t>
        </is>
      </c>
      <c r="C2400" t="inlineStr">
        <is>
          <t>Comunicaciones Externas</t>
        </is>
      </c>
      <c r="D2400" t="inlineStr">
        <is>
          <t>Trimestral</t>
        </is>
      </c>
      <c r="E2400" t="inlineStr">
        <is>
          <t>Positivo</t>
        </is>
      </c>
      <c r="F2400" s="113" t="n">
        <v>45473</v>
      </c>
      <c r="G2400" t="n">
        <v>2024</v>
      </c>
      <c r="H2400" t="inlineStr">
        <is>
          <t>Junio</t>
        </is>
      </c>
      <c r="I2400" t="inlineStr">
        <is>
          <t>2024-1</t>
        </is>
      </c>
      <c r="J2400" t="n">
        <v>100</v>
      </c>
      <c r="K2400" t="n">
        <v>100</v>
      </c>
      <c r="L2400" s="39" t="n">
        <v>1</v>
      </c>
      <c r="M2400" s="39" t="n">
        <v>1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452-2024-06-30</t>
        </is>
      </c>
    </row>
    <row r="2401" hidden="1">
      <c r="A2401" t="n">
        <v>452</v>
      </c>
      <c r="B2401" t="inlineStr">
        <is>
          <t>Seguimiento a eventos internos y externos institucionales</t>
        </is>
      </c>
      <c r="C2401" t="inlineStr">
        <is>
          <t>Comunicaciones Externas</t>
        </is>
      </c>
      <c r="D2401" t="inlineStr">
        <is>
          <t>Semestral</t>
        </is>
      </c>
      <c r="E2401" t="inlineStr">
        <is>
          <t>Positivo</t>
        </is>
      </c>
      <c r="F2401" s="113" t="n">
        <v>45657</v>
      </c>
      <c r="G2401" t="n">
        <v>2024</v>
      </c>
      <c r="H2401" t="inlineStr">
        <is>
          <t>Diciembre</t>
        </is>
      </c>
      <c r="I2401" t="inlineStr">
        <is>
          <t>2024-2</t>
        </is>
      </c>
      <c r="J2401" t="n">
        <v>100</v>
      </c>
      <c r="K2401" t="n">
        <v>160</v>
      </c>
      <c r="L2401" s="39" t="n">
        <v>1.3</v>
      </c>
      <c r="M2401" s="39" t="n">
        <v>1.6</v>
      </c>
      <c r="P2401" t="n">
        <v>0</v>
      </c>
      <c r="Q2401" t="n">
        <v>0</v>
      </c>
      <c r="R2401" t="inlineStr">
        <is>
          <t>452-2024-12-31</t>
        </is>
      </c>
    </row>
    <row r="2402" hidden="1">
      <c r="A2402" t="n">
        <v>452</v>
      </c>
      <c r="B2402" t="inlineStr">
        <is>
          <t>Seguimiento a eventos internos y externos institucionales</t>
        </is>
      </c>
      <c r="C2402" t="inlineStr">
        <is>
          <t>Comunicaciones Externas</t>
        </is>
      </c>
      <c r="D2402" t="inlineStr">
        <is>
          <t>Trimestral</t>
        </is>
      </c>
      <c r="E2402" t="inlineStr">
        <is>
          <t>Positivo</t>
        </is>
      </c>
      <c r="F2402" s="113" t="n">
        <v>45838</v>
      </c>
      <c r="G2402" t="n">
        <v>2025</v>
      </c>
      <c r="H2402" t="inlineStr">
        <is>
          <t>Junio</t>
        </is>
      </c>
      <c r="I2402" t="inlineStr">
        <is>
          <t>2025-1</t>
        </is>
      </c>
      <c r="J2402" t="n">
        <v>100</v>
      </c>
      <c r="K2402" t="n">
        <v>102.27</v>
      </c>
      <c r="L2402" s="39" t="n">
        <v>1.0227</v>
      </c>
      <c r="M2402" s="39" t="n">
        <v>1.0227</v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452-2025-06-30</t>
        </is>
      </c>
    </row>
    <row r="2403" hidden="1">
      <c r="A2403" t="n">
        <v>452</v>
      </c>
      <c r="B2403" t="inlineStr">
        <is>
          <t>Seguimiento a eventos internos y externos institucionales</t>
        </is>
      </c>
      <c r="C2403" t="inlineStr">
        <is>
          <t>Comunicaciones Externas</t>
        </is>
      </c>
      <c r="D2403" t="inlineStr">
        <is>
          <t>Trimestral</t>
        </is>
      </c>
      <c r="E2403" t="inlineStr">
        <is>
          <t>Positivo</t>
        </is>
      </c>
      <c r="F2403" s="113" t="n">
        <v>46022</v>
      </c>
      <c r="G2403" t="n">
        <v>2025</v>
      </c>
      <c r="H2403" t="inlineStr">
        <is>
          <t>Diciembre</t>
        </is>
      </c>
      <c r="I2403" t="inlineStr">
        <is>
          <t>2025-2</t>
        </is>
      </c>
      <c r="J2403" t="n">
        <v>100</v>
      </c>
      <c r="K2403" t="n">
        <v>200</v>
      </c>
      <c r="L2403" s="39" t="n">
        <v>1.3</v>
      </c>
      <c r="M2403" s="39" t="n">
        <v>2</v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452-2025-12-31</t>
        </is>
      </c>
    </row>
    <row r="2404" hidden="1">
      <c r="A2404" t="n">
        <v>453</v>
      </c>
      <c r="B2404" t="inlineStr">
        <is>
          <t>Número de cursos diseñados</t>
        </is>
      </c>
      <c r="C2404" t="inlineStr">
        <is>
          <t>Diseño de Contenido Virtual</t>
        </is>
      </c>
      <c r="D2404" t="inlineStr">
        <is>
          <t>Trimestral</t>
        </is>
      </c>
      <c r="E2404" t="inlineStr">
        <is>
          <t>Positivo</t>
        </is>
      </c>
      <c r="F2404" s="113" t="n">
        <v>45382</v>
      </c>
      <c r="G2404" t="n">
        <v>2024</v>
      </c>
      <c r="H2404" t="inlineStr">
        <is>
          <t>Marzo</t>
        </is>
      </c>
      <c r="I2404" t="inlineStr">
        <is>
          <t>2024-1</t>
        </is>
      </c>
      <c r="K2404" t="n">
        <v>52</v>
      </c>
      <c r="L2404" s="39" t="n"/>
      <c r="M2404" s="39" t="n"/>
      <c r="P2404" t="n">
        <v>0</v>
      </c>
      <c r="Q2404" t="n">
        <v>0</v>
      </c>
      <c r="R2404" t="inlineStr">
        <is>
          <t>453-2024-03-31</t>
        </is>
      </c>
    </row>
    <row r="2405" hidden="1">
      <c r="A2405" t="n">
        <v>453</v>
      </c>
      <c r="B2405" t="inlineStr">
        <is>
          <t>Número de cursos diseñados</t>
        </is>
      </c>
      <c r="C2405" t="inlineStr">
        <is>
          <t>Diseño de Contenido Virtual</t>
        </is>
      </c>
      <c r="D2405" t="inlineStr">
        <is>
          <t>Trimestral</t>
        </is>
      </c>
      <c r="E2405" t="inlineStr">
        <is>
          <t>Positivo</t>
        </is>
      </c>
      <c r="F2405" s="113" t="n">
        <v>45473</v>
      </c>
      <c r="G2405" t="n">
        <v>2024</v>
      </c>
      <c r="H2405" t="inlineStr">
        <is>
          <t>Junio</t>
        </is>
      </c>
      <c r="I2405" t="inlineStr">
        <is>
          <t>2024-1</t>
        </is>
      </c>
      <c r="J2405" t="n">
        <v>100</v>
      </c>
      <c r="K2405" t="n">
        <v>140</v>
      </c>
      <c r="L2405" s="39" t="n">
        <v>1.3</v>
      </c>
      <c r="M2405" s="39" t="n">
        <v>1.4</v>
      </c>
      <c r="P2405" t="n">
        <v>0</v>
      </c>
      <c r="Q2405" t="n">
        <v>0</v>
      </c>
      <c r="R2405" t="inlineStr">
        <is>
          <t>453-2024-06-30</t>
        </is>
      </c>
    </row>
    <row r="2406" hidden="1">
      <c r="A2406" t="n">
        <v>453</v>
      </c>
      <c r="B2406" t="inlineStr">
        <is>
          <t>Número de cursos diseñados</t>
        </is>
      </c>
      <c r="C2406" t="inlineStr">
        <is>
          <t>Diseño de Contenido Virtual</t>
        </is>
      </c>
      <c r="D2406" t="inlineStr">
        <is>
          <t>Trimestral</t>
        </is>
      </c>
      <c r="E2406" t="inlineStr">
        <is>
          <t>Positivo</t>
        </is>
      </c>
      <c r="F2406" s="113" t="n">
        <v>45565</v>
      </c>
      <c r="G2406" t="n">
        <v>2024</v>
      </c>
      <c r="H2406" t="inlineStr">
        <is>
          <t>Septiembre</t>
        </is>
      </c>
      <c r="I2406" t="inlineStr">
        <is>
          <t>2024-2</t>
        </is>
      </c>
      <c r="J2406" t="n">
        <v>100</v>
      </c>
      <c r="K2406" t="n">
        <v>300</v>
      </c>
      <c r="L2406" s="39" t="n">
        <v>1.3</v>
      </c>
      <c r="M2406" s="39" t="n">
        <v>3</v>
      </c>
      <c r="P2406" t="n">
        <v>0</v>
      </c>
      <c r="Q2406" t="n">
        <v>0</v>
      </c>
      <c r="R2406" t="inlineStr">
        <is>
          <t>453-2024-09-30</t>
        </is>
      </c>
    </row>
    <row r="2407" hidden="1">
      <c r="A2407" t="n">
        <v>453</v>
      </c>
      <c r="B2407" t="inlineStr">
        <is>
          <t>Número de cursos diseñados</t>
        </is>
      </c>
      <c r="C2407" t="inlineStr">
        <is>
          <t>Diseño de Contenido Virtual</t>
        </is>
      </c>
      <c r="D2407" t="inlineStr">
        <is>
          <t>Trimestral</t>
        </is>
      </c>
      <c r="E2407" t="inlineStr">
        <is>
          <t>Positivo</t>
        </is>
      </c>
      <c r="F2407" s="113" t="n">
        <v>45657</v>
      </c>
      <c r="G2407" t="n">
        <v>2024</v>
      </c>
      <c r="H2407" t="inlineStr">
        <is>
          <t>Diciembre</t>
        </is>
      </c>
      <c r="I2407" t="inlineStr">
        <is>
          <t>2024-2</t>
        </is>
      </c>
      <c r="J2407" t="n">
        <v>100</v>
      </c>
      <c r="K2407" t="n">
        <v>148</v>
      </c>
      <c r="L2407" s="39" t="n">
        <v>1.3</v>
      </c>
      <c r="M2407" s="39" t="n">
        <v>1.48</v>
      </c>
      <c r="P2407" t="n">
        <v>0</v>
      </c>
      <c r="Q2407" t="n">
        <v>0</v>
      </c>
      <c r="R2407" t="inlineStr">
        <is>
          <t>453-2024-12-31</t>
        </is>
      </c>
    </row>
    <row r="2408" hidden="1">
      <c r="A2408" t="n">
        <v>453</v>
      </c>
      <c r="B2408" t="inlineStr">
        <is>
          <t>Número de cursos diseñados</t>
        </is>
      </c>
      <c r="C2408" t="inlineStr">
        <is>
          <t>Diseño de Contenido Virtual</t>
        </is>
      </c>
      <c r="D2408" t="inlineStr">
        <is>
          <t>Trimestral</t>
        </is>
      </c>
      <c r="E2408" t="inlineStr">
        <is>
          <t>Positivo</t>
        </is>
      </c>
      <c r="F2408" s="113" t="n">
        <v>45747</v>
      </c>
      <c r="G2408" t="n">
        <v>2025</v>
      </c>
      <c r="H2408" t="inlineStr">
        <is>
          <t>Marzo</t>
        </is>
      </c>
      <c r="I2408" t="inlineStr">
        <is>
          <t>2025-1</t>
        </is>
      </c>
      <c r="J2408" t="n">
        <v>100</v>
      </c>
      <c r="K2408" t="n">
        <v>48</v>
      </c>
      <c r="L2408" s="39" t="n">
        <v>0.48</v>
      </c>
      <c r="M2408" s="39" t="n">
        <v>0.48</v>
      </c>
      <c r="P2408" t="n">
        <v>0</v>
      </c>
      <c r="Q2408" t="n">
        <v>0</v>
      </c>
      <c r="R2408" t="inlineStr">
        <is>
          <t>453-2025-03-31</t>
        </is>
      </c>
    </row>
    <row r="2409" hidden="1">
      <c r="A2409" t="n">
        <v>453</v>
      </c>
      <c r="B2409" t="inlineStr">
        <is>
          <t>Número de cursos diseñados</t>
        </is>
      </c>
      <c r="C2409" t="inlineStr">
        <is>
          <t>Diseño de Contenido Virtual</t>
        </is>
      </c>
      <c r="D2409" t="inlineStr">
        <is>
          <t>Trimestral</t>
        </is>
      </c>
      <c r="E2409" t="inlineStr">
        <is>
          <t>Positivo</t>
        </is>
      </c>
      <c r="F2409" s="113" t="n">
        <v>45838</v>
      </c>
      <c r="G2409" t="n">
        <v>2025</v>
      </c>
      <c r="H2409" t="inlineStr">
        <is>
          <t>Junio</t>
        </is>
      </c>
      <c r="I2409" t="inlineStr">
        <is>
          <t>2025-1</t>
        </is>
      </c>
      <c r="J2409" t="n">
        <v>100</v>
      </c>
      <c r="K2409" t="n">
        <v>100</v>
      </c>
      <c r="L2409" s="39" t="n">
        <v>1</v>
      </c>
      <c r="M2409" s="39" t="n">
        <v>1</v>
      </c>
      <c r="P2409" t="n">
        <v>0</v>
      </c>
      <c r="Q2409" t="n">
        <v>0</v>
      </c>
      <c r="R2409" t="inlineStr">
        <is>
          <t>453-2025-06-30</t>
        </is>
      </c>
    </row>
    <row r="2410" hidden="1">
      <c r="A2410" t="n">
        <v>453</v>
      </c>
      <c r="B2410" t="inlineStr">
        <is>
          <t>Número de cursos diseñados</t>
        </is>
      </c>
      <c r="C2410" t="inlineStr">
        <is>
          <t>Diseño de Contenido Virtual</t>
        </is>
      </c>
      <c r="D2410" t="inlineStr">
        <is>
          <t>Semestral</t>
        </is>
      </c>
      <c r="E2410" t="inlineStr">
        <is>
          <t>Positivo</t>
        </is>
      </c>
      <c r="F2410" s="113" t="n">
        <v>45930</v>
      </c>
      <c r="G2410" t="n">
        <v>2025</v>
      </c>
      <c r="H2410" t="inlineStr">
        <is>
          <t>Septiembre</t>
        </is>
      </c>
      <c r="I2410" t="inlineStr">
        <is>
          <t>2025-2</t>
        </is>
      </c>
      <c r="J2410" t="n">
        <v>100</v>
      </c>
      <c r="K2410" t="n">
        <v>100</v>
      </c>
      <c r="L2410" s="39" t="n">
        <v>1</v>
      </c>
      <c r="M2410" s="39" t="n">
        <v>1</v>
      </c>
      <c r="P2410" t="n">
        <v>0</v>
      </c>
      <c r="Q2410" t="n">
        <v>0</v>
      </c>
      <c r="R2410" t="inlineStr">
        <is>
          <t>453-2025-09-30</t>
        </is>
      </c>
    </row>
    <row r="2411" hidden="1">
      <c r="A2411" t="n">
        <v>453</v>
      </c>
      <c r="B2411" t="inlineStr">
        <is>
          <t>Número de cursos diseñados</t>
        </is>
      </c>
      <c r="C2411" t="inlineStr">
        <is>
          <t>Diseño de Contenido Virtual</t>
        </is>
      </c>
      <c r="D2411" t="inlineStr">
        <is>
          <t>Semestral</t>
        </is>
      </c>
      <c r="E2411" t="inlineStr">
        <is>
          <t>Positivo</t>
        </is>
      </c>
      <c r="F2411" s="113" t="n">
        <v>46022</v>
      </c>
      <c r="G2411" t="n">
        <v>2025</v>
      </c>
      <c r="H2411" t="inlineStr">
        <is>
          <t>Diciembre</t>
        </is>
      </c>
      <c r="I2411" t="inlineStr">
        <is>
          <t>2025-2</t>
        </is>
      </c>
      <c r="J2411" t="n">
        <v>100</v>
      </c>
      <c r="K2411" t="n">
        <v>100</v>
      </c>
      <c r="L2411" s="39" t="n">
        <v>1</v>
      </c>
      <c r="M2411" s="39" t="n">
        <v>1</v>
      </c>
      <c r="P2411" t="n">
        <v>0</v>
      </c>
      <c r="Q2411" t="n">
        <v>0</v>
      </c>
      <c r="R2411" t="inlineStr">
        <is>
          <t>453-2025-12-31</t>
        </is>
      </c>
    </row>
    <row r="2412" hidden="1">
      <c r="A2412" t="n">
        <v>454</v>
      </c>
      <c r="B2412" t="inlineStr">
        <is>
          <t>Satisfacción de la calidad del contenido</t>
        </is>
      </c>
      <c r="C2412" t="inlineStr">
        <is>
          <t>Diseño de Contenido Virtual</t>
        </is>
      </c>
      <c r="D2412" t="inlineStr">
        <is>
          <t>Trimestral</t>
        </is>
      </c>
      <c r="E2412" t="inlineStr">
        <is>
          <t>Positivo</t>
        </is>
      </c>
      <c r="F2412" s="113" t="n">
        <v>45565</v>
      </c>
      <c r="G2412" t="n">
        <v>2024</v>
      </c>
      <c r="H2412" t="inlineStr">
        <is>
          <t>Septiembre</t>
        </is>
      </c>
      <c r="I2412" t="inlineStr">
        <is>
          <t>2024-2</t>
        </is>
      </c>
      <c r="J2412" t="n">
        <v>0</v>
      </c>
      <c r="K2412" t="n">
        <v>88</v>
      </c>
      <c r="L2412" s="39" t="n"/>
      <c r="M2412" s="39" t="n"/>
      <c r="P2412" t="n">
        <v>0</v>
      </c>
      <c r="Q2412" t="n">
        <v>0</v>
      </c>
      <c r="R2412" t="inlineStr">
        <is>
          <t>454-2024-09-30</t>
        </is>
      </c>
    </row>
    <row r="2413" hidden="1">
      <c r="A2413" t="n">
        <v>454</v>
      </c>
      <c r="B2413" t="inlineStr">
        <is>
          <t>Satisfacción de la calidad del contenido</t>
        </is>
      </c>
      <c r="C2413" t="inlineStr">
        <is>
          <t>Diseño de Contenido Virtual</t>
        </is>
      </c>
      <c r="D2413" t="inlineStr">
        <is>
          <t>Trimestral</t>
        </is>
      </c>
      <c r="E2413" t="inlineStr">
        <is>
          <t>Positivo</t>
        </is>
      </c>
      <c r="F2413" s="113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0</v>
      </c>
      <c r="K2413" t="n">
        <v>88</v>
      </c>
      <c r="L2413" s="39" t="n"/>
      <c r="M2413" s="39" t="n"/>
      <c r="P2413" t="n">
        <v>0</v>
      </c>
      <c r="Q2413" t="n">
        <v>0</v>
      </c>
      <c r="R2413" t="inlineStr">
        <is>
          <t>454-2024-12-31</t>
        </is>
      </c>
    </row>
    <row r="2414" hidden="1">
      <c r="A2414" t="n">
        <v>455</v>
      </c>
      <c r="B2414" t="inlineStr">
        <is>
          <t>ANS Diseño de contenidos virtuales</t>
        </is>
      </c>
      <c r="C2414" t="inlineStr">
        <is>
          <t>Diseño de Contenido Virtual</t>
        </is>
      </c>
      <c r="D2414" t="inlineStr">
        <is>
          <t>Trimestral</t>
        </is>
      </c>
      <c r="E2414" t="inlineStr">
        <is>
          <t>Positivo</t>
        </is>
      </c>
      <c r="F2414" s="113" t="n">
        <v>45565</v>
      </c>
      <c r="G2414" t="n">
        <v>2024</v>
      </c>
      <c r="H2414" t="inlineStr">
        <is>
          <t>Septiembre</t>
        </is>
      </c>
      <c r="I2414" t="inlineStr">
        <is>
          <t>2024-2</t>
        </is>
      </c>
      <c r="J2414" t="n">
        <v>90</v>
      </c>
      <c r="K2414" t="n">
        <v>100</v>
      </c>
      <c r="L2414" s="39" t="n">
        <v>1.111111111111111</v>
      </c>
      <c r="M2414" s="39" t="n">
        <v>1.111111111111111</v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455-2024-09-30</t>
        </is>
      </c>
    </row>
    <row r="2415" hidden="1">
      <c r="A2415" t="n">
        <v>455</v>
      </c>
      <c r="B2415" t="inlineStr">
        <is>
          <t>ANS Diseño de contenidos virtuales</t>
        </is>
      </c>
      <c r="C2415" t="inlineStr">
        <is>
          <t>Diseño de Contenido Virtual</t>
        </is>
      </c>
      <c r="D2415" t="inlineStr">
        <is>
          <t>Trimestral</t>
        </is>
      </c>
      <c r="E2415" t="inlineStr">
        <is>
          <t>Positivo</t>
        </is>
      </c>
      <c r="F2415" s="113" t="n">
        <v>45657</v>
      </c>
      <c r="G2415" t="n">
        <v>2024</v>
      </c>
      <c r="H2415" t="inlineStr">
        <is>
          <t>Diciembre</t>
        </is>
      </c>
      <c r="I2415" t="inlineStr">
        <is>
          <t>2024-2</t>
        </is>
      </c>
      <c r="J2415" t="n">
        <v>90</v>
      </c>
      <c r="K2415" t="n">
        <v>100</v>
      </c>
      <c r="L2415" s="39" t="n">
        <v>1.111111111111111</v>
      </c>
      <c r="M2415" s="39" t="n">
        <v>1.111111111111111</v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455-2024-12-31</t>
        </is>
      </c>
    </row>
    <row r="2416" hidden="1">
      <c r="A2416" t="n">
        <v>455</v>
      </c>
      <c r="B2416" t="inlineStr">
        <is>
          <t>ANS Diseño de contenidos virtuales</t>
        </is>
      </c>
      <c r="C2416" t="inlineStr">
        <is>
          <t>Diseño de Contenido Virtual</t>
        </is>
      </c>
      <c r="D2416" t="inlineStr">
        <is>
          <t>Semestral</t>
        </is>
      </c>
      <c r="E2416" t="inlineStr">
        <is>
          <t>Positivo</t>
        </is>
      </c>
      <c r="F2416" s="113" t="n">
        <v>45747</v>
      </c>
      <c r="G2416" t="n">
        <v>2025</v>
      </c>
      <c r="H2416" t="inlineStr">
        <is>
          <t>Marzo</t>
        </is>
      </c>
      <c r="I2416" t="inlineStr">
        <is>
          <t>2025-1</t>
        </is>
      </c>
      <c r="J2416" t="n">
        <v>100</v>
      </c>
      <c r="K2416" t="n">
        <v>100</v>
      </c>
      <c r="L2416" s="39" t="n">
        <v>1</v>
      </c>
      <c r="M2416" s="39" t="n">
        <v>1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455-2025-03-31</t>
        </is>
      </c>
    </row>
    <row r="2417" hidden="1">
      <c r="A2417" t="n">
        <v>455</v>
      </c>
      <c r="B2417" t="inlineStr">
        <is>
          <t>ANS Diseño de contenidos virtuales</t>
        </is>
      </c>
      <c r="C2417" t="inlineStr">
        <is>
          <t>Diseño de Contenido Virtual</t>
        </is>
      </c>
      <c r="D2417" t="inlineStr">
        <is>
          <t>Trimestral</t>
        </is>
      </c>
      <c r="E2417" t="inlineStr">
        <is>
          <t>Positivo</t>
        </is>
      </c>
      <c r="F2417" s="113" t="n">
        <v>45838</v>
      </c>
      <c r="G2417" t="n">
        <v>2025</v>
      </c>
      <c r="H2417" t="inlineStr">
        <is>
          <t>Junio</t>
        </is>
      </c>
      <c r="I2417" t="inlineStr">
        <is>
          <t>2025-1</t>
        </is>
      </c>
      <c r="J2417" t="n">
        <v>100</v>
      </c>
      <c r="K2417" t="n">
        <v>100</v>
      </c>
      <c r="L2417" s="39" t="n">
        <v>1</v>
      </c>
      <c r="M2417" s="39" t="n">
        <v>1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455-2025-06-30</t>
        </is>
      </c>
    </row>
    <row r="2418" hidden="1">
      <c r="A2418" t="n">
        <v>455</v>
      </c>
      <c r="B2418" t="inlineStr">
        <is>
          <t>ANS Diseño de contenidos virtuales</t>
        </is>
      </c>
      <c r="C2418" t="inlineStr">
        <is>
          <t>Diseño de Contenido Virtual</t>
        </is>
      </c>
      <c r="D2418" t="inlineStr">
        <is>
          <t>Semestral</t>
        </is>
      </c>
      <c r="E2418" t="inlineStr">
        <is>
          <t>Positivo</t>
        </is>
      </c>
      <c r="F2418" s="113" t="n">
        <v>45930</v>
      </c>
      <c r="G2418" t="n">
        <v>2025</v>
      </c>
      <c r="H2418" t="inlineStr">
        <is>
          <t>Septiembre</t>
        </is>
      </c>
      <c r="I2418" t="inlineStr">
        <is>
          <t>2025-2</t>
        </is>
      </c>
      <c r="J2418" t="n">
        <v>100</v>
      </c>
      <c r="K2418" t="n">
        <v>100</v>
      </c>
      <c r="L2418" s="39" t="n">
        <v>1</v>
      </c>
      <c r="M2418" s="39" t="n">
        <v>1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455-2025-09-30</t>
        </is>
      </c>
    </row>
    <row r="2419" hidden="1">
      <c r="A2419" t="n">
        <v>455</v>
      </c>
      <c r="B2419" t="inlineStr">
        <is>
          <t>ANS Diseño de contenidos virtuales</t>
        </is>
      </c>
      <c r="C2419" t="inlineStr">
        <is>
          <t>Diseño de Contenido Virtual</t>
        </is>
      </c>
      <c r="D2419" t="inlineStr">
        <is>
          <t>Semestral</t>
        </is>
      </c>
      <c r="E2419" t="inlineStr">
        <is>
          <t>Positivo</t>
        </is>
      </c>
      <c r="F2419" s="113" t="n">
        <v>46022</v>
      </c>
      <c r="G2419" t="n">
        <v>2025</v>
      </c>
      <c r="H2419" t="inlineStr">
        <is>
          <t>Diciembre</t>
        </is>
      </c>
      <c r="I2419" t="inlineStr">
        <is>
          <t>2025-2</t>
        </is>
      </c>
      <c r="J2419" t="n">
        <v>100</v>
      </c>
      <c r="K2419" t="n">
        <v>100</v>
      </c>
      <c r="L2419" s="39" t="n">
        <v>1</v>
      </c>
      <c r="M2419" s="39" t="n">
        <v>1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455-2025-12-31</t>
        </is>
      </c>
    </row>
    <row r="2420" hidden="1">
      <c r="A2420" t="n">
        <v>456</v>
      </c>
      <c r="B2420" t="inlineStr">
        <is>
          <t>Impacto de campañas de Mailing</t>
        </is>
      </c>
      <c r="C2420" t="inlineStr">
        <is>
          <t>Comunicaciones Internas</t>
        </is>
      </c>
      <c r="D2420" t="inlineStr">
        <is>
          <t>Semestral</t>
        </is>
      </c>
      <c r="E2420" t="inlineStr">
        <is>
          <t>Positivo</t>
        </is>
      </c>
      <c r="F2420" s="113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39" t="n">
        <v>1</v>
      </c>
      <c r="M2420" s="39" t="n">
        <v>1</v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456-2024-06-30</t>
        </is>
      </c>
    </row>
    <row r="2421" hidden="1">
      <c r="A2421" t="n">
        <v>456</v>
      </c>
      <c r="B2421" t="inlineStr">
        <is>
          <t>Impacto de campañas de Mailing</t>
        </is>
      </c>
      <c r="C2421" t="inlineStr">
        <is>
          <t>Comunicaciones Internas</t>
        </is>
      </c>
      <c r="D2421" t="inlineStr">
        <is>
          <t>Semestral</t>
        </is>
      </c>
      <c r="E2421" t="inlineStr">
        <is>
          <t>Positivo</t>
        </is>
      </c>
      <c r="F2421" s="113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94.69</v>
      </c>
      <c r="L2421" s="39" t="n">
        <v>0.9469</v>
      </c>
      <c r="M2421" s="39" t="n">
        <v>0.9469</v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456-2024-12-31</t>
        </is>
      </c>
    </row>
    <row r="2422" hidden="1">
      <c r="A2422" t="n">
        <v>456</v>
      </c>
      <c r="B2422" t="inlineStr">
        <is>
          <t>Impacto de campañas de Mailing</t>
        </is>
      </c>
      <c r="C2422" t="inlineStr">
        <is>
          <t>Comunicaciones Internas</t>
        </is>
      </c>
      <c r="D2422" t="inlineStr">
        <is>
          <t>Semestral</t>
        </is>
      </c>
      <c r="E2422" t="inlineStr">
        <is>
          <t>Positivo</t>
        </is>
      </c>
      <c r="F2422" s="113" t="n">
        <v>45747</v>
      </c>
      <c r="G2422" t="n">
        <v>2025</v>
      </c>
      <c r="H2422" t="inlineStr">
        <is>
          <t>Marzo</t>
        </is>
      </c>
      <c r="I2422" t="inlineStr">
        <is>
          <t>2025-1</t>
        </is>
      </c>
      <c r="J2422" t="n">
        <v>100</v>
      </c>
      <c r="K2422" t="n">
        <v>106.25</v>
      </c>
      <c r="L2422" s="39" t="n">
        <v>1.0625</v>
      </c>
      <c r="M2422" s="39" t="n">
        <v>1.0625</v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456-2025-03-31</t>
        </is>
      </c>
    </row>
    <row r="2423" hidden="1">
      <c r="A2423" t="n">
        <v>456</v>
      </c>
      <c r="B2423" t="inlineStr">
        <is>
          <t>Impacto de campañas de Mailing</t>
        </is>
      </c>
      <c r="C2423" t="inlineStr">
        <is>
          <t>Comunicaciones Internas</t>
        </is>
      </c>
      <c r="D2423" t="inlineStr">
        <is>
          <t>Semestral</t>
        </is>
      </c>
      <c r="E2423" t="inlineStr">
        <is>
          <t>Positivo</t>
        </is>
      </c>
      <c r="F2423" s="113" t="n">
        <v>45838</v>
      </c>
      <c r="G2423" t="n">
        <v>2025</v>
      </c>
      <c r="H2423" t="inlineStr">
        <is>
          <t>Junio</t>
        </is>
      </c>
      <c r="I2423" t="inlineStr">
        <is>
          <t>2025-1</t>
        </is>
      </c>
      <c r="J2423" t="n">
        <v>100</v>
      </c>
      <c r="K2423" t="n">
        <v>104.12</v>
      </c>
      <c r="L2423" s="39" t="n">
        <v>1.0412</v>
      </c>
      <c r="M2423" s="39" t="n">
        <v>1.0412</v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456-2025-06-30</t>
        </is>
      </c>
    </row>
    <row r="2424" hidden="1">
      <c r="A2424" t="n">
        <v>456</v>
      </c>
      <c r="B2424" t="inlineStr">
        <is>
          <t>Impacto de campañas de Mailing</t>
        </is>
      </c>
      <c r="C2424" t="inlineStr">
        <is>
          <t>Comunicaciones Internas</t>
        </is>
      </c>
      <c r="D2424" t="inlineStr">
        <is>
          <t>Semestral</t>
        </is>
      </c>
      <c r="E2424" t="inlineStr">
        <is>
          <t>Positivo</t>
        </is>
      </c>
      <c r="F2424" s="113" t="n">
        <v>45930</v>
      </c>
      <c r="G2424" t="n">
        <v>2025</v>
      </c>
      <c r="H2424" t="inlineStr">
        <is>
          <t>Septiembre</t>
        </is>
      </c>
      <c r="I2424" t="inlineStr">
        <is>
          <t>2025-2</t>
        </is>
      </c>
      <c r="J2424" t="n">
        <v>100</v>
      </c>
      <c r="K2424" t="n">
        <v>121.57</v>
      </c>
      <c r="L2424" s="39" t="n">
        <v>1.2157</v>
      </c>
      <c r="M2424" s="39" t="n">
        <v>1.2157</v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456-2025-09-30</t>
        </is>
      </c>
    </row>
    <row r="2425" hidden="1">
      <c r="A2425" t="n">
        <v>456</v>
      </c>
      <c r="B2425" t="inlineStr">
        <is>
          <t>Impacto de campañas de Mailing</t>
        </is>
      </c>
      <c r="C2425" t="inlineStr">
        <is>
          <t>Comunicaciones Internas</t>
        </is>
      </c>
      <c r="D2425" t="inlineStr">
        <is>
          <t>Semestral</t>
        </is>
      </c>
      <c r="E2425" t="inlineStr">
        <is>
          <t>Positivo</t>
        </is>
      </c>
      <c r="F2425" s="113" t="n">
        <v>46022</v>
      </c>
      <c r="G2425" t="n">
        <v>2025</v>
      </c>
      <c r="H2425" t="inlineStr">
        <is>
          <t>Diciembre</t>
        </is>
      </c>
      <c r="I2425" t="inlineStr">
        <is>
          <t>2025-2</t>
        </is>
      </c>
      <c r="J2425" t="n">
        <v>100</v>
      </c>
      <c r="K2425" t="n">
        <v>114.43</v>
      </c>
      <c r="L2425" s="39" t="n">
        <v>1.1443</v>
      </c>
      <c r="M2425" s="39" t="n">
        <v>1.1443</v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456-2025-12-31</t>
        </is>
      </c>
    </row>
    <row r="2426" hidden="1">
      <c r="A2426" t="n">
        <v>457</v>
      </c>
      <c r="B2426" t="inlineStr">
        <is>
          <t>Apertura de enlaces en mensajes de texto</t>
        </is>
      </c>
      <c r="C2426" t="inlineStr">
        <is>
          <t>Comunicaciones Internas</t>
        </is>
      </c>
      <c r="D2426" t="inlineStr">
        <is>
          <t>Semestral</t>
        </is>
      </c>
      <c r="E2426" t="inlineStr">
        <is>
          <t>Positivo</t>
        </is>
      </c>
      <c r="F2426" s="113" t="n">
        <v>45473</v>
      </c>
      <c r="G2426" t="n">
        <v>2024</v>
      </c>
      <c r="H2426" t="inlineStr">
        <is>
          <t>Junio</t>
        </is>
      </c>
      <c r="I2426" t="inlineStr">
        <is>
          <t>2024-1</t>
        </is>
      </c>
      <c r="J2426" t="n">
        <v>100</v>
      </c>
      <c r="K2426" t="n">
        <v>90</v>
      </c>
      <c r="L2426" s="39" t="n">
        <v>0.9</v>
      </c>
      <c r="M2426" s="39" t="n">
        <v>0.9</v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457-2024-06-30</t>
        </is>
      </c>
    </row>
    <row r="2427" hidden="1">
      <c r="A2427" t="n">
        <v>457</v>
      </c>
      <c r="B2427" t="inlineStr">
        <is>
          <t>Apertura de enlaces en mensajes de texto</t>
        </is>
      </c>
      <c r="C2427" t="inlineStr">
        <is>
          <t>Comunicaciones Internas</t>
        </is>
      </c>
      <c r="D2427" t="inlineStr">
        <is>
          <t>Semestral</t>
        </is>
      </c>
      <c r="E2427" t="inlineStr">
        <is>
          <t>Positivo</t>
        </is>
      </c>
      <c r="F2427" s="113" t="n">
        <v>45657</v>
      </c>
      <c r="G2427" t="n">
        <v>2024</v>
      </c>
      <c r="H2427" t="inlineStr">
        <is>
          <t>Diciembre</t>
        </is>
      </c>
      <c r="I2427" t="inlineStr">
        <is>
          <t>2024-2</t>
        </is>
      </c>
      <c r="J2427" t="n">
        <v>100</v>
      </c>
      <c r="K2427" t="n">
        <v>70</v>
      </c>
      <c r="L2427" s="39" t="n">
        <v>0.7</v>
      </c>
      <c r="M2427" s="39" t="n">
        <v>0.7</v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457-2024-12-31</t>
        </is>
      </c>
    </row>
    <row r="2428" hidden="1">
      <c r="A2428" t="n">
        <v>457</v>
      </c>
      <c r="B2428" t="inlineStr">
        <is>
          <t>Apertura de enlaces en mensajes de texto</t>
        </is>
      </c>
      <c r="C2428" t="inlineStr">
        <is>
          <t>Comunicaciones Internas</t>
        </is>
      </c>
      <c r="D2428" t="inlineStr">
        <is>
          <t>Semestral</t>
        </is>
      </c>
      <c r="E2428" t="inlineStr">
        <is>
          <t>Positivo</t>
        </is>
      </c>
      <c r="F2428" s="113" t="n">
        <v>45747</v>
      </c>
      <c r="G2428" t="n">
        <v>2025</v>
      </c>
      <c r="H2428" t="inlineStr">
        <is>
          <t>Marzo</t>
        </is>
      </c>
      <c r="I2428" t="inlineStr">
        <is>
          <t>2025-1</t>
        </is>
      </c>
      <c r="J2428" t="n">
        <v>100</v>
      </c>
      <c r="K2428" t="n">
        <v>200</v>
      </c>
      <c r="L2428" s="39" t="n">
        <v>1.3</v>
      </c>
      <c r="M2428" s="39" t="n">
        <v>2</v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457-2025-03-31</t>
        </is>
      </c>
    </row>
    <row r="2429" hidden="1">
      <c r="A2429" t="n">
        <v>457</v>
      </c>
      <c r="B2429" t="inlineStr">
        <is>
          <t>Apertura de enlaces en mensajes de texto</t>
        </is>
      </c>
      <c r="C2429" t="inlineStr">
        <is>
          <t>Comunicaciones Internas</t>
        </is>
      </c>
      <c r="D2429" t="inlineStr">
        <is>
          <t>Semestral</t>
        </is>
      </c>
      <c r="E2429" t="inlineStr">
        <is>
          <t>Positivo</t>
        </is>
      </c>
      <c r="F2429" s="113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83.33</v>
      </c>
      <c r="L2429" s="39" t="n">
        <v>0.8332999999999999</v>
      </c>
      <c r="M2429" s="39" t="n">
        <v>0.8332999999999999</v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457-2025-06-30</t>
        </is>
      </c>
    </row>
    <row r="2430" hidden="1">
      <c r="A2430" t="n">
        <v>457</v>
      </c>
      <c r="B2430" t="inlineStr">
        <is>
          <t>Apertura de enlaces en mensajes de texto</t>
        </is>
      </c>
      <c r="C2430" t="inlineStr">
        <is>
          <t>Comunicaciones Internas</t>
        </is>
      </c>
      <c r="D2430" t="inlineStr">
        <is>
          <t>Semestral</t>
        </is>
      </c>
      <c r="E2430" t="inlineStr">
        <is>
          <t>Positivo</t>
        </is>
      </c>
      <c r="F2430" s="113" t="n">
        <v>45930</v>
      </c>
      <c r="G2430" t="n">
        <v>2025</v>
      </c>
      <c r="H2430" t="inlineStr">
        <is>
          <t>Septiembre</t>
        </is>
      </c>
      <c r="I2430" t="inlineStr">
        <is>
          <t>2025-2</t>
        </is>
      </c>
      <c r="J2430" t="n">
        <v>100</v>
      </c>
      <c r="K2430" t="n">
        <v>85.70999999999999</v>
      </c>
      <c r="L2430" s="39" t="n">
        <v>0.8571</v>
      </c>
      <c r="M2430" s="39" t="n">
        <v>0.8571</v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457-2025-09-30</t>
        </is>
      </c>
    </row>
    <row r="2431" hidden="1">
      <c r="A2431" t="n">
        <v>457</v>
      </c>
      <c r="B2431" t="inlineStr">
        <is>
          <t>Apertura de enlaces en mensajes de texto</t>
        </is>
      </c>
      <c r="C2431" t="inlineStr">
        <is>
          <t>Comunicaciones Internas</t>
        </is>
      </c>
      <c r="D2431" t="inlineStr">
        <is>
          <t>Semestral</t>
        </is>
      </c>
      <c r="E2431" t="inlineStr">
        <is>
          <t>Positivo</t>
        </is>
      </c>
      <c r="F2431" s="113" t="n">
        <v>46022</v>
      </c>
      <c r="G2431" t="n">
        <v>2025</v>
      </c>
      <c r="H2431" t="inlineStr">
        <is>
          <t>Diciembre</t>
        </is>
      </c>
      <c r="I2431" t="inlineStr">
        <is>
          <t>2025-2</t>
        </is>
      </c>
      <c r="J2431" t="n">
        <v>100</v>
      </c>
      <c r="K2431" t="n">
        <v>83.33</v>
      </c>
      <c r="L2431" s="39" t="n">
        <v>0.8332999999999999</v>
      </c>
      <c r="M2431" s="39" t="n">
        <v>0.8332999999999999</v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457-2025-12-31</t>
        </is>
      </c>
    </row>
    <row r="2432" hidden="1">
      <c r="A2432" t="n">
        <v>459</v>
      </c>
      <c r="B2432" t="inlineStr">
        <is>
          <t>Número de publicaciones e historias</t>
        </is>
      </c>
      <c r="C2432" t="inlineStr">
        <is>
          <t>Comunicaciones Externas</t>
        </is>
      </c>
      <c r="D2432" t="inlineStr">
        <is>
          <t>Trimestral</t>
        </is>
      </c>
      <c r="E2432" t="inlineStr">
        <is>
          <t>Positivo</t>
        </is>
      </c>
      <c r="F2432" s="113" t="n">
        <v>45473</v>
      </c>
      <c r="G2432" t="n">
        <v>2024</v>
      </c>
      <c r="H2432" t="inlineStr">
        <is>
          <t>Junio</t>
        </is>
      </c>
      <c r="I2432" t="inlineStr">
        <is>
          <t>2024-1</t>
        </is>
      </c>
      <c r="J2432" t="n">
        <v>100</v>
      </c>
      <c r="K2432" t="n">
        <v>130.43</v>
      </c>
      <c r="L2432" s="39" t="n">
        <v>1.3</v>
      </c>
      <c r="M2432" s="39" t="n">
        <v>1.3043</v>
      </c>
      <c r="P2432" t="n">
        <v>0</v>
      </c>
      <c r="Q2432" t="n">
        <v>0</v>
      </c>
      <c r="R2432" t="inlineStr">
        <is>
          <t>459-2024-06-30</t>
        </is>
      </c>
    </row>
    <row r="2433" hidden="1">
      <c r="A2433" t="n">
        <v>459</v>
      </c>
      <c r="B2433" t="inlineStr">
        <is>
          <t>Número de publicaciones e historias</t>
        </is>
      </c>
      <c r="C2433" t="inlineStr">
        <is>
          <t>Comunicaciones Externas</t>
        </is>
      </c>
      <c r="D2433" t="inlineStr">
        <is>
          <t>Trimestral</t>
        </is>
      </c>
      <c r="E2433" t="inlineStr">
        <is>
          <t>Positivo</t>
        </is>
      </c>
      <c r="F2433" s="113" t="n">
        <v>45565</v>
      </c>
      <c r="G2433" t="n">
        <v>2024</v>
      </c>
      <c r="H2433" t="inlineStr">
        <is>
          <t>Septiembre</t>
        </is>
      </c>
      <c r="I2433" t="inlineStr">
        <is>
          <t>2024-2</t>
        </is>
      </c>
      <c r="J2433" t="n">
        <v>100</v>
      </c>
      <c r="K2433" t="n">
        <v>147.83</v>
      </c>
      <c r="L2433" s="39" t="n">
        <v>1.3</v>
      </c>
      <c r="M2433" s="39" t="n">
        <v>1.4783</v>
      </c>
      <c r="P2433" t="n">
        <v>0</v>
      </c>
      <c r="Q2433" t="n">
        <v>0</v>
      </c>
      <c r="R2433" t="inlineStr">
        <is>
          <t>459-2024-09-30</t>
        </is>
      </c>
    </row>
    <row r="2434" hidden="1">
      <c r="A2434" t="n">
        <v>460</v>
      </c>
      <c r="B2434" t="inlineStr">
        <is>
          <t>% de profesores (Contrato Indefinido- Fijo) impactados plan de desarrollo docente</t>
        </is>
      </c>
      <c r="C2434" t="inlineStr">
        <is>
          <t>GESTIÓN Y DESARROLLO DEL TALENTO HUMANO</t>
        </is>
      </c>
      <c r="D2434" t="inlineStr">
        <is>
          <t>Anual</t>
        </is>
      </c>
      <c r="E2434" t="inlineStr">
        <is>
          <t>Positivo</t>
        </is>
      </c>
      <c r="F2434" s="113" t="n">
        <v>45657</v>
      </c>
      <c r="G2434" t="n">
        <v>2024</v>
      </c>
      <c r="H2434" t="inlineStr">
        <is>
          <t>Diciembre</t>
        </is>
      </c>
      <c r="I2434" t="inlineStr">
        <is>
          <t>2024-2</t>
        </is>
      </c>
      <c r="J2434" t="n">
        <v>80</v>
      </c>
      <c r="K2434" t="n">
        <v>91.43968871595332</v>
      </c>
      <c r="L2434" s="39" t="n">
        <v>1.142996108949417</v>
      </c>
      <c r="M2434" s="39" t="n">
        <v>1.142996108949417</v>
      </c>
      <c r="P2434" t="n">
        <v>0</v>
      </c>
      <c r="Q2434" t="n">
        <v>0</v>
      </c>
      <c r="R2434" t="inlineStr">
        <is>
          <t>460-2024-12-31</t>
        </is>
      </c>
    </row>
    <row r="2435" hidden="1">
      <c r="A2435" t="n">
        <v>460</v>
      </c>
      <c r="B2435" t="inlineStr">
        <is>
          <t>% de profesores (Contrato Indefinido- Fijo) impactados plan de desarrollo docente</t>
        </is>
      </c>
      <c r="C2435" t="inlineStr">
        <is>
          <t>GESTIÓN Y DESARROLLO DEL TALENTO HUMANO</t>
        </is>
      </c>
      <c r="D2435" t="inlineStr">
        <is>
          <t>Anual</t>
        </is>
      </c>
      <c r="E2435" t="inlineStr">
        <is>
          <t>Positivo</t>
        </is>
      </c>
      <c r="F2435" s="113" t="n">
        <v>46022</v>
      </c>
      <c r="G2435" t="n">
        <v>2025</v>
      </c>
      <c r="H2435" t="inlineStr">
        <is>
          <t>Diciembre</t>
        </is>
      </c>
      <c r="I2435" t="inlineStr">
        <is>
          <t>2025-2</t>
        </is>
      </c>
      <c r="J2435" t="n">
        <v>80</v>
      </c>
      <c r="K2435" t="n">
        <v>84.18000000000001</v>
      </c>
      <c r="L2435" s="39" t="n">
        <v>1.05225</v>
      </c>
      <c r="M2435" s="39" t="n">
        <v>1.05225</v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1</v>
      </c>
      <c r="R2435" t="inlineStr">
        <is>
          <t>460-2025-12-31</t>
        </is>
      </c>
    </row>
    <row r="2436" hidden="1">
      <c r="A2436" t="n">
        <v>462</v>
      </c>
      <c r="B2436" t="inlineStr">
        <is>
          <t>Nivel Esfuerzo Editorial</t>
        </is>
      </c>
      <c r="C2436" t="inlineStr">
        <is>
          <t>Editorial y Publicaciones</t>
        </is>
      </c>
      <c r="D2436" t="inlineStr">
        <is>
          <t>Semestral</t>
        </is>
      </c>
      <c r="E2436" t="inlineStr">
        <is>
          <t>Positivo</t>
        </is>
      </c>
      <c r="F2436" s="113" t="n">
        <v>45473</v>
      </c>
      <c r="G2436" t="n">
        <v>2024</v>
      </c>
      <c r="H2436" t="inlineStr">
        <is>
          <t>Junio</t>
        </is>
      </c>
      <c r="I2436" t="inlineStr">
        <is>
          <t>2024-1</t>
        </is>
      </c>
      <c r="J2436" t="n">
        <v>85</v>
      </c>
      <c r="K2436" t="n">
        <v>100</v>
      </c>
      <c r="L2436" s="39" t="n">
        <v>1.176470588235294</v>
      </c>
      <c r="M2436" s="39" t="n">
        <v>1.176470588235294</v>
      </c>
      <c r="P2436" t="n">
        <v>0</v>
      </c>
      <c r="Q2436" t="n">
        <v>0</v>
      </c>
      <c r="R2436" t="inlineStr">
        <is>
          <t>462-2024-06-30</t>
        </is>
      </c>
    </row>
    <row r="2437" hidden="1">
      <c r="A2437" t="n">
        <v>462</v>
      </c>
      <c r="B2437" t="inlineStr">
        <is>
          <t>Nivel Esfuerzo Editorial</t>
        </is>
      </c>
      <c r="C2437" t="inlineStr">
        <is>
          <t>Editorial y Publicaciones</t>
        </is>
      </c>
      <c r="D2437" t="inlineStr">
        <is>
          <t>Semestral</t>
        </is>
      </c>
      <c r="E2437" t="inlineStr">
        <is>
          <t>Positivo</t>
        </is>
      </c>
      <c r="F2437" s="113" t="n">
        <v>45657</v>
      </c>
      <c r="G2437" t="n">
        <v>2024</v>
      </c>
      <c r="H2437" t="inlineStr">
        <is>
          <t>Diciembre</t>
        </is>
      </c>
      <c r="I2437" t="inlineStr">
        <is>
          <t>2024-2</t>
        </is>
      </c>
      <c r="J2437" t="n">
        <v>85</v>
      </c>
      <c r="K2437" t="n">
        <v>100</v>
      </c>
      <c r="L2437" s="39" t="n">
        <v>1.176470588235294</v>
      </c>
      <c r="M2437" s="39" t="n">
        <v>1.176470588235294</v>
      </c>
      <c r="P2437" t="n">
        <v>0</v>
      </c>
      <c r="Q2437" t="n">
        <v>0</v>
      </c>
      <c r="R2437" t="inlineStr">
        <is>
          <t>462-2024-12-31</t>
        </is>
      </c>
    </row>
    <row r="2438" hidden="1">
      <c r="A2438" t="n">
        <v>463</v>
      </c>
      <c r="B2438" t="inlineStr">
        <is>
          <t>Cumplimiento de las acciones del Plan de mejoramiento GPW</t>
        </is>
      </c>
      <c r="C2438" t="inlineStr">
        <is>
          <t>GESTIÓN Y DESARROLLO DEL TALENTO HUMANO</t>
        </is>
      </c>
      <c r="D2438" t="inlineStr">
        <is>
          <t>Semestral</t>
        </is>
      </c>
      <c r="E2438" t="inlineStr">
        <is>
          <t>Positivo</t>
        </is>
      </c>
      <c r="F2438" s="113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K2438" t="n">
        <v>95</v>
      </c>
      <c r="L2438" s="39" t="n">
        <v>0.95</v>
      </c>
      <c r="M2438" s="39" t="n">
        <v>0.95</v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463-2024-06-30</t>
        </is>
      </c>
    </row>
    <row r="2439" hidden="1">
      <c r="A2439" t="n">
        <v>463</v>
      </c>
      <c r="B2439" t="inlineStr">
        <is>
          <t>Cumplimiento de las acciones del Plan de mejoramiento GPW</t>
        </is>
      </c>
      <c r="C2439" t="inlineStr">
        <is>
          <t>GESTIÓN Y DESARROLLO DEL TALENTO HUMANO</t>
        </is>
      </c>
      <c r="D2439" t="inlineStr">
        <is>
          <t>Semestral</t>
        </is>
      </c>
      <c r="E2439" t="inlineStr">
        <is>
          <t>Positivo</t>
        </is>
      </c>
      <c r="F2439" s="113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39" t="n">
        <v>1</v>
      </c>
      <c r="M2439" s="39" t="n">
        <v>1</v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463-2024-12-31</t>
        </is>
      </c>
    </row>
    <row r="2440" hidden="1">
      <c r="A2440" t="n">
        <v>465</v>
      </c>
      <c r="B2440" t="inlineStr">
        <is>
          <t>% de depuración histórico  SNIES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13" t="n">
        <v>45473</v>
      </c>
      <c r="G2440" t="n">
        <v>2024</v>
      </c>
      <c r="H2440" t="inlineStr">
        <is>
          <t>Junio</t>
        </is>
      </c>
      <c r="I2440" t="inlineStr">
        <is>
          <t>2024-1</t>
        </is>
      </c>
      <c r="J2440" t="n">
        <v>75</v>
      </c>
      <c r="K2440" t="n">
        <v>57.86</v>
      </c>
      <c r="L2440" s="39" t="n">
        <v>0.7714666666666666</v>
      </c>
      <c r="M2440" s="39" t="n">
        <v>0.7714666666666666</v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465-2024-06-30</t>
        </is>
      </c>
    </row>
    <row r="2441" hidden="1">
      <c r="A2441" t="n">
        <v>465</v>
      </c>
      <c r="B2441" t="inlineStr">
        <is>
          <t>% de depuración histórico  SNIES</t>
        </is>
      </c>
      <c r="C2441" t="inlineStr">
        <is>
          <t>DATOS Y ANALÍTICA</t>
        </is>
      </c>
      <c r="D2441" t="inlineStr">
        <is>
          <t>Semestral</t>
        </is>
      </c>
      <c r="E2441" t="inlineStr">
        <is>
          <t>Positivo</t>
        </is>
      </c>
      <c r="F2441" s="113" t="n">
        <v>45657</v>
      </c>
      <c r="G2441" t="n">
        <v>2024</v>
      </c>
      <c r="H2441" t="inlineStr">
        <is>
          <t>Diciembre</t>
        </is>
      </c>
      <c r="I2441" t="inlineStr">
        <is>
          <t>2024-2</t>
        </is>
      </c>
      <c r="J2441" t="n">
        <v>100</v>
      </c>
      <c r="K2441" t="n">
        <v>56.83</v>
      </c>
      <c r="L2441" s="39" t="n">
        <v>0.5683</v>
      </c>
      <c r="M2441" s="39" t="n">
        <v>0.5683</v>
      </c>
      <c r="P2441" t="n">
        <v>0</v>
      </c>
      <c r="Q2441" t="n">
        <v>0</v>
      </c>
      <c r="R2441" t="inlineStr">
        <is>
          <t>465-2024-12-31</t>
        </is>
      </c>
    </row>
    <row r="2442" hidden="1">
      <c r="A2442" t="n">
        <v>466</v>
      </c>
      <c r="B2442" t="inlineStr">
        <is>
          <t>NPS Estudiantes</t>
        </is>
      </c>
      <c r="C2442" t="inlineStr">
        <is>
          <t>EXPERIENCIA INSTITUCIONAL</t>
        </is>
      </c>
      <c r="D2442" t="inlineStr">
        <is>
          <t>Semestral</t>
        </is>
      </c>
      <c r="E2442" t="inlineStr">
        <is>
          <t>Positivo</t>
        </is>
      </c>
      <c r="F2442" s="113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119.2</v>
      </c>
      <c r="L2442" s="39" t="n">
        <v>1.192</v>
      </c>
      <c r="M2442" s="39" t="n">
        <v>1.192</v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1</v>
      </c>
      <c r="R2442" t="inlineStr">
        <is>
          <t>466-2024-06-30</t>
        </is>
      </c>
    </row>
    <row r="2443" hidden="1">
      <c r="A2443" t="n">
        <v>466</v>
      </c>
      <c r="B2443" t="inlineStr">
        <is>
          <t>NPS Estudiantes</t>
        </is>
      </c>
      <c r="C2443" t="inlineStr">
        <is>
          <t>EXPERIENCIA INSTITUCIONAL</t>
        </is>
      </c>
      <c r="D2443" t="inlineStr">
        <is>
          <t>Semestral</t>
        </is>
      </c>
      <c r="E2443" t="inlineStr">
        <is>
          <t>Positivo</t>
        </is>
      </c>
      <c r="F2443" s="113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107.6</v>
      </c>
      <c r="L2443" s="39" t="n">
        <v>1.076</v>
      </c>
      <c r="M2443" s="39" t="n">
        <v>1.076</v>
      </c>
      <c r="N2443" t="inlineStr">
        <is>
          <t>ENT</t>
        </is>
      </c>
      <c r="O2443" t="inlineStr">
        <is>
          <t>DEC</t>
        </is>
      </c>
      <c r="P2443" t="n">
        <v>0</v>
      </c>
      <c r="Q2443" t="n">
        <v>1</v>
      </c>
      <c r="R2443" t="inlineStr">
        <is>
          <t>466-2024-12-31</t>
        </is>
      </c>
    </row>
    <row r="2444" hidden="1">
      <c r="A2444" t="n">
        <v>466</v>
      </c>
      <c r="B2444" t="inlineStr">
        <is>
          <t>NPS Estudiantes</t>
        </is>
      </c>
      <c r="C2444" t="inlineStr">
        <is>
          <t>EXPERIENCIA INSTITUCIONAL</t>
        </is>
      </c>
      <c r="D2444" t="inlineStr">
        <is>
          <t>Semestral</t>
        </is>
      </c>
      <c r="E2444" t="inlineStr">
        <is>
          <t>Positivo</t>
        </is>
      </c>
      <c r="F2444" s="113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ENT</t>
        </is>
      </c>
      <c r="P2444" t="n">
        <v>0</v>
      </c>
      <c r="Q2444" t="n">
        <v>0</v>
      </c>
      <c r="R2444" t="inlineStr">
        <is>
          <t>466-2025-06-30</t>
        </is>
      </c>
      <c r="S2444" t="inlineStr">
        <is>
          <t>No Aplica</t>
        </is>
      </c>
    </row>
    <row r="2445" hidden="1">
      <c r="A2445" t="n">
        <v>466</v>
      </c>
      <c r="B2445" t="inlineStr">
        <is>
          <t>NPS Estudiantes</t>
        </is>
      </c>
      <c r="C2445" t="inlineStr">
        <is>
          <t>EXPERIENCIA INSTITUCIONAL</t>
        </is>
      </c>
      <c r="D2445" t="inlineStr">
        <is>
          <t>Trimestral</t>
        </is>
      </c>
      <c r="E2445" t="inlineStr">
        <is>
          <t>Positivo</t>
        </is>
      </c>
      <c r="F2445" s="113" t="n">
        <v>46022</v>
      </c>
      <c r="G2445" t="n">
        <v>2025</v>
      </c>
      <c r="H2445" t="inlineStr">
        <is>
          <t>Diciembre</t>
        </is>
      </c>
      <c r="I2445" t="inlineStr">
        <is>
          <t>2025-2</t>
        </is>
      </c>
      <c r="J2445" t="n">
        <v>100</v>
      </c>
      <c r="K2445" t="n">
        <v>106.55</v>
      </c>
      <c r="L2445" s="39" t="n">
        <v>1.0655</v>
      </c>
      <c r="M2445" s="39" t="n">
        <v>1.0655</v>
      </c>
      <c r="N2445" t="inlineStr">
        <is>
          <t>ENT</t>
        </is>
      </c>
      <c r="O2445" t="inlineStr">
        <is>
          <t>DEC</t>
        </is>
      </c>
      <c r="P2445" t="n">
        <v>1</v>
      </c>
      <c r="Q2445" t="n">
        <v>1</v>
      </c>
      <c r="R2445" t="inlineStr">
        <is>
          <t>466-2025-12-31</t>
        </is>
      </c>
    </row>
    <row r="2446" hidden="1">
      <c r="A2446" t="n">
        <v>467</v>
      </c>
      <c r="B2446" t="inlineStr">
        <is>
          <t>NPS Graduados</t>
        </is>
      </c>
      <c r="C2446" t="inlineStr">
        <is>
          <t>EXPERIENCIA INSTITUCIONAL</t>
        </is>
      </c>
      <c r="D2446" t="inlineStr">
        <is>
          <t>Semestral</t>
        </is>
      </c>
      <c r="E2446" t="inlineStr">
        <is>
          <t>Positivo</t>
        </is>
      </c>
      <c r="F2446" s="113" t="n">
        <v>45473</v>
      </c>
      <c r="G2446" t="n">
        <v>2024</v>
      </c>
      <c r="H2446" t="inlineStr">
        <is>
          <t>Junio</t>
        </is>
      </c>
      <c r="I2446" t="inlineStr">
        <is>
          <t>2024-1</t>
        </is>
      </c>
      <c r="J2446" t="n">
        <v>100</v>
      </c>
      <c r="K2446" t="n">
        <v>121.25</v>
      </c>
      <c r="L2446" s="39" t="n">
        <v>1.2125</v>
      </c>
      <c r="M2446" s="39" t="n">
        <v>1.2125</v>
      </c>
      <c r="N2446" t="inlineStr">
        <is>
          <t>ENT</t>
        </is>
      </c>
      <c r="O2446" t="inlineStr">
        <is>
          <t>DEC</t>
        </is>
      </c>
      <c r="P2446" t="n">
        <v>0</v>
      </c>
      <c r="Q2446" t="n">
        <v>1</v>
      </c>
      <c r="R2446" t="inlineStr">
        <is>
          <t>467-2024-06-30</t>
        </is>
      </c>
    </row>
    <row r="2447" hidden="1">
      <c r="A2447" t="n">
        <v>467</v>
      </c>
      <c r="B2447" t="inlineStr">
        <is>
          <t>NPS Graduados</t>
        </is>
      </c>
      <c r="C2447" t="inlineStr">
        <is>
          <t>EXPERIENCIA INSTITUCIONAL</t>
        </is>
      </c>
      <c r="D2447" t="inlineStr">
        <is>
          <t>Semestral</t>
        </is>
      </c>
      <c r="E2447" t="inlineStr">
        <is>
          <t>Positivo</t>
        </is>
      </c>
      <c r="F2447" s="113" t="n">
        <v>45657</v>
      </c>
      <c r="G2447" t="n">
        <v>2024</v>
      </c>
      <c r="H2447" t="inlineStr">
        <is>
          <t>Diciembre</t>
        </is>
      </c>
      <c r="I2447" t="inlineStr">
        <is>
          <t>2024-2</t>
        </is>
      </c>
      <c r="J2447" t="n">
        <v>100</v>
      </c>
      <c r="K2447" t="n">
        <v>121.83</v>
      </c>
      <c r="L2447" s="39" t="n">
        <v>1.2183</v>
      </c>
      <c r="M2447" s="39" t="n">
        <v>1.2183</v>
      </c>
      <c r="N2447" t="inlineStr">
        <is>
          <t>ENT</t>
        </is>
      </c>
      <c r="O2447" t="inlineStr">
        <is>
          <t>DEC</t>
        </is>
      </c>
      <c r="P2447" t="n">
        <v>0</v>
      </c>
      <c r="Q2447" t="n">
        <v>1</v>
      </c>
      <c r="R2447" t="inlineStr">
        <is>
          <t>467-2024-12-31</t>
        </is>
      </c>
    </row>
    <row r="2448" hidden="1">
      <c r="A2448" t="n">
        <v>467</v>
      </c>
      <c r="B2448" t="inlineStr">
        <is>
          <t>NPS Graduados</t>
        </is>
      </c>
      <c r="C2448" t="inlineStr">
        <is>
          <t>EXPERIENCIA INSTITUCIONAL</t>
        </is>
      </c>
      <c r="D2448" t="inlineStr">
        <is>
          <t>Semestral</t>
        </is>
      </c>
      <c r="E2448" t="inlineStr">
        <is>
          <t>Positivo</t>
        </is>
      </c>
      <c r="F2448" s="113" t="n">
        <v>45838</v>
      </c>
      <c r="G2448" t="n">
        <v>2025</v>
      </c>
      <c r="H2448" t="inlineStr">
        <is>
          <t>Junio</t>
        </is>
      </c>
      <c r="I2448" t="inlineStr">
        <is>
          <t>2025-1</t>
        </is>
      </c>
      <c r="J2448" t="n">
        <v>100</v>
      </c>
      <c r="K2448" t="n">
        <v>118</v>
      </c>
      <c r="L2448" s="39" t="n">
        <v>1.18</v>
      </c>
      <c r="M2448" s="39" t="n">
        <v>1.18</v>
      </c>
      <c r="N2448" t="inlineStr">
        <is>
          <t>ENT</t>
        </is>
      </c>
      <c r="O2448" t="inlineStr">
        <is>
          <t>DEC</t>
        </is>
      </c>
      <c r="P2448" t="n">
        <v>0</v>
      </c>
      <c r="Q2448" t="n">
        <v>1</v>
      </c>
      <c r="R2448" t="inlineStr">
        <is>
          <t>467-2025-06-30</t>
        </is>
      </c>
    </row>
    <row r="2449" hidden="1">
      <c r="A2449" t="n">
        <v>467</v>
      </c>
      <c r="B2449" t="inlineStr">
        <is>
          <t>NPS Graduados</t>
        </is>
      </c>
      <c r="C2449" t="inlineStr">
        <is>
          <t>EXPERIENCIA INSTITUCIONAL</t>
        </is>
      </c>
      <c r="D2449" t="inlineStr">
        <is>
          <t>Trimestral</t>
        </is>
      </c>
      <c r="E2449" t="inlineStr">
        <is>
          <t>Positivo</t>
        </is>
      </c>
      <c r="F2449" s="113" t="n">
        <v>46022</v>
      </c>
      <c r="G2449" t="n">
        <v>2025</v>
      </c>
      <c r="H2449" t="inlineStr">
        <is>
          <t>Diciembre</t>
        </is>
      </c>
      <c r="I2449" t="inlineStr">
        <is>
          <t>2025-2</t>
        </is>
      </c>
      <c r="J2449" t="n">
        <v>100</v>
      </c>
      <c r="K2449" t="n">
        <v>99.5</v>
      </c>
      <c r="L2449" s="39" t="n">
        <v>0.995</v>
      </c>
      <c r="M2449" s="39" t="n">
        <v>0.995</v>
      </c>
      <c r="N2449" t="inlineStr">
        <is>
          <t>ENT</t>
        </is>
      </c>
      <c r="O2449" t="inlineStr">
        <is>
          <t>DEC</t>
        </is>
      </c>
      <c r="P2449" t="n">
        <v>0</v>
      </c>
      <c r="Q2449" t="n">
        <v>1</v>
      </c>
      <c r="R2449" t="inlineStr">
        <is>
          <t>467-2025-12-31</t>
        </is>
      </c>
    </row>
    <row r="2450" hidden="1">
      <c r="A2450" t="n">
        <v>468</v>
      </c>
      <c r="B2450" t="inlineStr">
        <is>
          <t>CES General</t>
        </is>
      </c>
      <c r="C2450" t="inlineStr">
        <is>
          <t>EXPERIENCIA INSTITUCIONAL</t>
        </is>
      </c>
      <c r="D2450" t="inlineStr">
        <is>
          <t>Semestral</t>
        </is>
      </c>
      <c r="E2450" t="inlineStr">
        <is>
          <t>Negativo</t>
        </is>
      </c>
      <c r="F2450" s="113" t="n">
        <v>45473</v>
      </c>
      <c r="G2450" t="n">
        <v>2024</v>
      </c>
      <c r="H2450" t="inlineStr">
        <is>
          <t>Junio</t>
        </is>
      </c>
      <c r="I2450" t="inlineStr">
        <is>
          <t>2024-1</t>
        </is>
      </c>
      <c r="J2450" t="n">
        <v>3</v>
      </c>
      <c r="K2450" t="n">
        <v>2.85</v>
      </c>
      <c r="L2450" s="39" t="n">
        <v>1.052631578947368</v>
      </c>
      <c r="M2450" s="39" t="n">
        <v>1.052631578947368</v>
      </c>
      <c r="N2450" t="inlineStr">
        <is>
          <t>ENT</t>
        </is>
      </c>
      <c r="O2450" t="inlineStr">
        <is>
          <t>DEC</t>
        </is>
      </c>
      <c r="P2450" t="n">
        <v>0</v>
      </c>
      <c r="Q2450" t="n">
        <v>1</v>
      </c>
      <c r="R2450" t="inlineStr">
        <is>
          <t>468-2024-06-30</t>
        </is>
      </c>
    </row>
    <row r="2451" hidden="1">
      <c r="A2451" t="n">
        <v>468</v>
      </c>
      <c r="B2451" t="inlineStr">
        <is>
          <t>CES General</t>
        </is>
      </c>
      <c r="C2451" t="inlineStr">
        <is>
          <t>EXPERIENCIA INSTITUCIONAL</t>
        </is>
      </c>
      <c r="D2451" t="inlineStr">
        <is>
          <t>Semestral</t>
        </is>
      </c>
      <c r="E2451" t="inlineStr">
        <is>
          <t>Negativo</t>
        </is>
      </c>
      <c r="F2451" s="113" t="n">
        <v>45657</v>
      </c>
      <c r="G2451" t="n">
        <v>2024</v>
      </c>
      <c r="H2451" t="inlineStr">
        <is>
          <t>Diciembre</t>
        </is>
      </c>
      <c r="I2451" t="inlineStr">
        <is>
          <t>2024-2</t>
        </is>
      </c>
      <c r="J2451" t="n">
        <v>3</v>
      </c>
      <c r="K2451" t="n">
        <v>2.6</v>
      </c>
      <c r="L2451" s="39" t="n">
        <v>1.153846153846154</v>
      </c>
      <c r="M2451" s="39" t="n">
        <v>1.153846153846154</v>
      </c>
      <c r="N2451" t="inlineStr">
        <is>
          <t>ENT</t>
        </is>
      </c>
      <c r="O2451" t="inlineStr">
        <is>
          <t>DEC</t>
        </is>
      </c>
      <c r="P2451" t="n">
        <v>0</v>
      </c>
      <c r="Q2451" t="n">
        <v>1</v>
      </c>
      <c r="R2451" t="inlineStr">
        <is>
          <t>468-2024-12-31</t>
        </is>
      </c>
    </row>
    <row r="2452" hidden="1">
      <c r="A2452" t="n">
        <v>468</v>
      </c>
      <c r="B2452" t="inlineStr">
        <is>
          <t>CES General</t>
        </is>
      </c>
      <c r="C2452" t="inlineStr">
        <is>
          <t>EXPERIENCIA INSTITUCIONAL</t>
        </is>
      </c>
      <c r="D2452" t="inlineStr">
        <is>
          <t>Semestral</t>
        </is>
      </c>
      <c r="E2452" t="inlineStr">
        <is>
          <t>Negativo</t>
        </is>
      </c>
      <c r="F2452" s="113" t="n">
        <v>45838</v>
      </c>
      <c r="G2452" t="n">
        <v>2025</v>
      </c>
      <c r="H2452" t="inlineStr">
        <is>
          <t>Junio</t>
        </is>
      </c>
      <c r="I2452" t="inlineStr">
        <is>
          <t>2025-1</t>
        </is>
      </c>
      <c r="J2452" t="n">
        <v>2.5</v>
      </c>
      <c r="K2452" t="n">
        <v>2.4</v>
      </c>
      <c r="L2452" s="39" t="n">
        <v>1.041666666666667</v>
      </c>
      <c r="M2452" s="39" t="n">
        <v>1.041666666666667</v>
      </c>
      <c r="N2452" t="inlineStr">
        <is>
          <t>DEC</t>
        </is>
      </c>
      <c r="O2452" t="inlineStr">
        <is>
          <t>DEC</t>
        </is>
      </c>
      <c r="P2452" t="n">
        <v>1</v>
      </c>
      <c r="Q2452" t="n">
        <v>1</v>
      </c>
      <c r="R2452" t="inlineStr">
        <is>
          <t>468-2025-06-30</t>
        </is>
      </c>
    </row>
    <row r="2453" hidden="1">
      <c r="A2453" t="n">
        <v>468</v>
      </c>
      <c r="B2453" t="inlineStr">
        <is>
          <t>CES General</t>
        </is>
      </c>
      <c r="C2453" t="inlineStr">
        <is>
          <t>EXPERIENCIA INSTITUCIONAL</t>
        </is>
      </c>
      <c r="D2453" t="inlineStr">
        <is>
          <t>Trimestral</t>
        </is>
      </c>
      <c r="E2453" t="inlineStr">
        <is>
          <t>Negativo</t>
        </is>
      </c>
      <c r="F2453" s="113" t="n">
        <v>46022</v>
      </c>
      <c r="G2453" t="n">
        <v>2025</v>
      </c>
      <c r="H2453" t="inlineStr">
        <is>
          <t>Diciembre</t>
        </is>
      </c>
      <c r="I2453" t="inlineStr">
        <is>
          <t>2025-2</t>
        </is>
      </c>
      <c r="J2453" t="n">
        <v>2.5</v>
      </c>
      <c r="K2453" t="n">
        <v>2.1</v>
      </c>
      <c r="L2453" s="39" t="n">
        <v>1.19047619047619</v>
      </c>
      <c r="M2453" s="39" t="n">
        <v>1.19047619047619</v>
      </c>
      <c r="N2453" t="inlineStr">
        <is>
          <t>DEC</t>
        </is>
      </c>
      <c r="O2453" t="inlineStr">
        <is>
          <t>DEC</t>
        </is>
      </c>
      <c r="P2453" t="n">
        <v>1</v>
      </c>
      <c r="Q2453" t="n">
        <v>1</v>
      </c>
      <c r="R2453" t="inlineStr">
        <is>
          <t>468-2025-12-31</t>
        </is>
      </c>
    </row>
    <row r="2454" hidden="1">
      <c r="A2454" t="n">
        <v>469</v>
      </c>
      <c r="B2454" t="inlineStr">
        <is>
          <t>Cumplimiento Plan Anual Áreas sede Medellín</t>
        </is>
      </c>
      <c r="C2454" t="inlineStr">
        <is>
          <t>Planeación Estratégica</t>
        </is>
      </c>
      <c r="D2454" t="inlineStr">
        <is>
          <t>Trimestral</t>
        </is>
      </c>
      <c r="E2454" t="inlineStr">
        <is>
          <t>Positivo</t>
        </is>
      </c>
      <c r="F2454" s="113" t="n">
        <v>45382</v>
      </c>
      <c r="G2454" t="n">
        <v>2024</v>
      </c>
      <c r="H2454" t="inlineStr">
        <is>
          <t>Marzo</t>
        </is>
      </c>
      <c r="I2454" t="inlineStr">
        <is>
          <t>2024-1</t>
        </is>
      </c>
      <c r="J2454" t="n">
        <v>100</v>
      </c>
      <c r="K2454" t="n">
        <v>195.07</v>
      </c>
      <c r="L2454" s="39" t="n">
        <v>1.3</v>
      </c>
      <c r="M2454" s="39" t="n">
        <v>1.9507</v>
      </c>
      <c r="N2454" t="inlineStr">
        <is>
          <t>%</t>
        </is>
      </c>
      <c r="O2454" t="inlineStr">
        <is>
          <t>%</t>
        </is>
      </c>
      <c r="P2454" t="n">
        <v>1</v>
      </c>
      <c r="Q2454" t="n">
        <v>1</v>
      </c>
      <c r="R2454" t="inlineStr">
        <is>
          <t>469-2024-03-31</t>
        </is>
      </c>
    </row>
    <row r="2455" hidden="1">
      <c r="A2455" t="n">
        <v>469</v>
      </c>
      <c r="B2455" t="inlineStr">
        <is>
          <t>Cumplimiento Plan Anual Áreas sede Medellín</t>
        </is>
      </c>
      <c r="C2455" t="inlineStr">
        <is>
          <t>Sede Medellín</t>
        </is>
      </c>
      <c r="D2455" t="inlineStr">
        <is>
          <t>Trimestral</t>
        </is>
      </c>
      <c r="E2455" t="inlineStr">
        <is>
          <t>Positivo</t>
        </is>
      </c>
      <c r="F2455" s="113" t="n">
        <v>45473</v>
      </c>
      <c r="G2455" t="n">
        <v>2024</v>
      </c>
      <c r="H2455" t="inlineStr">
        <is>
          <t>Junio</t>
        </is>
      </c>
      <c r="I2455" t="inlineStr">
        <is>
          <t>2024-1</t>
        </is>
      </c>
      <c r="J2455" t="n">
        <v>100</v>
      </c>
      <c r="K2455" t="n">
        <v>114.33</v>
      </c>
      <c r="L2455" s="39" t="n">
        <v>1.1433</v>
      </c>
      <c r="M2455" s="39" t="n">
        <v>1.1433</v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469-2024-06-30</t>
        </is>
      </c>
    </row>
    <row r="2456" hidden="1">
      <c r="A2456" t="n">
        <v>469</v>
      </c>
      <c r="B2456" t="inlineStr">
        <is>
          <t>Cumplimiento Plan Anual Áreas sede Medellín</t>
        </is>
      </c>
      <c r="C2456" t="inlineStr">
        <is>
          <t>Planeación Estratégica</t>
        </is>
      </c>
      <c r="D2456" t="inlineStr">
        <is>
          <t>Trimestral</t>
        </is>
      </c>
      <c r="E2456" t="inlineStr">
        <is>
          <t>Positivo</t>
        </is>
      </c>
      <c r="F2456" s="113" t="n">
        <v>45565</v>
      </c>
      <c r="G2456" t="n">
        <v>2024</v>
      </c>
      <c r="H2456" t="inlineStr">
        <is>
          <t>Septiembre</t>
        </is>
      </c>
      <c r="I2456" t="inlineStr">
        <is>
          <t>2024-2</t>
        </is>
      </c>
      <c r="J2456" t="n">
        <v>100</v>
      </c>
      <c r="K2456" t="n">
        <v>94.86</v>
      </c>
      <c r="L2456" s="39" t="n">
        <v>0.9486</v>
      </c>
      <c r="M2456" s="39" t="n">
        <v>0.9486</v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469-2024-09-30</t>
        </is>
      </c>
    </row>
    <row r="2457" hidden="1">
      <c r="A2457" t="n">
        <v>469</v>
      </c>
      <c r="B2457" t="inlineStr">
        <is>
          <t>Cumplimiento Plan Anual Áreas sede Medellín</t>
        </is>
      </c>
      <c r="C2457" t="inlineStr">
        <is>
          <t>Planeación Estratégica</t>
        </is>
      </c>
      <c r="D2457" t="inlineStr">
        <is>
          <t>Trimestral</t>
        </is>
      </c>
      <c r="E2457" t="inlineStr">
        <is>
          <t>Positivo</t>
        </is>
      </c>
      <c r="F2457" s="113" t="n">
        <v>45657</v>
      </c>
      <c r="G2457" t="n">
        <v>2024</v>
      </c>
      <c r="H2457" t="inlineStr">
        <is>
          <t>Diciembre</t>
        </is>
      </c>
      <c r="I2457" t="inlineStr">
        <is>
          <t>2024-2</t>
        </is>
      </c>
      <c r="J2457" t="n">
        <v>100</v>
      </c>
      <c r="K2457" t="n">
        <v>99.7</v>
      </c>
      <c r="L2457" s="39" t="n">
        <v>0.997</v>
      </c>
      <c r="M2457" s="39" t="n">
        <v>0.997</v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469-2024-12-31</t>
        </is>
      </c>
    </row>
    <row r="2458" hidden="1">
      <c r="A2458" t="n">
        <v>469</v>
      </c>
      <c r="B2458" t="inlineStr">
        <is>
          <t>Cumplimiento Plan Anual Áreas sede Medellín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13" t="n">
        <v>45747</v>
      </c>
      <c r="G2458" t="n">
        <v>2025</v>
      </c>
      <c r="H2458" t="inlineStr">
        <is>
          <t>Marzo</t>
        </is>
      </c>
      <c r="I2458" t="inlineStr">
        <is>
          <t>2025-1</t>
        </is>
      </c>
      <c r="J2458" t="n">
        <v>100</v>
      </c>
      <c r="K2458" t="n">
        <v>118.03</v>
      </c>
      <c r="L2458" s="39" t="n">
        <v>1.1803</v>
      </c>
      <c r="M2458" s="39" t="n">
        <v>1.1803</v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469-2025-03-31</t>
        </is>
      </c>
    </row>
    <row r="2459" hidden="1">
      <c r="A2459" t="n">
        <v>469</v>
      </c>
      <c r="B2459" t="inlineStr">
        <is>
          <t>Cumplimiento Plan Anual Áreas sede Medellín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13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J2459" t="n">
        <v>100</v>
      </c>
      <c r="K2459" t="n">
        <v>103.52</v>
      </c>
      <c r="L2459" s="39" t="n">
        <v>1.0352</v>
      </c>
      <c r="M2459" s="39" t="n">
        <v>1.0352</v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469-2025-06-30</t>
        </is>
      </c>
    </row>
    <row r="2460" hidden="1">
      <c r="A2460" t="n">
        <v>469</v>
      </c>
      <c r="B2460" t="inlineStr">
        <is>
          <t>Cumplimiento Plan Anual Áreas sede Medellín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13" t="n">
        <v>45930</v>
      </c>
      <c r="G2460" t="n">
        <v>2025</v>
      </c>
      <c r="H2460" t="inlineStr">
        <is>
          <t>Septiembre</t>
        </is>
      </c>
      <c r="I2460" t="inlineStr">
        <is>
          <t>2025-2</t>
        </is>
      </c>
      <c r="J2460" t="n">
        <v>100</v>
      </c>
      <c r="K2460" t="n">
        <v>92.65000000000001</v>
      </c>
      <c r="L2460" s="39" t="n">
        <v>0.9265000000000001</v>
      </c>
      <c r="M2460" s="39" t="n">
        <v>0.9265000000000001</v>
      </c>
      <c r="N2460" t="inlineStr">
        <is>
          <t>%</t>
        </is>
      </c>
      <c r="O2460" t="inlineStr">
        <is>
          <t>%</t>
        </is>
      </c>
      <c r="P2460" t="n">
        <v>0</v>
      </c>
      <c r="Q2460" t="n">
        <v>0</v>
      </c>
      <c r="R2460" t="inlineStr">
        <is>
          <t>469-2025-09-30</t>
        </is>
      </c>
    </row>
    <row r="2461" hidden="1">
      <c r="A2461" t="n">
        <v>469</v>
      </c>
      <c r="B2461" t="inlineStr">
        <is>
          <t>Cumplimiento Plan Anual Áreas sede Medellín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13" t="n">
        <v>46022</v>
      </c>
      <c r="G2461" t="n">
        <v>2025</v>
      </c>
      <c r="H2461" t="inlineStr">
        <is>
          <t>Diciembre</t>
        </is>
      </c>
      <c r="I2461" t="inlineStr">
        <is>
          <t>2025-2</t>
        </is>
      </c>
      <c r="J2461" t="n">
        <v>100</v>
      </c>
      <c r="K2461" t="n">
        <v>99.13</v>
      </c>
      <c r="L2461" s="39" t="n">
        <v>0.9913</v>
      </c>
      <c r="M2461" s="39" t="n">
        <v>0.9913</v>
      </c>
      <c r="N2461" t="inlineStr">
        <is>
          <t>%</t>
        </is>
      </c>
      <c r="O2461" t="inlineStr">
        <is>
          <t>%</t>
        </is>
      </c>
      <c r="P2461" t="n">
        <v>0</v>
      </c>
      <c r="Q2461" t="n">
        <v>0</v>
      </c>
      <c r="R2461" t="inlineStr">
        <is>
          <t>469-2025-12-31</t>
        </is>
      </c>
    </row>
    <row r="2462" hidden="1">
      <c r="A2462" t="n">
        <v>470</v>
      </c>
      <c r="B2462" t="inlineStr">
        <is>
          <t>Cumplimiento plan anual Secretaria académica y de extensión</t>
        </is>
      </c>
      <c r="C2462" t="inlineStr">
        <is>
          <t>Planeación Estratégica</t>
        </is>
      </c>
      <c r="D2462" t="inlineStr">
        <is>
          <t>Trimestral</t>
        </is>
      </c>
      <c r="E2462" t="inlineStr">
        <is>
          <t>Positivo</t>
        </is>
      </c>
      <c r="F2462" s="113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J2462" t="n">
        <v>100</v>
      </c>
      <c r="K2462" t="n">
        <v>79.59999999999999</v>
      </c>
      <c r="L2462" s="39" t="n">
        <v>0.7959999999999999</v>
      </c>
      <c r="M2462" s="39" t="n">
        <v>0.7959999999999999</v>
      </c>
      <c r="N2462" t="inlineStr">
        <is>
          <t>%</t>
        </is>
      </c>
      <c r="O2462" t="inlineStr">
        <is>
          <t>%</t>
        </is>
      </c>
      <c r="P2462" t="n">
        <v>0</v>
      </c>
      <c r="Q2462" t="n">
        <v>0</v>
      </c>
      <c r="R2462" t="inlineStr">
        <is>
          <t>470-2024-03-31</t>
        </is>
      </c>
    </row>
    <row r="2463" hidden="1">
      <c r="A2463" t="n">
        <v>470</v>
      </c>
      <c r="B2463" t="inlineStr">
        <is>
          <t>Cumplimiento plan anual Secretaria académica y de extensión</t>
        </is>
      </c>
      <c r="C2463" t="inlineStr">
        <is>
          <t>Planeación Estratégica</t>
        </is>
      </c>
      <c r="D2463" t="inlineStr">
        <is>
          <t>Trimestral</t>
        </is>
      </c>
      <c r="E2463" t="inlineStr">
        <is>
          <t>Positivo</t>
        </is>
      </c>
      <c r="F2463" s="113" t="n">
        <v>45473</v>
      </c>
      <c r="G2463" t="n">
        <v>2024</v>
      </c>
      <c r="H2463" t="inlineStr">
        <is>
          <t>Junio</t>
        </is>
      </c>
      <c r="I2463" t="inlineStr">
        <is>
          <t>2024-1</t>
        </is>
      </c>
      <c r="J2463" t="n">
        <v>100</v>
      </c>
      <c r="K2463" t="n">
        <v>118.1</v>
      </c>
      <c r="L2463" s="39" t="n">
        <v>1.181</v>
      </c>
      <c r="M2463" s="39" t="n">
        <v>1.181</v>
      </c>
      <c r="N2463" t="inlineStr">
        <is>
          <t>%</t>
        </is>
      </c>
      <c r="O2463" t="inlineStr">
        <is>
          <t>%</t>
        </is>
      </c>
      <c r="P2463" t="n">
        <v>0</v>
      </c>
      <c r="Q2463" t="n">
        <v>0</v>
      </c>
      <c r="R2463" t="inlineStr">
        <is>
          <t>470-2024-06-30</t>
        </is>
      </c>
    </row>
    <row r="2464" hidden="1">
      <c r="A2464" t="n">
        <v>470</v>
      </c>
      <c r="B2464" t="inlineStr">
        <is>
          <t>Cumplimiento plan anual Secretaria académica y de extensión</t>
        </is>
      </c>
      <c r="C2464" t="inlineStr">
        <is>
          <t>Planeación Estratégica</t>
        </is>
      </c>
      <c r="D2464" t="inlineStr">
        <is>
          <t>Trimestral</t>
        </is>
      </c>
      <c r="E2464" t="inlineStr">
        <is>
          <t>Positivo</t>
        </is>
      </c>
      <c r="F2464" s="113" t="n">
        <v>45565</v>
      </c>
      <c r="G2464" t="n">
        <v>2024</v>
      </c>
      <c r="H2464" t="inlineStr">
        <is>
          <t>Septiembre</t>
        </is>
      </c>
      <c r="I2464" t="inlineStr">
        <is>
          <t>2024-2</t>
        </is>
      </c>
      <c r="J2464" t="n">
        <v>100</v>
      </c>
      <c r="K2464" t="n">
        <v>104.86</v>
      </c>
      <c r="L2464" s="39" t="n">
        <v>1.0486</v>
      </c>
      <c r="M2464" s="39" t="n">
        <v>1.0486</v>
      </c>
      <c r="N2464" t="inlineStr">
        <is>
          <t>%</t>
        </is>
      </c>
      <c r="O2464" t="inlineStr">
        <is>
          <t>%</t>
        </is>
      </c>
      <c r="P2464" t="n">
        <v>0</v>
      </c>
      <c r="Q2464" t="n">
        <v>0</v>
      </c>
      <c r="R2464" t="inlineStr">
        <is>
          <t>470-2024-09-30</t>
        </is>
      </c>
    </row>
    <row r="2465" hidden="1">
      <c r="A2465" t="n">
        <v>470</v>
      </c>
      <c r="B2465" t="inlineStr">
        <is>
          <t>Cumplimiento plan anual Secretaria académica y de extensión</t>
        </is>
      </c>
      <c r="C2465" t="inlineStr">
        <is>
          <t>Planeación Estratégica</t>
        </is>
      </c>
      <c r="D2465" t="inlineStr">
        <is>
          <t>Trimestral</t>
        </is>
      </c>
      <c r="E2465" t="inlineStr">
        <is>
          <t>Positivo</t>
        </is>
      </c>
      <c r="F2465" s="113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39" t="n">
        <v>1</v>
      </c>
      <c r="M2465" s="39" t="n">
        <v>1</v>
      </c>
      <c r="N2465" t="inlineStr">
        <is>
          <t>%</t>
        </is>
      </c>
      <c r="O2465" t="inlineStr">
        <is>
          <t>%</t>
        </is>
      </c>
      <c r="P2465" t="n">
        <v>0</v>
      </c>
      <c r="Q2465" t="n">
        <v>0</v>
      </c>
      <c r="R2465" t="inlineStr">
        <is>
          <t>470-2024-12-31</t>
        </is>
      </c>
    </row>
    <row r="2466" hidden="1">
      <c r="A2466" t="n">
        <v>470</v>
      </c>
      <c r="B2466" t="inlineStr">
        <is>
          <t>Cumplimiento plan anual Secretaria académica y de extensión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13" t="n">
        <v>45747</v>
      </c>
      <c r="G2466" t="n">
        <v>2025</v>
      </c>
      <c r="H2466" t="inlineStr">
        <is>
          <t>Marzo</t>
        </is>
      </c>
      <c r="I2466" t="inlineStr">
        <is>
          <t>2025-1</t>
        </is>
      </c>
      <c r="J2466" t="n">
        <v>100</v>
      </c>
      <c r="K2466" t="n">
        <v>352.81</v>
      </c>
      <c r="L2466" s="39" t="n">
        <v>1.3</v>
      </c>
      <c r="M2466" s="39" t="n">
        <v>3.5281</v>
      </c>
      <c r="N2466" t="inlineStr">
        <is>
          <t>%</t>
        </is>
      </c>
      <c r="O2466" t="inlineStr">
        <is>
          <t>%</t>
        </is>
      </c>
      <c r="P2466" t="n">
        <v>0</v>
      </c>
      <c r="Q2466" t="n">
        <v>0</v>
      </c>
      <c r="R2466" t="inlineStr">
        <is>
          <t>470-2025-03-31</t>
        </is>
      </c>
    </row>
    <row r="2467" hidden="1">
      <c r="A2467" t="n">
        <v>470</v>
      </c>
      <c r="B2467" t="inlineStr">
        <is>
          <t>Cumplimiento plan anual Secretaria académica y de extensión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13" t="n">
        <v>45838</v>
      </c>
      <c r="G2467" t="n">
        <v>2025</v>
      </c>
      <c r="H2467" t="inlineStr">
        <is>
          <t>Junio</t>
        </is>
      </c>
      <c r="I2467" t="inlineStr">
        <is>
          <t>2025-1</t>
        </is>
      </c>
      <c r="J2467" t="n">
        <v>100</v>
      </c>
      <c r="K2467" t="n">
        <v>148.38</v>
      </c>
      <c r="L2467" s="39" t="n">
        <v>1.3</v>
      </c>
      <c r="M2467" s="39" t="n">
        <v>1.4838</v>
      </c>
      <c r="N2467" t="inlineStr">
        <is>
          <t>%</t>
        </is>
      </c>
      <c r="O2467" t="inlineStr">
        <is>
          <t>%</t>
        </is>
      </c>
      <c r="P2467" t="n">
        <v>0</v>
      </c>
      <c r="Q2467" t="n">
        <v>0</v>
      </c>
      <c r="R2467" t="inlineStr">
        <is>
          <t>470-2025-06-30</t>
        </is>
      </c>
    </row>
    <row r="2468" hidden="1">
      <c r="A2468" t="n">
        <v>470</v>
      </c>
      <c r="B2468" t="inlineStr">
        <is>
          <t>Cumplimiento plan anual Secretaria académica y de extensión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13" t="n">
        <v>45930</v>
      </c>
      <c r="G2468" t="n">
        <v>2025</v>
      </c>
      <c r="H2468" t="inlineStr">
        <is>
          <t>Septiembre</t>
        </is>
      </c>
      <c r="I2468" t="inlineStr">
        <is>
          <t>2025-2</t>
        </is>
      </c>
      <c r="J2468" t="n">
        <v>100</v>
      </c>
      <c r="K2468" t="n">
        <v>105.6</v>
      </c>
      <c r="L2468" s="39" t="n">
        <v>1.056</v>
      </c>
      <c r="M2468" s="39" t="n">
        <v>1.056</v>
      </c>
      <c r="N2468" t="inlineStr">
        <is>
          <t>%</t>
        </is>
      </c>
      <c r="O2468" t="inlineStr">
        <is>
          <t>%</t>
        </is>
      </c>
      <c r="P2468" t="n">
        <v>0</v>
      </c>
      <c r="Q2468" t="n">
        <v>0</v>
      </c>
      <c r="R2468" t="inlineStr">
        <is>
          <t>470-2025-09-30</t>
        </is>
      </c>
    </row>
    <row r="2469" hidden="1">
      <c r="A2469" t="n">
        <v>470</v>
      </c>
      <c r="B2469" t="inlineStr">
        <is>
          <t>Cumplimiento plan anual Secretaria académica y de extensión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13" t="n">
        <v>46022</v>
      </c>
      <c r="G2469" t="n">
        <v>2025</v>
      </c>
      <c r="H2469" t="inlineStr">
        <is>
          <t>Diciembre</t>
        </is>
      </c>
      <c r="I2469" t="inlineStr">
        <is>
          <t>2025-2</t>
        </is>
      </c>
      <c r="J2469" t="n">
        <v>100</v>
      </c>
      <c r="K2469" t="n">
        <v>100</v>
      </c>
      <c r="L2469" s="39" t="n">
        <v>1</v>
      </c>
      <c r="M2469" s="39" t="n">
        <v>1</v>
      </c>
      <c r="N2469" t="inlineStr">
        <is>
          <t>%</t>
        </is>
      </c>
      <c r="O2469" t="inlineStr">
        <is>
          <t>%</t>
        </is>
      </c>
      <c r="P2469" t="n">
        <v>0</v>
      </c>
      <c r="Q2469" t="n">
        <v>0</v>
      </c>
      <c r="R2469" t="inlineStr">
        <is>
          <t>470-2025-12-31</t>
        </is>
      </c>
    </row>
    <row r="2470" hidden="1">
      <c r="A2470" t="n">
        <v>471</v>
      </c>
      <c r="B2470" t="inlineStr">
        <is>
          <t>Cumplimiento plan anual Gerencia de Talento Humano</t>
        </is>
      </c>
      <c r="C2470" t="inlineStr">
        <is>
          <t>Planeación Estratégica</t>
        </is>
      </c>
      <c r="D2470" t="inlineStr">
        <is>
          <t>Trimestral</t>
        </is>
      </c>
      <c r="E2470" t="inlineStr">
        <is>
          <t>Positivo</t>
        </is>
      </c>
      <c r="F2470" s="113" t="n">
        <v>45382</v>
      </c>
      <c r="G2470" t="n">
        <v>2024</v>
      </c>
      <c r="H2470" t="inlineStr">
        <is>
          <t>Marzo</t>
        </is>
      </c>
      <c r="I2470" t="inlineStr">
        <is>
          <t>2024-1</t>
        </is>
      </c>
      <c r="J2470" t="n">
        <v>100</v>
      </c>
      <c r="K2470" t="n">
        <v>108.48</v>
      </c>
      <c r="L2470" s="39" t="n">
        <v>1.0848</v>
      </c>
      <c r="M2470" s="39" t="n">
        <v>1.0848</v>
      </c>
      <c r="N2470" t="inlineStr">
        <is>
          <t>%</t>
        </is>
      </c>
      <c r="O2470" t="inlineStr">
        <is>
          <t>%</t>
        </is>
      </c>
      <c r="P2470" t="n">
        <v>0</v>
      </c>
      <c r="Q2470" t="n">
        <v>0</v>
      </c>
      <c r="R2470" t="inlineStr">
        <is>
          <t>471-2024-03-31</t>
        </is>
      </c>
    </row>
    <row r="2471" hidden="1">
      <c r="A2471" t="n">
        <v>471</v>
      </c>
      <c r="B2471" t="inlineStr">
        <is>
          <t>Cumplimiento plan anual Gerencia de Talento Humano</t>
        </is>
      </c>
      <c r="C2471" t="inlineStr">
        <is>
          <t>GESTIÓN Y DESARROLLO DEL TALENTO HUMANO</t>
        </is>
      </c>
      <c r="D2471" t="inlineStr">
        <is>
          <t>Trimestral</t>
        </is>
      </c>
      <c r="E2471" t="inlineStr">
        <is>
          <t>Positivo</t>
        </is>
      </c>
      <c r="F2471" s="113" t="n">
        <v>45473</v>
      </c>
      <c r="G2471" t="n">
        <v>2024</v>
      </c>
      <c r="H2471" t="inlineStr">
        <is>
          <t>Junio</t>
        </is>
      </c>
      <c r="I2471" t="inlineStr">
        <is>
          <t>2024-1</t>
        </is>
      </c>
      <c r="J2471" t="n">
        <v>100</v>
      </c>
      <c r="K2471" t="n">
        <v>105.56</v>
      </c>
      <c r="L2471" s="39" t="n">
        <v>1.0556</v>
      </c>
      <c r="M2471" s="39" t="n">
        <v>1.0556</v>
      </c>
      <c r="N2471" t="inlineStr">
        <is>
          <t>%</t>
        </is>
      </c>
      <c r="O2471" t="inlineStr">
        <is>
          <t>%</t>
        </is>
      </c>
      <c r="P2471" t="n">
        <v>0</v>
      </c>
      <c r="Q2471" t="n">
        <v>0</v>
      </c>
      <c r="R2471" t="inlineStr">
        <is>
          <t>471-2024-06-30</t>
        </is>
      </c>
    </row>
    <row r="2472" hidden="1">
      <c r="A2472" t="n">
        <v>471</v>
      </c>
      <c r="B2472" t="inlineStr">
        <is>
          <t>Cumplimiento plan anual Gerencia de Talento Humano</t>
        </is>
      </c>
      <c r="C2472" t="inlineStr">
        <is>
          <t>Planeación Estratégica</t>
        </is>
      </c>
      <c r="D2472" t="inlineStr">
        <is>
          <t>Trimestral</t>
        </is>
      </c>
      <c r="E2472" t="inlineStr">
        <is>
          <t>Positivo</t>
        </is>
      </c>
      <c r="F2472" s="113" t="n">
        <v>45565</v>
      </c>
      <c r="G2472" t="n">
        <v>2024</v>
      </c>
      <c r="H2472" t="inlineStr">
        <is>
          <t>Septiembre</t>
        </is>
      </c>
      <c r="I2472" t="inlineStr">
        <is>
          <t>2024-2</t>
        </is>
      </c>
      <c r="J2472" t="n">
        <v>100</v>
      </c>
      <c r="K2472" t="n">
        <v>91.06999999999999</v>
      </c>
      <c r="L2472" s="39" t="n">
        <v>0.9107</v>
      </c>
      <c r="M2472" s="39" t="n">
        <v>0.9107</v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471-2024-09-30</t>
        </is>
      </c>
    </row>
    <row r="2473" hidden="1">
      <c r="A2473" t="n">
        <v>471</v>
      </c>
      <c r="B2473" t="inlineStr">
        <is>
          <t>Cumplimiento plan anual Gerencia de Talento Humano</t>
        </is>
      </c>
      <c r="C2473" t="inlineStr">
        <is>
          <t>Planeación Estratégica</t>
        </is>
      </c>
      <c r="D2473" t="inlineStr">
        <is>
          <t>Trimestral</t>
        </is>
      </c>
      <c r="E2473" t="inlineStr">
        <is>
          <t>Positivo</t>
        </is>
      </c>
      <c r="F2473" s="113" t="n">
        <v>45657</v>
      </c>
      <c r="G2473" t="n">
        <v>2024</v>
      </c>
      <c r="H2473" t="inlineStr">
        <is>
          <t>Diciembre</t>
        </is>
      </c>
      <c r="I2473" t="inlineStr">
        <is>
          <t>2024-2</t>
        </is>
      </c>
      <c r="J2473" t="n">
        <v>100</v>
      </c>
      <c r="K2473" t="n">
        <v>99</v>
      </c>
      <c r="L2473" s="39" t="n">
        <v>0.99</v>
      </c>
      <c r="M2473" s="39" t="n">
        <v>0.99</v>
      </c>
      <c r="N2473" t="inlineStr">
        <is>
          <t>%</t>
        </is>
      </c>
      <c r="O2473" t="inlineStr">
        <is>
          <t>%</t>
        </is>
      </c>
      <c r="P2473" t="n">
        <v>0</v>
      </c>
      <c r="Q2473" t="n">
        <v>0</v>
      </c>
      <c r="R2473" t="inlineStr">
        <is>
          <t>471-2024-12-31</t>
        </is>
      </c>
    </row>
    <row r="2474" hidden="1">
      <c r="A2474" t="n">
        <v>471</v>
      </c>
      <c r="B2474" t="inlineStr">
        <is>
          <t>Cumplimiento plan anual Gerencia de Talento Humano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13" t="n">
        <v>45747</v>
      </c>
      <c r="G2474" t="n">
        <v>2025</v>
      </c>
      <c r="H2474" t="inlineStr">
        <is>
          <t>Marzo</t>
        </is>
      </c>
      <c r="I2474" t="inlineStr">
        <is>
          <t>2025-1</t>
        </is>
      </c>
      <c r="J2474" t="n">
        <v>100</v>
      </c>
      <c r="K2474" t="n">
        <v>103.51</v>
      </c>
      <c r="L2474" s="39" t="n">
        <v>1.0351</v>
      </c>
      <c r="M2474" s="39" t="n">
        <v>1.0351</v>
      </c>
      <c r="N2474" t="inlineStr">
        <is>
          <t>%</t>
        </is>
      </c>
      <c r="O2474" t="inlineStr">
        <is>
          <t>%</t>
        </is>
      </c>
      <c r="P2474" t="n">
        <v>0</v>
      </c>
      <c r="Q2474" t="n">
        <v>0</v>
      </c>
      <c r="R2474" t="inlineStr">
        <is>
          <t>471-2025-03-31</t>
        </is>
      </c>
    </row>
    <row r="2475" hidden="1">
      <c r="A2475" t="n">
        <v>471</v>
      </c>
      <c r="B2475" t="inlineStr">
        <is>
          <t>Cumplimiento plan anual Gerencia de Talento Humano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13" t="n">
        <v>45838</v>
      </c>
      <c r="G2475" t="n">
        <v>2025</v>
      </c>
      <c r="H2475" t="inlineStr">
        <is>
          <t>Junio</t>
        </is>
      </c>
      <c r="I2475" t="inlineStr">
        <is>
          <t>2025-1</t>
        </is>
      </c>
      <c r="J2475" t="n">
        <v>100</v>
      </c>
      <c r="K2475" t="n">
        <v>94.02</v>
      </c>
      <c r="L2475" s="39" t="n">
        <v>0.9401999999999999</v>
      </c>
      <c r="M2475" s="39" t="n">
        <v>0.9401999999999999</v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471-2025-06-30</t>
        </is>
      </c>
    </row>
    <row r="2476" hidden="1">
      <c r="A2476" t="n">
        <v>471</v>
      </c>
      <c r="B2476" t="inlineStr">
        <is>
          <t>Cumplimiento plan anual Gerencia de Talento Humano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13" t="n">
        <v>45930</v>
      </c>
      <c r="G2476" t="n">
        <v>2025</v>
      </c>
      <c r="H2476" t="inlineStr">
        <is>
          <t>Septiembre</t>
        </is>
      </c>
      <c r="I2476" t="inlineStr">
        <is>
          <t>2025-2</t>
        </is>
      </c>
      <c r="J2476" t="n">
        <v>100</v>
      </c>
      <c r="K2476" t="n">
        <v>98.93000000000001</v>
      </c>
      <c r="L2476" s="39" t="n">
        <v>0.9893000000000001</v>
      </c>
      <c r="M2476" s="39" t="n">
        <v>0.9893000000000001</v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471-2025-09-30</t>
        </is>
      </c>
    </row>
    <row r="2477" hidden="1">
      <c r="A2477" t="n">
        <v>471</v>
      </c>
      <c r="B2477" t="inlineStr">
        <is>
          <t>Cumplimiento plan anual Gerencia de Talento Humano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13" t="n">
        <v>46022</v>
      </c>
      <c r="G2477" t="n">
        <v>2025</v>
      </c>
      <c r="H2477" t="inlineStr">
        <is>
          <t>Diciembre</t>
        </is>
      </c>
      <c r="I2477" t="inlineStr">
        <is>
          <t>2025-2</t>
        </is>
      </c>
      <c r="J2477" t="n">
        <v>100</v>
      </c>
      <c r="K2477" t="n">
        <v>99.86</v>
      </c>
      <c r="L2477" s="39" t="n">
        <v>0.9986</v>
      </c>
      <c r="M2477" s="39" t="n">
        <v>0.9986</v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471-2025-12-31</t>
        </is>
      </c>
    </row>
    <row r="2478" hidden="1">
      <c r="A2478" t="n">
        <v>472</v>
      </c>
      <c r="B2478" t="inlineStr">
        <is>
          <t>Cobertura de Recolección de Variables ADA (Arquitectura de datos para la analitica)</t>
        </is>
      </c>
      <c r="C2478" t="inlineStr">
        <is>
          <t>DATOS Y ANALÍTICA</t>
        </is>
      </c>
      <c r="D2478" t="inlineStr">
        <is>
          <t>Semestral</t>
        </is>
      </c>
      <c r="E2478" t="inlineStr">
        <is>
          <t>Positivo</t>
        </is>
      </c>
      <c r="F2478" s="113" t="n">
        <v>45473</v>
      </c>
      <c r="G2478" t="n">
        <v>2024</v>
      </c>
      <c r="H2478" t="inlineStr">
        <is>
          <t>Junio</t>
        </is>
      </c>
      <c r="I2478" t="inlineStr">
        <is>
          <t>2024-1</t>
        </is>
      </c>
      <c r="J2478" t="n">
        <v>100</v>
      </c>
      <c r="K2478" t="n">
        <v>82.09999999999999</v>
      </c>
      <c r="L2478" s="39" t="n">
        <v>0.821</v>
      </c>
      <c r="M2478" s="39" t="n">
        <v>0.821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472-2024-06-30</t>
        </is>
      </c>
    </row>
    <row r="2479" hidden="1">
      <c r="A2479" t="n">
        <v>472</v>
      </c>
      <c r="B2479" t="inlineStr">
        <is>
          <t>Cobertura de Recolección de Variables ADA (Arquitectura de datos para la analitica)</t>
        </is>
      </c>
      <c r="C2479" t="inlineStr">
        <is>
          <t>DATOS Y ANALÍTICA</t>
        </is>
      </c>
      <c r="D2479" t="inlineStr">
        <is>
          <t>Semestral</t>
        </is>
      </c>
      <c r="E2479" t="inlineStr">
        <is>
          <t>Positivo</t>
        </is>
      </c>
      <c r="F2479" s="113" t="n">
        <v>45657</v>
      </c>
      <c r="G2479" t="n">
        <v>2024</v>
      </c>
      <c r="H2479" t="inlineStr">
        <is>
          <t>Diciembre</t>
        </is>
      </c>
      <c r="I2479" t="inlineStr">
        <is>
          <t>2024-2</t>
        </is>
      </c>
      <c r="J2479" t="n">
        <v>100</v>
      </c>
      <c r="K2479" t="n">
        <v>100</v>
      </c>
      <c r="L2479" s="39" t="n">
        <v>1</v>
      </c>
      <c r="M2479" s="39" t="n">
        <v>1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472-2024-12-31</t>
        </is>
      </c>
    </row>
    <row r="2480" hidden="1">
      <c r="A2480" t="n">
        <v>473</v>
      </c>
      <c r="B2480" t="inlineStr">
        <is>
          <t>Programas con alineación curricular</t>
        </is>
      </c>
      <c r="C2480" t="inlineStr">
        <is>
          <t>Gestión, Evaluación e Innovación Curricular</t>
        </is>
      </c>
      <c r="D2480" t="inlineStr">
        <is>
          <t>Semestral</t>
        </is>
      </c>
      <c r="E2480" t="inlineStr">
        <is>
          <t>Positivo</t>
        </is>
      </c>
      <c r="F2480" s="113" t="n">
        <v>45473</v>
      </c>
      <c r="G2480" t="n">
        <v>2024</v>
      </c>
      <c r="H2480" t="inlineStr">
        <is>
          <t>Junio</t>
        </is>
      </c>
      <c r="I2480" t="inlineStr">
        <is>
          <t>2024-1</t>
        </is>
      </c>
      <c r="J2480" t="n">
        <v>100</v>
      </c>
      <c r="K2480" t="n">
        <v>100</v>
      </c>
      <c r="L2480" s="39" t="n">
        <v>1</v>
      </c>
      <c r="M2480" s="39" t="n">
        <v>1</v>
      </c>
      <c r="N2480" t="inlineStr">
        <is>
          <t>ENT</t>
        </is>
      </c>
      <c r="O2480" t="inlineStr">
        <is>
          <t>ENT</t>
        </is>
      </c>
      <c r="P2480" t="n">
        <v>0</v>
      </c>
      <c r="Q2480" t="n">
        <v>0</v>
      </c>
      <c r="R2480" t="inlineStr">
        <is>
          <t>473-2024-06-30</t>
        </is>
      </c>
    </row>
    <row r="2481" hidden="1">
      <c r="A2481" t="n">
        <v>473</v>
      </c>
      <c r="B2481" t="inlineStr">
        <is>
          <t>Programas con planes de estudios definidos</t>
        </is>
      </c>
      <c r="C2481" t="inlineStr">
        <is>
          <t>Gestión, Evaluación e Innovación Curricular</t>
        </is>
      </c>
      <c r="D2481" t="inlineStr">
        <is>
          <t>Semestral</t>
        </is>
      </c>
      <c r="E2481" t="inlineStr">
        <is>
          <t>Positivo</t>
        </is>
      </c>
      <c r="F2481" s="113" t="n">
        <v>45657</v>
      </c>
      <c r="G2481" t="n">
        <v>2024</v>
      </c>
      <c r="H2481" t="inlineStr">
        <is>
          <t>Diciembre</t>
        </is>
      </c>
      <c r="I2481" t="inlineStr">
        <is>
          <t>2024-2</t>
        </is>
      </c>
      <c r="J2481" t="n">
        <v>100</v>
      </c>
      <c r="K2481" t="n">
        <v>100</v>
      </c>
      <c r="L2481" s="39" t="n">
        <v>1</v>
      </c>
      <c r="M2481" s="39" t="n">
        <v>1</v>
      </c>
      <c r="N2481" t="inlineStr">
        <is>
          <t>ENT</t>
        </is>
      </c>
      <c r="O2481" t="inlineStr">
        <is>
          <t>ENT</t>
        </is>
      </c>
      <c r="P2481" t="n">
        <v>0</v>
      </c>
      <c r="Q2481" t="n">
        <v>0</v>
      </c>
      <c r="R2481" t="inlineStr">
        <is>
          <t>473-2024-12-31</t>
        </is>
      </c>
    </row>
    <row r="2482" hidden="1">
      <c r="A2482" t="n">
        <v>473</v>
      </c>
      <c r="B2482" t="inlineStr">
        <is>
          <t>Programas con planes de estudios definidos</t>
        </is>
      </c>
      <c r="C2482" t="inlineStr">
        <is>
          <t>Gestión, Evaluación e Innovación Curricular</t>
        </is>
      </c>
      <c r="D2482" t="inlineStr">
        <is>
          <t>Semestral</t>
        </is>
      </c>
      <c r="E2482" t="inlineStr">
        <is>
          <t>Positivo</t>
        </is>
      </c>
      <c r="F2482" s="113" t="n">
        <v>45838</v>
      </c>
      <c r="G2482" t="n">
        <v>2025</v>
      </c>
      <c r="H2482" t="inlineStr">
        <is>
          <t>Junio</t>
        </is>
      </c>
      <c r="I2482" t="inlineStr">
        <is>
          <t>2025-1</t>
        </is>
      </c>
      <c r="J2482" t="n">
        <v>100</v>
      </c>
      <c r="K2482" t="n">
        <v>100</v>
      </c>
      <c r="L2482" s="39" t="n">
        <v>1</v>
      </c>
      <c r="M2482" s="39" t="n">
        <v>1</v>
      </c>
      <c r="N2482" t="inlineStr">
        <is>
          <t>ENT</t>
        </is>
      </c>
      <c r="O2482" t="inlineStr">
        <is>
          <t>ENT</t>
        </is>
      </c>
      <c r="P2482" t="n">
        <v>0</v>
      </c>
      <c r="Q2482" t="n">
        <v>0</v>
      </c>
      <c r="R2482" t="inlineStr">
        <is>
          <t>473-2025-06-30</t>
        </is>
      </c>
    </row>
    <row r="2483" hidden="1">
      <c r="A2483" t="n">
        <v>474</v>
      </c>
      <c r="B2483" t="inlineStr">
        <is>
          <t>Programas con alineación curricular por escuela</t>
        </is>
      </c>
      <c r="C2483" t="inlineStr">
        <is>
          <t>Gestión de Unidades Académicas</t>
        </is>
      </c>
      <c r="D2483" t="inlineStr">
        <is>
          <t>Semestral</t>
        </is>
      </c>
      <c r="E2483" t="inlineStr">
        <is>
          <t>Positivo</t>
        </is>
      </c>
      <c r="F2483" s="113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J2483" t="n">
        <v>100</v>
      </c>
      <c r="K2483" t="n">
        <v>100</v>
      </c>
      <c r="L2483" s="39" t="n">
        <v>1</v>
      </c>
      <c r="M2483" s="39" t="n">
        <v>1</v>
      </c>
      <c r="N2483" t="inlineStr">
        <is>
          <t>ENT</t>
        </is>
      </c>
      <c r="O2483" t="inlineStr">
        <is>
          <t>ENT</t>
        </is>
      </c>
      <c r="P2483" t="n">
        <v>0</v>
      </c>
      <c r="Q2483" t="n">
        <v>0</v>
      </c>
      <c r="R2483" t="inlineStr">
        <is>
          <t>474-2024-06-30</t>
        </is>
      </c>
    </row>
    <row r="2484" hidden="1">
      <c r="A2484" t="n">
        <v>474</v>
      </c>
      <c r="B2484" t="inlineStr">
        <is>
          <t>Programas con planes de estudios definidos por escuela (Nuevos Programas)</t>
        </is>
      </c>
      <c r="C2484" t="inlineStr">
        <is>
          <t>Gestión de Unidades Académicas</t>
        </is>
      </c>
      <c r="D2484" t="inlineStr">
        <is>
          <t>Semestral</t>
        </is>
      </c>
      <c r="E2484" t="inlineStr">
        <is>
          <t>Positivo</t>
        </is>
      </c>
      <c r="F2484" s="113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J2484" t="n">
        <v>100</v>
      </c>
      <c r="K2484" t="n">
        <v>100</v>
      </c>
      <c r="L2484" s="39" t="n">
        <v>1</v>
      </c>
      <c r="M2484" s="39" t="n">
        <v>1</v>
      </c>
      <c r="N2484" t="inlineStr">
        <is>
          <t>ENT</t>
        </is>
      </c>
      <c r="O2484" t="inlineStr">
        <is>
          <t>ENT</t>
        </is>
      </c>
      <c r="P2484" t="n">
        <v>0</v>
      </c>
      <c r="Q2484" t="n">
        <v>0</v>
      </c>
      <c r="R2484" t="inlineStr">
        <is>
          <t>474-2024-12-31</t>
        </is>
      </c>
    </row>
    <row r="2485" hidden="1">
      <c r="A2485" t="n">
        <v>474</v>
      </c>
      <c r="B2485" t="inlineStr">
        <is>
          <t>Programas con planes de estudios definidos por escuela (Nuevos Programas)</t>
        </is>
      </c>
      <c r="C2485" t="inlineStr">
        <is>
          <t>Gestión de Unidades Académicas</t>
        </is>
      </c>
      <c r="D2485" t="inlineStr">
        <is>
          <t>Trimestral</t>
        </is>
      </c>
      <c r="E2485" t="inlineStr">
        <is>
          <t>Positivo</t>
        </is>
      </c>
      <c r="F2485" s="113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0</v>
      </c>
      <c r="L2485" s="39" t="n"/>
      <c r="M2485" s="39" t="n"/>
      <c r="N2485" t="inlineStr">
        <is>
          <t>ENT</t>
        </is>
      </c>
      <c r="O2485" t="inlineStr">
        <is>
          <t>ENT</t>
        </is>
      </c>
      <c r="P2485" t="n">
        <v>0</v>
      </c>
      <c r="Q2485" t="n">
        <v>0</v>
      </c>
      <c r="R2485" t="inlineStr">
        <is>
          <t>474-2025-06-30</t>
        </is>
      </c>
    </row>
    <row r="2486" hidden="1">
      <c r="A2486" t="n">
        <v>474</v>
      </c>
      <c r="B2486" t="inlineStr">
        <is>
          <t>Programas con planes de estudios definidos por escuela (Nuevos Programas)</t>
        </is>
      </c>
      <c r="C2486" t="inlineStr">
        <is>
          <t>Gestión de Unidades Académicas</t>
        </is>
      </c>
      <c r="D2486" t="inlineStr">
        <is>
          <t>Trimestral</t>
        </is>
      </c>
      <c r="E2486" t="inlineStr">
        <is>
          <t>Positivo</t>
        </is>
      </c>
      <c r="F2486" s="113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L2486" s="39" t="n"/>
      <c r="M2486" s="39" t="n"/>
      <c r="N2486" t="inlineStr">
        <is>
          <t>ENT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474-2025-12-31</t>
        </is>
      </c>
      <c r="S2486" t="inlineStr">
        <is>
          <t>No Aplica</t>
        </is>
      </c>
    </row>
    <row r="2487" hidden="1">
      <c r="A2487" t="n">
        <v>475</v>
      </c>
      <c r="B2487" t="inlineStr">
        <is>
          <t>Número de renovaciones de registro calificado radicadas al MEN</t>
        </is>
      </c>
      <c r="C2487" t="inlineStr">
        <is>
          <t>Creación, modificación y cierre de programas académicos</t>
        </is>
      </c>
      <c r="D2487" t="inlineStr">
        <is>
          <t>Trimestral</t>
        </is>
      </c>
      <c r="E2487" t="inlineStr">
        <is>
          <t>Positivo</t>
        </is>
      </c>
      <c r="F2487" s="113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J2487" t="n">
        <v>100</v>
      </c>
      <c r="L2487" s="39" t="n"/>
      <c r="M2487" s="39" t="n"/>
      <c r="N2487" t="inlineStr">
        <is>
          <t>ENT</t>
        </is>
      </c>
      <c r="O2487" t="inlineStr">
        <is>
          <t>ENT</t>
        </is>
      </c>
      <c r="P2487" t="n">
        <v>0</v>
      </c>
      <c r="Q2487" t="n">
        <v>0</v>
      </c>
      <c r="R2487" t="inlineStr">
        <is>
          <t>475-2024-06-30</t>
        </is>
      </c>
    </row>
    <row r="2488" hidden="1">
      <c r="A2488" t="n">
        <v>475</v>
      </c>
      <c r="B2488" t="inlineStr">
        <is>
          <t>Número de renovaciones de registro calificado radicadas al MEN</t>
        </is>
      </c>
      <c r="C2488" t="inlineStr">
        <is>
          <t>Creación, modificación y cierre de programas académicos</t>
        </is>
      </c>
      <c r="D2488" t="inlineStr">
        <is>
          <t>Semestral</t>
        </is>
      </c>
      <c r="E2488" t="inlineStr">
        <is>
          <t>Positivo</t>
        </is>
      </c>
      <c r="F2488" s="113" t="n">
        <v>45657</v>
      </c>
      <c r="G2488" t="n">
        <v>2024</v>
      </c>
      <c r="H2488" t="inlineStr">
        <is>
          <t>Diciembre</t>
        </is>
      </c>
      <c r="I2488" t="inlineStr">
        <is>
          <t>2024-2</t>
        </is>
      </c>
      <c r="J2488" t="n">
        <v>100</v>
      </c>
      <c r="K2488" t="n">
        <v>140</v>
      </c>
      <c r="L2488" s="39" t="n">
        <v>1.3</v>
      </c>
      <c r="M2488" s="39" t="n">
        <v>1.4</v>
      </c>
      <c r="P2488" t="n">
        <v>0</v>
      </c>
      <c r="Q2488" t="n">
        <v>0</v>
      </c>
      <c r="R2488" t="inlineStr">
        <is>
          <t>475-2024-12-31</t>
        </is>
      </c>
    </row>
    <row r="2489" hidden="1">
      <c r="A2489" t="n">
        <v>475</v>
      </c>
      <c r="B2489" t="inlineStr">
        <is>
          <t>Número de renovaciones de registro calificado radicadas al MEN</t>
        </is>
      </c>
      <c r="C2489" t="inlineStr">
        <is>
          <t>Creación, modificación y cierre de programas académicos</t>
        </is>
      </c>
      <c r="D2489" t="inlineStr">
        <is>
          <t>Trimestral</t>
        </is>
      </c>
      <c r="E2489" t="inlineStr">
        <is>
          <t>Positivo</t>
        </is>
      </c>
      <c r="F2489" s="113" t="n">
        <v>45838</v>
      </c>
      <c r="G2489" t="n">
        <v>2025</v>
      </c>
      <c r="H2489" t="inlineStr">
        <is>
          <t>Junio</t>
        </is>
      </c>
      <c r="I2489" t="inlineStr">
        <is>
          <t>2025-1</t>
        </is>
      </c>
      <c r="J2489" t="n">
        <v>100</v>
      </c>
      <c r="L2489" s="39" t="n"/>
      <c r="M2489" s="39" t="n"/>
      <c r="N2489" t="inlineStr">
        <is>
          <t>ENT</t>
        </is>
      </c>
      <c r="O2489" t="inlineStr">
        <is>
          <t>ENT</t>
        </is>
      </c>
      <c r="P2489" t="n">
        <v>0</v>
      </c>
      <c r="Q2489" t="n">
        <v>0</v>
      </c>
      <c r="R2489" t="inlineStr">
        <is>
          <t>475-2025-06-30</t>
        </is>
      </c>
      <c r="S2489" t="inlineStr">
        <is>
          <t>No Aplica</t>
        </is>
      </c>
    </row>
    <row r="2490" hidden="1">
      <c r="A2490" t="n">
        <v>475</v>
      </c>
      <c r="B2490" t="inlineStr">
        <is>
          <t>Número de renovaciones de registro calificado radicadas al MEN</t>
        </is>
      </c>
      <c r="C2490" t="inlineStr">
        <is>
          <t>Creación, modificación y cierre de programas académicos</t>
        </is>
      </c>
      <c r="D2490" t="inlineStr">
        <is>
          <t>Trimestral</t>
        </is>
      </c>
      <c r="E2490" t="inlineStr">
        <is>
          <t>Positivo</t>
        </is>
      </c>
      <c r="F2490" s="113" t="n">
        <v>46022</v>
      </c>
      <c r="G2490" t="n">
        <v>2025</v>
      </c>
      <c r="H2490" t="inlineStr">
        <is>
          <t>Diciembre</t>
        </is>
      </c>
      <c r="I2490" t="inlineStr">
        <is>
          <t>2025-2</t>
        </is>
      </c>
      <c r="J2490" t="n">
        <v>100</v>
      </c>
      <c r="K2490" t="n">
        <v>100</v>
      </c>
      <c r="L2490" s="39" t="n">
        <v>1</v>
      </c>
      <c r="M2490" s="39" t="n">
        <v>1</v>
      </c>
      <c r="N2490" t="inlineStr">
        <is>
          <t>ENT</t>
        </is>
      </c>
      <c r="O2490" t="inlineStr">
        <is>
          <t>ENT</t>
        </is>
      </c>
      <c r="P2490" t="n">
        <v>0</v>
      </c>
      <c r="Q2490" t="n">
        <v>0</v>
      </c>
      <c r="R2490" t="inlineStr">
        <is>
          <t>475-2025-12-31</t>
        </is>
      </c>
    </row>
    <row r="2491" hidden="1">
      <c r="A2491" t="n">
        <v>476</v>
      </c>
      <c r="B2491" t="inlineStr">
        <is>
          <t>Programas con resultados de aprendizaje definidos</t>
        </is>
      </c>
      <c r="C2491" t="inlineStr">
        <is>
          <t>Gestión, Evaluación e Innovación Curricular</t>
        </is>
      </c>
      <c r="D2491" t="inlineStr">
        <is>
          <t>Semestral</t>
        </is>
      </c>
      <c r="E2491" t="inlineStr">
        <is>
          <t>Positivo</t>
        </is>
      </c>
      <c r="F2491" s="113" t="n">
        <v>45473</v>
      </c>
      <c r="G2491" t="n">
        <v>2024</v>
      </c>
      <c r="H2491" t="inlineStr">
        <is>
          <t>Junio</t>
        </is>
      </c>
      <c r="I2491" t="inlineStr">
        <is>
          <t>2024-1</t>
        </is>
      </c>
      <c r="J2491" t="n">
        <v>100</v>
      </c>
      <c r="K2491" t="n">
        <v>100</v>
      </c>
      <c r="L2491" s="39" t="n">
        <v>1</v>
      </c>
      <c r="M2491" s="39" t="n">
        <v>1</v>
      </c>
      <c r="P2491" t="n">
        <v>0</v>
      </c>
      <c r="Q2491" t="n">
        <v>0</v>
      </c>
      <c r="R2491" t="inlineStr">
        <is>
          <t>476-2024-06-30</t>
        </is>
      </c>
    </row>
    <row r="2492" hidden="1">
      <c r="A2492" t="n">
        <v>476</v>
      </c>
      <c r="B2492" t="inlineStr">
        <is>
          <t>Programas con resultados de aprendizaje definidos</t>
        </is>
      </c>
      <c r="C2492" t="inlineStr">
        <is>
          <t>Gestión, Evaluación e Innovación Curricular</t>
        </is>
      </c>
      <c r="D2492" t="inlineStr">
        <is>
          <t>Semestral</t>
        </is>
      </c>
      <c r="E2492" t="inlineStr">
        <is>
          <t>Positivo</t>
        </is>
      </c>
      <c r="F2492" s="113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100</v>
      </c>
      <c r="K2492" t="n">
        <v>100</v>
      </c>
      <c r="L2492" s="39" t="n">
        <v>1</v>
      </c>
      <c r="M2492" s="39" t="n">
        <v>1</v>
      </c>
      <c r="P2492" t="n">
        <v>0</v>
      </c>
      <c r="Q2492" t="n">
        <v>0</v>
      </c>
      <c r="R2492" t="inlineStr">
        <is>
          <t>476-2024-12-31</t>
        </is>
      </c>
    </row>
    <row r="2493" hidden="1">
      <c r="A2493" t="n">
        <v>476</v>
      </c>
      <c r="B2493" t="inlineStr">
        <is>
          <t>Programas con resultados de aprendizaje definidos</t>
        </is>
      </c>
      <c r="C2493" t="inlineStr">
        <is>
          <t>Gestión, Evaluación e Innovación Curricular</t>
        </is>
      </c>
      <c r="D2493" t="inlineStr">
        <is>
          <t>Semestral</t>
        </is>
      </c>
      <c r="E2493" t="inlineStr">
        <is>
          <t>Positivo</t>
        </is>
      </c>
      <c r="F2493" s="113" t="n">
        <v>45838</v>
      </c>
      <c r="G2493" t="n">
        <v>2025</v>
      </c>
      <c r="H2493" t="inlineStr">
        <is>
          <t>Junio</t>
        </is>
      </c>
      <c r="I2493" t="inlineStr">
        <is>
          <t>2025-1</t>
        </is>
      </c>
      <c r="J2493" t="n">
        <v>100</v>
      </c>
      <c r="K2493" t="n">
        <v>100</v>
      </c>
      <c r="L2493" s="39" t="n">
        <v>1</v>
      </c>
      <c r="M2493" s="39" t="n">
        <v>1</v>
      </c>
      <c r="N2493" t="inlineStr">
        <is>
          <t>ENT</t>
        </is>
      </c>
      <c r="O2493" t="inlineStr">
        <is>
          <t>ENT</t>
        </is>
      </c>
      <c r="P2493" t="n">
        <v>0</v>
      </c>
      <c r="Q2493" t="n">
        <v>0</v>
      </c>
      <c r="R2493" t="inlineStr">
        <is>
          <t>476-2025-06-30</t>
        </is>
      </c>
    </row>
    <row r="2494" hidden="1">
      <c r="A2494" t="n">
        <v>476</v>
      </c>
      <c r="B2494" t="inlineStr">
        <is>
          <t>Programas con resultados de aprendizaje definidos</t>
        </is>
      </c>
      <c r="C2494" t="inlineStr">
        <is>
          <t>Gestión, Evaluación e Innovación Curricular</t>
        </is>
      </c>
      <c r="D2494" t="inlineStr">
        <is>
          <t>Trimestral</t>
        </is>
      </c>
      <c r="E2494" t="inlineStr">
        <is>
          <t>Positivo</t>
        </is>
      </c>
      <c r="F2494" s="113" t="n">
        <v>46022</v>
      </c>
      <c r="G2494" t="n">
        <v>2025</v>
      </c>
      <c r="H2494" t="inlineStr">
        <is>
          <t>Diciembre</t>
        </is>
      </c>
      <c r="I2494" t="inlineStr">
        <is>
          <t>2025-2</t>
        </is>
      </c>
      <c r="J2494" t="n">
        <v>100</v>
      </c>
      <c r="K2494" t="n">
        <v>100</v>
      </c>
      <c r="L2494" s="39" t="n">
        <v>1</v>
      </c>
      <c r="M2494" s="39" t="n">
        <v>1</v>
      </c>
      <c r="N2494" t="inlineStr">
        <is>
          <t>ENT</t>
        </is>
      </c>
      <c r="O2494" t="inlineStr">
        <is>
          <t>ENT</t>
        </is>
      </c>
      <c r="P2494" t="n">
        <v>0</v>
      </c>
      <c r="Q2494" t="n">
        <v>0</v>
      </c>
      <c r="R2494" t="inlineStr">
        <is>
          <t>476-2025-12-31</t>
        </is>
      </c>
    </row>
    <row r="2495" hidden="1">
      <c r="A2495" t="n">
        <v>477</v>
      </c>
      <c r="B2495" t="inlineStr">
        <is>
          <t>Programas con planes de estudios definidos por escuela (Programas Renovación, modificación y acreditación)</t>
        </is>
      </c>
      <c r="C2495" t="inlineStr">
        <is>
          <t>Gestión de Unidades Académicas</t>
        </is>
      </c>
      <c r="D2495" t="inlineStr">
        <is>
          <t>Semestral</t>
        </is>
      </c>
      <c r="E2495" t="inlineStr">
        <is>
          <t>Positivo</t>
        </is>
      </c>
      <c r="F2495" s="113" t="n">
        <v>45473</v>
      </c>
      <c r="G2495" t="n">
        <v>2024</v>
      </c>
      <c r="H2495" t="inlineStr">
        <is>
          <t>Junio</t>
        </is>
      </c>
      <c r="I2495" t="inlineStr">
        <is>
          <t>2024-1</t>
        </is>
      </c>
      <c r="J2495" t="n">
        <v>100</v>
      </c>
      <c r="K2495" t="n">
        <v>100</v>
      </c>
      <c r="L2495" s="39" t="n">
        <v>1</v>
      </c>
      <c r="M2495" s="39" t="n">
        <v>1</v>
      </c>
      <c r="P2495" t="n">
        <v>0</v>
      </c>
      <c r="Q2495" t="n">
        <v>0</v>
      </c>
      <c r="R2495" t="inlineStr">
        <is>
          <t>477-2024-06-30</t>
        </is>
      </c>
    </row>
    <row r="2496" hidden="1">
      <c r="A2496" t="n">
        <v>477</v>
      </c>
      <c r="B2496" t="inlineStr">
        <is>
          <t>Programas con planes de estudios definidos por escuela (Programas Renovación, modificación y acreditación)</t>
        </is>
      </c>
      <c r="C2496" t="inlineStr">
        <is>
          <t>Gestión de Unidades Académicas</t>
        </is>
      </c>
      <c r="D2496" t="inlineStr">
        <is>
          <t>Semestral</t>
        </is>
      </c>
      <c r="E2496" t="inlineStr">
        <is>
          <t>Positivo</t>
        </is>
      </c>
      <c r="F2496" s="113" t="n">
        <v>45657</v>
      </c>
      <c r="G2496" t="n">
        <v>2024</v>
      </c>
      <c r="H2496" t="inlineStr">
        <is>
          <t>Diciembre</t>
        </is>
      </c>
      <c r="I2496" t="inlineStr">
        <is>
          <t>2024-2</t>
        </is>
      </c>
      <c r="J2496" t="n">
        <v>100</v>
      </c>
      <c r="K2496" t="n">
        <v>100</v>
      </c>
      <c r="L2496" s="39" t="n">
        <v>1</v>
      </c>
      <c r="M2496" s="39" t="n">
        <v>1</v>
      </c>
      <c r="P2496" t="n">
        <v>0</v>
      </c>
      <c r="Q2496" t="n">
        <v>0</v>
      </c>
      <c r="R2496" t="inlineStr">
        <is>
          <t>477-2024-12-31</t>
        </is>
      </c>
    </row>
    <row r="2497" hidden="1">
      <c r="A2497" t="n">
        <v>477</v>
      </c>
      <c r="B2497" t="inlineStr">
        <is>
          <t>Programas con planes de estudios definidos por escuela (Programas Renovación, modificación y acreditación)</t>
        </is>
      </c>
      <c r="C2497" t="inlineStr">
        <is>
          <t>Gestión de Unidades Académicas</t>
        </is>
      </c>
      <c r="D2497" t="inlineStr">
        <is>
          <t>Trimestral</t>
        </is>
      </c>
      <c r="E2497" t="inlineStr">
        <is>
          <t>Positivo</t>
        </is>
      </c>
      <c r="F2497" s="113" t="n">
        <v>45838</v>
      </c>
      <c r="G2497" t="n">
        <v>2025</v>
      </c>
      <c r="H2497" t="inlineStr">
        <is>
          <t>Junio</t>
        </is>
      </c>
      <c r="I2497" t="inlineStr">
        <is>
          <t>2025-1</t>
        </is>
      </c>
      <c r="L2497" s="39" t="n"/>
      <c r="M2497" s="39" t="n"/>
      <c r="N2497" t="inlineStr">
        <is>
          <t>ENT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477-2025-06-30</t>
        </is>
      </c>
      <c r="S2497" t="inlineStr">
        <is>
          <t>No Aplica</t>
        </is>
      </c>
    </row>
    <row r="2498" hidden="1">
      <c r="A2498" t="n">
        <v>478</v>
      </c>
      <c r="B2498" t="inlineStr">
        <is>
          <t>Programas con planes de estudios definidos por escuela (Mantenimiento de programas)</t>
        </is>
      </c>
      <c r="C2498" t="inlineStr">
        <is>
          <t>Gestión de Unidades Académicas</t>
        </is>
      </c>
      <c r="D2498" t="inlineStr">
        <is>
          <t>Trimestral</t>
        </is>
      </c>
      <c r="E2498" t="inlineStr">
        <is>
          <t>Positivo</t>
        </is>
      </c>
      <c r="F2498" s="113" t="n">
        <v>45473</v>
      </c>
      <c r="G2498" t="n">
        <v>2024</v>
      </c>
      <c r="H2498" t="inlineStr">
        <is>
          <t>Junio</t>
        </is>
      </c>
      <c r="I2498" t="inlineStr">
        <is>
          <t>2024-1</t>
        </is>
      </c>
      <c r="J2498" t="n">
        <v>100</v>
      </c>
      <c r="L2498" s="39" t="n"/>
      <c r="M2498" s="39" t="n"/>
      <c r="N2498" t="inlineStr">
        <is>
          <t>ENT</t>
        </is>
      </c>
      <c r="O2498" t="inlineStr">
        <is>
          <t>No Aplica</t>
        </is>
      </c>
      <c r="P2498" t="n">
        <v>0</v>
      </c>
      <c r="Q2498" t="n">
        <v>0</v>
      </c>
      <c r="R2498" t="inlineStr">
        <is>
          <t>478-2024-06-30</t>
        </is>
      </c>
      <c r="S2498" t="inlineStr">
        <is>
          <t>No Aplica</t>
        </is>
      </c>
    </row>
    <row r="2499" hidden="1">
      <c r="A2499" t="n">
        <v>478</v>
      </c>
      <c r="B2499" t="inlineStr">
        <is>
          <t>Programas con planes de estudios definidos por escuela (Mantenimiento de programas)</t>
        </is>
      </c>
      <c r="C2499" t="inlineStr">
        <is>
          <t>Gestión de Unidades Académicas</t>
        </is>
      </c>
      <c r="D2499" t="inlineStr">
        <is>
          <t>Semestral</t>
        </is>
      </c>
      <c r="E2499" t="inlineStr">
        <is>
          <t>Positivo</t>
        </is>
      </c>
      <c r="F2499" s="113" t="n">
        <v>45657</v>
      </c>
      <c r="G2499" t="n">
        <v>2024</v>
      </c>
      <c r="H2499" t="inlineStr">
        <is>
          <t>Diciembre</t>
        </is>
      </c>
      <c r="I2499" t="inlineStr">
        <is>
          <t>2024-2</t>
        </is>
      </c>
      <c r="J2499" t="n">
        <v>100</v>
      </c>
      <c r="K2499" t="n">
        <v>100</v>
      </c>
      <c r="L2499" s="39" t="n">
        <v>1</v>
      </c>
      <c r="M2499" s="39" t="n">
        <v>1</v>
      </c>
      <c r="P2499" t="n">
        <v>0</v>
      </c>
      <c r="Q2499" t="n">
        <v>0</v>
      </c>
      <c r="R2499" t="inlineStr">
        <is>
          <t>478-2024-12-31</t>
        </is>
      </c>
    </row>
    <row r="2500" hidden="1">
      <c r="A2500" t="n">
        <v>478</v>
      </c>
      <c r="B2500" t="inlineStr">
        <is>
          <t>Programas con planes de estudios definidos por escuela (Mantenimiento de programas)</t>
        </is>
      </c>
      <c r="C2500" t="inlineStr">
        <is>
          <t>Gestión de Unidades Académicas</t>
        </is>
      </c>
      <c r="D2500" t="inlineStr">
        <is>
          <t>Trimestral</t>
        </is>
      </c>
      <c r="E2500" t="inlineStr">
        <is>
          <t>Positivo</t>
        </is>
      </c>
      <c r="F2500" s="113" t="n">
        <v>45838</v>
      </c>
      <c r="G2500" t="n">
        <v>2025</v>
      </c>
      <c r="H2500" t="inlineStr">
        <is>
          <t>Junio</t>
        </is>
      </c>
      <c r="I2500" t="inlineStr">
        <is>
          <t>2025-1</t>
        </is>
      </c>
      <c r="K2500" t="n">
        <v>0</v>
      </c>
      <c r="L2500" s="39" t="n"/>
      <c r="M2500" s="39" t="n"/>
      <c r="N2500" t="inlineStr">
        <is>
          <t>ENT</t>
        </is>
      </c>
      <c r="O2500" t="inlineStr">
        <is>
          <t>ENT</t>
        </is>
      </c>
      <c r="P2500" t="n">
        <v>0</v>
      </c>
      <c r="Q2500" t="n">
        <v>0</v>
      </c>
      <c r="R2500" t="inlineStr">
        <is>
          <t>478-2025-06-30</t>
        </is>
      </c>
    </row>
    <row r="2501" hidden="1">
      <c r="A2501" t="n">
        <v>478</v>
      </c>
      <c r="B2501" t="inlineStr">
        <is>
          <t>Programas con planes de estudios definidos por escuela (Mantenimiento de programas)</t>
        </is>
      </c>
      <c r="C2501" t="inlineStr">
        <is>
          <t>Gestión de Unidades Académicas</t>
        </is>
      </c>
      <c r="D2501" t="inlineStr">
        <is>
          <t>Trimestral</t>
        </is>
      </c>
      <c r="E2501" t="inlineStr">
        <is>
          <t>Positivo</t>
        </is>
      </c>
      <c r="F2501" s="113" t="n">
        <v>46022</v>
      </c>
      <c r="G2501" t="n">
        <v>2025</v>
      </c>
      <c r="H2501" t="inlineStr">
        <is>
          <t>Diciembre</t>
        </is>
      </c>
      <c r="I2501" t="inlineStr">
        <is>
          <t>2025-2</t>
        </is>
      </c>
      <c r="L2501" s="39" t="n"/>
      <c r="M2501" s="39" t="n"/>
      <c r="N2501" t="inlineStr">
        <is>
          <t>ENT</t>
        </is>
      </c>
      <c r="O2501" t="inlineStr">
        <is>
          <t>No Aplica</t>
        </is>
      </c>
      <c r="P2501" t="n">
        <v>0</v>
      </c>
      <c r="Q2501" t="n">
        <v>0</v>
      </c>
      <c r="R2501" t="inlineStr">
        <is>
          <t>478-2025-12-31</t>
        </is>
      </c>
      <c r="S2501" t="inlineStr">
        <is>
          <t>No Aplica</t>
        </is>
      </c>
    </row>
    <row r="2502" hidden="1">
      <c r="A2502" t="n">
        <v>479</v>
      </c>
      <c r="B2502" t="inlineStr">
        <is>
          <t>Programas con resultados de aprendizaje definidos por escuela (Nuevos Programas)</t>
        </is>
      </c>
      <c r="C2502" t="inlineStr">
        <is>
          <t>Gestión de Unidades Académicas</t>
        </is>
      </c>
      <c r="D2502" t="inlineStr">
        <is>
          <t>Semestral</t>
        </is>
      </c>
      <c r="E2502" t="inlineStr">
        <is>
          <t>Positivo</t>
        </is>
      </c>
      <c r="F2502" s="113" t="n">
        <v>45473</v>
      </c>
      <c r="G2502" t="n">
        <v>2024</v>
      </c>
      <c r="H2502" t="inlineStr">
        <is>
          <t>Junio</t>
        </is>
      </c>
      <c r="I2502" t="inlineStr">
        <is>
          <t>2024-1</t>
        </is>
      </c>
      <c r="J2502" t="n">
        <v>100</v>
      </c>
      <c r="K2502" t="n">
        <v>100</v>
      </c>
      <c r="L2502" s="39" t="n">
        <v>1</v>
      </c>
      <c r="M2502" s="39" t="n">
        <v>1</v>
      </c>
      <c r="P2502" t="n">
        <v>0</v>
      </c>
      <c r="Q2502" t="n">
        <v>0</v>
      </c>
      <c r="R2502" t="inlineStr">
        <is>
          <t>479-2024-06-30</t>
        </is>
      </c>
    </row>
    <row r="2503" hidden="1">
      <c r="A2503" t="n">
        <v>479</v>
      </c>
      <c r="B2503" t="inlineStr">
        <is>
          <t>Programas con resultados de aprendizaje definidos por escuela (Nuevos Programas)</t>
        </is>
      </c>
      <c r="C2503" t="inlineStr">
        <is>
          <t>Gestión de Unidades Académicas</t>
        </is>
      </c>
      <c r="D2503" t="inlineStr">
        <is>
          <t>Semestral</t>
        </is>
      </c>
      <c r="E2503" t="inlineStr">
        <is>
          <t>Positivo</t>
        </is>
      </c>
      <c r="F2503" s="113" t="n">
        <v>45657</v>
      </c>
      <c r="G2503" t="n">
        <v>2024</v>
      </c>
      <c r="H2503" t="inlineStr">
        <is>
          <t>Diciembre</t>
        </is>
      </c>
      <c r="I2503" t="inlineStr">
        <is>
          <t>2024-2</t>
        </is>
      </c>
      <c r="J2503" t="n">
        <v>100</v>
      </c>
      <c r="K2503" t="n">
        <v>100</v>
      </c>
      <c r="L2503" s="39" t="n">
        <v>1</v>
      </c>
      <c r="M2503" s="39" t="n">
        <v>1</v>
      </c>
      <c r="P2503" t="n">
        <v>0</v>
      </c>
      <c r="Q2503" t="n">
        <v>0</v>
      </c>
      <c r="R2503" t="inlineStr">
        <is>
          <t>479-2024-12-31</t>
        </is>
      </c>
    </row>
    <row r="2504" hidden="1">
      <c r="A2504" t="n">
        <v>479</v>
      </c>
      <c r="B2504" t="inlineStr">
        <is>
          <t>Programas con resultados de aprendizaje definidos por escuela (Nuevos Programas)</t>
        </is>
      </c>
      <c r="C2504" t="inlineStr">
        <is>
          <t>Gestión de Unidades Académicas</t>
        </is>
      </c>
      <c r="D2504" t="inlineStr">
        <is>
          <t>Trimestral</t>
        </is>
      </c>
      <c r="E2504" t="inlineStr">
        <is>
          <t>Positivo</t>
        </is>
      </c>
      <c r="F2504" s="113" t="n">
        <v>45838</v>
      </c>
      <c r="G2504" t="n">
        <v>2025</v>
      </c>
      <c r="H2504" t="inlineStr">
        <is>
          <t>Junio</t>
        </is>
      </c>
      <c r="I2504" t="inlineStr">
        <is>
          <t>2025-1</t>
        </is>
      </c>
      <c r="J2504" t="n">
        <v>100</v>
      </c>
      <c r="L2504" s="39" t="n"/>
      <c r="M2504" s="39" t="n"/>
      <c r="N2504" t="inlineStr">
        <is>
          <t>ENT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479-2025-06-30</t>
        </is>
      </c>
      <c r="S2504" t="inlineStr">
        <is>
          <t>No Aplica</t>
        </is>
      </c>
    </row>
    <row r="2505" hidden="1">
      <c r="A2505" t="n">
        <v>480</v>
      </c>
      <c r="B2505" t="inlineStr">
        <is>
          <t>Programas con resultados de aprendizaje definidos por escuela (Programas Renovación, modificación y acreditación)</t>
        </is>
      </c>
      <c r="C2505" t="inlineStr">
        <is>
          <t>Gestión de Unidades Académicas</t>
        </is>
      </c>
      <c r="D2505" t="inlineStr">
        <is>
          <t>Semestral</t>
        </is>
      </c>
      <c r="E2505" t="inlineStr">
        <is>
          <t>Positivo</t>
        </is>
      </c>
      <c r="F2505" s="113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J2505" t="n">
        <v>100</v>
      </c>
      <c r="K2505" t="n">
        <v>100</v>
      </c>
      <c r="L2505" s="39" t="n">
        <v>1</v>
      </c>
      <c r="M2505" s="39" t="n">
        <v>1</v>
      </c>
      <c r="P2505" t="n">
        <v>0</v>
      </c>
      <c r="Q2505" t="n">
        <v>0</v>
      </c>
      <c r="R2505" t="inlineStr">
        <is>
          <t>480-2024-06-30</t>
        </is>
      </c>
    </row>
    <row r="2506" hidden="1">
      <c r="A2506" t="n">
        <v>480</v>
      </c>
      <c r="B2506" t="inlineStr">
        <is>
          <t>Programas con resultados de aprendizaje definidos por escuela (Programas Renovación, modificación y acreditación)</t>
        </is>
      </c>
      <c r="C2506" t="inlineStr">
        <is>
          <t>Gestión de Unidades Académicas</t>
        </is>
      </c>
      <c r="D2506" t="inlineStr">
        <is>
          <t>Semestral</t>
        </is>
      </c>
      <c r="E2506" t="inlineStr">
        <is>
          <t>Positivo</t>
        </is>
      </c>
      <c r="F2506" s="113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J2506" t="n">
        <v>100</v>
      </c>
      <c r="K2506" t="n">
        <v>100</v>
      </c>
      <c r="L2506" s="39" t="n">
        <v>1</v>
      </c>
      <c r="M2506" s="39" t="n">
        <v>1</v>
      </c>
      <c r="P2506" t="n">
        <v>0</v>
      </c>
      <c r="Q2506" t="n">
        <v>0</v>
      </c>
      <c r="R2506" t="inlineStr">
        <is>
          <t>480-2024-12-31</t>
        </is>
      </c>
    </row>
    <row r="2507" hidden="1">
      <c r="A2507" t="n">
        <v>480</v>
      </c>
      <c r="B2507" t="inlineStr">
        <is>
          <t>Programas con resultados de aprendizaje definidos por escuela (Programas Renovación, modificación y acreditación)</t>
        </is>
      </c>
      <c r="C2507" t="inlineStr">
        <is>
          <t>Gestión de Unidades Académicas</t>
        </is>
      </c>
      <c r="D2507" t="inlineStr">
        <is>
          <t>Trimestral</t>
        </is>
      </c>
      <c r="E2507" t="inlineStr">
        <is>
          <t>Positivo</t>
        </is>
      </c>
      <c r="F2507" s="113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J2507" t="n">
        <v>100</v>
      </c>
      <c r="L2507" s="39" t="n"/>
      <c r="M2507" s="39" t="n"/>
      <c r="N2507" t="inlineStr">
        <is>
          <t>ENT</t>
        </is>
      </c>
      <c r="O2507" t="inlineStr">
        <is>
          <t>No Aplica</t>
        </is>
      </c>
      <c r="P2507" t="n">
        <v>0</v>
      </c>
      <c r="Q2507" t="n">
        <v>0</v>
      </c>
      <c r="R2507" t="inlineStr">
        <is>
          <t>480-2025-06-30</t>
        </is>
      </c>
      <c r="S2507" t="inlineStr">
        <is>
          <t>No Aplica</t>
        </is>
      </c>
    </row>
    <row r="2508" hidden="1">
      <c r="A2508" t="n">
        <v>481</v>
      </c>
      <c r="B2508" t="inlineStr">
        <is>
          <t>Solicitudes de documentación completadas</t>
        </is>
      </c>
      <c r="C2508" t="inlineStr">
        <is>
          <t>Gestión, Evaluación e Innovación Curricular</t>
        </is>
      </c>
      <c r="D2508" t="inlineStr">
        <is>
          <t>Semestral</t>
        </is>
      </c>
      <c r="E2508" t="inlineStr">
        <is>
          <t>Positivo</t>
        </is>
      </c>
      <c r="F2508" s="113" t="n">
        <v>45473</v>
      </c>
      <c r="G2508" t="n">
        <v>2024</v>
      </c>
      <c r="H2508" t="inlineStr">
        <is>
          <t>Junio</t>
        </is>
      </c>
      <c r="I2508" t="inlineStr">
        <is>
          <t>2024-1</t>
        </is>
      </c>
      <c r="J2508" t="n">
        <v>100</v>
      </c>
      <c r="K2508" t="n">
        <v>100</v>
      </c>
      <c r="L2508" s="39" t="n">
        <v>1</v>
      </c>
      <c r="M2508" s="39" t="n">
        <v>1</v>
      </c>
      <c r="P2508" t="n">
        <v>0</v>
      </c>
      <c r="Q2508" t="n">
        <v>0</v>
      </c>
      <c r="R2508" t="inlineStr">
        <is>
          <t>481-2024-06-30</t>
        </is>
      </c>
    </row>
    <row r="2509" hidden="1">
      <c r="A2509" t="n">
        <v>481</v>
      </c>
      <c r="B2509" t="inlineStr">
        <is>
          <t>Solicitudes de documentación completadas</t>
        </is>
      </c>
      <c r="C2509" t="inlineStr">
        <is>
          <t>Gestión, Evaluación e Innovación Curricular</t>
        </is>
      </c>
      <c r="D2509" t="inlineStr">
        <is>
          <t>Trimestral</t>
        </is>
      </c>
      <c r="E2509" t="inlineStr">
        <is>
          <t>Positivo</t>
        </is>
      </c>
      <c r="F2509" s="113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100</v>
      </c>
      <c r="L2509" s="39" t="n"/>
      <c r="M2509" s="39" t="n"/>
      <c r="N2509" t="inlineStr">
        <is>
          <t>%</t>
        </is>
      </c>
      <c r="O2509" t="inlineStr">
        <is>
          <t>No Aplica</t>
        </is>
      </c>
      <c r="P2509" t="n">
        <v>0</v>
      </c>
      <c r="Q2509" t="n">
        <v>0</v>
      </c>
      <c r="R2509" t="inlineStr">
        <is>
          <t>481-2024-12-31</t>
        </is>
      </c>
      <c r="S2509" t="inlineStr">
        <is>
          <t>No Aplica</t>
        </is>
      </c>
    </row>
    <row r="2510" hidden="1">
      <c r="A2510" t="n">
        <v>481</v>
      </c>
      <c r="B2510" t="inlineStr">
        <is>
          <t>Solicitudes de documentación completadas</t>
        </is>
      </c>
      <c r="C2510" t="inlineStr">
        <is>
          <t>Gestión, Evaluación e Innovación Curricular</t>
        </is>
      </c>
      <c r="D2510" t="inlineStr">
        <is>
          <t>Trimestral</t>
        </is>
      </c>
      <c r="E2510" t="inlineStr">
        <is>
          <t>Positivo</t>
        </is>
      </c>
      <c r="F2510" s="113" t="n">
        <v>45838</v>
      </c>
      <c r="G2510" t="n">
        <v>2025</v>
      </c>
      <c r="H2510" t="inlineStr">
        <is>
          <t>Junio</t>
        </is>
      </c>
      <c r="I2510" t="inlineStr">
        <is>
          <t>2025-1</t>
        </is>
      </c>
      <c r="J2510" t="n">
        <v>100</v>
      </c>
      <c r="K2510" t="n">
        <v>100</v>
      </c>
      <c r="L2510" s="39" t="n">
        <v>1</v>
      </c>
      <c r="M2510" s="39" t="n">
        <v>1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481-2025-06-30</t>
        </is>
      </c>
    </row>
    <row r="2511" hidden="1">
      <c r="A2511" t="n">
        <v>481</v>
      </c>
      <c r="B2511" t="inlineStr">
        <is>
          <t>Solicitudes de documentación completadas</t>
        </is>
      </c>
      <c r="C2511" t="inlineStr">
        <is>
          <t>Gestión, Evaluación e Innovación Curricular</t>
        </is>
      </c>
      <c r="D2511" t="inlineStr">
        <is>
          <t>Trimestral</t>
        </is>
      </c>
      <c r="E2511" t="inlineStr">
        <is>
          <t>Positivo</t>
        </is>
      </c>
      <c r="F2511" s="113" t="n">
        <v>46022</v>
      </c>
      <c r="G2511" t="n">
        <v>2025</v>
      </c>
      <c r="H2511" t="inlineStr">
        <is>
          <t>Diciembre</t>
        </is>
      </c>
      <c r="I2511" t="inlineStr">
        <is>
          <t>2025-2</t>
        </is>
      </c>
      <c r="J2511" t="n">
        <v>100</v>
      </c>
      <c r="L2511" s="39" t="n"/>
      <c r="M2511" s="3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481-2025-12-31</t>
        </is>
      </c>
      <c r="S2511" t="inlineStr">
        <is>
          <t>No Aplica</t>
        </is>
      </c>
    </row>
    <row r="2512" hidden="1">
      <c r="A2512" t="n">
        <v>483</v>
      </c>
      <c r="B2512" t="inlineStr">
        <is>
          <t>Tasa de incremento en la resolución de solicitudes de la vicerrectoría de crecimiento</t>
        </is>
      </c>
      <c r="C2512" t="inlineStr">
        <is>
          <t>Gestión de campañas integradas de marketing</t>
        </is>
      </c>
      <c r="D2512" t="inlineStr">
        <is>
          <t>Anual</t>
        </is>
      </c>
      <c r="E2512" t="inlineStr">
        <is>
          <t>Positivo</t>
        </is>
      </c>
      <c r="F2512" s="113" t="n">
        <v>45657</v>
      </c>
      <c r="G2512" t="n">
        <v>2024</v>
      </c>
      <c r="H2512" t="inlineStr">
        <is>
          <t>Diciembre</t>
        </is>
      </c>
      <c r="I2512" t="inlineStr">
        <is>
          <t>2024-2</t>
        </is>
      </c>
      <c r="J2512" t="n">
        <v>10</v>
      </c>
      <c r="K2512" t="n">
        <v>91.65000000000001</v>
      </c>
      <c r="L2512" s="39" t="n">
        <v>1.3</v>
      </c>
      <c r="M2512" s="39" t="n">
        <v>9.165000000000001</v>
      </c>
      <c r="P2512" t="n">
        <v>0</v>
      </c>
      <c r="Q2512" t="n">
        <v>0</v>
      </c>
      <c r="R2512" t="inlineStr">
        <is>
          <t>483-2024-12-31</t>
        </is>
      </c>
    </row>
    <row r="2513" hidden="1">
      <c r="A2513" t="n">
        <v>484</v>
      </c>
      <c r="B2513" t="inlineStr">
        <is>
          <t>Cumplimiento del Programa de la Cultura del Autocuidado</t>
        </is>
      </c>
      <c r="C2513" t="inlineStr">
        <is>
          <t>GESTIÓN DE SEGURIDAD Y SALUD EN EL TRABAJO</t>
        </is>
      </c>
      <c r="D2513" t="inlineStr">
        <is>
          <t>Trimestral</t>
        </is>
      </c>
      <c r="E2513" t="inlineStr">
        <is>
          <t>Positivo</t>
        </is>
      </c>
      <c r="F2513" s="113" t="n">
        <v>45473</v>
      </c>
      <c r="G2513" t="n">
        <v>2024</v>
      </c>
      <c r="H2513" t="inlineStr">
        <is>
          <t>Junio</t>
        </is>
      </c>
      <c r="I2513" t="inlineStr">
        <is>
          <t>2024-1</t>
        </is>
      </c>
      <c r="J2513" t="n">
        <v>90</v>
      </c>
      <c r="K2513" t="n">
        <v>100</v>
      </c>
      <c r="L2513" s="39" t="n">
        <v>1.111111111111111</v>
      </c>
      <c r="M2513" s="39" t="n">
        <v>1.111111111111111</v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484-2024-06-30</t>
        </is>
      </c>
    </row>
    <row r="2514" hidden="1">
      <c r="A2514" t="n">
        <v>484</v>
      </c>
      <c r="B2514" t="inlineStr">
        <is>
          <t>Cumplimiento del Programa de la Cultura del Autocuidado</t>
        </is>
      </c>
      <c r="C2514" t="inlineStr">
        <is>
          <t>GESTIÓN DE SEGURIDAD Y SALUD EN EL TRABAJO</t>
        </is>
      </c>
      <c r="D2514" t="inlineStr">
        <is>
          <t>Trimestral</t>
        </is>
      </c>
      <c r="E2514" t="inlineStr">
        <is>
          <t>Positivo</t>
        </is>
      </c>
      <c r="F2514" s="113" t="n">
        <v>45565</v>
      </c>
      <c r="G2514" t="n">
        <v>2024</v>
      </c>
      <c r="H2514" t="inlineStr">
        <is>
          <t>Septiembre</t>
        </is>
      </c>
      <c r="I2514" t="inlineStr">
        <is>
          <t>2024-2</t>
        </is>
      </c>
      <c r="J2514" t="n">
        <v>90</v>
      </c>
      <c r="K2514" t="n">
        <v>100</v>
      </c>
      <c r="L2514" s="39" t="n">
        <v>1.111111111111111</v>
      </c>
      <c r="M2514" s="39" t="n">
        <v>1.111111111111111</v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484-2024-09-30</t>
        </is>
      </c>
    </row>
    <row r="2515" hidden="1">
      <c r="A2515" t="n">
        <v>484</v>
      </c>
      <c r="B2515" t="inlineStr">
        <is>
          <t>Cumplimiento del Programa de la Cultura del Autocuidado</t>
        </is>
      </c>
      <c r="C2515" t="inlineStr">
        <is>
          <t>GESTIÓN DE SEGURIDAD Y SALUD EN EL TRABAJO</t>
        </is>
      </c>
      <c r="D2515" t="inlineStr">
        <is>
          <t>Trimestral</t>
        </is>
      </c>
      <c r="E2515" t="inlineStr">
        <is>
          <t>Positivo</t>
        </is>
      </c>
      <c r="F2515" s="113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90</v>
      </c>
      <c r="K2515" t="n">
        <v>100</v>
      </c>
      <c r="L2515" s="39" t="n">
        <v>1.111111111111111</v>
      </c>
      <c r="M2515" s="39" t="n">
        <v>1.111111111111111</v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484-2024-12-31</t>
        </is>
      </c>
    </row>
    <row r="2516" hidden="1">
      <c r="A2516" t="n">
        <v>484</v>
      </c>
      <c r="B2516" t="inlineStr">
        <is>
          <t>Cumplimiento del Programa de la Cultura del Autocuidado</t>
        </is>
      </c>
      <c r="C2516" t="inlineStr">
        <is>
          <t>GESTIÓN DE SEGURIDAD Y SALUD EN EL TRABAJO</t>
        </is>
      </c>
      <c r="D2516" t="inlineStr">
        <is>
          <t>Trimestral</t>
        </is>
      </c>
      <c r="E2516" t="inlineStr">
        <is>
          <t>Positivo</t>
        </is>
      </c>
      <c r="F2516" s="113" t="n">
        <v>45747</v>
      </c>
      <c r="G2516" t="n">
        <v>2025</v>
      </c>
      <c r="H2516" t="inlineStr">
        <is>
          <t>Marzo</t>
        </is>
      </c>
      <c r="I2516" t="inlineStr">
        <is>
          <t>2025-1</t>
        </is>
      </c>
      <c r="J2516" t="n">
        <v>90</v>
      </c>
      <c r="K2516" t="n">
        <v>100</v>
      </c>
      <c r="L2516" s="39" t="n">
        <v>1.111111111111111</v>
      </c>
      <c r="M2516" s="39" t="n">
        <v>1.111111111111111</v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484-2025-03-31</t>
        </is>
      </c>
    </row>
    <row r="2517" hidden="1">
      <c r="A2517" t="n">
        <v>484</v>
      </c>
      <c r="B2517" t="inlineStr">
        <is>
          <t>Cumplimiento del Programa de la Cultura del Autocuidado</t>
        </is>
      </c>
      <c r="C2517" t="inlineStr">
        <is>
          <t>GESTIÓN DE SEGURIDAD Y SALUD EN EL TRABAJO</t>
        </is>
      </c>
      <c r="D2517" t="inlineStr">
        <is>
          <t>Trimestral</t>
        </is>
      </c>
      <c r="E2517" t="inlineStr">
        <is>
          <t>Positivo</t>
        </is>
      </c>
      <c r="F2517" s="113" t="n">
        <v>45838</v>
      </c>
      <c r="G2517" t="n">
        <v>2025</v>
      </c>
      <c r="H2517" t="inlineStr">
        <is>
          <t>Junio</t>
        </is>
      </c>
      <c r="I2517" t="inlineStr">
        <is>
          <t>2025-1</t>
        </is>
      </c>
      <c r="J2517" t="n">
        <v>90</v>
      </c>
      <c r="K2517" t="n">
        <v>100</v>
      </c>
      <c r="L2517" s="39" t="n">
        <v>1.111111111111111</v>
      </c>
      <c r="M2517" s="39" t="n">
        <v>1.111111111111111</v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484-2025-06-30</t>
        </is>
      </c>
    </row>
    <row r="2518" hidden="1">
      <c r="A2518" t="n">
        <v>484</v>
      </c>
      <c r="B2518" t="inlineStr">
        <is>
          <t>Cumplimiento del Programa de la Cultura del Autocuidado</t>
        </is>
      </c>
      <c r="C2518" t="inlineStr">
        <is>
          <t>GESTIÓN DE SEGURIDAD Y SALUD EN EL TRABAJO</t>
        </is>
      </c>
      <c r="D2518" t="inlineStr">
        <is>
          <t>Semestral</t>
        </is>
      </c>
      <c r="E2518" t="inlineStr">
        <is>
          <t>Positivo</t>
        </is>
      </c>
      <c r="F2518" s="113" t="n">
        <v>45930</v>
      </c>
      <c r="G2518" t="n">
        <v>2025</v>
      </c>
      <c r="H2518" t="inlineStr">
        <is>
          <t>Septiembre</t>
        </is>
      </c>
      <c r="I2518" t="inlineStr">
        <is>
          <t>2025-2</t>
        </is>
      </c>
      <c r="J2518" t="n">
        <v>90</v>
      </c>
      <c r="K2518" t="n">
        <v>100</v>
      </c>
      <c r="L2518" s="39" t="n">
        <v>1.111111111111111</v>
      </c>
      <c r="M2518" s="39" t="n">
        <v>1.111111111111111</v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484-2025-09-30</t>
        </is>
      </c>
    </row>
    <row r="2519" hidden="1">
      <c r="A2519" t="n">
        <v>484</v>
      </c>
      <c r="B2519" t="inlineStr">
        <is>
          <t>Cumplimiento del Programa de la Cultura del Autocuidado</t>
        </is>
      </c>
      <c r="C2519" t="inlineStr">
        <is>
          <t>GESTIÓN DE SEGURIDAD Y SALUD EN EL TRABAJO</t>
        </is>
      </c>
      <c r="D2519" t="inlineStr">
        <is>
          <t>Semestral</t>
        </is>
      </c>
      <c r="E2519" t="inlineStr">
        <is>
          <t>Positivo</t>
        </is>
      </c>
      <c r="F2519" s="113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90</v>
      </c>
      <c r="K2519" t="n">
        <v>100</v>
      </c>
      <c r="L2519" s="39" t="n">
        <v>1.111111111111111</v>
      </c>
      <c r="M2519" s="39" t="n">
        <v>1.111111111111111</v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484-2025-12-31</t>
        </is>
      </c>
    </row>
    <row r="2520" hidden="1">
      <c r="A2520" t="n">
        <v>484</v>
      </c>
      <c r="B2520" t="inlineStr">
        <is>
          <t>Cumplimiento del Programa de la Cultura del Autocuidado</t>
        </is>
      </c>
      <c r="C2520" t="inlineStr">
        <is>
          <t>GESTIÓN DE SEGURIDAD Y SALUD EN EL TRABAJO</t>
        </is>
      </c>
      <c r="D2520" t="inlineStr">
        <is>
          <t>Semestral</t>
        </is>
      </c>
      <c r="E2520" t="inlineStr">
        <is>
          <t>Positivo</t>
        </is>
      </c>
      <c r="F2520" s="113" t="n">
        <v>46112</v>
      </c>
      <c r="G2520" t="n">
        <v>2026</v>
      </c>
      <c r="H2520" t="inlineStr">
        <is>
          <t>Marzo</t>
        </is>
      </c>
      <c r="I2520" t="inlineStr">
        <is>
          <t>2026-1</t>
        </is>
      </c>
      <c r="J2520" t="n">
        <v>1</v>
      </c>
      <c r="K2520" t="n">
        <v>100</v>
      </c>
      <c r="L2520" s="39" t="n">
        <v>1.3</v>
      </c>
      <c r="M2520" s="39" t="n">
        <v>100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484-2026-03-31</t>
        </is>
      </c>
    </row>
    <row r="2521" hidden="1">
      <c r="A2521" t="n">
        <v>485</v>
      </c>
      <c r="B2521" t="inlineStr">
        <is>
          <t>Oportunidad en el cierre de acciones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13" t="n">
        <v>45322</v>
      </c>
      <c r="G2521" t="n">
        <v>2024</v>
      </c>
      <c r="H2521" t="inlineStr">
        <is>
          <t>Enero</t>
        </is>
      </c>
      <c r="I2521" t="inlineStr">
        <is>
          <t>2024-1</t>
        </is>
      </c>
      <c r="L2521" s="39" t="n"/>
      <c r="M2521" s="39" t="n"/>
      <c r="N2521" t="inlineStr">
        <is>
          <t>%</t>
        </is>
      </c>
      <c r="O2521" t="inlineStr">
        <is>
          <t>No Aplica</t>
        </is>
      </c>
      <c r="P2521" t="n">
        <v>0</v>
      </c>
      <c r="Q2521" t="n">
        <v>0</v>
      </c>
      <c r="R2521" t="inlineStr">
        <is>
          <t>485-2024-01-31</t>
        </is>
      </c>
      <c r="S2521" t="inlineStr">
        <is>
          <t>No Aplica</t>
        </is>
      </c>
    </row>
    <row r="2522" hidden="1">
      <c r="A2522" t="n">
        <v>485</v>
      </c>
      <c r="B2522" t="inlineStr">
        <is>
          <t>Oportunidad en el cierre de acciones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13" t="n">
        <v>45351</v>
      </c>
      <c r="G2522" t="n">
        <v>2024</v>
      </c>
      <c r="H2522" t="inlineStr">
        <is>
          <t>Febrero</t>
        </is>
      </c>
      <c r="I2522" t="inlineStr">
        <is>
          <t>2024-1</t>
        </is>
      </c>
      <c r="L2522" s="39" t="n"/>
      <c r="M2522" s="39" t="n"/>
      <c r="N2522" t="inlineStr">
        <is>
          <t>%</t>
        </is>
      </c>
      <c r="O2522" t="inlineStr">
        <is>
          <t>No Aplica</t>
        </is>
      </c>
      <c r="P2522" t="n">
        <v>0</v>
      </c>
      <c r="Q2522" t="n">
        <v>0</v>
      </c>
      <c r="R2522" t="inlineStr">
        <is>
          <t>485-2024-02-29</t>
        </is>
      </c>
      <c r="S2522" t="inlineStr">
        <is>
          <t>No Aplica</t>
        </is>
      </c>
    </row>
    <row r="2523" hidden="1">
      <c r="A2523" t="n">
        <v>485</v>
      </c>
      <c r="B2523" t="inlineStr">
        <is>
          <t>Oportunidad en el cierre de acciones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13" t="n">
        <v>45382</v>
      </c>
      <c r="G2523" t="n">
        <v>2024</v>
      </c>
      <c r="H2523" t="inlineStr">
        <is>
          <t>Marzo</t>
        </is>
      </c>
      <c r="I2523" t="inlineStr">
        <is>
          <t>2024-1</t>
        </is>
      </c>
      <c r="L2523" s="39" t="n"/>
      <c r="M2523" s="39" t="n"/>
      <c r="N2523" t="inlineStr">
        <is>
          <t>%</t>
        </is>
      </c>
      <c r="O2523" t="inlineStr">
        <is>
          <t>No Aplica</t>
        </is>
      </c>
      <c r="P2523" t="n">
        <v>0</v>
      </c>
      <c r="Q2523" t="n">
        <v>0</v>
      </c>
      <c r="R2523" t="inlineStr">
        <is>
          <t>485-2024-03-31</t>
        </is>
      </c>
      <c r="S2523" t="inlineStr">
        <is>
          <t>No Aplica</t>
        </is>
      </c>
    </row>
    <row r="2524" hidden="1">
      <c r="A2524" t="n">
        <v>485</v>
      </c>
      <c r="B2524" t="inlineStr">
        <is>
          <t>Oportunidad en el cierre de acciones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13" t="n">
        <v>45412</v>
      </c>
      <c r="G2524" t="n">
        <v>2024</v>
      </c>
      <c r="H2524" t="inlineStr">
        <is>
          <t>Abril</t>
        </is>
      </c>
      <c r="I2524" t="inlineStr">
        <is>
          <t>2024-1</t>
        </is>
      </c>
      <c r="L2524" s="39" t="n"/>
      <c r="M2524" s="39" t="n"/>
      <c r="N2524" t="inlineStr">
        <is>
          <t>%</t>
        </is>
      </c>
      <c r="O2524" t="inlineStr">
        <is>
          <t>No Aplica</t>
        </is>
      </c>
      <c r="P2524" t="n">
        <v>0</v>
      </c>
      <c r="Q2524" t="n">
        <v>0</v>
      </c>
      <c r="R2524" t="inlineStr">
        <is>
          <t>485-2024-04-30</t>
        </is>
      </c>
      <c r="S2524" t="inlineStr">
        <is>
          <t>No Aplica</t>
        </is>
      </c>
    </row>
    <row r="2525" hidden="1">
      <c r="A2525" t="n">
        <v>485</v>
      </c>
      <c r="B2525" t="inlineStr">
        <is>
          <t>Oportunidad en el cierre de acciones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13" t="n">
        <v>45443</v>
      </c>
      <c r="G2525" t="n">
        <v>2024</v>
      </c>
      <c r="H2525" t="inlineStr">
        <is>
          <t>Mayo</t>
        </is>
      </c>
      <c r="I2525" t="inlineStr">
        <is>
          <t>2024-1</t>
        </is>
      </c>
      <c r="L2525" s="39" t="n"/>
      <c r="M2525" s="3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485-2024-05-31</t>
        </is>
      </c>
      <c r="S2525" t="inlineStr">
        <is>
          <t>No Aplica</t>
        </is>
      </c>
    </row>
    <row r="2526" hidden="1">
      <c r="A2526" t="n">
        <v>485</v>
      </c>
      <c r="B2526" t="inlineStr">
        <is>
          <t>Oportunidad en el cierre de acciones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13" t="n">
        <v>45473</v>
      </c>
      <c r="G2526" t="n">
        <v>2024</v>
      </c>
      <c r="H2526" t="inlineStr">
        <is>
          <t>Junio</t>
        </is>
      </c>
      <c r="I2526" t="inlineStr">
        <is>
          <t>2024-1</t>
        </is>
      </c>
      <c r="L2526" s="39" t="n"/>
      <c r="M2526" s="39" t="n"/>
      <c r="N2526" t="inlineStr">
        <is>
          <t>%</t>
        </is>
      </c>
      <c r="O2526" t="inlineStr">
        <is>
          <t>No Aplica</t>
        </is>
      </c>
      <c r="P2526" t="n">
        <v>0</v>
      </c>
      <c r="Q2526" t="n">
        <v>0</v>
      </c>
      <c r="R2526" t="inlineStr">
        <is>
          <t>485-2024-06-30</t>
        </is>
      </c>
      <c r="S2526" t="inlineStr">
        <is>
          <t>No Aplica</t>
        </is>
      </c>
    </row>
    <row r="2527" hidden="1">
      <c r="A2527" t="n">
        <v>485</v>
      </c>
      <c r="B2527" t="inlineStr">
        <is>
          <t>Oportunidad en el cierre de acciones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13" t="n">
        <v>45504</v>
      </c>
      <c r="G2527" t="n">
        <v>2024</v>
      </c>
      <c r="H2527" t="inlineStr">
        <is>
          <t>Julio</t>
        </is>
      </c>
      <c r="I2527" t="inlineStr">
        <is>
          <t>2024-2</t>
        </is>
      </c>
      <c r="J2527" t="n">
        <v>80</v>
      </c>
      <c r="L2527" s="39" t="n"/>
      <c r="M2527" s="39" t="n"/>
      <c r="N2527" t="inlineStr">
        <is>
          <t>%</t>
        </is>
      </c>
      <c r="O2527" t="inlineStr">
        <is>
          <t>No Aplica</t>
        </is>
      </c>
      <c r="P2527" t="n">
        <v>0</v>
      </c>
      <c r="Q2527" t="n">
        <v>0</v>
      </c>
      <c r="R2527" t="inlineStr">
        <is>
          <t>485-2024-07-31</t>
        </is>
      </c>
      <c r="S2527" t="inlineStr">
        <is>
          <t>No Aplica</t>
        </is>
      </c>
    </row>
    <row r="2528" hidden="1">
      <c r="A2528" t="n">
        <v>485</v>
      </c>
      <c r="B2528" t="inlineStr">
        <is>
          <t>Oportunidad en el cierre de acciones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13" t="n">
        <v>45565</v>
      </c>
      <c r="G2528" t="n">
        <v>2024</v>
      </c>
      <c r="H2528" t="inlineStr">
        <is>
          <t>Septiembre</t>
        </is>
      </c>
      <c r="I2528" t="inlineStr">
        <is>
          <t>2024-2</t>
        </is>
      </c>
      <c r="J2528" t="n">
        <v>80</v>
      </c>
      <c r="K2528" t="n">
        <v>100</v>
      </c>
      <c r="L2528" s="39" t="n">
        <v>1.25</v>
      </c>
      <c r="M2528" s="39" t="n">
        <v>1.25</v>
      </c>
      <c r="P2528" t="n">
        <v>0</v>
      </c>
      <c r="Q2528" t="n">
        <v>0</v>
      </c>
      <c r="R2528" t="inlineStr">
        <is>
          <t>485-2024-09-30</t>
        </is>
      </c>
    </row>
    <row r="2529" hidden="1">
      <c r="A2529" t="n">
        <v>485</v>
      </c>
      <c r="B2529" t="inlineStr">
        <is>
          <t>Oportunidad en el cierre de acciones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13" t="n">
        <v>45596</v>
      </c>
      <c r="G2529" t="n">
        <v>2024</v>
      </c>
      <c r="H2529" t="inlineStr">
        <is>
          <t>Octubre</t>
        </is>
      </c>
      <c r="I2529" t="inlineStr">
        <is>
          <t>2024-2</t>
        </is>
      </c>
      <c r="J2529" t="n">
        <v>80</v>
      </c>
      <c r="K2529" t="n">
        <v>100</v>
      </c>
      <c r="L2529" s="39" t="n">
        <v>1.25</v>
      </c>
      <c r="M2529" s="39" t="n">
        <v>1.25</v>
      </c>
      <c r="P2529" t="n">
        <v>0</v>
      </c>
      <c r="Q2529" t="n">
        <v>0</v>
      </c>
      <c r="R2529" t="inlineStr">
        <is>
          <t>485-2024-10-31</t>
        </is>
      </c>
    </row>
    <row r="2530" hidden="1">
      <c r="A2530" t="n">
        <v>485</v>
      </c>
      <c r="B2530" t="inlineStr">
        <is>
          <t>Oportunidad en el cierre de acciones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13" t="n">
        <v>45626</v>
      </c>
      <c r="G2530" t="n">
        <v>2024</v>
      </c>
      <c r="H2530" t="inlineStr">
        <is>
          <t>Noviembre</t>
        </is>
      </c>
      <c r="I2530" t="inlineStr">
        <is>
          <t>2024-2</t>
        </is>
      </c>
      <c r="J2530" t="n">
        <v>80</v>
      </c>
      <c r="K2530" t="n">
        <v>100</v>
      </c>
      <c r="L2530" s="39" t="n">
        <v>1.25</v>
      </c>
      <c r="M2530" s="39" t="n">
        <v>1.25</v>
      </c>
      <c r="P2530" t="n">
        <v>0</v>
      </c>
      <c r="Q2530" t="n">
        <v>0</v>
      </c>
      <c r="R2530" t="inlineStr">
        <is>
          <t>485-2024-11-30</t>
        </is>
      </c>
    </row>
    <row r="2531" hidden="1">
      <c r="A2531" t="n">
        <v>485</v>
      </c>
      <c r="B2531" t="inlineStr">
        <is>
          <t>Oportunidad en el cierre de acciones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13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66.66666666666666</v>
      </c>
      <c r="L2531" s="39" t="n">
        <v>0.8333333333333333</v>
      </c>
      <c r="M2531" s="39" t="n">
        <v>0.8333333333333333</v>
      </c>
      <c r="P2531" t="n">
        <v>0</v>
      </c>
      <c r="Q2531" t="n">
        <v>0</v>
      </c>
      <c r="R2531" t="inlineStr">
        <is>
          <t>485-2024-12-31</t>
        </is>
      </c>
    </row>
    <row r="2532" hidden="1">
      <c r="A2532" t="n">
        <v>485</v>
      </c>
      <c r="B2532" t="inlineStr">
        <is>
          <t>Oportunidad en el cierre de acciones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13" t="n">
        <v>45688</v>
      </c>
      <c r="G2532" t="n">
        <v>2025</v>
      </c>
      <c r="H2532" t="inlineStr">
        <is>
          <t>Enero</t>
        </is>
      </c>
      <c r="I2532" t="inlineStr">
        <is>
          <t>2025-1</t>
        </is>
      </c>
      <c r="J2532" t="n">
        <v>80</v>
      </c>
      <c r="K2532" t="n">
        <v>100</v>
      </c>
      <c r="L2532" s="39" t="n">
        <v>1.25</v>
      </c>
      <c r="M2532" s="39" t="n">
        <v>1.25</v>
      </c>
      <c r="P2532" t="n">
        <v>0</v>
      </c>
      <c r="Q2532" t="n">
        <v>0</v>
      </c>
      <c r="R2532" t="inlineStr">
        <is>
          <t>485-2025-01-31</t>
        </is>
      </c>
    </row>
    <row r="2533" hidden="1">
      <c r="A2533" t="n">
        <v>485</v>
      </c>
      <c r="B2533" t="inlineStr">
        <is>
          <t>Oportunidad en el cierre de acciones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13" t="n">
        <v>45716</v>
      </c>
      <c r="G2533" t="n">
        <v>2025</v>
      </c>
      <c r="H2533" t="inlineStr">
        <is>
          <t>Febrero</t>
        </is>
      </c>
      <c r="I2533" t="inlineStr">
        <is>
          <t>2025-1</t>
        </is>
      </c>
      <c r="J2533" t="n">
        <v>80</v>
      </c>
      <c r="K2533" t="n">
        <v>50</v>
      </c>
      <c r="L2533" s="39" t="n">
        <v>0.625</v>
      </c>
      <c r="M2533" s="39" t="n">
        <v>0.625</v>
      </c>
      <c r="P2533" t="n">
        <v>0</v>
      </c>
      <c r="Q2533" t="n">
        <v>0</v>
      </c>
      <c r="R2533" t="inlineStr">
        <is>
          <t>485-2025-02-28</t>
        </is>
      </c>
    </row>
    <row r="2534" hidden="1">
      <c r="A2534" t="n">
        <v>485</v>
      </c>
      <c r="B2534" t="inlineStr">
        <is>
          <t>Oportunidad en el cierre de acciones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13" t="n">
        <v>45747</v>
      </c>
      <c r="G2534" t="n">
        <v>2025</v>
      </c>
      <c r="H2534" t="inlineStr">
        <is>
          <t>Marzo</t>
        </is>
      </c>
      <c r="I2534" t="inlineStr">
        <is>
          <t>2025-1</t>
        </is>
      </c>
      <c r="J2534" t="n">
        <v>80</v>
      </c>
      <c r="K2534" t="n">
        <v>100</v>
      </c>
      <c r="L2534" s="39" t="n">
        <v>1.25</v>
      </c>
      <c r="M2534" s="39" t="n">
        <v>1.25</v>
      </c>
      <c r="P2534" t="n">
        <v>0</v>
      </c>
      <c r="Q2534" t="n">
        <v>0</v>
      </c>
      <c r="R2534" t="inlineStr">
        <is>
          <t>485-2025-03-31</t>
        </is>
      </c>
    </row>
    <row r="2535" hidden="1">
      <c r="A2535" t="n">
        <v>485</v>
      </c>
      <c r="B2535" t="inlineStr">
        <is>
          <t>Oportunidad en el cierre de acciones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13" t="n">
        <v>45777</v>
      </c>
      <c r="G2535" t="n">
        <v>2025</v>
      </c>
      <c r="H2535" t="inlineStr">
        <is>
          <t>Abril</t>
        </is>
      </c>
      <c r="I2535" t="inlineStr">
        <is>
          <t>2025-1</t>
        </is>
      </c>
      <c r="J2535" t="n">
        <v>80</v>
      </c>
      <c r="K2535" t="n">
        <v>100</v>
      </c>
      <c r="L2535" s="39" t="n">
        <v>1.25</v>
      </c>
      <c r="M2535" s="39" t="n">
        <v>1.25</v>
      </c>
      <c r="P2535" t="n">
        <v>0</v>
      </c>
      <c r="Q2535" t="n">
        <v>0</v>
      </c>
      <c r="R2535" t="inlineStr">
        <is>
          <t>485-2025-04-30</t>
        </is>
      </c>
    </row>
    <row r="2536" hidden="1">
      <c r="A2536" t="n">
        <v>485</v>
      </c>
      <c r="B2536" t="inlineStr">
        <is>
          <t>Oportunidad en el cierre de acciones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13" t="n">
        <v>45808</v>
      </c>
      <c r="G2536" t="n">
        <v>2025</v>
      </c>
      <c r="H2536" t="inlineStr">
        <is>
          <t>Mayo</t>
        </is>
      </c>
      <c r="I2536" t="inlineStr">
        <is>
          <t>2025-1</t>
        </is>
      </c>
      <c r="J2536" t="n">
        <v>80</v>
      </c>
      <c r="K2536" t="n">
        <v>100</v>
      </c>
      <c r="L2536" s="39" t="n">
        <v>1.25</v>
      </c>
      <c r="M2536" s="39" t="n">
        <v>1.25</v>
      </c>
      <c r="P2536" t="n">
        <v>0</v>
      </c>
      <c r="Q2536" t="n">
        <v>0</v>
      </c>
      <c r="R2536" t="inlineStr">
        <is>
          <t>485-2025-05-31</t>
        </is>
      </c>
    </row>
    <row r="2537" hidden="1">
      <c r="A2537" t="n">
        <v>485</v>
      </c>
      <c r="B2537" t="inlineStr">
        <is>
          <t>Oportunidad en el cierre de acciones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13" t="n">
        <v>45838</v>
      </c>
      <c r="G2537" t="n">
        <v>2025</v>
      </c>
      <c r="H2537" t="inlineStr">
        <is>
          <t>Junio</t>
        </is>
      </c>
      <c r="I2537" t="inlineStr">
        <is>
          <t>2025-1</t>
        </is>
      </c>
      <c r="J2537" t="n">
        <v>80</v>
      </c>
      <c r="K2537" t="n">
        <v>66.67</v>
      </c>
      <c r="L2537" s="39" t="n">
        <v>0.833375</v>
      </c>
      <c r="M2537" s="39" t="n">
        <v>0.833375</v>
      </c>
      <c r="P2537" t="n">
        <v>0</v>
      </c>
      <c r="Q2537" t="n">
        <v>0</v>
      </c>
      <c r="R2537" t="inlineStr">
        <is>
          <t>485-2025-06-30</t>
        </is>
      </c>
    </row>
    <row r="2538" hidden="1">
      <c r="A2538" t="n">
        <v>485</v>
      </c>
      <c r="B2538" t="inlineStr">
        <is>
          <t>Oportunidad en el cierre de acciones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13" t="n">
        <v>45869</v>
      </c>
      <c r="G2538" t="n">
        <v>2025</v>
      </c>
      <c r="H2538" t="inlineStr">
        <is>
          <t>Julio</t>
        </is>
      </c>
      <c r="I2538" t="inlineStr">
        <is>
          <t>2025-2</t>
        </is>
      </c>
      <c r="J2538" t="n">
        <v>80</v>
      </c>
      <c r="K2538" t="n">
        <v>66.67</v>
      </c>
      <c r="L2538" s="39" t="n">
        <v>0.833375</v>
      </c>
      <c r="M2538" s="39" t="n">
        <v>0.833375</v>
      </c>
      <c r="P2538" t="n">
        <v>0</v>
      </c>
      <c r="Q2538" t="n">
        <v>0</v>
      </c>
      <c r="R2538" t="inlineStr">
        <is>
          <t>485-2025-07-31</t>
        </is>
      </c>
    </row>
    <row r="2539" hidden="1">
      <c r="A2539" t="n">
        <v>485</v>
      </c>
      <c r="B2539" t="inlineStr">
        <is>
          <t>Oportunidad en el cierre de acciones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13" t="n">
        <v>45900</v>
      </c>
      <c r="G2539" t="n">
        <v>2025</v>
      </c>
      <c r="H2539" t="inlineStr">
        <is>
          <t>Agosto</t>
        </is>
      </c>
      <c r="I2539" t="inlineStr">
        <is>
          <t>2025-2</t>
        </is>
      </c>
      <c r="J2539" t="n">
        <v>80</v>
      </c>
      <c r="K2539" t="n">
        <v>50</v>
      </c>
      <c r="L2539" s="39" t="n">
        <v>0.625</v>
      </c>
      <c r="M2539" s="39" t="n">
        <v>0.625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485-2025-08-31</t>
        </is>
      </c>
    </row>
    <row r="2540" hidden="1">
      <c r="A2540" t="n">
        <v>485</v>
      </c>
      <c r="B2540" t="inlineStr">
        <is>
          <t>Oportunidad en el cierre de acciones</t>
        </is>
      </c>
      <c r="C2540" t="inlineStr">
        <is>
          <t>Gestión de calidad</t>
        </is>
      </c>
      <c r="D2540" t="inlineStr">
        <is>
          <t>Mensual</t>
        </is>
      </c>
      <c r="E2540" t="inlineStr">
        <is>
          <t>Positivo</t>
        </is>
      </c>
      <c r="F2540" s="113" t="n">
        <v>45930</v>
      </c>
      <c r="G2540" t="n">
        <v>2025</v>
      </c>
      <c r="H2540" t="inlineStr">
        <is>
          <t>Septiembre</t>
        </is>
      </c>
      <c r="I2540" t="inlineStr">
        <is>
          <t>2025-2</t>
        </is>
      </c>
      <c r="J2540" t="n">
        <v>80</v>
      </c>
      <c r="K2540" t="n">
        <v>62.5</v>
      </c>
      <c r="L2540" s="39" t="n">
        <v>0.78125</v>
      </c>
      <c r="M2540" s="39" t="n">
        <v>0.78125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485-2025-09-30</t>
        </is>
      </c>
    </row>
    <row r="2541" hidden="1">
      <c r="A2541" t="n">
        <v>485</v>
      </c>
      <c r="B2541" t="inlineStr">
        <is>
          <t>Oportunidad en el cierre de acciones</t>
        </is>
      </c>
      <c r="C2541" t="inlineStr">
        <is>
          <t>Gestión de calidad</t>
        </is>
      </c>
      <c r="D2541" t="inlineStr">
        <is>
          <t>Mensual</t>
        </is>
      </c>
      <c r="E2541" t="inlineStr">
        <is>
          <t>Positivo</t>
        </is>
      </c>
      <c r="F2541" s="113" t="n">
        <v>45961</v>
      </c>
      <c r="G2541" t="n">
        <v>2025</v>
      </c>
      <c r="H2541" t="inlineStr">
        <is>
          <t>Octubre</t>
        </is>
      </c>
      <c r="I2541" t="inlineStr">
        <is>
          <t>2025-2</t>
        </is>
      </c>
      <c r="J2541" t="n">
        <v>80</v>
      </c>
      <c r="K2541" t="n">
        <v>100</v>
      </c>
      <c r="L2541" s="39" t="n">
        <v>1.25</v>
      </c>
      <c r="M2541" s="39" t="n">
        <v>1.25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485-2025-10-31</t>
        </is>
      </c>
    </row>
    <row r="2542" hidden="1">
      <c r="A2542" t="n">
        <v>485</v>
      </c>
      <c r="B2542" t="inlineStr">
        <is>
          <t>Oportunidad en el cierre de acciones</t>
        </is>
      </c>
      <c r="C2542" t="inlineStr">
        <is>
          <t>Gestión de calidad</t>
        </is>
      </c>
      <c r="D2542" t="inlineStr">
        <is>
          <t>Mensual</t>
        </is>
      </c>
      <c r="E2542" t="inlineStr">
        <is>
          <t>Positivo</t>
        </is>
      </c>
      <c r="F2542" s="113" t="n">
        <v>45991</v>
      </c>
      <c r="G2542" t="n">
        <v>2025</v>
      </c>
      <c r="H2542" t="inlineStr">
        <is>
          <t>Noviembre</t>
        </is>
      </c>
      <c r="I2542" t="inlineStr">
        <is>
          <t>2025-2</t>
        </is>
      </c>
      <c r="J2542" t="n">
        <v>80</v>
      </c>
      <c r="K2542" t="n">
        <v>85.70999999999999</v>
      </c>
      <c r="L2542" s="39" t="n">
        <v>1.071375</v>
      </c>
      <c r="M2542" s="39" t="n">
        <v>1.071375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485-2025-11-30</t>
        </is>
      </c>
    </row>
    <row r="2543" hidden="1">
      <c r="A2543" t="n">
        <v>485</v>
      </c>
      <c r="B2543" t="inlineStr">
        <is>
          <t>Oportunidad en el cierre de acciones</t>
        </is>
      </c>
      <c r="C2543" t="inlineStr">
        <is>
          <t>Gestión de calidad</t>
        </is>
      </c>
      <c r="D2543" t="inlineStr">
        <is>
          <t>Mensual</t>
        </is>
      </c>
      <c r="E2543" t="inlineStr">
        <is>
          <t>Positivo</t>
        </is>
      </c>
      <c r="F2543" s="113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L2543" s="39" t="n"/>
      <c r="M2543" s="39" t="n"/>
      <c r="N2543" t="inlineStr">
        <is>
          <t>%</t>
        </is>
      </c>
      <c r="O2543" t="inlineStr">
        <is>
          <t>No Aplica</t>
        </is>
      </c>
      <c r="P2543" t="n">
        <v>0</v>
      </c>
      <c r="Q2543" t="n">
        <v>0</v>
      </c>
      <c r="R2543" t="inlineStr">
        <is>
          <t>485-2025-12-31</t>
        </is>
      </c>
      <c r="S2543" t="inlineStr">
        <is>
          <t>No Aplica</t>
        </is>
      </c>
    </row>
    <row r="2544" hidden="1">
      <c r="A2544" t="n">
        <v>486</v>
      </c>
      <c r="B2544" t="inlineStr">
        <is>
          <t>Número de visitas a la página web</t>
        </is>
      </c>
      <c r="C2544" t="inlineStr">
        <is>
          <t>Comunicaciones Internas</t>
        </is>
      </c>
      <c r="D2544" t="inlineStr">
        <is>
          <t>Semestral</t>
        </is>
      </c>
      <c r="E2544" t="inlineStr">
        <is>
          <t>Positivo</t>
        </is>
      </c>
      <c r="F2544" s="113" t="n">
        <v>45473</v>
      </c>
      <c r="G2544" t="n">
        <v>2024</v>
      </c>
      <c r="H2544" t="inlineStr">
        <is>
          <t>Junio</t>
        </is>
      </c>
      <c r="I2544" t="inlineStr">
        <is>
          <t>2024-1</t>
        </is>
      </c>
      <c r="K2544" t="n">
        <v>4900000</v>
      </c>
      <c r="L2544" s="39" t="n"/>
      <c r="M2544" s="39" t="n"/>
      <c r="N2544" t="inlineStr">
        <is>
          <t>No Aplica</t>
        </is>
      </c>
      <c r="O2544" t="inlineStr">
        <is>
          <t>No Aplica</t>
        </is>
      </c>
      <c r="P2544" t="n">
        <v>0</v>
      </c>
      <c r="Q2544" t="n">
        <v>0</v>
      </c>
      <c r="R2544" t="inlineStr">
        <is>
          <t>486-2024-06-30</t>
        </is>
      </c>
    </row>
    <row r="2545" hidden="1">
      <c r="A2545" t="n">
        <v>486</v>
      </c>
      <c r="B2545" t="inlineStr">
        <is>
          <t>Número de visitas a la página web</t>
        </is>
      </c>
      <c r="C2545" t="inlineStr">
        <is>
          <t>Comunicaciones Internas</t>
        </is>
      </c>
      <c r="D2545" t="inlineStr">
        <is>
          <t>Semestral</t>
        </is>
      </c>
      <c r="E2545" t="inlineStr">
        <is>
          <t>Positivo</t>
        </is>
      </c>
      <c r="F2545" s="113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K2545" t="n">
        <v>2700000</v>
      </c>
      <c r="L2545" s="39" t="n"/>
      <c r="M2545" s="39" t="n"/>
      <c r="N2545" t="inlineStr">
        <is>
          <t>No Aplica</t>
        </is>
      </c>
      <c r="O2545" t="inlineStr">
        <is>
          <t>No Aplica</t>
        </is>
      </c>
      <c r="P2545" t="n">
        <v>0</v>
      </c>
      <c r="Q2545" t="n">
        <v>0</v>
      </c>
      <c r="R2545" t="inlineStr">
        <is>
          <t>486-2024-12-31</t>
        </is>
      </c>
    </row>
    <row r="2546" hidden="1">
      <c r="A2546" t="n">
        <v>486</v>
      </c>
      <c r="B2546" t="inlineStr">
        <is>
          <t>Número de visitas a la página web</t>
        </is>
      </c>
      <c r="C2546" t="inlineStr">
        <is>
          <t>Comunicaciones Internas</t>
        </is>
      </c>
      <c r="D2546" t="inlineStr">
        <is>
          <t>Trimestral</t>
        </is>
      </c>
      <c r="E2546" t="inlineStr">
        <is>
          <t>Positivo</t>
        </is>
      </c>
      <c r="F2546" s="113" t="n">
        <v>45838</v>
      </c>
      <c r="G2546" t="n">
        <v>2025</v>
      </c>
      <c r="H2546" t="inlineStr">
        <is>
          <t>Junio</t>
        </is>
      </c>
      <c r="I2546" t="inlineStr">
        <is>
          <t>2025-1</t>
        </is>
      </c>
      <c r="K2546" t="n">
        <v>2890610</v>
      </c>
      <c r="L2546" s="39" t="n"/>
      <c r="M2546" s="39" t="n"/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486-2025-06-30</t>
        </is>
      </c>
    </row>
    <row r="2547" hidden="1">
      <c r="A2547" t="n">
        <v>486</v>
      </c>
      <c r="B2547" t="inlineStr">
        <is>
          <t>Número de visitas a la página web</t>
        </is>
      </c>
      <c r="C2547" t="inlineStr">
        <is>
          <t>Comunicaciones Internas</t>
        </is>
      </c>
      <c r="D2547" t="inlineStr">
        <is>
          <t>Trimestral</t>
        </is>
      </c>
      <c r="E2547" t="inlineStr">
        <is>
          <t>Positivo</t>
        </is>
      </c>
      <c r="F2547" s="113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K2547" t="n">
        <v>2703941</v>
      </c>
      <c r="L2547" s="39" t="n"/>
      <c r="M2547" s="39" t="n"/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486-2025-12-31</t>
        </is>
      </c>
    </row>
    <row r="2548" hidden="1">
      <c r="A2548" t="n">
        <v>487</v>
      </c>
      <c r="B2548" t="inlineStr">
        <is>
          <t>Impactados Talleres de formación</t>
        </is>
      </c>
      <c r="C2548" t="inlineStr">
        <is>
          <t>Centro de Medios Audiovisuales</t>
        </is>
      </c>
      <c r="D2548" t="inlineStr">
        <is>
          <t>Anual</t>
        </is>
      </c>
      <c r="E2548" t="inlineStr">
        <is>
          <t>Positivo</t>
        </is>
      </c>
      <c r="F2548" s="113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20</v>
      </c>
      <c r="K2548" t="n">
        <v>6.06</v>
      </c>
      <c r="L2548" s="39" t="n">
        <v>0.303</v>
      </c>
      <c r="M2548" s="39" t="n">
        <v>0.303</v>
      </c>
      <c r="P2548" t="n">
        <v>0</v>
      </c>
      <c r="Q2548" t="n">
        <v>0</v>
      </c>
      <c r="R2548" t="inlineStr">
        <is>
          <t>487-2024-12-31</t>
        </is>
      </c>
    </row>
    <row r="2549" hidden="1">
      <c r="A2549" t="n">
        <v>487</v>
      </c>
      <c r="B2549" t="inlineStr">
        <is>
          <t>Número Impactados Talleres de formación</t>
        </is>
      </c>
      <c r="C2549" t="inlineStr">
        <is>
          <t>Centro de Medios Audiovisuales</t>
        </is>
      </c>
      <c r="D2549" t="inlineStr">
        <is>
          <t>Anual</t>
        </is>
      </c>
      <c r="E2549" t="inlineStr">
        <is>
          <t>Positivo</t>
        </is>
      </c>
      <c r="F2549" s="113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20</v>
      </c>
      <c r="K2549" t="n">
        <v>58.86</v>
      </c>
      <c r="L2549" s="39" t="n">
        <v>1.3</v>
      </c>
      <c r="M2549" s="39" t="n">
        <v>2.943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487-2025-12-31</t>
        </is>
      </c>
    </row>
    <row r="2550" hidden="1">
      <c r="A2550" t="n">
        <v>488</v>
      </c>
      <c r="B2550" t="inlineStr">
        <is>
          <t>Oportunidad en el cierre de actividades de los planes de mejora</t>
        </is>
      </c>
      <c r="C2550" t="inlineStr">
        <is>
          <t>Gestión de calidad</t>
        </is>
      </c>
      <c r="D2550" t="inlineStr">
        <is>
          <t>Mensual</t>
        </is>
      </c>
      <c r="E2550" t="inlineStr">
        <is>
          <t>Positivo</t>
        </is>
      </c>
      <c r="F2550" s="113" t="n">
        <v>45322</v>
      </c>
      <c r="G2550" t="n">
        <v>2024</v>
      </c>
      <c r="H2550" t="inlineStr">
        <is>
          <t>Enero</t>
        </is>
      </c>
      <c r="I2550" t="inlineStr">
        <is>
          <t>2024-1</t>
        </is>
      </c>
      <c r="L2550" s="39" t="n"/>
      <c r="M2550" s="39" t="n"/>
      <c r="N2550" t="inlineStr">
        <is>
          <t>%</t>
        </is>
      </c>
      <c r="O2550" t="inlineStr">
        <is>
          <t>No Aplica</t>
        </is>
      </c>
      <c r="P2550" t="n">
        <v>0</v>
      </c>
      <c r="Q2550" t="n">
        <v>0</v>
      </c>
      <c r="R2550" t="inlineStr">
        <is>
          <t>488-2024-01-31</t>
        </is>
      </c>
      <c r="S2550" t="inlineStr">
        <is>
          <t>No Aplica</t>
        </is>
      </c>
    </row>
    <row r="2551" hidden="1">
      <c r="A2551" t="n">
        <v>488</v>
      </c>
      <c r="B2551" t="inlineStr">
        <is>
          <t>Oportunidad en el cierre de actividades de los planes de mejora</t>
        </is>
      </c>
      <c r="C2551" t="inlineStr">
        <is>
          <t>Gestión de calidad</t>
        </is>
      </c>
      <c r="D2551" t="inlineStr">
        <is>
          <t>Mensual</t>
        </is>
      </c>
      <c r="E2551" t="inlineStr">
        <is>
          <t>Positivo</t>
        </is>
      </c>
      <c r="F2551" s="113" t="n">
        <v>45351</v>
      </c>
      <c r="G2551" t="n">
        <v>2024</v>
      </c>
      <c r="H2551" t="inlineStr">
        <is>
          <t>Febrero</t>
        </is>
      </c>
      <c r="I2551" t="inlineStr">
        <is>
          <t>2024-1</t>
        </is>
      </c>
      <c r="L2551" s="39" t="n"/>
      <c r="M2551" s="39" t="n"/>
      <c r="N2551" t="inlineStr">
        <is>
          <t>%</t>
        </is>
      </c>
      <c r="O2551" t="inlineStr">
        <is>
          <t>No Aplica</t>
        </is>
      </c>
      <c r="P2551" t="n">
        <v>0</v>
      </c>
      <c r="Q2551" t="n">
        <v>0</v>
      </c>
      <c r="R2551" t="inlineStr">
        <is>
          <t>488-2024-02-29</t>
        </is>
      </c>
      <c r="S2551" t="inlineStr">
        <is>
          <t>No Aplica</t>
        </is>
      </c>
    </row>
    <row r="2552" hidden="1">
      <c r="A2552" t="n">
        <v>488</v>
      </c>
      <c r="B2552" t="inlineStr">
        <is>
          <t>Oportunidad en el cierre de actividades de los planes de mejora</t>
        </is>
      </c>
      <c r="C2552" t="inlineStr">
        <is>
          <t>Gestión de calidad</t>
        </is>
      </c>
      <c r="D2552" t="inlineStr">
        <is>
          <t>Mensual</t>
        </is>
      </c>
      <c r="E2552" t="inlineStr">
        <is>
          <t>Positivo</t>
        </is>
      </c>
      <c r="F2552" s="113" t="n">
        <v>45382</v>
      </c>
      <c r="G2552" t="n">
        <v>2024</v>
      </c>
      <c r="H2552" t="inlineStr">
        <is>
          <t>Marzo</t>
        </is>
      </c>
      <c r="I2552" t="inlineStr">
        <is>
          <t>2024-1</t>
        </is>
      </c>
      <c r="L2552" s="39" t="n"/>
      <c r="M2552" s="39" t="n"/>
      <c r="N2552" t="inlineStr">
        <is>
          <t>%</t>
        </is>
      </c>
      <c r="O2552" t="inlineStr">
        <is>
          <t>No Aplica</t>
        </is>
      </c>
      <c r="P2552" t="n">
        <v>0</v>
      </c>
      <c r="Q2552" t="n">
        <v>0</v>
      </c>
      <c r="R2552" t="inlineStr">
        <is>
          <t>488-2024-03-31</t>
        </is>
      </c>
      <c r="S2552" t="inlineStr">
        <is>
          <t>No Aplica</t>
        </is>
      </c>
    </row>
    <row r="2553" hidden="1">
      <c r="A2553" t="n">
        <v>488</v>
      </c>
      <c r="B2553" t="inlineStr">
        <is>
          <t>Oportunidad en el cierre de actividades de los planes de mejora</t>
        </is>
      </c>
      <c r="C2553" t="inlineStr">
        <is>
          <t>Gestión de calidad</t>
        </is>
      </c>
      <c r="D2553" t="inlineStr">
        <is>
          <t>Mensual</t>
        </is>
      </c>
      <c r="E2553" t="inlineStr">
        <is>
          <t>Positivo</t>
        </is>
      </c>
      <c r="F2553" s="113" t="n">
        <v>45412</v>
      </c>
      <c r="G2553" t="n">
        <v>2024</v>
      </c>
      <c r="H2553" t="inlineStr">
        <is>
          <t>Abril</t>
        </is>
      </c>
      <c r="I2553" t="inlineStr">
        <is>
          <t>2024-1</t>
        </is>
      </c>
      <c r="L2553" s="39" t="n"/>
      <c r="M2553" s="39" t="n"/>
      <c r="N2553" t="inlineStr">
        <is>
          <t>%</t>
        </is>
      </c>
      <c r="O2553" t="inlineStr">
        <is>
          <t>No Aplica</t>
        </is>
      </c>
      <c r="P2553" t="n">
        <v>0</v>
      </c>
      <c r="Q2553" t="n">
        <v>0</v>
      </c>
      <c r="R2553" t="inlineStr">
        <is>
          <t>488-2024-04-30</t>
        </is>
      </c>
      <c r="S2553" t="inlineStr">
        <is>
          <t>No Aplica</t>
        </is>
      </c>
    </row>
    <row r="2554" hidden="1">
      <c r="A2554" t="n">
        <v>488</v>
      </c>
      <c r="B2554" t="inlineStr">
        <is>
          <t>Oportunidad en el cierre de actividades de los planes de mejora</t>
        </is>
      </c>
      <c r="C2554" t="inlineStr">
        <is>
          <t>Gestión de calidad</t>
        </is>
      </c>
      <c r="D2554" t="inlineStr">
        <is>
          <t>Mensual</t>
        </is>
      </c>
      <c r="E2554" t="inlineStr">
        <is>
          <t>Positivo</t>
        </is>
      </c>
      <c r="F2554" s="113" t="n">
        <v>45443</v>
      </c>
      <c r="G2554" t="n">
        <v>2024</v>
      </c>
      <c r="H2554" t="inlineStr">
        <is>
          <t>Mayo</t>
        </is>
      </c>
      <c r="I2554" t="inlineStr">
        <is>
          <t>2024-1</t>
        </is>
      </c>
      <c r="L2554" s="39" t="n"/>
      <c r="M2554" s="39" t="n"/>
      <c r="N2554" t="inlineStr">
        <is>
          <t>%</t>
        </is>
      </c>
      <c r="O2554" t="inlineStr">
        <is>
          <t>No Aplica</t>
        </is>
      </c>
      <c r="P2554" t="n">
        <v>0</v>
      </c>
      <c r="Q2554" t="n">
        <v>0</v>
      </c>
      <c r="R2554" t="inlineStr">
        <is>
          <t>488-2024-05-31</t>
        </is>
      </c>
      <c r="S2554" t="inlineStr">
        <is>
          <t>No Aplica</t>
        </is>
      </c>
    </row>
    <row r="2555" hidden="1">
      <c r="A2555" t="n">
        <v>488</v>
      </c>
      <c r="B2555" t="inlineStr">
        <is>
          <t>Oportunidad en el cierre de actividades de los planes de mejora</t>
        </is>
      </c>
      <c r="C2555" t="inlineStr">
        <is>
          <t>Gestión de calidad</t>
        </is>
      </c>
      <c r="D2555" t="inlineStr">
        <is>
          <t>Mensual</t>
        </is>
      </c>
      <c r="E2555" t="inlineStr">
        <is>
          <t>Positivo</t>
        </is>
      </c>
      <c r="F2555" s="113" t="n">
        <v>45473</v>
      </c>
      <c r="G2555" t="n">
        <v>2024</v>
      </c>
      <c r="H2555" t="inlineStr">
        <is>
          <t>Junio</t>
        </is>
      </c>
      <c r="I2555" t="inlineStr">
        <is>
          <t>2024-1</t>
        </is>
      </c>
      <c r="L2555" s="39" t="n"/>
      <c r="M2555" s="39" t="n"/>
      <c r="N2555" t="inlineStr">
        <is>
          <t>%</t>
        </is>
      </c>
      <c r="O2555" t="inlineStr">
        <is>
          <t>No Aplica</t>
        </is>
      </c>
      <c r="P2555" t="n">
        <v>0</v>
      </c>
      <c r="Q2555" t="n">
        <v>0</v>
      </c>
      <c r="R2555" t="inlineStr">
        <is>
          <t>488-2024-06-30</t>
        </is>
      </c>
      <c r="S2555" t="inlineStr">
        <is>
          <t>No Aplica</t>
        </is>
      </c>
    </row>
    <row r="2556" hidden="1">
      <c r="A2556" t="n">
        <v>488</v>
      </c>
      <c r="B2556" t="inlineStr">
        <is>
          <t>Oportunidad en el cierre de actividades de los planes de mejora</t>
        </is>
      </c>
      <c r="C2556" t="inlineStr">
        <is>
          <t>Gestión de calidad</t>
        </is>
      </c>
      <c r="D2556" t="inlineStr">
        <is>
          <t>Mensual</t>
        </is>
      </c>
      <c r="E2556" t="inlineStr">
        <is>
          <t>Positivo</t>
        </is>
      </c>
      <c r="F2556" s="113" t="n">
        <v>45504</v>
      </c>
      <c r="G2556" t="n">
        <v>2024</v>
      </c>
      <c r="H2556" t="inlineStr">
        <is>
          <t>Julio</t>
        </is>
      </c>
      <c r="I2556" t="inlineStr">
        <is>
          <t>2024-2</t>
        </is>
      </c>
      <c r="L2556" s="39" t="n"/>
      <c r="M2556" s="39" t="n"/>
      <c r="N2556" t="inlineStr">
        <is>
          <t>%</t>
        </is>
      </c>
      <c r="O2556" t="inlineStr">
        <is>
          <t>No Aplica</t>
        </is>
      </c>
      <c r="P2556" t="n">
        <v>0</v>
      </c>
      <c r="Q2556" t="n">
        <v>0</v>
      </c>
      <c r="R2556" t="inlineStr">
        <is>
          <t>488-2024-07-31</t>
        </is>
      </c>
      <c r="S2556" t="inlineStr">
        <is>
          <t>No Aplica</t>
        </is>
      </c>
    </row>
    <row r="2557" hidden="1">
      <c r="A2557" t="n">
        <v>488</v>
      </c>
      <c r="B2557" t="inlineStr">
        <is>
          <t>Oportunidad en el cierre de actividades de los planes de mejora</t>
        </is>
      </c>
      <c r="C2557" t="inlineStr">
        <is>
          <t>Gestión de calidad</t>
        </is>
      </c>
      <c r="D2557" t="inlineStr">
        <is>
          <t>Mensual</t>
        </is>
      </c>
      <c r="E2557" t="inlineStr">
        <is>
          <t>Positivo</t>
        </is>
      </c>
      <c r="F2557" s="113" t="n">
        <v>45535</v>
      </c>
      <c r="G2557" t="n">
        <v>2024</v>
      </c>
      <c r="H2557" t="inlineStr">
        <is>
          <t>Agosto</t>
        </is>
      </c>
      <c r="I2557" t="inlineStr">
        <is>
          <t>2024-2</t>
        </is>
      </c>
      <c r="L2557" s="39" t="n"/>
      <c r="M2557" s="39" t="n"/>
      <c r="N2557" t="inlineStr">
        <is>
          <t>%</t>
        </is>
      </c>
      <c r="O2557" t="inlineStr">
        <is>
          <t>No Aplica</t>
        </is>
      </c>
      <c r="P2557" t="n">
        <v>0</v>
      </c>
      <c r="Q2557" t="n">
        <v>0</v>
      </c>
      <c r="R2557" t="inlineStr">
        <is>
          <t>488-2024-08-31</t>
        </is>
      </c>
      <c r="S2557" t="inlineStr">
        <is>
          <t>No Aplica</t>
        </is>
      </c>
    </row>
    <row r="2558" hidden="1">
      <c r="A2558" t="n">
        <v>488</v>
      </c>
      <c r="B2558" t="inlineStr">
        <is>
          <t>Oportunidad en el cierre de actividades de los planes de mejora</t>
        </is>
      </c>
      <c r="C2558" t="inlineStr">
        <is>
          <t>Gestión de calidad</t>
        </is>
      </c>
      <c r="D2558" t="inlineStr">
        <is>
          <t>Mensual</t>
        </is>
      </c>
      <c r="E2558" t="inlineStr">
        <is>
          <t>Positivo</t>
        </is>
      </c>
      <c r="F2558" s="113" t="n">
        <v>45565</v>
      </c>
      <c r="G2558" t="n">
        <v>2024</v>
      </c>
      <c r="H2558" t="inlineStr">
        <is>
          <t>Septiembre</t>
        </is>
      </c>
      <c r="I2558" t="inlineStr">
        <is>
          <t>2024-2</t>
        </is>
      </c>
      <c r="L2558" s="39" t="n"/>
      <c r="M2558" s="39" t="n"/>
      <c r="N2558" t="inlineStr">
        <is>
          <t>%</t>
        </is>
      </c>
      <c r="O2558" t="inlineStr">
        <is>
          <t>No Aplica</t>
        </is>
      </c>
      <c r="P2558" t="n">
        <v>0</v>
      </c>
      <c r="Q2558" t="n">
        <v>0</v>
      </c>
      <c r="R2558" t="inlineStr">
        <is>
          <t>488-2024-09-30</t>
        </is>
      </c>
      <c r="S2558" t="inlineStr">
        <is>
          <t>No Aplica</t>
        </is>
      </c>
    </row>
    <row r="2559" hidden="1">
      <c r="A2559" t="n">
        <v>488</v>
      </c>
      <c r="B2559" t="inlineStr">
        <is>
          <t>Oportunidad en el cierre de actividades de los planes de mejora</t>
        </is>
      </c>
      <c r="C2559" t="inlineStr">
        <is>
          <t>Gestión de calidad</t>
        </is>
      </c>
      <c r="D2559" t="inlineStr">
        <is>
          <t>Mensual</t>
        </is>
      </c>
      <c r="E2559" t="inlineStr">
        <is>
          <t>Positivo</t>
        </is>
      </c>
      <c r="F2559" s="113" t="n">
        <v>45596</v>
      </c>
      <c r="G2559" t="n">
        <v>2024</v>
      </c>
      <c r="H2559" t="inlineStr">
        <is>
          <t>Octubre</t>
        </is>
      </c>
      <c r="I2559" t="inlineStr">
        <is>
          <t>2024-2</t>
        </is>
      </c>
      <c r="J2559" t="n">
        <v>85</v>
      </c>
      <c r="K2559" t="n">
        <v>91.78082191780824</v>
      </c>
      <c r="L2559" s="39" t="n">
        <v>1.079774375503626</v>
      </c>
      <c r="M2559" s="39" t="n">
        <v>1.079774375503626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488-2024-10-31</t>
        </is>
      </c>
    </row>
    <row r="2560" hidden="1">
      <c r="A2560" t="n">
        <v>488</v>
      </c>
      <c r="B2560" t="inlineStr">
        <is>
          <t>Oportunidad en el cierre de actividades de los planes de mejora</t>
        </is>
      </c>
      <c r="C2560" t="inlineStr">
        <is>
          <t>Gestión de calidad</t>
        </is>
      </c>
      <c r="D2560" t="inlineStr">
        <is>
          <t>Mensual</t>
        </is>
      </c>
      <c r="E2560" t="inlineStr">
        <is>
          <t>Positivo</t>
        </is>
      </c>
      <c r="F2560" s="113" t="n">
        <v>45626</v>
      </c>
      <c r="G2560" t="n">
        <v>2024</v>
      </c>
      <c r="H2560" t="inlineStr">
        <is>
          <t>Noviembre</t>
        </is>
      </c>
      <c r="I2560" t="inlineStr">
        <is>
          <t>2024-2</t>
        </is>
      </c>
      <c r="J2560" t="n">
        <v>85</v>
      </c>
      <c r="K2560" t="n">
        <v>95.78651685393258</v>
      </c>
      <c r="L2560" s="39" t="n">
        <v>1.12690019828156</v>
      </c>
      <c r="M2560" s="39" t="n">
        <v>1.12690019828156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488-2024-11-30</t>
        </is>
      </c>
    </row>
    <row r="2561" hidden="1">
      <c r="A2561" t="n">
        <v>488</v>
      </c>
      <c r="B2561" t="inlineStr">
        <is>
          <t>Oportunidad en el cierre de actividades de los planes de mejora</t>
        </is>
      </c>
      <c r="C2561" t="inlineStr">
        <is>
          <t>Gestión de calidad</t>
        </is>
      </c>
      <c r="D2561" t="inlineStr">
        <is>
          <t>Mensual</t>
        </is>
      </c>
      <c r="E2561" t="inlineStr">
        <is>
          <t>Positivo</t>
        </is>
      </c>
      <c r="F2561" s="113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85</v>
      </c>
      <c r="K2561" t="n">
        <v>91.31652661064426</v>
      </c>
      <c r="L2561" s="39" t="n">
        <v>1.074312077772285</v>
      </c>
      <c r="M2561" s="39" t="n">
        <v>1.074312077772285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488-2024-12-31</t>
        </is>
      </c>
    </row>
    <row r="2562" hidden="1">
      <c r="A2562" t="n">
        <v>488</v>
      </c>
      <c r="B2562" t="inlineStr">
        <is>
          <t>Oportunidad en el cierre de actividades de los planes de mejora</t>
        </is>
      </c>
      <c r="C2562" t="inlineStr">
        <is>
          <t>Gestión de calidad</t>
        </is>
      </c>
      <c r="D2562" t="inlineStr">
        <is>
          <t>Mensual</t>
        </is>
      </c>
      <c r="E2562" t="inlineStr">
        <is>
          <t>Positivo</t>
        </is>
      </c>
      <c r="F2562" s="113" t="n">
        <v>45688</v>
      </c>
      <c r="G2562" t="n">
        <v>2025</v>
      </c>
      <c r="H2562" t="inlineStr">
        <is>
          <t>Enero</t>
        </is>
      </c>
      <c r="I2562" t="inlineStr">
        <is>
          <t>2025-1</t>
        </is>
      </c>
      <c r="J2562" t="n">
        <v>85</v>
      </c>
      <c r="K2562" t="n">
        <v>78.04878048780488</v>
      </c>
      <c r="L2562" s="39" t="n">
        <v>0.9182209469153515</v>
      </c>
      <c r="M2562" s="39" t="n">
        <v>0.9182209469153515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488-2025-01-31</t>
        </is>
      </c>
    </row>
    <row r="2563" hidden="1">
      <c r="A2563" t="n">
        <v>488</v>
      </c>
      <c r="B2563" t="inlineStr">
        <is>
          <t>Oportunidad en el cierre de actividades de los planes de mejora</t>
        </is>
      </c>
      <c r="C2563" t="inlineStr">
        <is>
          <t>Gestión de calidad</t>
        </is>
      </c>
      <c r="D2563" t="inlineStr">
        <is>
          <t>Mensual</t>
        </is>
      </c>
      <c r="E2563" t="inlineStr">
        <is>
          <t>Positivo</t>
        </is>
      </c>
      <c r="F2563" s="113" t="n">
        <v>45716</v>
      </c>
      <c r="G2563" t="n">
        <v>2025</v>
      </c>
      <c r="H2563" t="inlineStr">
        <is>
          <t>Febrero</t>
        </is>
      </c>
      <c r="I2563" t="inlineStr">
        <is>
          <t>2025-1</t>
        </is>
      </c>
      <c r="J2563" t="n">
        <v>85</v>
      </c>
      <c r="K2563" t="n">
        <v>77.20588235294117</v>
      </c>
      <c r="L2563" s="39" t="n">
        <v>0.9083044982698961</v>
      </c>
      <c r="M2563" s="39" t="n">
        <v>0.9083044982698961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488-2025-02-28</t>
        </is>
      </c>
    </row>
    <row r="2564" hidden="1">
      <c r="A2564" t="n">
        <v>488</v>
      </c>
      <c r="B2564" t="inlineStr">
        <is>
          <t>Oportunidad en el cierre de actividades de los planes de mejora</t>
        </is>
      </c>
      <c r="C2564" t="inlineStr">
        <is>
          <t>Gestión de calidad</t>
        </is>
      </c>
      <c r="D2564" t="inlineStr">
        <is>
          <t>Mensual</t>
        </is>
      </c>
      <c r="E2564" t="inlineStr">
        <is>
          <t>Positivo</t>
        </is>
      </c>
      <c r="F2564" s="113" t="n">
        <v>45747</v>
      </c>
      <c r="G2564" t="n">
        <v>2025</v>
      </c>
      <c r="H2564" t="inlineStr">
        <is>
          <t>Marzo</t>
        </is>
      </c>
      <c r="I2564" t="inlineStr">
        <is>
          <t>2025-1</t>
        </is>
      </c>
      <c r="J2564" t="n">
        <v>85</v>
      </c>
      <c r="L2564" s="39" t="n"/>
      <c r="M2564" s="39" t="n"/>
      <c r="N2564" t="inlineStr">
        <is>
          <t>%</t>
        </is>
      </c>
      <c r="O2564" t="inlineStr">
        <is>
          <t>No Aplica</t>
        </is>
      </c>
      <c r="P2564" t="n">
        <v>0</v>
      </c>
      <c r="Q2564" t="n">
        <v>0</v>
      </c>
      <c r="R2564" t="inlineStr">
        <is>
          <t>488-2025-03-31</t>
        </is>
      </c>
      <c r="S2564" t="inlineStr">
        <is>
          <t>No Aplica</t>
        </is>
      </c>
    </row>
    <row r="2565" hidden="1">
      <c r="A2565" t="n">
        <v>488</v>
      </c>
      <c r="B2565" t="inlineStr">
        <is>
          <t>Oportunidad en el cierre de actividades de los planes de mejora</t>
        </is>
      </c>
      <c r="C2565" t="inlineStr">
        <is>
          <t>Gestión de calidad</t>
        </is>
      </c>
      <c r="D2565" t="inlineStr">
        <is>
          <t>Mensual</t>
        </is>
      </c>
      <c r="E2565" t="inlineStr">
        <is>
          <t>Positivo</t>
        </is>
      </c>
      <c r="F2565" s="113" t="n">
        <v>45777</v>
      </c>
      <c r="G2565" t="n">
        <v>2025</v>
      </c>
      <c r="H2565" t="inlineStr">
        <is>
          <t>Abril</t>
        </is>
      </c>
      <c r="I2565" t="inlineStr">
        <is>
          <t>2025-1</t>
        </is>
      </c>
      <c r="J2565" t="n">
        <v>85</v>
      </c>
      <c r="K2565" t="n">
        <v>64.91</v>
      </c>
      <c r="L2565" s="39" t="n">
        <v>0.7636470588235293</v>
      </c>
      <c r="M2565" s="39" t="n">
        <v>0.7636470588235293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488-2025-04-30</t>
        </is>
      </c>
    </row>
    <row r="2566" hidden="1">
      <c r="A2566" t="n">
        <v>488</v>
      </c>
      <c r="B2566" t="inlineStr">
        <is>
          <t>Oportunidad en el cierre de actividades de los planes de mejora</t>
        </is>
      </c>
      <c r="C2566" t="inlineStr">
        <is>
          <t>Gestión de calidad</t>
        </is>
      </c>
      <c r="D2566" t="inlineStr">
        <is>
          <t>Mensual</t>
        </is>
      </c>
      <c r="E2566" t="inlineStr">
        <is>
          <t>Positivo</t>
        </is>
      </c>
      <c r="F2566" s="113" t="n">
        <v>45808</v>
      </c>
      <c r="G2566" t="n">
        <v>2025</v>
      </c>
      <c r="H2566" t="inlineStr">
        <is>
          <t>Mayo</t>
        </is>
      </c>
      <c r="I2566" t="inlineStr">
        <is>
          <t>2025-1</t>
        </is>
      </c>
      <c r="J2566" t="n">
        <v>85</v>
      </c>
      <c r="K2566" t="n">
        <v>67.86</v>
      </c>
      <c r="L2566" s="39" t="n">
        <v>0.7983529411764706</v>
      </c>
      <c r="M2566" s="39" t="n">
        <v>0.7983529411764706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488-2025-05-31</t>
        </is>
      </c>
    </row>
    <row r="2567" hidden="1">
      <c r="A2567" t="n">
        <v>488</v>
      </c>
      <c r="B2567" t="inlineStr">
        <is>
          <t>Oportunidad en el cierre de actividades de los planes de mejora</t>
        </is>
      </c>
      <c r="C2567" t="inlineStr">
        <is>
          <t>Gestión de calidad</t>
        </is>
      </c>
      <c r="D2567" t="inlineStr">
        <is>
          <t>Mensual</t>
        </is>
      </c>
      <c r="E2567" t="inlineStr">
        <is>
          <t>Positivo</t>
        </is>
      </c>
      <c r="F2567" s="113" t="n">
        <v>45838</v>
      </c>
      <c r="G2567" t="n">
        <v>2025</v>
      </c>
      <c r="H2567" t="inlineStr">
        <is>
          <t>Junio</t>
        </is>
      </c>
      <c r="I2567" t="inlineStr">
        <is>
          <t>2025-1</t>
        </is>
      </c>
      <c r="J2567" t="n">
        <v>85</v>
      </c>
      <c r="K2567" t="n">
        <v>72.41</v>
      </c>
      <c r="L2567" s="39" t="n">
        <v>0.8518823529411764</v>
      </c>
      <c r="M2567" s="39" t="n">
        <v>0.8518823529411764</v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488-2025-06-30</t>
        </is>
      </c>
    </row>
    <row r="2568" hidden="1">
      <c r="A2568" t="n">
        <v>488</v>
      </c>
      <c r="B2568" t="inlineStr">
        <is>
          <t>Oportunidad en el cierre de actividades de los planes de mejora</t>
        </is>
      </c>
      <c r="C2568" t="inlineStr">
        <is>
          <t>Gestión de calidad</t>
        </is>
      </c>
      <c r="D2568" t="inlineStr">
        <is>
          <t>Mensual</t>
        </is>
      </c>
      <c r="E2568" t="inlineStr">
        <is>
          <t>Positivo</t>
        </is>
      </c>
      <c r="F2568" s="113" t="n">
        <v>45869</v>
      </c>
      <c r="G2568" t="n">
        <v>2025</v>
      </c>
      <c r="H2568" t="inlineStr">
        <is>
          <t>Julio</t>
        </is>
      </c>
      <c r="I2568" t="inlineStr">
        <is>
          <t>2025-2</t>
        </is>
      </c>
      <c r="J2568" t="n">
        <v>85</v>
      </c>
      <c r="K2568" t="n">
        <v>83.54000000000001</v>
      </c>
      <c r="L2568" s="39" t="n">
        <v>0.9828235294117648</v>
      </c>
      <c r="M2568" s="39" t="n">
        <v>0.9828235294117648</v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488-2025-07-31</t>
        </is>
      </c>
    </row>
    <row r="2569" hidden="1">
      <c r="A2569" t="n">
        <v>488</v>
      </c>
      <c r="B2569" t="inlineStr">
        <is>
          <t>Oportunidad en el cierre de actividades de los planes de mejora</t>
        </is>
      </c>
      <c r="C2569" t="inlineStr">
        <is>
          <t>Gestión de calidad</t>
        </is>
      </c>
      <c r="D2569" t="inlineStr">
        <is>
          <t>Mensual</t>
        </is>
      </c>
      <c r="E2569" t="inlineStr">
        <is>
          <t>Positivo</t>
        </is>
      </c>
      <c r="F2569" s="113" t="n">
        <v>45900</v>
      </c>
      <c r="G2569" t="n">
        <v>2025</v>
      </c>
      <c r="H2569" t="inlineStr">
        <is>
          <t>Agosto</t>
        </is>
      </c>
      <c r="I2569" t="inlineStr">
        <is>
          <t>2025-2</t>
        </is>
      </c>
      <c r="J2569" t="n">
        <v>85</v>
      </c>
      <c r="K2569" t="n">
        <v>81.01000000000001</v>
      </c>
      <c r="L2569" s="39" t="n">
        <v>0.9530588235294118</v>
      </c>
      <c r="M2569" s="39" t="n">
        <v>0.9530588235294118</v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488-2025-08-31</t>
        </is>
      </c>
    </row>
    <row r="2570" hidden="1">
      <c r="A2570" t="n">
        <v>488</v>
      </c>
      <c r="B2570" t="inlineStr">
        <is>
          <t>Oportunidad en el cierre de actividades de los planes de mejora</t>
        </is>
      </c>
      <c r="C2570" t="inlineStr">
        <is>
          <t>Gestión de calidad</t>
        </is>
      </c>
      <c r="D2570" t="inlineStr">
        <is>
          <t>Mensual</t>
        </is>
      </c>
      <c r="E2570" t="inlineStr">
        <is>
          <t>Positivo</t>
        </is>
      </c>
      <c r="F2570" s="113" t="n">
        <v>45930</v>
      </c>
      <c r="G2570" t="n">
        <v>2025</v>
      </c>
      <c r="H2570" t="inlineStr">
        <is>
          <t>Septiembre</t>
        </is>
      </c>
      <c r="I2570" t="inlineStr">
        <is>
          <t>2025-2</t>
        </is>
      </c>
      <c r="J2570" t="n">
        <v>85</v>
      </c>
      <c r="K2570" t="n">
        <v>86.89</v>
      </c>
      <c r="L2570" s="39" t="n">
        <v>1.022235294117647</v>
      </c>
      <c r="M2570" s="39" t="n">
        <v>1.022235294117647</v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488-2025-09-30</t>
        </is>
      </c>
    </row>
    <row r="2571" hidden="1">
      <c r="A2571" t="n">
        <v>488</v>
      </c>
      <c r="B2571" t="inlineStr">
        <is>
          <t>Oportunidad en el cierre de actividades de los planes de mejora</t>
        </is>
      </c>
      <c r="C2571" t="inlineStr">
        <is>
          <t>Gestión de calidad</t>
        </is>
      </c>
      <c r="D2571" t="inlineStr">
        <is>
          <t>Mensual</t>
        </is>
      </c>
      <c r="E2571" t="inlineStr">
        <is>
          <t>Positivo</t>
        </is>
      </c>
      <c r="F2571" s="113" t="n">
        <v>45961</v>
      </c>
      <c r="G2571" t="n">
        <v>2025</v>
      </c>
      <c r="H2571" t="inlineStr">
        <is>
          <t>Octubre</t>
        </is>
      </c>
      <c r="I2571" t="inlineStr">
        <is>
          <t>2025-2</t>
        </is>
      </c>
      <c r="J2571" t="n">
        <v>85</v>
      </c>
      <c r="K2571" t="n">
        <v>85.59</v>
      </c>
      <c r="L2571" s="39" t="n">
        <v>1.006941176470588</v>
      </c>
      <c r="M2571" s="39" t="n">
        <v>1.006941176470588</v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488-2025-10-31</t>
        </is>
      </c>
    </row>
    <row r="2572" hidden="1">
      <c r="A2572" t="n">
        <v>488</v>
      </c>
      <c r="B2572" t="inlineStr">
        <is>
          <t>Oportunidad en el cierre de actividades de los planes de mejora</t>
        </is>
      </c>
      <c r="C2572" t="inlineStr">
        <is>
          <t>Gestión de calidad</t>
        </is>
      </c>
      <c r="D2572" t="inlineStr">
        <is>
          <t>Mensual</t>
        </is>
      </c>
      <c r="E2572" t="inlineStr">
        <is>
          <t>Positivo</t>
        </is>
      </c>
      <c r="F2572" s="113" t="n">
        <v>45991</v>
      </c>
      <c r="G2572" t="n">
        <v>2025</v>
      </c>
      <c r="H2572" t="inlineStr">
        <is>
          <t>Noviembre</t>
        </is>
      </c>
      <c r="I2572" t="inlineStr">
        <is>
          <t>2025-2</t>
        </is>
      </c>
      <c r="J2572" t="n">
        <v>85</v>
      </c>
      <c r="K2572" t="n">
        <v>75</v>
      </c>
      <c r="L2572" s="39" t="n">
        <v>0.8823529411764706</v>
      </c>
      <c r="M2572" s="39" t="n">
        <v>0.8823529411764706</v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488-2025-11-30</t>
        </is>
      </c>
    </row>
    <row r="2573" hidden="1">
      <c r="A2573" t="n">
        <v>488</v>
      </c>
      <c r="B2573" t="inlineStr">
        <is>
          <t>Oportunidad en el cierre de actividades de los planes de mejora</t>
        </is>
      </c>
      <c r="C2573" t="inlineStr">
        <is>
          <t>Gestión de calidad</t>
        </is>
      </c>
      <c r="D2573" t="inlineStr">
        <is>
          <t>Mensual</t>
        </is>
      </c>
      <c r="E2573" t="inlineStr">
        <is>
          <t>Positivo</t>
        </is>
      </c>
      <c r="F2573" s="113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85</v>
      </c>
      <c r="K2573" t="n">
        <v>76.73999999999999</v>
      </c>
      <c r="L2573" s="39" t="n">
        <v>0.9028235294117647</v>
      </c>
      <c r="M2573" s="39" t="n">
        <v>0.9028235294117647</v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488-2025-12-31</t>
        </is>
      </c>
    </row>
    <row r="2574" hidden="1">
      <c r="A2574" t="n">
        <v>488</v>
      </c>
      <c r="B2574" t="inlineStr">
        <is>
          <t>Oportunidad en el cierre de actividades de los planes de mejora</t>
        </is>
      </c>
      <c r="C2574" t="inlineStr">
        <is>
          <t>Gestión de calidad</t>
        </is>
      </c>
      <c r="D2574" t="inlineStr">
        <is>
          <t>Mensual</t>
        </is>
      </c>
      <c r="E2574" t="inlineStr">
        <is>
          <t>Positivo</t>
        </is>
      </c>
      <c r="F2574" s="113" t="n">
        <v>46053</v>
      </c>
      <c r="G2574" t="n">
        <v>2026</v>
      </c>
      <c r="H2574" t="inlineStr">
        <is>
          <t>Enero</t>
        </is>
      </c>
      <c r="I2574" t="inlineStr">
        <is>
          <t>2026-1</t>
        </is>
      </c>
      <c r="J2574" t="n">
        <v>85</v>
      </c>
      <c r="K2574" t="n">
        <v>72.16</v>
      </c>
      <c r="L2574" s="39" t="n">
        <v>0.8489411764705882</v>
      </c>
      <c r="M2574" s="39" t="n">
        <v>0.8489411764705882</v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488-2026-01-31</t>
        </is>
      </c>
    </row>
    <row r="2575" hidden="1">
      <c r="A2575" t="n">
        <v>488</v>
      </c>
      <c r="B2575" t="inlineStr">
        <is>
          <t>Oportunidad en el cierre de actividades de los planes de mejora</t>
        </is>
      </c>
      <c r="C2575" t="inlineStr">
        <is>
          <t>Gestión de calidad</t>
        </is>
      </c>
      <c r="D2575" t="inlineStr">
        <is>
          <t>Mensual</t>
        </is>
      </c>
      <c r="E2575" t="inlineStr">
        <is>
          <t>Positivo</t>
        </is>
      </c>
      <c r="F2575" s="113" t="n">
        <v>46081</v>
      </c>
      <c r="G2575" t="n">
        <v>2026</v>
      </c>
      <c r="H2575" t="inlineStr">
        <is>
          <t>Febrero</t>
        </is>
      </c>
      <c r="I2575" t="inlineStr">
        <is>
          <t>2026-1</t>
        </is>
      </c>
      <c r="J2575" t="n">
        <v>85</v>
      </c>
      <c r="K2575" t="n">
        <v>298.7799949645996</v>
      </c>
      <c r="L2575" s="39" t="n">
        <v>1.3</v>
      </c>
      <c r="M2575" s="39" t="n">
        <v>3.515058764289407</v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488-2026-02-28</t>
        </is>
      </c>
    </row>
    <row r="2576" hidden="1">
      <c r="A2576" t="n">
        <v>488</v>
      </c>
      <c r="B2576" t="inlineStr">
        <is>
          <t>Oportunidad en el cierre de actividades de los planes de mejora</t>
        </is>
      </c>
      <c r="C2576" t="inlineStr">
        <is>
          <t>Gestión de calidad</t>
        </is>
      </c>
      <c r="D2576" t="inlineStr">
        <is>
          <t>Mensual</t>
        </is>
      </c>
      <c r="E2576" t="inlineStr">
        <is>
          <t>Positivo</t>
        </is>
      </c>
      <c r="F2576" s="113" t="n">
        <v>46112</v>
      </c>
      <c r="G2576" t="n">
        <v>2026</v>
      </c>
      <c r="H2576" t="inlineStr">
        <is>
          <t>Marzo</t>
        </is>
      </c>
      <c r="I2576" t="inlineStr">
        <is>
          <t>2026-1</t>
        </is>
      </c>
      <c r="J2576" t="n">
        <v>85</v>
      </c>
      <c r="K2576" t="n">
        <v>93.42</v>
      </c>
      <c r="L2576" s="39" t="n">
        <v>1.099058823529412</v>
      </c>
      <c r="M2576" s="39" t="n">
        <v>1.099058823529412</v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488-2026-03-31</t>
        </is>
      </c>
    </row>
    <row r="2577" hidden="1">
      <c r="A2577" t="n">
        <v>489</v>
      </c>
      <c r="B2577" t="inlineStr">
        <is>
          <t>Cumplimiento en la evaluación de las oportunidades de mejora (OM)</t>
        </is>
      </c>
      <c r="C2577" t="inlineStr">
        <is>
          <t>Gestión de calidad</t>
        </is>
      </c>
      <c r="D2577" t="inlineStr">
        <is>
          <t>Mensual</t>
        </is>
      </c>
      <c r="E2577" t="inlineStr">
        <is>
          <t>Positivo</t>
        </is>
      </c>
      <c r="F2577" s="113" t="n">
        <v>45596</v>
      </c>
      <c r="G2577" t="n">
        <v>2024</v>
      </c>
      <c r="H2577" t="inlineStr">
        <is>
          <t>Octubre</t>
        </is>
      </c>
      <c r="I2577" t="inlineStr">
        <is>
          <t>2024-2</t>
        </is>
      </c>
      <c r="J2577" t="n">
        <v>80</v>
      </c>
      <c r="K2577" t="n">
        <v>80</v>
      </c>
      <c r="L2577" s="39" t="n">
        <v>1</v>
      </c>
      <c r="M2577" s="39" t="n">
        <v>1</v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489-2024-10-31</t>
        </is>
      </c>
    </row>
    <row r="2578" hidden="1">
      <c r="A2578" t="n">
        <v>489</v>
      </c>
      <c r="B2578" t="inlineStr">
        <is>
          <t>Cumplimiento en la evaluación de las oportunidades de mejora (OM)</t>
        </is>
      </c>
      <c r="C2578" t="inlineStr">
        <is>
          <t>Gestión de calidad</t>
        </is>
      </c>
      <c r="D2578" t="inlineStr">
        <is>
          <t>Mensual</t>
        </is>
      </c>
      <c r="E2578" t="inlineStr">
        <is>
          <t>Positivo</t>
        </is>
      </c>
      <c r="F2578" s="113" t="n">
        <v>45626</v>
      </c>
      <c r="G2578" t="n">
        <v>2024</v>
      </c>
      <c r="H2578" t="inlineStr">
        <is>
          <t>Noviembre</t>
        </is>
      </c>
      <c r="I2578" t="inlineStr">
        <is>
          <t>2024-2</t>
        </is>
      </c>
      <c r="J2578" t="n">
        <v>80</v>
      </c>
      <c r="K2578" t="n">
        <v>100</v>
      </c>
      <c r="L2578" s="39" t="n">
        <v>1.25</v>
      </c>
      <c r="M2578" s="39" t="n">
        <v>1.25</v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489-2024-11-30</t>
        </is>
      </c>
    </row>
    <row r="2579" hidden="1">
      <c r="A2579" t="n">
        <v>489</v>
      </c>
      <c r="B2579" t="inlineStr">
        <is>
          <t>Cumplimiento en la evaluación de las oportunidades de mejora (OM)</t>
        </is>
      </c>
      <c r="C2579" t="inlineStr">
        <is>
          <t>Gestión de calidad</t>
        </is>
      </c>
      <c r="D2579" t="inlineStr">
        <is>
          <t>Mensual</t>
        </is>
      </c>
      <c r="E2579" t="inlineStr">
        <is>
          <t>Positivo</t>
        </is>
      </c>
      <c r="F2579" s="113" t="n">
        <v>45657</v>
      </c>
      <c r="G2579" t="n">
        <v>2024</v>
      </c>
      <c r="H2579" t="inlineStr">
        <is>
          <t>Diciembre</t>
        </is>
      </c>
      <c r="I2579" t="inlineStr">
        <is>
          <t>2024-2</t>
        </is>
      </c>
      <c r="J2579" t="n">
        <v>80</v>
      </c>
      <c r="K2579" t="n">
        <v>100</v>
      </c>
      <c r="L2579" s="39" t="n">
        <v>1.25</v>
      </c>
      <c r="M2579" s="39" t="n">
        <v>1.25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489-2024-12-31</t>
        </is>
      </c>
    </row>
    <row r="2580" hidden="1">
      <c r="A2580" t="n">
        <v>490</v>
      </c>
      <c r="B2580" t="inlineStr">
        <is>
          <t>Nivel de Satisfacción Servicios Prestados - Planeación Estratégica</t>
        </is>
      </c>
      <c r="C2580" t="inlineStr">
        <is>
          <t>Planeación Estratégica</t>
        </is>
      </c>
      <c r="D2580" t="inlineStr">
        <is>
          <t>Anual</t>
        </is>
      </c>
      <c r="E2580" t="inlineStr">
        <is>
          <t>Positivo</t>
        </is>
      </c>
      <c r="F2580" s="113" t="n">
        <v>45657</v>
      </c>
      <c r="G2580" t="n">
        <v>2024</v>
      </c>
      <c r="H2580" t="inlineStr">
        <is>
          <t>Diciembre</t>
        </is>
      </c>
      <c r="I2580" t="inlineStr">
        <is>
          <t>2024-2</t>
        </is>
      </c>
      <c r="J2580" t="n">
        <v>80</v>
      </c>
      <c r="K2580" t="n">
        <v>88</v>
      </c>
      <c r="L2580" s="39" t="n">
        <v>1.1</v>
      </c>
      <c r="M2580" s="39" t="n">
        <v>1.1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490-2024-12-31</t>
        </is>
      </c>
    </row>
    <row r="2581" hidden="1">
      <c r="A2581" t="n">
        <v>490</v>
      </c>
      <c r="B2581" t="inlineStr">
        <is>
          <t>Nivel de Satisfacción Servicios Prestados - Planeación Estratégica</t>
        </is>
      </c>
      <c r="C2581" t="inlineStr">
        <is>
          <t>Planeación Estratégica</t>
        </is>
      </c>
      <c r="D2581" t="inlineStr">
        <is>
          <t>Anual</t>
        </is>
      </c>
      <c r="E2581" t="inlineStr">
        <is>
          <t>Positivo</t>
        </is>
      </c>
      <c r="F2581" s="113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80</v>
      </c>
      <c r="K2581" t="n">
        <v>100</v>
      </c>
      <c r="L2581" s="39" t="n">
        <v>1.25</v>
      </c>
      <c r="M2581" s="39" t="n">
        <v>1.25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490-2025-12-31</t>
        </is>
      </c>
    </row>
    <row r="2582" hidden="1">
      <c r="A2582" t="n">
        <v>491</v>
      </c>
      <c r="B2582" t="inlineStr">
        <is>
          <t>Nivel de Satisfacción Servicios Prestados - Gestión de proyectos</t>
        </is>
      </c>
      <c r="C2582" t="inlineStr">
        <is>
          <t>Gestión de Proyectos</t>
        </is>
      </c>
      <c r="D2582" t="inlineStr">
        <is>
          <t>Anual</t>
        </is>
      </c>
      <c r="E2582" t="inlineStr">
        <is>
          <t>Positivo</t>
        </is>
      </c>
      <c r="F2582" s="113" t="n">
        <v>45657</v>
      </c>
      <c r="G2582" t="n">
        <v>2024</v>
      </c>
      <c r="H2582" t="inlineStr">
        <is>
          <t>Diciembre</t>
        </is>
      </c>
      <c r="I2582" t="inlineStr">
        <is>
          <t>2024-2</t>
        </is>
      </c>
      <c r="J2582" t="n">
        <v>80</v>
      </c>
      <c r="K2582" t="n">
        <v>88</v>
      </c>
      <c r="L2582" s="39" t="n">
        <v>1.1</v>
      </c>
      <c r="M2582" s="39" t="n">
        <v>1.1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491-2024-12-31</t>
        </is>
      </c>
    </row>
    <row r="2583" hidden="1">
      <c r="A2583" t="n">
        <v>491</v>
      </c>
      <c r="B2583" t="inlineStr">
        <is>
          <t>Nivel de Satisfacción Servicios Prestados - Gestión de proyectos</t>
        </is>
      </c>
      <c r="C2583" t="inlineStr">
        <is>
          <t>Gestión de Proyectos</t>
        </is>
      </c>
      <c r="D2583" t="inlineStr">
        <is>
          <t>Anual</t>
        </is>
      </c>
      <c r="E2583" t="inlineStr">
        <is>
          <t>Positivo</t>
        </is>
      </c>
      <c r="F2583" s="113" t="n">
        <v>46022</v>
      </c>
      <c r="G2583" t="n">
        <v>2025</v>
      </c>
      <c r="H2583" t="inlineStr">
        <is>
          <t>Diciembre</t>
        </is>
      </c>
      <c r="I2583" t="inlineStr">
        <is>
          <t>2025-2</t>
        </is>
      </c>
      <c r="J2583" t="n">
        <v>80</v>
      </c>
      <c r="K2583" t="n">
        <v>100</v>
      </c>
      <c r="L2583" s="39" t="n">
        <v>1.25</v>
      </c>
      <c r="M2583" s="39" t="n">
        <v>1.25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491-2025-12-31</t>
        </is>
      </c>
    </row>
    <row r="2584" hidden="1">
      <c r="A2584" t="n">
        <v>492</v>
      </c>
      <c r="B2584" t="inlineStr">
        <is>
          <t>Nivel de Satisfacción Servicios Prestados - Desempeño Institucional</t>
        </is>
      </c>
      <c r="C2584" t="inlineStr">
        <is>
          <t>Desempeño Institucional</t>
        </is>
      </c>
      <c r="D2584" t="inlineStr">
        <is>
          <t>Anual</t>
        </is>
      </c>
      <c r="E2584" t="inlineStr">
        <is>
          <t>Positivo</t>
        </is>
      </c>
      <c r="F2584" s="113" t="n">
        <v>45657</v>
      </c>
      <c r="G2584" t="n">
        <v>2024</v>
      </c>
      <c r="H2584" t="inlineStr">
        <is>
          <t>Diciembre</t>
        </is>
      </c>
      <c r="I2584" t="inlineStr">
        <is>
          <t>2024-2</t>
        </is>
      </c>
      <c r="J2584" t="n">
        <v>80</v>
      </c>
      <c r="K2584" t="n">
        <v>83</v>
      </c>
      <c r="L2584" s="39" t="n">
        <v>1.0375</v>
      </c>
      <c r="M2584" s="39" t="n">
        <v>1.0375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492-2024-12-31</t>
        </is>
      </c>
    </row>
    <row r="2585" hidden="1">
      <c r="A2585" t="n">
        <v>492</v>
      </c>
      <c r="B2585" t="inlineStr">
        <is>
          <t>Nivel de Satisfacción Servicios Prestados - Desempeño Institucional</t>
        </is>
      </c>
      <c r="C2585" t="inlineStr">
        <is>
          <t>Desempeño Institucional</t>
        </is>
      </c>
      <c r="D2585" t="inlineStr">
        <is>
          <t>Anual</t>
        </is>
      </c>
      <c r="E2585" t="inlineStr">
        <is>
          <t>Positivo</t>
        </is>
      </c>
      <c r="F2585" s="113" t="n">
        <v>46022</v>
      </c>
      <c r="G2585" t="n">
        <v>2025</v>
      </c>
      <c r="H2585" t="inlineStr">
        <is>
          <t>Diciembre</t>
        </is>
      </c>
      <c r="I2585" t="inlineStr">
        <is>
          <t>2025-2</t>
        </is>
      </c>
      <c r="J2585" t="n">
        <v>80</v>
      </c>
      <c r="K2585" t="n">
        <v>95</v>
      </c>
      <c r="L2585" s="39" t="n">
        <v>1.1875</v>
      </c>
      <c r="M2585" s="39" t="n">
        <v>1.1875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492-2025-12-31</t>
        </is>
      </c>
    </row>
    <row r="2586" hidden="1">
      <c r="A2586" t="n">
        <v>493</v>
      </c>
      <c r="B2586" t="inlineStr">
        <is>
          <t>Nivel de Satisfacción Servicios Prestados - Gestión Jurídica Y Normativa</t>
        </is>
      </c>
      <c r="C2586" t="inlineStr">
        <is>
          <t>GESTIÓN JURÍDICA Y NORMATIVA</t>
        </is>
      </c>
      <c r="D2586" t="inlineStr">
        <is>
          <t>Anual</t>
        </is>
      </c>
      <c r="E2586" t="inlineStr">
        <is>
          <t>Positivo</t>
        </is>
      </c>
      <c r="F2586" s="113" t="n">
        <v>45657</v>
      </c>
      <c r="G2586" t="n">
        <v>2024</v>
      </c>
      <c r="H2586" t="inlineStr">
        <is>
          <t>Diciembre</t>
        </is>
      </c>
      <c r="I2586" t="inlineStr">
        <is>
          <t>2024-2</t>
        </is>
      </c>
      <c r="J2586" t="n">
        <v>80</v>
      </c>
      <c r="K2586" t="n">
        <v>81</v>
      </c>
      <c r="L2586" s="39" t="n">
        <v>1.0125</v>
      </c>
      <c r="M2586" s="39" t="n">
        <v>1.0125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493-2024-12-31</t>
        </is>
      </c>
    </row>
    <row r="2587" hidden="1">
      <c r="A2587" t="n">
        <v>493</v>
      </c>
      <c r="B2587" t="inlineStr">
        <is>
          <t>Nivel de Satisfacción Servicios Prestados - Gestión Jurídica Y Normativa</t>
        </is>
      </c>
      <c r="C2587" t="inlineStr">
        <is>
          <t>GESTIÓN JURÍDICA Y NORMATIVA</t>
        </is>
      </c>
      <c r="D2587" t="inlineStr">
        <is>
          <t>Anual</t>
        </is>
      </c>
      <c r="E2587" t="inlineStr">
        <is>
          <t>Positivo</t>
        </is>
      </c>
      <c r="F2587" s="113" t="n">
        <v>46022</v>
      </c>
      <c r="G2587" t="n">
        <v>2025</v>
      </c>
      <c r="H2587" t="inlineStr">
        <is>
          <t>Diciembre</t>
        </is>
      </c>
      <c r="I2587" t="inlineStr">
        <is>
          <t>2025-2</t>
        </is>
      </c>
      <c r="J2587" t="n">
        <v>80</v>
      </c>
      <c r="K2587" t="n">
        <v>77</v>
      </c>
      <c r="L2587" s="39" t="n">
        <v>0.9625</v>
      </c>
      <c r="M2587" s="39" t="n">
        <v>0.9625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493-2025-12-31</t>
        </is>
      </c>
    </row>
    <row r="2588" hidden="1">
      <c r="A2588" t="n">
        <v>494</v>
      </c>
      <c r="B2588" t="inlineStr">
        <is>
          <t>Nivel de Satisfacción Servicios Prestados - Administración De Servicios Generales</t>
        </is>
      </c>
      <c r="C2588" t="inlineStr">
        <is>
          <t>Administración de Servicios Generales</t>
        </is>
      </c>
      <c r="D2588" t="inlineStr">
        <is>
          <t>Anual</t>
        </is>
      </c>
      <c r="E2588" t="inlineStr">
        <is>
          <t>Positivo</t>
        </is>
      </c>
      <c r="F2588" s="113" t="n">
        <v>45657</v>
      </c>
      <c r="G2588" t="n">
        <v>2024</v>
      </c>
      <c r="H2588" t="inlineStr">
        <is>
          <t>Diciembre</t>
        </is>
      </c>
      <c r="I2588" t="inlineStr">
        <is>
          <t>2024-2</t>
        </is>
      </c>
      <c r="J2588" t="n">
        <v>80</v>
      </c>
      <c r="K2588" t="n">
        <v>89</v>
      </c>
      <c r="L2588" s="39" t="n">
        <v>1.1125</v>
      </c>
      <c r="M2588" s="39" t="n">
        <v>1.1125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494-2024-12-31</t>
        </is>
      </c>
    </row>
    <row r="2589" hidden="1">
      <c r="A2589" t="n">
        <v>494</v>
      </c>
      <c r="B2589" t="inlineStr">
        <is>
          <t>Nivel de Satisfacción Servicios Prestados - Administración De Servicios Generales</t>
        </is>
      </c>
      <c r="C2589" t="inlineStr">
        <is>
          <t>Administración de Servicios Generales</t>
        </is>
      </c>
      <c r="D2589" t="inlineStr">
        <is>
          <t>Anual</t>
        </is>
      </c>
      <c r="E2589" t="inlineStr">
        <is>
          <t>Positivo</t>
        </is>
      </c>
      <c r="F2589" s="113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80</v>
      </c>
      <c r="K2589" t="n">
        <v>93</v>
      </c>
      <c r="L2589" s="39" t="n">
        <v>1.1625</v>
      </c>
      <c r="M2589" s="39" t="n">
        <v>1.1625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494-2025-12-31</t>
        </is>
      </c>
    </row>
    <row r="2590" hidden="1">
      <c r="A2590" t="n">
        <v>495</v>
      </c>
      <c r="B2590" t="inlineStr">
        <is>
          <t>Nivel de Satisfacción Servicios Prestados - Contabilidad</t>
        </is>
      </c>
      <c r="C2590" t="inlineStr">
        <is>
          <t>Contabilidad</t>
        </is>
      </c>
      <c r="D2590" t="inlineStr">
        <is>
          <t>Anual</t>
        </is>
      </c>
      <c r="E2590" t="inlineStr">
        <is>
          <t>Positivo</t>
        </is>
      </c>
      <c r="F2590" s="113" t="n">
        <v>45657</v>
      </c>
      <c r="G2590" t="n">
        <v>2024</v>
      </c>
      <c r="H2590" t="inlineStr">
        <is>
          <t>Diciembre</t>
        </is>
      </c>
      <c r="I2590" t="inlineStr">
        <is>
          <t>2024-2</t>
        </is>
      </c>
      <c r="J2590" t="n">
        <v>80</v>
      </c>
      <c r="K2590" t="n">
        <v>92</v>
      </c>
      <c r="L2590" s="39" t="n">
        <v>1.15</v>
      </c>
      <c r="M2590" s="39" t="n">
        <v>1.15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495-2024-12-31</t>
        </is>
      </c>
    </row>
    <row r="2591" hidden="1">
      <c r="A2591" t="n">
        <v>495</v>
      </c>
      <c r="B2591" t="inlineStr">
        <is>
          <t>Nivel de Satisfacción Servicios Prestados - Contabilidad</t>
        </is>
      </c>
      <c r="C2591" t="inlineStr">
        <is>
          <t>Contabilidad</t>
        </is>
      </c>
      <c r="D2591" t="inlineStr">
        <is>
          <t>Anual</t>
        </is>
      </c>
      <c r="E2591" t="inlineStr">
        <is>
          <t>Positivo</t>
        </is>
      </c>
      <c r="F2591" s="113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80</v>
      </c>
      <c r="K2591" t="n">
        <v>63</v>
      </c>
      <c r="L2591" s="39" t="n">
        <v>0.7875</v>
      </c>
      <c r="M2591" s="39" t="n">
        <v>0.7875</v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495-2025-12-31</t>
        </is>
      </c>
    </row>
    <row r="2592" hidden="1">
      <c r="A2592" t="n">
        <v>496</v>
      </c>
      <c r="B2592" t="inlineStr">
        <is>
          <t>Nivel de Satisfacción Servicios Prestados - Planeación Financiera</t>
        </is>
      </c>
      <c r="C2592" t="inlineStr">
        <is>
          <t>Planeación Financiera</t>
        </is>
      </c>
      <c r="D2592" t="inlineStr">
        <is>
          <t>Anual</t>
        </is>
      </c>
      <c r="E2592" t="inlineStr">
        <is>
          <t>Positivo</t>
        </is>
      </c>
      <c r="F2592" s="113" t="n">
        <v>45657</v>
      </c>
      <c r="G2592" t="n">
        <v>2024</v>
      </c>
      <c r="H2592" t="inlineStr">
        <is>
          <t>Diciembre</t>
        </is>
      </c>
      <c r="I2592" t="inlineStr">
        <is>
          <t>2024-2</t>
        </is>
      </c>
      <c r="J2592" t="n">
        <v>80</v>
      </c>
      <c r="K2592" t="n">
        <v>88</v>
      </c>
      <c r="L2592" s="39" t="n">
        <v>1.1</v>
      </c>
      <c r="M2592" s="39" t="n">
        <v>1.1</v>
      </c>
      <c r="N2592" t="inlineStr">
        <is>
          <t>%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496-2024-12-31</t>
        </is>
      </c>
    </row>
    <row r="2593" hidden="1">
      <c r="A2593" t="n">
        <v>496</v>
      </c>
      <c r="B2593" t="inlineStr">
        <is>
          <t>Nivel de Satisfacción Servicios Prestados - Planeación Financiera</t>
        </is>
      </c>
      <c r="C2593" t="inlineStr">
        <is>
          <t>Planeación Financiera</t>
        </is>
      </c>
      <c r="D2593" t="inlineStr">
        <is>
          <t>Anual</t>
        </is>
      </c>
      <c r="E2593" t="inlineStr">
        <is>
          <t>Positivo</t>
        </is>
      </c>
      <c r="F2593" s="113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80</v>
      </c>
      <c r="K2593" t="n">
        <v>100</v>
      </c>
      <c r="L2593" s="39" t="n">
        <v>1.25</v>
      </c>
      <c r="M2593" s="39" t="n">
        <v>1.25</v>
      </c>
      <c r="N2593" t="inlineStr">
        <is>
          <t>%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496-2025-12-31</t>
        </is>
      </c>
    </row>
    <row r="2594" hidden="1">
      <c r="A2594" t="n">
        <v>497</v>
      </c>
      <c r="B2594" t="inlineStr">
        <is>
          <t>Nivel de Satisfacción Servicios Prestados - Tesorería</t>
        </is>
      </c>
      <c r="C2594" t="inlineStr">
        <is>
          <t>Tesorería</t>
        </is>
      </c>
      <c r="D2594" t="inlineStr">
        <is>
          <t>Anual</t>
        </is>
      </c>
      <c r="E2594" t="inlineStr">
        <is>
          <t>Positivo</t>
        </is>
      </c>
      <c r="F2594" s="113" t="n">
        <v>45657</v>
      </c>
      <c r="G2594" t="n">
        <v>2024</v>
      </c>
      <c r="H2594" t="inlineStr">
        <is>
          <t>Diciembre</t>
        </is>
      </c>
      <c r="I2594" t="inlineStr">
        <is>
          <t>2024-2</t>
        </is>
      </c>
      <c r="J2594" t="n">
        <v>80</v>
      </c>
      <c r="K2594" t="n">
        <v>83</v>
      </c>
      <c r="L2594" s="39" t="n">
        <v>1.0375</v>
      </c>
      <c r="M2594" s="39" t="n">
        <v>1.0375</v>
      </c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497-2024-12-31</t>
        </is>
      </c>
    </row>
    <row r="2595" hidden="1">
      <c r="A2595" t="n">
        <v>498</v>
      </c>
      <c r="B2595" t="inlineStr">
        <is>
          <t>Nivel de Satisfacción Servicios Prestados - Centro de Medios Audiovisuales</t>
        </is>
      </c>
      <c r="C2595" t="inlineStr">
        <is>
          <t>Centro de Medios Audiovisuales</t>
        </is>
      </c>
      <c r="D2595" t="inlineStr">
        <is>
          <t>Anual</t>
        </is>
      </c>
      <c r="E2595" t="inlineStr">
        <is>
          <t>Positivo</t>
        </is>
      </c>
      <c r="F2595" s="113" t="n">
        <v>45657</v>
      </c>
      <c r="G2595" t="n">
        <v>2024</v>
      </c>
      <c r="H2595" t="inlineStr">
        <is>
          <t>Diciembre</t>
        </is>
      </c>
      <c r="I2595" t="inlineStr">
        <is>
          <t>2024-2</t>
        </is>
      </c>
      <c r="J2595" t="n">
        <v>80</v>
      </c>
      <c r="K2595" t="n">
        <v>92</v>
      </c>
      <c r="L2595" s="39" t="n">
        <v>1.15</v>
      </c>
      <c r="M2595" s="39" t="n">
        <v>1.15</v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498-2024-12-31</t>
        </is>
      </c>
    </row>
    <row r="2596" hidden="1">
      <c r="A2596" t="n">
        <v>498</v>
      </c>
      <c r="B2596" t="inlineStr">
        <is>
          <t>Nivel de Satisfacción Servicios Prestados - Centro de Medios Audiovisuales</t>
        </is>
      </c>
      <c r="C2596" t="inlineStr">
        <is>
          <t>Centro de Medios Audiovisuales</t>
        </is>
      </c>
      <c r="D2596" t="inlineStr">
        <is>
          <t>Anual</t>
        </is>
      </c>
      <c r="E2596" t="inlineStr">
        <is>
          <t>Positivo</t>
        </is>
      </c>
      <c r="F2596" s="113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80</v>
      </c>
      <c r="K2596" t="n">
        <v>95</v>
      </c>
      <c r="L2596" s="39" t="n">
        <v>1.1875</v>
      </c>
      <c r="M2596" s="39" t="n">
        <v>1.1875</v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498-2025-12-31</t>
        </is>
      </c>
    </row>
    <row r="2597" hidden="1">
      <c r="A2597" t="n">
        <v>499</v>
      </c>
      <c r="B2597" t="inlineStr">
        <is>
          <t>Nivel de Satisfacción Servicios Prestados - Datos y analítica</t>
        </is>
      </c>
      <c r="C2597" t="inlineStr">
        <is>
          <t>DATOS Y ANALÍTICA</t>
        </is>
      </c>
      <c r="D2597" t="inlineStr">
        <is>
          <t>Anual</t>
        </is>
      </c>
      <c r="E2597" t="inlineStr">
        <is>
          <t>Positivo</t>
        </is>
      </c>
      <c r="F2597" s="113" t="n">
        <v>45657</v>
      </c>
      <c r="G2597" t="n">
        <v>2024</v>
      </c>
      <c r="H2597" t="inlineStr">
        <is>
          <t>Diciembre</t>
        </is>
      </c>
      <c r="I2597" t="inlineStr">
        <is>
          <t>2024-2</t>
        </is>
      </c>
      <c r="J2597" t="n">
        <v>80</v>
      </c>
      <c r="K2597" t="n">
        <v>87</v>
      </c>
      <c r="L2597" s="39" t="n">
        <v>1.0875</v>
      </c>
      <c r="M2597" s="39" t="n">
        <v>1.0875</v>
      </c>
      <c r="N2597" t="inlineStr">
        <is>
          <t>%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499-2024-12-31</t>
        </is>
      </c>
    </row>
    <row r="2598" hidden="1">
      <c r="A2598" s="21" t="n">
        <v>499</v>
      </c>
      <c r="B2598" s="5" t="inlineStr">
        <is>
          <t>Nivel de Satisfacción Servicios Prestados - Datos y analítica</t>
        </is>
      </c>
      <c r="C2598" s="5" t="inlineStr">
        <is>
          <t>DATOS Y ANALÍTICA</t>
        </is>
      </c>
      <c r="D2598" s="5" t="inlineStr">
        <is>
          <t>Anual</t>
        </is>
      </c>
      <c r="E2598" s="5" t="inlineStr">
        <is>
          <t>Positivo</t>
        </is>
      </c>
      <c r="F2598" s="108" t="n">
        <v>46022</v>
      </c>
      <c r="G2598" s="5" t="n">
        <v>2025</v>
      </c>
      <c r="H2598" s="5" t="inlineStr">
        <is>
          <t>Diciembre</t>
        </is>
      </c>
      <c r="I2598" s="6" t="inlineStr">
        <is>
          <t>2025-2</t>
        </is>
      </c>
      <c r="J2598" s="5" t="n">
        <v>80</v>
      </c>
      <c r="K2598" s="9" t="n"/>
      <c r="L2598" s="14" t="n"/>
      <c r="M2598" s="14" t="n"/>
      <c r="N2598" s="5" t="inlineStr">
        <is>
          <t>%</t>
        </is>
      </c>
      <c r="O2598" s="5" t="inlineStr">
        <is>
          <t>%</t>
        </is>
      </c>
      <c r="P2598" s="15" t="n">
        <v>0</v>
      </c>
      <c r="Q2598" s="15" t="n">
        <v>0</v>
      </c>
      <c r="R2598" s="5" t="inlineStr">
        <is>
          <t>499-2025-12-31</t>
        </is>
      </c>
      <c r="S2598" t="inlineStr">
        <is>
          <t>No Aplica</t>
        </is>
      </c>
    </row>
    <row r="2599" hidden="1">
      <c r="A2599" s="5" t="n">
        <v>500</v>
      </c>
      <c r="B2599" s="5" t="inlineStr">
        <is>
          <t>Nivel de Satisfacción Servicios Prestados -Servicio de Salud</t>
        </is>
      </c>
      <c r="C2599" s="5" t="inlineStr">
        <is>
          <t>Servicio de Salud</t>
        </is>
      </c>
      <c r="D2599" s="5" t="inlineStr">
        <is>
          <t>Anual</t>
        </is>
      </c>
      <c r="E2599" s="5" t="inlineStr">
        <is>
          <t>Positivo</t>
        </is>
      </c>
      <c r="F2599" s="109" t="n">
        <v>45657</v>
      </c>
      <c r="G2599" s="5" t="n">
        <v>2024</v>
      </c>
      <c r="H2599" s="5" t="inlineStr">
        <is>
          <t>Diciembre</t>
        </is>
      </c>
      <c r="I2599" s="6" t="inlineStr">
        <is>
          <t>2024-2</t>
        </is>
      </c>
      <c r="J2599" s="5" t="n">
        <v>80</v>
      </c>
      <c r="K2599" s="9" t="n">
        <v>89</v>
      </c>
      <c r="L2599" s="14" t="n">
        <v>1.1125</v>
      </c>
      <c r="M2599" s="14" t="n">
        <v>1.1125</v>
      </c>
      <c r="N2599" s="5" t="inlineStr">
        <is>
          <t>%</t>
        </is>
      </c>
      <c r="O2599" s="5" t="inlineStr">
        <is>
          <t>%</t>
        </is>
      </c>
      <c r="P2599" s="15" t="n">
        <v>0</v>
      </c>
      <c r="Q2599" s="15" t="n">
        <v>0</v>
      </c>
      <c r="R2599" s="5" t="inlineStr">
        <is>
          <t>500-2024-12-31</t>
        </is>
      </c>
    </row>
    <row r="2600" hidden="1">
      <c r="A2600" s="21" t="n">
        <v>500</v>
      </c>
      <c r="B2600" s="5" t="inlineStr">
        <is>
          <t>Nivel de Satisfacción Servicios Prestados -Servicio de Salud</t>
        </is>
      </c>
      <c r="C2600" s="5" t="inlineStr">
        <is>
          <t>Servicio de Salud</t>
        </is>
      </c>
      <c r="D2600" s="5" t="inlineStr">
        <is>
          <t>Anual</t>
        </is>
      </c>
      <c r="E2600" s="5" t="inlineStr">
        <is>
          <t>Positivo</t>
        </is>
      </c>
      <c r="F2600" s="108" t="n">
        <v>46022</v>
      </c>
      <c r="G2600" s="5" t="n">
        <v>2025</v>
      </c>
      <c r="H2600" s="5" t="inlineStr">
        <is>
          <t>Diciembre</t>
        </is>
      </c>
      <c r="I2600" s="6" t="inlineStr">
        <is>
          <t>2025-2</t>
        </is>
      </c>
      <c r="J2600" s="5" t="n">
        <v>80</v>
      </c>
      <c r="K2600" s="9" t="n">
        <v>100</v>
      </c>
      <c r="L2600" s="14" t="n">
        <v>1.25</v>
      </c>
      <c r="M2600" s="14" t="n">
        <v>1.25</v>
      </c>
      <c r="N2600" s="5" t="inlineStr">
        <is>
          <t>%</t>
        </is>
      </c>
      <c r="O2600" s="5" t="inlineStr">
        <is>
          <t>%</t>
        </is>
      </c>
      <c r="P2600" s="15" t="n">
        <v>0</v>
      </c>
      <c r="Q2600" s="15" t="n">
        <v>0</v>
      </c>
      <c r="R2600" s="5" t="inlineStr">
        <is>
          <t>500-2025-12-31</t>
        </is>
      </c>
    </row>
    <row r="2601" hidden="1">
      <c r="A2601" s="21" t="n">
        <v>501</v>
      </c>
      <c r="B2601" s="5" t="inlineStr">
        <is>
          <t>Nivel de Satisfacción Servicios Prestados -Gestión, evaluación e innovación curricular</t>
        </is>
      </c>
      <c r="C2601" s="5" t="inlineStr">
        <is>
          <t>Gestión, Evaluación e Innovación Curricular</t>
        </is>
      </c>
      <c r="D2601" s="5" t="inlineStr">
        <is>
          <t>Anual</t>
        </is>
      </c>
      <c r="E2601" s="5" t="inlineStr">
        <is>
          <t>Positivo</t>
        </is>
      </c>
      <c r="F2601" s="109" t="n">
        <v>45657</v>
      </c>
      <c r="G2601" s="5" t="n">
        <v>2024</v>
      </c>
      <c r="H2601" s="5" t="inlineStr">
        <is>
          <t>Diciembre</t>
        </is>
      </c>
      <c r="I2601" s="6" t="inlineStr">
        <is>
          <t>2024-2</t>
        </is>
      </c>
      <c r="J2601" s="5" t="n">
        <v>80</v>
      </c>
      <c r="K2601" s="15" t="n">
        <v>88</v>
      </c>
      <c r="L2601" s="14" t="n">
        <v>1.1</v>
      </c>
      <c r="M2601" s="14" t="n">
        <v>1.1</v>
      </c>
      <c r="N2601" s="5" t="inlineStr">
        <is>
          <t>%</t>
        </is>
      </c>
      <c r="O2601" s="5" t="inlineStr">
        <is>
          <t>%</t>
        </is>
      </c>
      <c r="P2601" s="15" t="n">
        <v>0</v>
      </c>
      <c r="Q2601" s="15" t="n">
        <v>0</v>
      </c>
      <c r="R2601" s="5" t="inlineStr">
        <is>
          <t>501-2024-12-31</t>
        </is>
      </c>
    </row>
    <row r="2602" hidden="1">
      <c r="A2602" s="21" t="n">
        <v>501</v>
      </c>
      <c r="B2602" s="5" t="inlineStr">
        <is>
          <t>Nivel de Satisfacción Servicios Prestados -Gestión, evaluación e innovación curricular</t>
        </is>
      </c>
      <c r="C2602" s="5" t="inlineStr">
        <is>
          <t>Gestión, Evaluación e Innovación Curricular</t>
        </is>
      </c>
      <c r="D2602" s="5" t="inlineStr">
        <is>
          <t>Anual</t>
        </is>
      </c>
      <c r="E2602" s="5" t="inlineStr">
        <is>
          <t>Positivo</t>
        </is>
      </c>
      <c r="F2602" s="108" t="n">
        <v>46022</v>
      </c>
      <c r="G2602" s="5" t="n">
        <v>2025</v>
      </c>
      <c r="H2602" s="5" t="inlineStr">
        <is>
          <t>Diciembre</t>
        </is>
      </c>
      <c r="I2602" s="6" t="inlineStr">
        <is>
          <t>2025-2</t>
        </is>
      </c>
      <c r="J2602" s="5" t="n">
        <v>80</v>
      </c>
      <c r="K2602" s="5" t="n">
        <v>100</v>
      </c>
      <c r="L2602" s="14" t="n">
        <v>1.25</v>
      </c>
      <c r="M2602" s="14" t="n">
        <v>1.25</v>
      </c>
      <c r="N2602" s="5" t="inlineStr">
        <is>
          <t>%</t>
        </is>
      </c>
      <c r="O2602" s="5" t="inlineStr">
        <is>
          <t>%</t>
        </is>
      </c>
      <c r="P2602" s="15" t="n">
        <v>0</v>
      </c>
      <c r="Q2602" s="15" t="n">
        <v>0</v>
      </c>
      <c r="R2602" s="5" t="inlineStr">
        <is>
          <t>501-2025-12-31</t>
        </is>
      </c>
    </row>
    <row r="2603" hidden="1">
      <c r="A2603" s="5" t="n">
        <v>502</v>
      </c>
      <c r="B2603" s="5" t="inlineStr">
        <is>
          <t>Nivel de Satisfacción Servicios Prestados -Formación para la investigación, creación e innovación</t>
        </is>
      </c>
      <c r="C2603" s="5" t="inlineStr">
        <is>
          <t>Formación para la investigación, creación e innovación</t>
        </is>
      </c>
      <c r="D2603" s="5" t="inlineStr">
        <is>
          <t>Anual</t>
        </is>
      </c>
      <c r="E2603" s="5" t="inlineStr">
        <is>
          <t>Positivo</t>
        </is>
      </c>
      <c r="F2603" s="109" t="n">
        <v>45657</v>
      </c>
      <c r="G2603" s="5" t="n">
        <v>2024</v>
      </c>
      <c r="H2603" s="5" t="inlineStr">
        <is>
          <t>Diciembre</t>
        </is>
      </c>
      <c r="I2603" s="6" t="inlineStr">
        <is>
          <t>2024-2</t>
        </is>
      </c>
      <c r="J2603" s="82" t="n">
        <v>80</v>
      </c>
      <c r="K2603" s="9" t="n">
        <v>90</v>
      </c>
      <c r="L2603" s="14" t="n">
        <v>1.125</v>
      </c>
      <c r="M2603" s="14" t="n">
        <v>1.125</v>
      </c>
      <c r="N2603" s="5" t="inlineStr">
        <is>
          <t>%</t>
        </is>
      </c>
      <c r="O2603" s="5" t="inlineStr">
        <is>
          <t>%</t>
        </is>
      </c>
      <c r="P2603" s="5" t="n">
        <v>0</v>
      </c>
      <c r="Q2603" s="5" t="n">
        <v>0</v>
      </c>
      <c r="R2603" s="5" t="inlineStr">
        <is>
          <t>502-2024-12-31</t>
        </is>
      </c>
    </row>
    <row r="2604" hidden="1">
      <c r="A2604" s="28" t="n">
        <v>502</v>
      </c>
      <c r="B2604" s="5" t="inlineStr">
        <is>
          <t>Nivel de Satisfacción Servicios Prestados -Formación para la investigación, creación e innovación</t>
        </is>
      </c>
      <c r="C2604" s="5" t="inlineStr">
        <is>
          <t>Formación para la investigación, creación e innovación</t>
        </is>
      </c>
      <c r="D2604" s="5" t="inlineStr">
        <is>
          <t>Anual</t>
        </is>
      </c>
      <c r="E2604" s="5" t="inlineStr">
        <is>
          <t>Positivo</t>
        </is>
      </c>
      <c r="F2604" s="109" t="n">
        <v>46022</v>
      </c>
      <c r="G2604" s="5" t="n">
        <v>2025</v>
      </c>
      <c r="H2604" s="5" t="inlineStr">
        <is>
          <t>Diciembre</t>
        </is>
      </c>
      <c r="I2604" s="6" t="inlineStr">
        <is>
          <t>2025-2</t>
        </is>
      </c>
      <c r="J2604" s="73" t="n">
        <v>80</v>
      </c>
      <c r="K2604" s="9" t="n">
        <v>97</v>
      </c>
      <c r="L2604" s="14" t="n">
        <v>1.2125</v>
      </c>
      <c r="M2604" s="14" t="n">
        <v>1.2125</v>
      </c>
      <c r="N2604" s="5" t="inlineStr">
        <is>
          <t>%</t>
        </is>
      </c>
      <c r="O2604" s="5" t="inlineStr">
        <is>
          <t>%</t>
        </is>
      </c>
      <c r="P2604" s="15" t="n">
        <v>0</v>
      </c>
      <c r="Q2604" s="15" t="n">
        <v>0</v>
      </c>
      <c r="R2604" s="5" t="inlineStr">
        <is>
          <t>502-2025-12-31</t>
        </is>
      </c>
    </row>
    <row r="2605" hidden="1">
      <c r="A2605" s="26" t="n">
        <v>503</v>
      </c>
      <c r="B2605" s="5" t="inlineStr">
        <is>
          <t>Nivel de Satisfacción Servicios Prestados -Gestión de Unidades Académicas</t>
        </is>
      </c>
      <c r="C2605" s="5" t="inlineStr">
        <is>
          <t>Gestión de Unidades Académicas</t>
        </is>
      </c>
      <c r="D2605" s="5" t="inlineStr">
        <is>
          <t>Anual</t>
        </is>
      </c>
      <c r="E2605" s="5" t="inlineStr">
        <is>
          <t>Positivo</t>
        </is>
      </c>
      <c r="F2605" s="109" t="n">
        <v>45657</v>
      </c>
      <c r="G2605" s="5" t="n">
        <v>2024</v>
      </c>
      <c r="H2605" s="5" t="inlineStr">
        <is>
          <t>Diciembre</t>
        </is>
      </c>
      <c r="I2605" s="6" t="inlineStr">
        <is>
          <t>2024-2</t>
        </is>
      </c>
      <c r="J2605" s="73" t="n">
        <v>80</v>
      </c>
      <c r="K2605" s="9" t="n">
        <v>86</v>
      </c>
      <c r="L2605" s="14" t="n">
        <v>1.075</v>
      </c>
      <c r="M2605" s="14" t="n">
        <v>1.075</v>
      </c>
      <c r="N2605" s="5" t="inlineStr">
        <is>
          <t>%</t>
        </is>
      </c>
      <c r="O2605" s="5" t="inlineStr">
        <is>
          <t>%</t>
        </is>
      </c>
      <c r="P2605" s="15" t="n">
        <v>0</v>
      </c>
      <c r="Q2605" s="15" t="n">
        <v>0</v>
      </c>
      <c r="R2605" s="5" t="inlineStr">
        <is>
          <t>503-2024-12-31</t>
        </is>
      </c>
    </row>
    <row r="2606" hidden="1">
      <c r="A2606" s="28" t="n">
        <v>503</v>
      </c>
      <c r="B2606" s="5" t="inlineStr">
        <is>
          <t>Nivel de Satisfacción Servicios Prestados -Gestión de Unidades Académicas</t>
        </is>
      </c>
      <c r="C2606" s="5" t="inlineStr">
        <is>
          <t>Gestión de Unidades Académicas</t>
        </is>
      </c>
      <c r="D2606" s="5" t="inlineStr">
        <is>
          <t>Anual</t>
        </is>
      </c>
      <c r="E2606" s="5" t="inlineStr">
        <is>
          <t>Positivo</t>
        </is>
      </c>
      <c r="F2606" s="109" t="n">
        <v>46022</v>
      </c>
      <c r="G2606" s="5" t="n">
        <v>2025</v>
      </c>
      <c r="H2606" s="5" t="inlineStr">
        <is>
          <t>Diciembre</t>
        </is>
      </c>
      <c r="I2606" s="6" t="inlineStr">
        <is>
          <t>2025-2</t>
        </is>
      </c>
      <c r="J2606" s="73" t="n">
        <v>80</v>
      </c>
      <c r="K2606" s="9" t="n">
        <v>94</v>
      </c>
      <c r="L2606" s="14" t="n">
        <v>1.175</v>
      </c>
      <c r="M2606" s="14" t="n">
        <v>1.175</v>
      </c>
      <c r="N2606" s="5" t="inlineStr">
        <is>
          <t>%</t>
        </is>
      </c>
      <c r="O2606" s="5" t="inlineStr">
        <is>
          <t>%</t>
        </is>
      </c>
      <c r="P2606" s="15" t="n">
        <v>0</v>
      </c>
      <c r="Q2606" s="15" t="n">
        <v>0</v>
      </c>
      <c r="R2606" s="5" t="inlineStr">
        <is>
          <t>503-2025-12-31</t>
        </is>
      </c>
    </row>
    <row r="2607" hidden="1">
      <c r="A2607" s="21" t="n">
        <v>504</v>
      </c>
      <c r="B2607" s="5" t="inlineStr">
        <is>
          <t>Nivel de Satisfacción Servicios Prestados - LEI</t>
        </is>
      </c>
      <c r="C2607" s="5" t="inlineStr">
        <is>
          <t>LEI</t>
        </is>
      </c>
      <c r="D2607" s="5" t="inlineStr">
        <is>
          <t>Anual</t>
        </is>
      </c>
      <c r="E2607" s="5" t="inlineStr">
        <is>
          <t>Positivo</t>
        </is>
      </c>
      <c r="F2607" s="109" t="n">
        <v>45657</v>
      </c>
      <c r="G2607" s="5" t="n">
        <v>2024</v>
      </c>
      <c r="H2607" s="5" t="inlineStr">
        <is>
          <t>Diciembre</t>
        </is>
      </c>
      <c r="I2607" s="6" t="inlineStr">
        <is>
          <t>2024-2</t>
        </is>
      </c>
      <c r="J2607" s="73" t="n">
        <v>80</v>
      </c>
      <c r="K2607" s="9" t="n">
        <v>88</v>
      </c>
      <c r="L2607" s="14" t="n">
        <v>1.1</v>
      </c>
      <c r="M2607" s="14" t="n">
        <v>1.1</v>
      </c>
      <c r="N2607" s="5" t="inlineStr">
        <is>
          <t>%</t>
        </is>
      </c>
      <c r="O2607" s="5" t="inlineStr">
        <is>
          <t>%</t>
        </is>
      </c>
      <c r="P2607" s="15" t="n">
        <v>0</v>
      </c>
      <c r="Q2607" s="15" t="n">
        <v>0</v>
      </c>
      <c r="R2607" s="5" t="inlineStr">
        <is>
          <t>504-2024-12-31</t>
        </is>
      </c>
    </row>
    <row r="2608" hidden="1">
      <c r="A2608" s="5" t="n">
        <v>504</v>
      </c>
      <c r="B2608" s="5" t="inlineStr">
        <is>
          <t>Nivel de Satisfacción Servicios Prestados - LEI</t>
        </is>
      </c>
      <c r="C2608" s="5" t="inlineStr">
        <is>
          <t>LEI</t>
        </is>
      </c>
      <c r="D2608" s="5" t="inlineStr">
        <is>
          <t>Anual</t>
        </is>
      </c>
      <c r="E2608" s="5" t="inlineStr">
        <is>
          <t>Positivo</t>
        </is>
      </c>
      <c r="F2608" s="109" t="n">
        <v>46022</v>
      </c>
      <c r="G2608" s="5" t="n">
        <v>2025</v>
      </c>
      <c r="H2608" s="5" t="inlineStr">
        <is>
          <t>Diciembre</t>
        </is>
      </c>
      <c r="I2608" s="6" t="inlineStr">
        <is>
          <t>2025-2</t>
        </is>
      </c>
      <c r="J2608" s="5" t="n">
        <v>80</v>
      </c>
      <c r="K2608" s="5" t="n">
        <v>88</v>
      </c>
      <c r="L2608" s="14" t="n">
        <v>1.1</v>
      </c>
      <c r="M2608" s="14" t="n">
        <v>1.1</v>
      </c>
      <c r="N2608" s="5" t="inlineStr">
        <is>
          <t>%</t>
        </is>
      </c>
      <c r="O2608" s="5" t="inlineStr">
        <is>
          <t>%</t>
        </is>
      </c>
      <c r="P2608" s="5" t="n">
        <v>0</v>
      </c>
      <c r="Q2608" s="5" t="n">
        <v>0</v>
      </c>
      <c r="R2608" s="5" t="inlineStr">
        <is>
          <t>504-2025-12-31</t>
        </is>
      </c>
    </row>
    <row r="2609" hidden="1">
      <c r="A2609" s="5" t="n">
        <v>505</v>
      </c>
      <c r="B2609" s="5" t="inlineStr">
        <is>
          <t>Nivel de Satisfacción Servicios Prestados - Mercadeo de programas académicos</t>
        </is>
      </c>
      <c r="C2609" s="5" t="inlineStr">
        <is>
          <t>Mercadeo de programas académicos</t>
        </is>
      </c>
      <c r="D2609" s="5" t="inlineStr">
        <is>
          <t>Anual</t>
        </is>
      </c>
      <c r="E2609" s="5" t="inlineStr">
        <is>
          <t>Positivo</t>
        </is>
      </c>
      <c r="F2609" s="109" t="n">
        <v>45657</v>
      </c>
      <c r="G2609" s="5" t="n">
        <v>2024</v>
      </c>
      <c r="H2609" s="5" t="inlineStr">
        <is>
          <t>Diciembre</t>
        </is>
      </c>
      <c r="I2609" s="6" t="inlineStr">
        <is>
          <t>2024-2</t>
        </is>
      </c>
      <c r="J2609" s="5" t="n">
        <v>80</v>
      </c>
      <c r="K2609" s="5" t="n">
        <v>85</v>
      </c>
      <c r="L2609" s="14" t="n">
        <v>1.0625</v>
      </c>
      <c r="M2609" s="14" t="n">
        <v>1.0625</v>
      </c>
      <c r="N2609" s="5" t="inlineStr">
        <is>
          <t>%</t>
        </is>
      </c>
      <c r="O2609" s="5" t="inlineStr">
        <is>
          <t>%</t>
        </is>
      </c>
      <c r="P2609" s="5" t="n">
        <v>0</v>
      </c>
      <c r="Q2609" s="5" t="n">
        <v>0</v>
      </c>
      <c r="R2609" s="5" t="inlineStr">
        <is>
          <t>505-2024-12-31</t>
        </is>
      </c>
    </row>
    <row r="2610" hidden="1">
      <c r="A2610" t="n">
        <v>505</v>
      </c>
      <c r="B2610" t="inlineStr">
        <is>
          <t>Nivel de Satisfacción Servicios Prestados - Mercadeo de programas académicos</t>
        </is>
      </c>
      <c r="C2610" t="inlineStr">
        <is>
          <t>Mercadeo de programas académicos</t>
        </is>
      </c>
      <c r="D2610" t="inlineStr">
        <is>
          <t>Anual</t>
        </is>
      </c>
      <c r="E2610" t="inlineStr">
        <is>
          <t>Positivo</t>
        </is>
      </c>
      <c r="F2610" s="113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80</v>
      </c>
      <c r="K2610" t="n">
        <v>86</v>
      </c>
      <c r="L2610" s="39" t="n">
        <v>1.075</v>
      </c>
      <c r="M2610" s="39" t="n">
        <v>1.075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505-2025-12-31</t>
        </is>
      </c>
    </row>
    <row r="2611" hidden="1">
      <c r="A2611" t="n">
        <v>506</v>
      </c>
      <c r="B2611" t="inlineStr">
        <is>
          <t>Nivel de Satisfacción Servicios Prestados - Prácticas</t>
        </is>
      </c>
      <c r="C2611" t="inlineStr">
        <is>
          <t>Prácticas</t>
        </is>
      </c>
      <c r="D2611" t="inlineStr">
        <is>
          <t>Anual</t>
        </is>
      </c>
      <c r="E2611" t="inlineStr">
        <is>
          <t>Positivo</t>
        </is>
      </c>
      <c r="F2611" s="113" t="n">
        <v>45657</v>
      </c>
      <c r="G2611" t="n">
        <v>2024</v>
      </c>
      <c r="H2611" t="inlineStr">
        <is>
          <t>Diciembre</t>
        </is>
      </c>
      <c r="I2611" t="inlineStr">
        <is>
          <t>2024-2</t>
        </is>
      </c>
      <c r="J2611" t="n">
        <v>80</v>
      </c>
      <c r="K2611" t="n">
        <v>67</v>
      </c>
      <c r="L2611" s="39" t="n">
        <v>0.8375</v>
      </c>
      <c r="M2611" s="39" t="n">
        <v>0.8375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506-2024-12-31</t>
        </is>
      </c>
    </row>
    <row r="2612" hidden="1">
      <c r="A2612" t="n">
        <v>506</v>
      </c>
      <c r="B2612" t="inlineStr">
        <is>
          <t>Nivel de Satisfacción Servicios Prestados - Prácticas</t>
        </is>
      </c>
      <c r="C2612" t="inlineStr">
        <is>
          <t>Prácticas</t>
        </is>
      </c>
      <c r="D2612" t="inlineStr">
        <is>
          <t>Trimestral</t>
        </is>
      </c>
      <c r="E2612" t="inlineStr">
        <is>
          <t>Positivo</t>
        </is>
      </c>
      <c r="F2612" s="113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80</v>
      </c>
      <c r="K2612" t="n">
        <v>95</v>
      </c>
      <c r="L2612" s="39" t="n">
        <v>1.1875</v>
      </c>
      <c r="M2612" s="39" t="n">
        <v>1.1875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506-2025-06-30</t>
        </is>
      </c>
    </row>
    <row r="2613" hidden="1">
      <c r="A2613" t="n">
        <v>506</v>
      </c>
      <c r="B2613" t="inlineStr">
        <is>
          <t>Nivel de Satisfacción Servicios Prestados - Prácticas</t>
        </is>
      </c>
      <c r="C2613" t="inlineStr">
        <is>
          <t>Prácticas</t>
        </is>
      </c>
      <c r="D2613" t="inlineStr">
        <is>
          <t>Trimestral</t>
        </is>
      </c>
      <c r="E2613" t="inlineStr">
        <is>
          <t>Positivo</t>
        </is>
      </c>
      <c r="F2613" s="113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80</v>
      </c>
      <c r="K2613" t="n">
        <v>92.5</v>
      </c>
      <c r="L2613" s="39" t="n">
        <v>1.15625</v>
      </c>
      <c r="M2613" s="39" t="n">
        <v>1.15625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506-2025-12-31</t>
        </is>
      </c>
    </row>
    <row r="2614" hidden="1">
      <c r="A2614" t="n">
        <v>507</v>
      </c>
      <c r="B2614" t="inlineStr">
        <is>
          <t>Nivel de Satisfacción Servicios Prestados -Cultura y Deporte</t>
        </is>
      </c>
      <c r="C2614" t="inlineStr">
        <is>
          <t>Cultura y Deporte</t>
        </is>
      </c>
      <c r="D2614" t="inlineStr">
        <is>
          <t>Anual</t>
        </is>
      </c>
      <c r="E2614" t="inlineStr">
        <is>
          <t>Positivo</t>
        </is>
      </c>
      <c r="F2614" s="113" t="n">
        <v>45657</v>
      </c>
      <c r="G2614" t="n">
        <v>2024</v>
      </c>
      <c r="H2614" t="inlineStr">
        <is>
          <t>Diciembre</t>
        </is>
      </c>
      <c r="I2614" t="inlineStr">
        <is>
          <t>2024-2</t>
        </is>
      </c>
      <c r="J2614" t="n">
        <v>80</v>
      </c>
      <c r="K2614" t="n">
        <v>77</v>
      </c>
      <c r="L2614" s="39" t="n">
        <v>0.9625</v>
      </c>
      <c r="M2614" s="39" t="n">
        <v>0.9625</v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507-2024-12-31</t>
        </is>
      </c>
    </row>
    <row r="2615" hidden="1">
      <c r="A2615" t="n">
        <v>507</v>
      </c>
      <c r="B2615" t="inlineStr">
        <is>
          <t>Nivel de Satisfacción Servicios Prestados -Cultura y Deporte</t>
        </is>
      </c>
      <c r="C2615" t="inlineStr">
        <is>
          <t>Cultura y Deporte</t>
        </is>
      </c>
      <c r="D2615" t="inlineStr">
        <is>
          <t>Trimestral</t>
        </is>
      </c>
      <c r="E2615" t="inlineStr">
        <is>
          <t>Positivo</t>
        </is>
      </c>
      <c r="F2615" s="113" t="n">
        <v>45838</v>
      </c>
      <c r="G2615" t="n">
        <v>2025</v>
      </c>
      <c r="H2615" t="inlineStr">
        <is>
          <t>Junio</t>
        </is>
      </c>
      <c r="I2615" t="inlineStr">
        <is>
          <t>2025-1</t>
        </is>
      </c>
      <c r="J2615" t="n">
        <v>80</v>
      </c>
      <c r="K2615" t="n">
        <v>98.75</v>
      </c>
      <c r="L2615" s="39" t="n">
        <v>1.234375</v>
      </c>
      <c r="M2615" s="39" t="n">
        <v>1.234375</v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507-2025-06-30</t>
        </is>
      </c>
    </row>
    <row r="2616" hidden="1">
      <c r="A2616" t="n">
        <v>507</v>
      </c>
      <c r="B2616" t="inlineStr">
        <is>
          <t>Nivel de Satisfacción Servicios Prestados -Cultura y Deporte</t>
        </is>
      </c>
      <c r="C2616" t="inlineStr">
        <is>
          <t>Cultura y Deporte</t>
        </is>
      </c>
      <c r="D2616" t="inlineStr">
        <is>
          <t>Trimestral</t>
        </is>
      </c>
      <c r="E2616" t="inlineStr">
        <is>
          <t>Positivo</t>
        </is>
      </c>
      <c r="F2616" s="113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80</v>
      </c>
      <c r="K2616" t="n">
        <v>99</v>
      </c>
      <c r="L2616" s="39" t="n">
        <v>1.2375</v>
      </c>
      <c r="M2616" s="39" t="n">
        <v>1.2375</v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507-2025-12-31</t>
        </is>
      </c>
    </row>
    <row r="2617" hidden="1">
      <c r="A2617" t="n">
        <v>508</v>
      </c>
      <c r="B2617" t="inlineStr">
        <is>
          <t>Nivel de Satisfacción Servicios Prestados - Diseño y contenido virtual</t>
        </is>
      </c>
      <c r="C2617" t="inlineStr">
        <is>
          <t>Diseño de Contenido Virtual</t>
        </is>
      </c>
      <c r="D2617" t="inlineStr">
        <is>
          <t>Anual</t>
        </is>
      </c>
      <c r="E2617" t="inlineStr">
        <is>
          <t>Positivo</t>
        </is>
      </c>
      <c r="F2617" s="113" t="n">
        <v>45657</v>
      </c>
      <c r="G2617" t="n">
        <v>2024</v>
      </c>
      <c r="H2617" t="inlineStr">
        <is>
          <t>Diciembre</t>
        </is>
      </c>
      <c r="I2617" t="inlineStr">
        <is>
          <t>2024-2</t>
        </is>
      </c>
      <c r="J2617" t="n">
        <v>80</v>
      </c>
      <c r="K2617" t="n">
        <v>88</v>
      </c>
      <c r="L2617" s="39" t="n">
        <v>1.1</v>
      </c>
      <c r="M2617" s="39" t="n">
        <v>1.1</v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508-2024-12-31</t>
        </is>
      </c>
    </row>
    <row r="2618" hidden="1">
      <c r="A2618" t="n">
        <v>508</v>
      </c>
      <c r="B2618" t="inlineStr">
        <is>
          <t>Nivel de Satisfacción Servicios Prestados - Diseño y contenido virtual</t>
        </is>
      </c>
      <c r="C2618" t="inlineStr">
        <is>
          <t>Diseño de Contenido Virtual</t>
        </is>
      </c>
      <c r="D2618" t="inlineStr">
        <is>
          <t>Anual</t>
        </is>
      </c>
      <c r="E2618" t="inlineStr">
        <is>
          <t>Positivo</t>
        </is>
      </c>
      <c r="F2618" s="113" t="n">
        <v>46022</v>
      </c>
      <c r="G2618" t="n">
        <v>2025</v>
      </c>
      <c r="H2618" t="inlineStr">
        <is>
          <t>Diciembre</t>
        </is>
      </c>
      <c r="I2618" t="inlineStr">
        <is>
          <t>2025-2</t>
        </is>
      </c>
      <c r="J2618" t="n">
        <v>80</v>
      </c>
      <c r="K2618" t="n">
        <v>89</v>
      </c>
      <c r="L2618" s="39" t="n">
        <v>1.1125</v>
      </c>
      <c r="M2618" s="39" t="n">
        <v>1.1125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508-2025-12-31</t>
        </is>
      </c>
    </row>
    <row r="2619" hidden="1">
      <c r="A2619" t="n">
        <v>509</v>
      </c>
      <c r="B2619" t="inlineStr">
        <is>
          <t>Cumplimiento a cronograma de proyectos 2025</t>
        </is>
      </c>
      <c r="C2619" t="inlineStr">
        <is>
          <t>Gestión de Proyectos</t>
        </is>
      </c>
      <c r="D2619" t="inlineStr">
        <is>
          <t>Mensual</t>
        </is>
      </c>
      <c r="E2619" t="inlineStr">
        <is>
          <t>Positivo</t>
        </is>
      </c>
      <c r="F2619" s="113" t="n">
        <v>45688</v>
      </c>
      <c r="G2619" t="n">
        <v>2025</v>
      </c>
      <c r="H2619" t="inlineStr">
        <is>
          <t>Enero</t>
        </is>
      </c>
      <c r="I2619" t="inlineStr">
        <is>
          <t>2025-1</t>
        </is>
      </c>
      <c r="J2619" t="n">
        <v>90</v>
      </c>
      <c r="K2619" t="n">
        <v>99.45</v>
      </c>
      <c r="L2619" s="39" t="n">
        <v>1.105</v>
      </c>
      <c r="M2619" s="39" t="n">
        <v>1.105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509-2025-01-31</t>
        </is>
      </c>
    </row>
    <row r="2620" hidden="1">
      <c r="A2620" t="n">
        <v>509</v>
      </c>
      <c r="B2620" t="inlineStr">
        <is>
          <t>Cumplimiento a cronograma de proyectos 2025</t>
        </is>
      </c>
      <c r="C2620" t="inlineStr">
        <is>
          <t>Gestión de Proyectos</t>
        </is>
      </c>
      <c r="D2620" t="inlineStr">
        <is>
          <t>Mensual</t>
        </is>
      </c>
      <c r="E2620" t="inlineStr">
        <is>
          <t>Positivo</t>
        </is>
      </c>
      <c r="F2620" s="113" t="n">
        <v>45716</v>
      </c>
      <c r="G2620" t="n">
        <v>2025</v>
      </c>
      <c r="H2620" t="inlineStr">
        <is>
          <t>Febrero</t>
        </is>
      </c>
      <c r="I2620" t="inlineStr">
        <is>
          <t>2025-1</t>
        </is>
      </c>
      <c r="J2620" t="n">
        <v>90</v>
      </c>
      <c r="K2620" t="n">
        <v>98.65000000000001</v>
      </c>
      <c r="L2620" s="39" t="n">
        <v>1.096111111111111</v>
      </c>
      <c r="M2620" s="39" t="n">
        <v>1.096111111111111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509-2025-02-28</t>
        </is>
      </c>
    </row>
    <row r="2621" hidden="1">
      <c r="A2621" t="n">
        <v>509</v>
      </c>
      <c r="B2621" t="inlineStr">
        <is>
          <t>Cumplimiento a cronograma de proyectos 2025</t>
        </is>
      </c>
      <c r="C2621" t="inlineStr">
        <is>
          <t>Gestión de Proyectos</t>
        </is>
      </c>
      <c r="D2621" t="inlineStr">
        <is>
          <t>Mensual</t>
        </is>
      </c>
      <c r="E2621" t="inlineStr">
        <is>
          <t>Positivo</t>
        </is>
      </c>
      <c r="F2621" s="113" t="n">
        <v>45747</v>
      </c>
      <c r="G2621" t="n">
        <v>2025</v>
      </c>
      <c r="H2621" t="inlineStr">
        <is>
          <t>Marzo</t>
        </is>
      </c>
      <c r="I2621" t="inlineStr">
        <is>
          <t>2025-1</t>
        </is>
      </c>
      <c r="J2621" t="n">
        <v>90</v>
      </c>
      <c r="K2621" t="n">
        <v>94.48999999999999</v>
      </c>
      <c r="L2621" s="39" t="n">
        <v>1.049888888888889</v>
      </c>
      <c r="M2621" s="39" t="n">
        <v>1.049888888888889</v>
      </c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509-2025-03-31</t>
        </is>
      </c>
    </row>
    <row r="2622" hidden="1">
      <c r="A2622" t="n">
        <v>509</v>
      </c>
      <c r="B2622" t="inlineStr">
        <is>
          <t>Cumplimiento a cronograma de proyectos 2025</t>
        </is>
      </c>
      <c r="C2622" t="inlineStr">
        <is>
          <t>Gestión de Proyectos</t>
        </is>
      </c>
      <c r="D2622" t="inlineStr">
        <is>
          <t>Mensual</t>
        </is>
      </c>
      <c r="E2622" t="inlineStr">
        <is>
          <t>Positivo</t>
        </is>
      </c>
      <c r="F2622" s="113" t="n">
        <v>45777</v>
      </c>
      <c r="G2622" t="n">
        <v>2025</v>
      </c>
      <c r="H2622" t="inlineStr">
        <is>
          <t>Abril</t>
        </is>
      </c>
      <c r="I2622" t="inlineStr">
        <is>
          <t>2025-1</t>
        </is>
      </c>
      <c r="J2622" t="n">
        <v>90</v>
      </c>
      <c r="K2622" t="n">
        <v>93.88</v>
      </c>
      <c r="L2622" s="39" t="n">
        <v>1.043111111111111</v>
      </c>
      <c r="M2622" s="39" t="n">
        <v>1.043111111111111</v>
      </c>
      <c r="N2622" t="inlineStr">
        <is>
          <t>%</t>
        </is>
      </c>
      <c r="O2622" t="inlineStr">
        <is>
          <t>%</t>
        </is>
      </c>
      <c r="P2622" t="n">
        <v>0</v>
      </c>
      <c r="Q2622" t="n">
        <v>0</v>
      </c>
      <c r="R2622" t="inlineStr">
        <is>
          <t>509-2025-04-30</t>
        </is>
      </c>
    </row>
    <row r="2623" hidden="1">
      <c r="A2623" t="n">
        <v>509</v>
      </c>
      <c r="B2623" t="inlineStr">
        <is>
          <t>Cumplimiento a cronograma de proyectos 2025</t>
        </is>
      </c>
      <c r="C2623" t="inlineStr">
        <is>
          <t>Gestión de Proyectos</t>
        </is>
      </c>
      <c r="D2623" t="inlineStr">
        <is>
          <t>Mensual</t>
        </is>
      </c>
      <c r="E2623" t="inlineStr">
        <is>
          <t>Positivo</t>
        </is>
      </c>
      <c r="F2623" s="113" t="n">
        <v>45808</v>
      </c>
      <c r="G2623" t="n">
        <v>2025</v>
      </c>
      <c r="H2623" t="inlineStr">
        <is>
          <t>Mayo</t>
        </is>
      </c>
      <c r="I2623" t="inlineStr">
        <is>
          <t>2025-1</t>
        </is>
      </c>
      <c r="J2623" t="n">
        <v>90</v>
      </c>
      <c r="K2623" t="n">
        <v>93.8</v>
      </c>
      <c r="L2623" s="39" t="n">
        <v>1.042222222222222</v>
      </c>
      <c r="M2623" s="39" t="n">
        <v>1.042222222222222</v>
      </c>
      <c r="N2623" t="inlineStr">
        <is>
          <t>%</t>
        </is>
      </c>
      <c r="O2623" t="inlineStr">
        <is>
          <t>%</t>
        </is>
      </c>
      <c r="P2623" t="n">
        <v>0</v>
      </c>
      <c r="Q2623" t="n">
        <v>0</v>
      </c>
      <c r="R2623" t="inlineStr">
        <is>
          <t>509-2025-05-31</t>
        </is>
      </c>
    </row>
    <row r="2624" hidden="1">
      <c r="A2624" t="n">
        <v>509</v>
      </c>
      <c r="B2624" t="inlineStr">
        <is>
          <t>Cumplimiento a cronograma de proyectos 2025</t>
        </is>
      </c>
      <c r="C2624" t="inlineStr">
        <is>
          <t>Gestión de Proyectos</t>
        </is>
      </c>
      <c r="D2624" t="inlineStr">
        <is>
          <t>Mensual</t>
        </is>
      </c>
      <c r="E2624" t="inlineStr">
        <is>
          <t>Positivo</t>
        </is>
      </c>
      <c r="F2624" s="113" t="n">
        <v>45838</v>
      </c>
      <c r="G2624" t="n">
        <v>2025</v>
      </c>
      <c r="H2624" t="inlineStr">
        <is>
          <t>Junio</t>
        </is>
      </c>
      <c r="I2624" t="inlineStr">
        <is>
          <t>2025-1</t>
        </is>
      </c>
      <c r="J2624" t="n">
        <v>90</v>
      </c>
      <c r="K2624" t="n">
        <v>100.59</v>
      </c>
      <c r="L2624" s="39" t="n">
        <v>1.117666666666667</v>
      </c>
      <c r="M2624" s="39" t="n">
        <v>1.117666666666667</v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509-2025-06-30</t>
        </is>
      </c>
    </row>
    <row r="2625" hidden="1">
      <c r="A2625" t="n">
        <v>509</v>
      </c>
      <c r="B2625" t="inlineStr">
        <is>
          <t>Cumplimiento a cronograma de proyectos 2025</t>
        </is>
      </c>
      <c r="C2625" t="inlineStr">
        <is>
          <t>Gestión de Proyectos</t>
        </is>
      </c>
      <c r="D2625" t="inlineStr">
        <is>
          <t>Mensual</t>
        </is>
      </c>
      <c r="E2625" t="inlineStr">
        <is>
          <t>Positivo</t>
        </is>
      </c>
      <c r="F2625" s="113" t="n">
        <v>45869</v>
      </c>
      <c r="G2625" t="n">
        <v>2025</v>
      </c>
      <c r="H2625" t="inlineStr">
        <is>
          <t>Julio</t>
        </is>
      </c>
      <c r="I2625" t="inlineStr">
        <is>
          <t>2025-2</t>
        </is>
      </c>
      <c r="J2625" t="n">
        <v>90</v>
      </c>
      <c r="K2625" t="n">
        <v>96.04000000000001</v>
      </c>
      <c r="L2625" s="39" t="n">
        <v>1.067111111111111</v>
      </c>
      <c r="M2625" s="39" t="n">
        <v>1.067111111111111</v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509-2025-07-31</t>
        </is>
      </c>
    </row>
    <row r="2626" hidden="1">
      <c r="A2626" t="n">
        <v>509</v>
      </c>
      <c r="B2626" t="inlineStr">
        <is>
          <t>Cumplimiento a cronograma de proyectos 2025</t>
        </is>
      </c>
      <c r="C2626" t="inlineStr">
        <is>
          <t>Gestión de Proyectos</t>
        </is>
      </c>
      <c r="D2626" t="inlineStr">
        <is>
          <t>Mensual</t>
        </is>
      </c>
      <c r="E2626" t="inlineStr">
        <is>
          <t>Positivo</t>
        </is>
      </c>
      <c r="F2626" s="113" t="n">
        <v>45900</v>
      </c>
      <c r="G2626" t="n">
        <v>2025</v>
      </c>
      <c r="H2626" t="inlineStr">
        <is>
          <t>Agosto</t>
        </is>
      </c>
      <c r="I2626" t="inlineStr">
        <is>
          <t>2025-2</t>
        </is>
      </c>
      <c r="J2626" t="n">
        <v>90</v>
      </c>
      <c r="K2626" t="n">
        <v>91.52</v>
      </c>
      <c r="L2626" s="39" t="n">
        <v>1.016888888888889</v>
      </c>
      <c r="M2626" s="39" t="n">
        <v>1.016888888888889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509-2025-08-31</t>
        </is>
      </c>
    </row>
    <row r="2627" hidden="1">
      <c r="A2627" t="n">
        <v>509</v>
      </c>
      <c r="B2627" t="inlineStr">
        <is>
          <t>Cumplimiento a cronograma de proyectos 2025</t>
        </is>
      </c>
      <c r="C2627" t="inlineStr">
        <is>
          <t>Gestión de Proyectos</t>
        </is>
      </c>
      <c r="D2627" t="inlineStr">
        <is>
          <t>Mensual</t>
        </is>
      </c>
      <c r="E2627" t="inlineStr">
        <is>
          <t>Positivo</t>
        </is>
      </c>
      <c r="F2627" s="113" t="n">
        <v>45930</v>
      </c>
      <c r="G2627" t="n">
        <v>2025</v>
      </c>
      <c r="H2627" t="inlineStr">
        <is>
          <t>Septiembre</t>
        </is>
      </c>
      <c r="I2627" t="inlineStr">
        <is>
          <t>2025-2</t>
        </is>
      </c>
      <c r="J2627" t="n">
        <v>90</v>
      </c>
      <c r="K2627" t="n">
        <v>96.67</v>
      </c>
      <c r="L2627" s="39" t="n">
        <v>1.074111111111111</v>
      </c>
      <c r="M2627" s="39" t="n">
        <v>1.074111111111111</v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509-2025-09-30</t>
        </is>
      </c>
    </row>
    <row r="2628" hidden="1">
      <c r="A2628" t="n">
        <v>509</v>
      </c>
      <c r="B2628" t="inlineStr">
        <is>
          <t>Cumplimiento a cronograma de proyectos 2025</t>
        </is>
      </c>
      <c r="C2628" t="inlineStr">
        <is>
          <t>Gestión de Proyectos</t>
        </is>
      </c>
      <c r="D2628" t="inlineStr">
        <is>
          <t>Mensual</t>
        </is>
      </c>
      <c r="E2628" t="inlineStr">
        <is>
          <t>Positivo</t>
        </is>
      </c>
      <c r="F2628" s="113" t="n">
        <v>45961</v>
      </c>
      <c r="G2628" t="n">
        <v>2025</v>
      </c>
      <c r="H2628" t="inlineStr">
        <is>
          <t>Octubre</t>
        </is>
      </c>
      <c r="I2628" t="inlineStr">
        <is>
          <t>2025-2</t>
        </is>
      </c>
      <c r="J2628" t="n">
        <v>90</v>
      </c>
      <c r="K2628" t="n">
        <v>91.81</v>
      </c>
      <c r="L2628" s="39" t="n">
        <v>1.020111111111111</v>
      </c>
      <c r="M2628" s="39" t="n">
        <v>1.020111111111111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509-2025-10-31</t>
        </is>
      </c>
    </row>
    <row r="2629" hidden="1">
      <c r="A2629" t="n">
        <v>509</v>
      </c>
      <c r="B2629" t="inlineStr">
        <is>
          <t>Cumplimiento a cronograma de proyectos 2025</t>
        </is>
      </c>
      <c r="C2629" t="inlineStr">
        <is>
          <t>Gestión de Proyectos</t>
        </is>
      </c>
      <c r="D2629" t="inlineStr">
        <is>
          <t>Mensual</t>
        </is>
      </c>
      <c r="E2629" t="inlineStr">
        <is>
          <t>Positivo</t>
        </is>
      </c>
      <c r="F2629" s="113" t="n">
        <v>45991</v>
      </c>
      <c r="G2629" t="n">
        <v>2025</v>
      </c>
      <c r="H2629" t="inlineStr">
        <is>
          <t>Noviembre</t>
        </is>
      </c>
      <c r="I2629" t="inlineStr">
        <is>
          <t>2025-2</t>
        </is>
      </c>
      <c r="J2629" t="n">
        <v>90</v>
      </c>
      <c r="K2629" t="n">
        <v>96.98999999999999</v>
      </c>
      <c r="L2629" s="39" t="n">
        <v>1.077666666666667</v>
      </c>
      <c r="M2629" s="39" t="n">
        <v>1.077666666666667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509-2025-11-30</t>
        </is>
      </c>
    </row>
    <row r="2630" hidden="1">
      <c r="A2630" t="n">
        <v>509</v>
      </c>
      <c r="B2630" t="inlineStr">
        <is>
          <t>Cumplimiento a cronograma de proyectos 2025</t>
        </is>
      </c>
      <c r="C2630" t="inlineStr">
        <is>
          <t>Gestión de Proyectos</t>
        </is>
      </c>
      <c r="D2630" t="inlineStr">
        <is>
          <t>Mensual</t>
        </is>
      </c>
      <c r="E2630" t="inlineStr">
        <is>
          <t>Positivo</t>
        </is>
      </c>
      <c r="F2630" s="113" t="n">
        <v>46022</v>
      </c>
      <c r="G2630" t="n">
        <v>2025</v>
      </c>
      <c r="H2630" t="inlineStr">
        <is>
          <t>Diciembre</t>
        </is>
      </c>
      <c r="I2630" t="inlineStr">
        <is>
          <t>2025-2</t>
        </is>
      </c>
      <c r="J2630" t="n">
        <v>90</v>
      </c>
      <c r="K2630" t="n">
        <v>97.33</v>
      </c>
      <c r="L2630" s="39" t="n">
        <v>1.081444444444444</v>
      </c>
      <c r="M2630" s="39" t="n">
        <v>1.081444444444444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509-2025-12-31</t>
        </is>
      </c>
    </row>
    <row r="2631" hidden="1">
      <c r="A2631" t="n">
        <v>510</v>
      </c>
      <c r="B2631" t="inlineStr">
        <is>
          <t>Frecuencia de incidentes de riesgos</t>
        </is>
      </c>
      <c r="C2631" t="inlineStr">
        <is>
          <t>GESTIÓN DE RIESGOS</t>
        </is>
      </c>
      <c r="D2631" t="inlineStr">
        <is>
          <t>Semestral</t>
        </is>
      </c>
      <c r="E2631" t="inlineStr">
        <is>
          <t>Positivo</t>
        </is>
      </c>
      <c r="F2631" s="113" t="n">
        <v>45747</v>
      </c>
      <c r="G2631" t="n">
        <v>2025</v>
      </c>
      <c r="H2631" t="inlineStr">
        <is>
          <t>Marzo</t>
        </is>
      </c>
      <c r="I2631" t="inlineStr">
        <is>
          <t>2025-1</t>
        </is>
      </c>
      <c r="K2631" t="n">
        <v>0</v>
      </c>
      <c r="L2631" s="39" t="n"/>
      <c r="M2631" s="39" t="n"/>
      <c r="N2631" t="inlineStr">
        <is>
          <t>Linea Base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510-2025-03-31</t>
        </is>
      </c>
    </row>
    <row r="2632" hidden="1">
      <c r="A2632" t="n">
        <v>510</v>
      </c>
      <c r="B2632" t="inlineStr">
        <is>
          <t>Frecuencia de incidentes de riesgos</t>
        </is>
      </c>
      <c r="C2632" t="inlineStr">
        <is>
          <t>GESTIÓN DE RIESGOS</t>
        </is>
      </c>
      <c r="D2632" t="inlineStr">
        <is>
          <t>Semestral</t>
        </is>
      </c>
      <c r="E2632" t="inlineStr">
        <is>
          <t>Positivo</t>
        </is>
      </c>
      <c r="F2632" s="113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K2632" t="n">
        <v>0</v>
      </c>
      <c r="L2632" s="39" t="n"/>
      <c r="M2632" s="39" t="n"/>
      <c r="N2632" t="inlineStr">
        <is>
          <t>Linea Base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510-2025-06-30</t>
        </is>
      </c>
    </row>
    <row r="2633" hidden="1">
      <c r="A2633" t="n">
        <v>510</v>
      </c>
      <c r="B2633" t="inlineStr">
        <is>
          <t>Frecuencia de incidentes de riesgos</t>
        </is>
      </c>
      <c r="C2633" t="inlineStr">
        <is>
          <t>GESTIÓN DE RIESGOS</t>
        </is>
      </c>
      <c r="D2633" t="inlineStr">
        <is>
          <t>Semestral</t>
        </is>
      </c>
      <c r="E2633" t="inlineStr">
        <is>
          <t>Positivo</t>
        </is>
      </c>
      <c r="F2633" s="113" t="n">
        <v>45930</v>
      </c>
      <c r="G2633" t="n">
        <v>2025</v>
      </c>
      <c r="H2633" t="inlineStr">
        <is>
          <t>Septiembre</t>
        </is>
      </c>
      <c r="I2633" t="inlineStr">
        <is>
          <t>2025-2</t>
        </is>
      </c>
      <c r="K2633" t="n">
        <v>0</v>
      </c>
      <c r="L2633" s="39" t="n"/>
      <c r="M2633" s="39" t="n"/>
      <c r="N2633" t="inlineStr">
        <is>
          <t>Linea Base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510-2025-09-30</t>
        </is>
      </c>
    </row>
    <row r="2634" hidden="1">
      <c r="A2634" t="n">
        <v>510</v>
      </c>
      <c r="B2634" t="inlineStr">
        <is>
          <t>Frecuencia de incidentes de riesgos</t>
        </is>
      </c>
      <c r="C2634" t="inlineStr">
        <is>
          <t>GESTIÓN DE RIESGOS</t>
        </is>
      </c>
      <c r="D2634" t="inlineStr">
        <is>
          <t>Semestral</t>
        </is>
      </c>
      <c r="E2634" t="inlineStr">
        <is>
          <t>Positivo</t>
        </is>
      </c>
      <c r="F2634" s="113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K2634" t="n">
        <v>0</v>
      </c>
      <c r="L2634" s="39" t="n"/>
      <c r="M2634" s="39" t="n"/>
      <c r="N2634" t="inlineStr">
        <is>
          <t>Linea Base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510-2025-12-31</t>
        </is>
      </c>
    </row>
    <row r="2635" hidden="1">
      <c r="A2635" t="n">
        <v>511</v>
      </c>
      <c r="B2635" t="inlineStr">
        <is>
          <t>Eficacia de controles</t>
        </is>
      </c>
      <c r="C2635" t="inlineStr">
        <is>
          <t>GESTIÓN DE RIESGOS</t>
        </is>
      </c>
      <c r="D2635" t="inlineStr">
        <is>
          <t>Semestral</t>
        </is>
      </c>
      <c r="E2635" t="inlineStr">
        <is>
          <t>Positivo</t>
        </is>
      </c>
      <c r="F2635" s="113" t="n">
        <v>45747</v>
      </c>
      <c r="G2635" t="n">
        <v>2025</v>
      </c>
      <c r="H2635" t="inlineStr">
        <is>
          <t>Marzo</t>
        </is>
      </c>
      <c r="I2635" t="inlineStr">
        <is>
          <t>2025-1</t>
        </is>
      </c>
      <c r="K2635" t="n">
        <v>373.7099990844727</v>
      </c>
      <c r="L2635" s="39" t="n"/>
      <c r="M2635" s="39" t="n"/>
      <c r="N2635" t="inlineStr">
        <is>
          <t>Linea Base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511-2025-03-31</t>
        </is>
      </c>
    </row>
    <row r="2636" hidden="1">
      <c r="A2636" t="n">
        <v>511</v>
      </c>
      <c r="B2636" t="inlineStr">
        <is>
          <t>Eficacia de controles</t>
        </is>
      </c>
      <c r="C2636" t="inlineStr">
        <is>
          <t>GESTIÓN DE RIESGOS</t>
        </is>
      </c>
      <c r="D2636" t="inlineStr">
        <is>
          <t>Semestral</t>
        </is>
      </c>
      <c r="E2636" t="inlineStr">
        <is>
          <t>Positivo</t>
        </is>
      </c>
      <c r="F2636" s="113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K2636" t="n">
        <v>86.36</v>
      </c>
      <c r="L2636" s="39" t="n"/>
      <c r="M2636" s="39" t="n"/>
      <c r="N2636" t="inlineStr">
        <is>
          <t>Linea Base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511-2025-06-30</t>
        </is>
      </c>
    </row>
    <row r="2637" hidden="1">
      <c r="A2637" t="n">
        <v>511</v>
      </c>
      <c r="B2637" t="inlineStr">
        <is>
          <t>Eficacia de controles</t>
        </is>
      </c>
      <c r="C2637" t="inlineStr">
        <is>
          <t>GESTIÓN DE RIESGOS</t>
        </is>
      </c>
      <c r="D2637" t="inlineStr">
        <is>
          <t>Semestral</t>
        </is>
      </c>
      <c r="E2637" t="inlineStr">
        <is>
          <t>Positivo</t>
        </is>
      </c>
      <c r="F2637" s="113" t="n">
        <v>45930</v>
      </c>
      <c r="G2637" t="n">
        <v>2025</v>
      </c>
      <c r="H2637" t="inlineStr">
        <is>
          <t>Septiembre</t>
        </is>
      </c>
      <c r="I2637" t="inlineStr">
        <is>
          <t>2025-2</t>
        </is>
      </c>
      <c r="K2637" t="n">
        <v>86.36</v>
      </c>
      <c r="L2637" s="39" t="n"/>
      <c r="M2637" s="39" t="n"/>
      <c r="N2637" t="inlineStr">
        <is>
          <t>Linea Base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511-2025-09-30</t>
        </is>
      </c>
    </row>
    <row r="2638" hidden="1">
      <c r="A2638" t="n">
        <v>511</v>
      </c>
      <c r="B2638" t="inlineStr">
        <is>
          <t>Eficacia de controles</t>
        </is>
      </c>
      <c r="C2638" t="inlineStr">
        <is>
          <t>GESTIÓN DE RIESGOS</t>
        </is>
      </c>
      <c r="D2638" t="inlineStr">
        <is>
          <t>Semestral</t>
        </is>
      </c>
      <c r="E2638" t="inlineStr">
        <is>
          <t>Positivo</t>
        </is>
      </c>
      <c r="F2638" s="113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K2638" t="n">
        <v>84.76000000000001</v>
      </c>
      <c r="L2638" s="39" t="n"/>
      <c r="M2638" s="39" t="n"/>
      <c r="N2638" t="inlineStr">
        <is>
          <t>Linea Base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511-2025-12-31</t>
        </is>
      </c>
    </row>
    <row r="2639" hidden="1">
      <c r="A2639" t="n">
        <v>513</v>
      </c>
      <c r="B2639" t="inlineStr">
        <is>
          <t>Nivel de cumplimiento del plan de seguimiento a controles</t>
        </is>
      </c>
      <c r="C2639" t="inlineStr">
        <is>
          <t>GESTIÓN DE RIESGOS</t>
        </is>
      </c>
      <c r="D2639" t="inlineStr">
        <is>
          <t>Semestral</t>
        </is>
      </c>
      <c r="E2639" t="inlineStr">
        <is>
          <t>Positivo</t>
        </is>
      </c>
      <c r="F2639" s="113" t="n">
        <v>45747</v>
      </c>
      <c r="G2639" t="n">
        <v>2025</v>
      </c>
      <c r="H2639" t="inlineStr">
        <is>
          <t>Marzo</t>
        </is>
      </c>
      <c r="I2639" t="inlineStr">
        <is>
          <t>2025-1</t>
        </is>
      </c>
      <c r="J2639" t="n">
        <v>15</v>
      </c>
      <c r="K2639" t="n">
        <v>100</v>
      </c>
      <c r="L2639" s="39" t="n">
        <v>1.3</v>
      </c>
      <c r="M2639" s="39" t="n">
        <v>6.666666666666667</v>
      </c>
      <c r="N2639" t="inlineStr">
        <is>
          <t>Linea Base</t>
        </is>
      </c>
      <c r="O2639" t="inlineStr">
        <is>
          <t>%</t>
        </is>
      </c>
      <c r="P2639" t="n">
        <v>0</v>
      </c>
      <c r="Q2639" t="n">
        <v>0</v>
      </c>
      <c r="R2639" t="inlineStr">
        <is>
          <t>513-2025-03-31</t>
        </is>
      </c>
    </row>
    <row r="2640" hidden="1">
      <c r="A2640" t="n">
        <v>513</v>
      </c>
      <c r="B2640" t="inlineStr">
        <is>
          <t>Nivel de cumplimiento del plan de seguimiento a controles</t>
        </is>
      </c>
      <c r="C2640" t="inlineStr">
        <is>
          <t>GESTIÓN DE RIESGOS</t>
        </is>
      </c>
      <c r="D2640" t="inlineStr">
        <is>
          <t>Semestral</t>
        </is>
      </c>
      <c r="E2640" t="inlineStr">
        <is>
          <t>Positivo</t>
        </is>
      </c>
      <c r="F2640" s="113" t="n">
        <v>45838</v>
      </c>
      <c r="G2640" t="n">
        <v>2025</v>
      </c>
      <c r="H2640" t="inlineStr">
        <is>
          <t>Junio</t>
        </is>
      </c>
      <c r="I2640" t="inlineStr">
        <is>
          <t>2025-1</t>
        </is>
      </c>
      <c r="J2640" t="n">
        <v>32</v>
      </c>
      <c r="K2640" t="n">
        <v>100</v>
      </c>
      <c r="L2640" s="39" t="n">
        <v>1.3</v>
      </c>
      <c r="M2640" s="39" t="n">
        <v>3.125</v>
      </c>
      <c r="N2640" t="inlineStr">
        <is>
          <t>Linea Base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513-2025-06-30</t>
        </is>
      </c>
    </row>
    <row r="2641" hidden="1">
      <c r="A2641" t="n">
        <v>513</v>
      </c>
      <c r="B2641" t="inlineStr">
        <is>
          <t>Nivel de cumplimiento del plan de seguimiento a controles</t>
        </is>
      </c>
      <c r="C2641" t="inlineStr">
        <is>
          <t>GESTIÓN DE RIESGOS</t>
        </is>
      </c>
      <c r="D2641" t="inlineStr">
        <is>
          <t>Semestral</t>
        </is>
      </c>
      <c r="E2641" t="inlineStr">
        <is>
          <t>Positivo</t>
        </is>
      </c>
      <c r="F2641" s="113" t="n">
        <v>45930</v>
      </c>
      <c r="G2641" t="n">
        <v>2025</v>
      </c>
      <c r="H2641" t="inlineStr">
        <is>
          <t>Septiembre</t>
        </is>
      </c>
      <c r="I2641" t="inlineStr">
        <is>
          <t>2025-2</t>
        </is>
      </c>
      <c r="J2641" t="n">
        <v>0</v>
      </c>
      <c r="K2641" t="n">
        <v>0</v>
      </c>
      <c r="L2641" s="39" t="n">
        <v>1</v>
      </c>
      <c r="M2641" s="39" t="n">
        <v>1</v>
      </c>
      <c r="N2641" t="inlineStr">
        <is>
          <t>Linea Base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513-2025-09-30</t>
        </is>
      </c>
    </row>
    <row r="2642" hidden="1">
      <c r="A2642" t="n">
        <v>513</v>
      </c>
      <c r="B2642" t="inlineStr">
        <is>
          <t>Nivel de cumplimiento del plan de seguimiento a controles</t>
        </is>
      </c>
      <c r="C2642" t="inlineStr">
        <is>
          <t>GESTIÓN DE RIESGOS</t>
        </is>
      </c>
      <c r="D2642" t="inlineStr">
        <is>
          <t>Semestral</t>
        </is>
      </c>
      <c r="E2642" t="inlineStr">
        <is>
          <t>Positivo</t>
        </is>
      </c>
      <c r="F2642" s="113" t="n">
        <v>46022</v>
      </c>
      <c r="G2642" t="n">
        <v>2025</v>
      </c>
      <c r="H2642" t="inlineStr">
        <is>
          <t>Diciembre</t>
        </is>
      </c>
      <c r="I2642" t="inlineStr">
        <is>
          <t>2025-2</t>
        </is>
      </c>
      <c r="J2642" t="n">
        <v>0</v>
      </c>
      <c r="K2642" t="n">
        <v>0</v>
      </c>
      <c r="L2642" s="39" t="n">
        <v>1</v>
      </c>
      <c r="M2642" s="39" t="n">
        <v>1</v>
      </c>
      <c r="N2642" t="inlineStr">
        <is>
          <t>Linea Base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513-2025-12-31</t>
        </is>
      </c>
    </row>
    <row r="2643" hidden="1">
      <c r="A2643" t="n">
        <v>514</v>
      </c>
      <c r="B2643" t="inlineStr">
        <is>
          <t>Respuesta ante nuevas necesidades de control</t>
        </is>
      </c>
      <c r="C2643" t="inlineStr">
        <is>
          <t>GESTIÓN DE RIESGOS</t>
        </is>
      </c>
      <c r="D2643" t="inlineStr">
        <is>
          <t>Trimestral</t>
        </is>
      </c>
      <c r="E2643" t="inlineStr">
        <is>
          <t>Positivo</t>
        </is>
      </c>
      <c r="F2643" s="113" t="n">
        <v>45838</v>
      </c>
      <c r="G2643" t="n">
        <v>2025</v>
      </c>
      <c r="H2643" t="inlineStr">
        <is>
          <t>Junio</t>
        </is>
      </c>
      <c r="I2643" t="inlineStr">
        <is>
          <t>2025-1</t>
        </is>
      </c>
      <c r="J2643" t="n">
        <v>70</v>
      </c>
      <c r="K2643" t="n">
        <v>91.81999999999999</v>
      </c>
      <c r="L2643" s="39" t="n">
        <v>1.3</v>
      </c>
      <c r="M2643" s="39" t="n">
        <v>1.311714285714286</v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514-2025-06-30</t>
        </is>
      </c>
    </row>
    <row r="2644" hidden="1">
      <c r="A2644" t="n">
        <v>514</v>
      </c>
      <c r="B2644" t="inlineStr">
        <is>
          <t>Respuesta ante nuevas necesidades de control</t>
        </is>
      </c>
      <c r="C2644" t="inlineStr">
        <is>
          <t>GESTIÓN DE RIESGOS</t>
        </is>
      </c>
      <c r="D2644" t="inlineStr">
        <is>
          <t>Trimestral</t>
        </is>
      </c>
      <c r="E2644" t="inlineStr">
        <is>
          <t>Positivo</t>
        </is>
      </c>
      <c r="F2644" s="113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70</v>
      </c>
      <c r="K2644" t="n">
        <v>45.96</v>
      </c>
      <c r="L2644" s="39" t="n">
        <v>0.6565714285714286</v>
      </c>
      <c r="M2644" s="39" t="n">
        <v>0.6565714285714286</v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514-2025-12-31</t>
        </is>
      </c>
    </row>
    <row r="2645" hidden="1">
      <c r="A2645" t="n">
        <v>515</v>
      </c>
      <c r="B2645" t="inlineStr">
        <is>
          <t>Porcentaje de procesos de control implementados</t>
        </is>
      </c>
      <c r="C2645" t="inlineStr">
        <is>
          <t>GESTIÓN DE LA TECNOLOGÍA E INNOVACIÓN DIGITAL</t>
        </is>
      </c>
      <c r="D2645" t="inlineStr">
        <is>
          <t>Trimestral</t>
        </is>
      </c>
      <c r="E2645" t="inlineStr">
        <is>
          <t>Positivo</t>
        </is>
      </c>
      <c r="F2645" s="113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J2645" t="n">
        <v>3</v>
      </c>
      <c r="K2645" t="n">
        <v>66.67</v>
      </c>
      <c r="L2645" s="39" t="n">
        <v>1.3</v>
      </c>
      <c r="M2645" s="39" t="n">
        <v>22.22333333333333</v>
      </c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515-2025-12-31</t>
        </is>
      </c>
    </row>
    <row r="2646" hidden="1">
      <c r="A2646" t="n">
        <v>516</v>
      </c>
      <c r="B2646" t="inlineStr">
        <is>
          <t>Porcentaje de colaboradores formados en ciberseguridad</t>
        </is>
      </c>
      <c r="C2646" t="inlineStr">
        <is>
          <t>GESTIÓN DE LA TECNOLOGÍA E INNOVACIÓN DIGITAL</t>
        </is>
      </c>
      <c r="D2646" t="inlineStr">
        <is>
          <t>Trimestral</t>
        </is>
      </c>
      <c r="E2646" t="inlineStr">
        <is>
          <t>Positivo</t>
        </is>
      </c>
      <c r="F2646" s="113" t="n">
        <v>46022</v>
      </c>
      <c r="G2646" t="n">
        <v>2025</v>
      </c>
      <c r="H2646" t="inlineStr">
        <is>
          <t>Diciembre</t>
        </is>
      </c>
      <c r="I2646" t="inlineStr">
        <is>
          <t>2025-2</t>
        </is>
      </c>
      <c r="J2646" t="n">
        <v>95</v>
      </c>
      <c r="K2646" t="n">
        <v>315.79</v>
      </c>
      <c r="L2646" s="39" t="n">
        <v>1.3</v>
      </c>
      <c r="M2646" s="39" t="n">
        <v>3.324105263157895</v>
      </c>
      <c r="N2646" t="inlineStr">
        <is>
          <t>%</t>
        </is>
      </c>
      <c r="O2646" t="inlineStr">
        <is>
          <t>%</t>
        </is>
      </c>
      <c r="P2646" t="n">
        <v>0</v>
      </c>
      <c r="Q2646" t="n">
        <v>0</v>
      </c>
      <c r="R2646" t="inlineStr">
        <is>
          <t>516-2025-12-31</t>
        </is>
      </c>
    </row>
    <row r="2647" hidden="1">
      <c r="A2647" t="n">
        <v>518</v>
      </c>
      <c r="B2647" t="inlineStr">
        <is>
          <t>Cumplimiento programa de auditoría</t>
        </is>
      </c>
      <c r="C2647" t="inlineStr">
        <is>
          <t>AUDITORÍA INTERNA</t>
        </is>
      </c>
      <c r="D2647" t="inlineStr">
        <is>
          <t>Bimestral</t>
        </is>
      </c>
      <c r="E2647" t="inlineStr">
        <is>
          <t>Positivo</t>
        </is>
      </c>
      <c r="F2647" s="113" t="n">
        <v>45747</v>
      </c>
      <c r="G2647" t="n">
        <v>2025</v>
      </c>
      <c r="H2647" t="inlineStr">
        <is>
          <t>Marzo</t>
        </is>
      </c>
      <c r="I2647" t="inlineStr">
        <is>
          <t>2025-1</t>
        </is>
      </c>
      <c r="J2647" t="n">
        <v>100</v>
      </c>
      <c r="K2647" t="n">
        <v>83.333333333333</v>
      </c>
      <c r="L2647" s="39" t="n">
        <v>0.83333333333333</v>
      </c>
      <c r="M2647" s="39" t="n">
        <v>0.83333333333333</v>
      </c>
      <c r="N2647" t="inlineStr">
        <is>
          <t>%</t>
        </is>
      </c>
      <c r="O2647" t="inlineStr">
        <is>
          <t>%</t>
        </is>
      </c>
      <c r="P2647" t="n">
        <v>0</v>
      </c>
      <c r="Q2647" t="n">
        <v>0</v>
      </c>
      <c r="R2647" t="inlineStr">
        <is>
          <t>518-2025-03-31</t>
        </is>
      </c>
    </row>
    <row r="2648" hidden="1">
      <c r="A2648" t="n">
        <v>518</v>
      </c>
      <c r="B2648" t="inlineStr">
        <is>
          <t>Cumplimiento programa de auditoría</t>
        </is>
      </c>
      <c r="C2648" t="inlineStr">
        <is>
          <t>AUDITORÍA INTERNA</t>
        </is>
      </c>
      <c r="D2648" t="inlineStr">
        <is>
          <t>Bimestral</t>
        </is>
      </c>
      <c r="E2648" t="inlineStr">
        <is>
          <t>Positivo</t>
        </is>
      </c>
      <c r="F2648" s="113" t="n">
        <v>45838</v>
      </c>
      <c r="G2648" t="n">
        <v>2025</v>
      </c>
      <c r="H2648" t="inlineStr">
        <is>
          <t>Junio</t>
        </is>
      </c>
      <c r="I2648" t="inlineStr">
        <is>
          <t>2025-1</t>
        </is>
      </c>
      <c r="J2648" t="n">
        <v>100</v>
      </c>
      <c r="K2648" t="n">
        <v>87.5</v>
      </c>
      <c r="L2648" s="39" t="n">
        <v>0.875</v>
      </c>
      <c r="M2648" s="39" t="n">
        <v>0.875</v>
      </c>
      <c r="N2648" t="inlineStr">
        <is>
          <t>%</t>
        </is>
      </c>
      <c r="O2648" t="inlineStr">
        <is>
          <t>%</t>
        </is>
      </c>
      <c r="P2648" t="n">
        <v>0</v>
      </c>
      <c r="Q2648" t="n">
        <v>0</v>
      </c>
      <c r="R2648" t="inlineStr">
        <is>
          <t>518-2025-06-30</t>
        </is>
      </c>
    </row>
    <row r="2649" hidden="1">
      <c r="A2649" t="n">
        <v>518</v>
      </c>
      <c r="B2649" t="inlineStr">
        <is>
          <t>Cumplimiento programa de auditoría</t>
        </is>
      </c>
      <c r="C2649" t="inlineStr">
        <is>
          <t>AUDITORÍA INTERNA</t>
        </is>
      </c>
      <c r="D2649" t="inlineStr">
        <is>
          <t>Semestral</t>
        </is>
      </c>
      <c r="E2649" t="inlineStr">
        <is>
          <t>Positivo</t>
        </is>
      </c>
      <c r="F2649" s="113" t="n">
        <v>45930</v>
      </c>
      <c r="G2649" t="n">
        <v>2025</v>
      </c>
      <c r="H2649" t="inlineStr">
        <is>
          <t>Septiembre</t>
        </is>
      </c>
      <c r="I2649" t="inlineStr">
        <is>
          <t>2025-2</t>
        </is>
      </c>
      <c r="J2649" t="n">
        <v>100</v>
      </c>
      <c r="K2649" t="n">
        <v>120</v>
      </c>
      <c r="L2649" s="39" t="n">
        <v>1.2</v>
      </c>
      <c r="M2649" s="39" t="n">
        <v>1.2</v>
      </c>
      <c r="N2649" t="inlineStr">
        <is>
          <t>%</t>
        </is>
      </c>
      <c r="O2649" t="inlineStr">
        <is>
          <t>%</t>
        </is>
      </c>
      <c r="P2649" t="n">
        <v>0</v>
      </c>
      <c r="Q2649" t="n">
        <v>0</v>
      </c>
      <c r="R2649" t="inlineStr">
        <is>
          <t>518-2025-09-30</t>
        </is>
      </c>
    </row>
    <row r="2650" hidden="1">
      <c r="A2650" t="n">
        <v>518</v>
      </c>
      <c r="B2650" t="inlineStr">
        <is>
          <t>Cumplimiento programa de auditoría</t>
        </is>
      </c>
      <c r="C2650" t="inlineStr">
        <is>
          <t>AUDITORÍA INTERNA</t>
        </is>
      </c>
      <c r="D2650" t="inlineStr">
        <is>
          <t>Semestral</t>
        </is>
      </c>
      <c r="E2650" t="inlineStr">
        <is>
          <t>Positivo</t>
        </is>
      </c>
      <c r="F2650" s="113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J2650" t="n">
        <v>100</v>
      </c>
      <c r="K2650" t="n">
        <v>137.5</v>
      </c>
      <c r="L2650" s="39" t="n">
        <v>1.3</v>
      </c>
      <c r="M2650" s="39" t="n">
        <v>1.375</v>
      </c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518-2025-12-31</t>
        </is>
      </c>
    </row>
    <row r="2651" hidden="1">
      <c r="A2651" t="n">
        <v>519</v>
      </c>
      <c r="B2651" t="inlineStr">
        <is>
          <t>% de publicaciones con sentimiento neutro o negativo</t>
        </is>
      </c>
      <c r="C2651" t="inlineStr">
        <is>
          <t>Comunicaciones Externas</t>
        </is>
      </c>
      <c r="D2651" t="inlineStr">
        <is>
          <t>Trimestral</t>
        </is>
      </c>
      <c r="E2651" t="inlineStr">
        <is>
          <t>Positivo</t>
        </is>
      </c>
      <c r="F2651" s="113" t="n">
        <v>45838</v>
      </c>
      <c r="G2651" t="n">
        <v>2025</v>
      </c>
      <c r="H2651" t="inlineStr">
        <is>
          <t>Junio</t>
        </is>
      </c>
      <c r="I2651" t="inlineStr">
        <is>
          <t>2025-1</t>
        </is>
      </c>
      <c r="J2651" t="n">
        <v>100</v>
      </c>
      <c r="K2651" t="n">
        <v>431.45</v>
      </c>
      <c r="L2651" s="39" t="n">
        <v>1.3</v>
      </c>
      <c r="M2651" s="39" t="n">
        <v>4.3145</v>
      </c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519-2025-06-30</t>
        </is>
      </c>
    </row>
    <row r="2652" hidden="1">
      <c r="A2652" t="n">
        <v>519</v>
      </c>
      <c r="B2652" t="inlineStr">
        <is>
          <t>% de publicaciones con sentimiento neutro o negativo</t>
        </is>
      </c>
      <c r="C2652" t="inlineStr">
        <is>
          <t>Comunicaciones Externas</t>
        </is>
      </c>
      <c r="D2652" t="inlineStr">
        <is>
          <t>Trimestral</t>
        </is>
      </c>
      <c r="E2652" t="inlineStr">
        <is>
          <t>Positivo</t>
        </is>
      </c>
      <c r="F2652" s="113" t="n">
        <v>46022</v>
      </c>
      <c r="G2652" t="n">
        <v>2025</v>
      </c>
      <c r="H2652" t="inlineStr">
        <is>
          <t>Diciembre</t>
        </is>
      </c>
      <c r="I2652" t="inlineStr">
        <is>
          <t>2025-2</t>
        </is>
      </c>
      <c r="J2652" t="n">
        <v>100</v>
      </c>
      <c r="K2652" t="n">
        <v>131.13</v>
      </c>
      <c r="L2652" s="39" t="n">
        <v>1.3</v>
      </c>
      <c r="M2652" s="39" t="n">
        <v>1.3113</v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519-2025-12-31</t>
        </is>
      </c>
    </row>
    <row r="2653">
      <c r="A2653" t="n">
        <v>522</v>
      </c>
      <c r="B2653" t="inlineStr">
        <is>
          <t>Asignaturas o modulos con mecanismos de evaluación implementados</t>
        </is>
      </c>
      <c r="C2653" t="inlineStr">
        <is>
          <t>Gestión, Evaluación e Innovación Curricular</t>
        </is>
      </c>
      <c r="D2653" t="inlineStr">
        <is>
          <t>Anual</t>
        </is>
      </c>
      <c r="E2653" t="inlineStr">
        <is>
          <t>Positivo</t>
        </is>
      </c>
      <c r="F2653" s="113" t="n">
        <v>46022</v>
      </c>
      <c r="G2653" t="n">
        <v>2025</v>
      </c>
      <c r="H2653" t="inlineStr">
        <is>
          <t>Diciembre</t>
        </is>
      </c>
      <c r="I2653" t="inlineStr">
        <is>
          <t>2025-2</t>
        </is>
      </c>
      <c r="J2653" t="n">
        <v>20</v>
      </c>
      <c r="K2653" t="n">
        <v>100</v>
      </c>
      <c r="L2653" s="39" t="n">
        <v>1.3</v>
      </c>
      <c r="M2653" s="39" t="n">
        <v>5</v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522-2025-12-31</t>
        </is>
      </c>
    </row>
    <row r="2654">
      <c r="A2654" t="n">
        <v>523</v>
      </c>
      <c r="B2654" t="inlineStr">
        <is>
          <t>Ingresos totales de educación para la vida</t>
        </is>
      </c>
      <c r="C2654" t="inlineStr">
        <is>
          <t>Planeación Financiera</t>
        </is>
      </c>
      <c r="D2654" t="inlineStr">
        <is>
          <t>Trimestral</t>
        </is>
      </c>
      <c r="E2654" t="inlineStr">
        <is>
          <t>Positivo</t>
        </is>
      </c>
      <c r="F2654" s="113" t="n">
        <v>45838</v>
      </c>
      <c r="G2654" t="n">
        <v>2025</v>
      </c>
      <c r="H2654" t="inlineStr">
        <is>
          <t>Junio</t>
        </is>
      </c>
      <c r="I2654" t="inlineStr">
        <is>
          <t>2025-1</t>
        </is>
      </c>
      <c r="J2654" t="n">
        <v>95</v>
      </c>
      <c r="K2654" t="n">
        <v>128.41</v>
      </c>
      <c r="L2654" s="39" t="n">
        <v>1.3</v>
      </c>
      <c r="M2654" s="39" t="n">
        <v>1.351684210526316</v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523-2025-06-30</t>
        </is>
      </c>
    </row>
    <row r="2655">
      <c r="A2655" t="n">
        <v>523</v>
      </c>
      <c r="B2655" t="inlineStr">
        <is>
          <t>Ingresos totales de educación para la vida</t>
        </is>
      </c>
      <c r="C2655" t="inlineStr">
        <is>
          <t>Planeación Financiera</t>
        </is>
      </c>
      <c r="D2655" t="inlineStr">
        <is>
          <t>Trimestral</t>
        </is>
      </c>
      <c r="E2655" t="inlineStr">
        <is>
          <t>Positivo</t>
        </is>
      </c>
      <c r="F2655" s="113" t="n">
        <v>46022</v>
      </c>
      <c r="G2655" t="n">
        <v>2025</v>
      </c>
      <c r="H2655" t="inlineStr">
        <is>
          <t>Diciembre</t>
        </is>
      </c>
      <c r="I2655" t="inlineStr">
        <is>
          <t>2025-2</t>
        </is>
      </c>
      <c r="J2655" t="n">
        <v>95</v>
      </c>
      <c r="K2655" t="n">
        <v>95.76000000000001</v>
      </c>
      <c r="L2655" s="39" t="n">
        <v>1.008</v>
      </c>
      <c r="M2655" s="39" t="n">
        <v>1.008</v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523-2025-12-31</t>
        </is>
      </c>
    </row>
    <row r="2656">
      <c r="A2656" t="n">
        <v>524</v>
      </c>
      <c r="B2656" t="inlineStr">
        <is>
          <t>Total Leads por canales de captación</t>
        </is>
      </c>
      <c r="C2656" t="inlineStr">
        <is>
          <t>Mercadeo de programas académicos</t>
        </is>
      </c>
      <c r="D2656" t="inlineStr">
        <is>
          <t>Trimestral</t>
        </is>
      </c>
      <c r="E2656" t="inlineStr">
        <is>
          <t>Positivo</t>
        </is>
      </c>
      <c r="F2656" s="113" t="n">
        <v>45838</v>
      </c>
      <c r="G2656" t="n">
        <v>2025</v>
      </c>
      <c r="H2656" t="inlineStr">
        <is>
          <t>Junio</t>
        </is>
      </c>
      <c r="I2656" t="inlineStr">
        <is>
          <t>2025-1</t>
        </is>
      </c>
      <c r="J2656" t="n">
        <v>100</v>
      </c>
      <c r="K2656" t="n">
        <v>99.38</v>
      </c>
      <c r="L2656" s="39" t="n">
        <v>0.9937999999999999</v>
      </c>
      <c r="M2656" s="39" t="n">
        <v>0.9937999999999999</v>
      </c>
      <c r="N2656" t="inlineStr">
        <is>
          <t>ENT</t>
        </is>
      </c>
      <c r="O2656" t="inlineStr">
        <is>
          <t>ENT</t>
        </is>
      </c>
      <c r="P2656" t="n">
        <v>0</v>
      </c>
      <c r="Q2656" t="n">
        <v>0</v>
      </c>
      <c r="R2656" t="inlineStr">
        <is>
          <t>524-2025-06-30</t>
        </is>
      </c>
    </row>
    <row r="2657">
      <c r="A2657" t="n">
        <v>524</v>
      </c>
      <c r="B2657" t="inlineStr">
        <is>
          <t>Total Leads por canales de captación</t>
        </is>
      </c>
      <c r="C2657" t="inlineStr">
        <is>
          <t>Mercadeo de programas académicos</t>
        </is>
      </c>
      <c r="D2657" t="inlineStr">
        <is>
          <t>Trimestral</t>
        </is>
      </c>
      <c r="E2657" t="inlineStr">
        <is>
          <t>Positivo</t>
        </is>
      </c>
      <c r="F2657" s="113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100</v>
      </c>
      <c r="K2657" t="n">
        <v>106.07</v>
      </c>
      <c r="L2657" s="39" t="n">
        <v>1.0607</v>
      </c>
      <c r="M2657" s="39" t="n">
        <v>1.0607</v>
      </c>
      <c r="N2657" t="inlineStr">
        <is>
          <t>ENT</t>
        </is>
      </c>
      <c r="O2657" t="inlineStr">
        <is>
          <t>ENT</t>
        </is>
      </c>
      <c r="P2657" t="n">
        <v>0</v>
      </c>
      <c r="Q2657" t="n">
        <v>0</v>
      </c>
      <c r="R2657" t="inlineStr">
        <is>
          <t>524-2025-12-31</t>
        </is>
      </c>
    </row>
    <row r="2658">
      <c r="A2658" t="n">
        <v>526</v>
      </c>
      <c r="B2658" t="inlineStr">
        <is>
          <t>Cumplimiento Politica Polisigs</t>
        </is>
      </c>
      <c r="C2658" t="inlineStr">
        <is>
          <t>Planificación POLISIGS</t>
        </is>
      </c>
      <c r="D2658" t="inlineStr">
        <is>
          <t>Semestral</t>
        </is>
      </c>
      <c r="E2658" t="inlineStr">
        <is>
          <t>Positivo</t>
        </is>
      </c>
      <c r="F2658" s="113" t="n">
        <v>45838</v>
      </c>
      <c r="G2658" t="n">
        <v>2025</v>
      </c>
      <c r="H2658" t="inlineStr">
        <is>
          <t>Junio</t>
        </is>
      </c>
      <c r="I2658" t="inlineStr">
        <is>
          <t>2025-1</t>
        </is>
      </c>
      <c r="J2658" t="n">
        <v>95</v>
      </c>
      <c r="L2658" s="39" t="n"/>
      <c r="M2658" s="39" t="n"/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526-2025-06-30</t>
        </is>
      </c>
    </row>
    <row r="2659">
      <c r="A2659" t="n">
        <v>526</v>
      </c>
      <c r="B2659" t="inlineStr">
        <is>
          <t>Cumplimiento Politica Polisigs</t>
        </is>
      </c>
      <c r="C2659" t="inlineStr">
        <is>
          <t>Planificación POLISIGS</t>
        </is>
      </c>
      <c r="D2659" t="inlineStr">
        <is>
          <t>Semestral</t>
        </is>
      </c>
      <c r="E2659" t="inlineStr">
        <is>
          <t>Positivo</t>
        </is>
      </c>
      <c r="F2659" s="113" t="n">
        <v>45930</v>
      </c>
      <c r="G2659" t="n">
        <v>2025</v>
      </c>
      <c r="H2659" t="inlineStr">
        <is>
          <t>Septiembre</t>
        </is>
      </c>
      <c r="I2659" t="inlineStr">
        <is>
          <t>2025-2</t>
        </is>
      </c>
      <c r="J2659" t="n">
        <v>95</v>
      </c>
      <c r="K2659" t="n">
        <v>96.59999999999999</v>
      </c>
      <c r="L2659" s="39" t="n">
        <v>1.016842105263158</v>
      </c>
      <c r="M2659" s="39" t="n">
        <v>1.016842105263158</v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526-2025-09-30</t>
        </is>
      </c>
    </row>
    <row r="2660">
      <c r="A2660" t="n">
        <v>527</v>
      </c>
      <c r="B2660" t="inlineStr">
        <is>
          <t>Participación de Grupos de Interés en la construcción del nuevo plan de desarrollo (PDI)</t>
        </is>
      </c>
      <c r="C2660" t="inlineStr">
        <is>
          <t>Planeación Estratégica</t>
        </is>
      </c>
      <c r="D2660" t="inlineStr">
        <is>
          <t>Anual</t>
        </is>
      </c>
      <c r="E2660" t="inlineStr">
        <is>
          <t>Positivo</t>
        </is>
      </c>
      <c r="F2660" s="113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3690</v>
      </c>
      <c r="K2660" t="n">
        <v>7304</v>
      </c>
      <c r="L2660" s="39" t="n">
        <v>1.3</v>
      </c>
      <c r="M2660" s="39" t="n">
        <v>1.97940379403794</v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527-2025-12-31</t>
        </is>
      </c>
    </row>
    <row r="2661">
      <c r="A2661" t="n">
        <v>528</v>
      </c>
      <c r="B2661" t="inlineStr">
        <is>
          <t>Participación de la comunidad en la Rendición de Cuentas</t>
        </is>
      </c>
      <c r="C2661" t="inlineStr">
        <is>
          <t>Planeación Estratégica</t>
        </is>
      </c>
      <c r="D2661" t="inlineStr">
        <is>
          <t>Anual</t>
        </is>
      </c>
      <c r="E2661" t="inlineStr">
        <is>
          <t>Positivo</t>
        </is>
      </c>
      <c r="F2661" s="113" t="n">
        <v>45838</v>
      </c>
      <c r="G2661" t="n">
        <v>2025</v>
      </c>
      <c r="H2661" t="inlineStr">
        <is>
          <t>Junio</t>
        </is>
      </c>
      <c r="I2661" t="inlineStr">
        <is>
          <t>2025-1</t>
        </is>
      </c>
      <c r="J2661" t="n">
        <v>100</v>
      </c>
      <c r="K2661" t="n">
        <v>173.92055267703</v>
      </c>
      <c r="L2661" s="39" t="n">
        <v>1.3</v>
      </c>
      <c r="M2661" s="39" t="n">
        <v>1.7392055267703</v>
      </c>
      <c r="N2661" t="inlineStr">
        <is>
          <t>ENT</t>
        </is>
      </c>
      <c r="O2661" t="inlineStr">
        <is>
          <t>ENT</t>
        </is>
      </c>
      <c r="P2661" t="n">
        <v>0</v>
      </c>
      <c r="Q2661" t="n">
        <v>0</v>
      </c>
      <c r="R2661" t="inlineStr">
        <is>
          <t>528-2025-06-30</t>
        </is>
      </c>
    </row>
    <row r="2662">
      <c r="A2662" t="n">
        <v>528</v>
      </c>
      <c r="B2662" t="inlineStr">
        <is>
          <t>Participación de la comunidad en la Rendición de Cuentas</t>
        </is>
      </c>
      <c r="C2662" t="inlineStr">
        <is>
          <t>Planeación Estratégica</t>
        </is>
      </c>
      <c r="D2662" t="inlineStr">
        <is>
          <t>Anual</t>
        </is>
      </c>
      <c r="E2662" t="inlineStr">
        <is>
          <t>Positivo</t>
        </is>
      </c>
      <c r="F2662" s="113" t="n">
        <v>46022</v>
      </c>
      <c r="G2662" t="n">
        <v>2025</v>
      </c>
      <c r="H2662" t="inlineStr">
        <is>
          <t>Diciembre</t>
        </is>
      </c>
      <c r="I2662" t="inlineStr">
        <is>
          <t>2025-2</t>
        </is>
      </c>
      <c r="J2662" t="n">
        <v>100</v>
      </c>
      <c r="K2662" t="n">
        <v>2014</v>
      </c>
      <c r="L2662" s="39" t="n">
        <v>1.3</v>
      </c>
      <c r="M2662" s="39" t="n">
        <v>20.14</v>
      </c>
      <c r="N2662" t="inlineStr">
        <is>
          <t>ENT</t>
        </is>
      </c>
      <c r="O2662" t="inlineStr">
        <is>
          <t>ENT</t>
        </is>
      </c>
      <c r="P2662" t="n">
        <v>0</v>
      </c>
      <c r="Q2662" t="n">
        <v>0</v>
      </c>
      <c r="R2662" t="inlineStr">
        <is>
          <t>528-2025-12-31</t>
        </is>
      </c>
    </row>
    <row r="2663">
      <c r="A2663" t="n">
        <v>529</v>
      </c>
      <c r="B2663" t="inlineStr">
        <is>
          <t>Oportunidad en la solución de solicitudes de infraestructura</t>
        </is>
      </c>
      <c r="C2663" t="inlineStr">
        <is>
          <t>Gestión Infraestructura Física</t>
        </is>
      </c>
      <c r="D2663" t="inlineStr">
        <is>
          <t>Semestral</t>
        </is>
      </c>
      <c r="E2663" t="inlineStr">
        <is>
          <t>Positivo</t>
        </is>
      </c>
      <c r="F2663" s="113" t="n">
        <v>45838</v>
      </c>
      <c r="G2663" t="n">
        <v>2025</v>
      </c>
      <c r="H2663" t="inlineStr">
        <is>
          <t>Junio</t>
        </is>
      </c>
      <c r="I2663" t="inlineStr">
        <is>
          <t>2025-1</t>
        </is>
      </c>
      <c r="L2663" s="39" t="n"/>
      <c r="M2663" s="39" t="n"/>
      <c r="N2663" t="inlineStr">
        <is>
          <t>%</t>
        </is>
      </c>
      <c r="O2663" t="inlineStr">
        <is>
          <t>No Aplica</t>
        </is>
      </c>
      <c r="P2663" t="n">
        <v>0</v>
      </c>
      <c r="Q2663" t="n">
        <v>0</v>
      </c>
      <c r="R2663" t="inlineStr">
        <is>
          <t>529-2025-06-30</t>
        </is>
      </c>
      <c r="S2663" t="inlineStr">
        <is>
          <t>No Aplica</t>
        </is>
      </c>
    </row>
    <row r="2664">
      <c r="A2664" t="n">
        <v>529</v>
      </c>
      <c r="B2664" t="inlineStr">
        <is>
          <t>Oportunidad en la solución de solicitudes de infraestructura</t>
        </is>
      </c>
      <c r="C2664" t="inlineStr">
        <is>
          <t>Gestión Infraestructura Física</t>
        </is>
      </c>
      <c r="D2664" t="inlineStr">
        <is>
          <t>Semestral</t>
        </is>
      </c>
      <c r="E2664" t="inlineStr">
        <is>
          <t>Positivo</t>
        </is>
      </c>
      <c r="F2664" s="113" t="n">
        <v>45930</v>
      </c>
      <c r="G2664" t="n">
        <v>2025</v>
      </c>
      <c r="H2664" t="inlineStr">
        <is>
          <t>Septiembre</t>
        </is>
      </c>
      <c r="I2664" t="inlineStr">
        <is>
          <t>2025-2</t>
        </is>
      </c>
      <c r="J2664" t="n">
        <v>90</v>
      </c>
      <c r="K2664" t="n">
        <v>196.19</v>
      </c>
      <c r="L2664" s="39" t="n">
        <v>1.3</v>
      </c>
      <c r="M2664" s="39" t="n">
        <v>2.179888888888889</v>
      </c>
      <c r="N2664" t="inlineStr">
        <is>
          <t>%</t>
        </is>
      </c>
      <c r="O2664" t="inlineStr">
        <is>
          <t>%</t>
        </is>
      </c>
      <c r="P2664" t="n">
        <v>0</v>
      </c>
      <c r="Q2664" t="n">
        <v>0</v>
      </c>
      <c r="R2664" t="inlineStr">
        <is>
          <t>529-2025-09-30</t>
        </is>
      </c>
    </row>
    <row r="2665">
      <c r="A2665" t="n">
        <v>529</v>
      </c>
      <c r="B2665" t="inlineStr">
        <is>
          <t>Oportunidad en la solución de solicitudes de infraestructura</t>
        </is>
      </c>
      <c r="C2665" t="inlineStr">
        <is>
          <t>Gestión Infraestructura Física</t>
        </is>
      </c>
      <c r="D2665" t="inlineStr">
        <is>
          <t>Semestral</t>
        </is>
      </c>
      <c r="E2665" t="inlineStr">
        <is>
          <t>Positivo</t>
        </is>
      </c>
      <c r="F2665" s="113" t="n">
        <v>46022</v>
      </c>
      <c r="G2665" t="n">
        <v>2025</v>
      </c>
      <c r="H2665" t="inlineStr">
        <is>
          <t>Diciembre</t>
        </is>
      </c>
      <c r="I2665" t="inlineStr">
        <is>
          <t>2025-2</t>
        </is>
      </c>
      <c r="J2665" t="n">
        <v>90</v>
      </c>
      <c r="K2665" t="n">
        <v>97.97</v>
      </c>
      <c r="L2665" s="39" t="n">
        <v>1.088555555555555</v>
      </c>
      <c r="M2665" s="39" t="n">
        <v>1.088555555555555</v>
      </c>
      <c r="N2665" t="inlineStr">
        <is>
          <t>%</t>
        </is>
      </c>
      <c r="O2665" t="inlineStr">
        <is>
          <t>%</t>
        </is>
      </c>
      <c r="P2665" t="n">
        <v>0</v>
      </c>
      <c r="Q2665" t="n">
        <v>0</v>
      </c>
      <c r="R2665" t="inlineStr">
        <is>
          <t>529-2025-12-31</t>
        </is>
      </c>
    </row>
    <row r="2666">
      <c r="A2666" t="n">
        <v>529</v>
      </c>
      <c r="B2666" t="inlineStr">
        <is>
          <t>Oportunidad en la solución de solicitudes de infraestructura</t>
        </is>
      </c>
      <c r="C2666" t="inlineStr">
        <is>
          <t>Gestión Infraestructura Física</t>
        </is>
      </c>
      <c r="D2666" t="inlineStr">
        <is>
          <t>Semestral</t>
        </is>
      </c>
      <c r="E2666" t="inlineStr">
        <is>
          <t>Positivo</t>
        </is>
      </c>
      <c r="F2666" s="113" t="n">
        <v>46112</v>
      </c>
      <c r="G2666" t="n">
        <v>2026</v>
      </c>
      <c r="H2666" t="inlineStr">
        <is>
          <t>Marzo</t>
        </is>
      </c>
      <c r="I2666" t="inlineStr">
        <is>
          <t>2026-1</t>
        </is>
      </c>
      <c r="K2666" t="n">
        <v>100</v>
      </c>
      <c r="L2666" s="39" t="n"/>
      <c r="M2666" s="39" t="n"/>
      <c r="N2666" t="inlineStr">
        <is>
          <t>%</t>
        </is>
      </c>
      <c r="O2666" t="inlineStr">
        <is>
          <t>%</t>
        </is>
      </c>
      <c r="P2666" t="n">
        <v>0</v>
      </c>
      <c r="Q2666" t="n">
        <v>0</v>
      </c>
      <c r="R2666" t="inlineStr">
        <is>
          <t>529-2026-03-31</t>
        </is>
      </c>
    </row>
    <row r="2667">
      <c r="A2667" t="n">
        <v>530</v>
      </c>
      <c r="B2667" t="inlineStr">
        <is>
          <t>Índice de Cumplimiento del Sprint</t>
        </is>
      </c>
      <c r="C2667" t="inlineStr">
        <is>
          <t>GESTIÓN DE LA TECNOLOGÍA E INNOVACIÓN DIGITAL</t>
        </is>
      </c>
      <c r="D2667" t="inlineStr">
        <is>
          <t>Trimestral</t>
        </is>
      </c>
      <c r="E2667" t="inlineStr">
        <is>
          <t>Positivo</t>
        </is>
      </c>
      <c r="F2667" s="113" t="n">
        <v>46022</v>
      </c>
      <c r="G2667" t="n">
        <v>2025</v>
      </c>
      <c r="H2667" t="inlineStr">
        <is>
          <t>Diciembre</t>
        </is>
      </c>
      <c r="I2667" t="inlineStr">
        <is>
          <t>2025-2</t>
        </is>
      </c>
      <c r="J2667" t="n">
        <v>97</v>
      </c>
      <c r="K2667" t="n">
        <v>85.56</v>
      </c>
      <c r="L2667" s="39" t="n">
        <v>0.8820618556701031</v>
      </c>
      <c r="M2667" s="39" t="n">
        <v>0.8820618556701031</v>
      </c>
      <c r="N2667" t="inlineStr">
        <is>
          <t>%</t>
        </is>
      </c>
      <c r="O2667" t="inlineStr">
        <is>
          <t>%</t>
        </is>
      </c>
      <c r="P2667" t="n">
        <v>0</v>
      </c>
      <c r="Q2667" t="n">
        <v>0</v>
      </c>
      <c r="R2667" t="inlineStr">
        <is>
          <t>530-2025-12-31</t>
        </is>
      </c>
    </row>
    <row r="2668">
      <c r="A2668" t="n">
        <v>531</v>
      </c>
      <c r="B2668" t="inlineStr">
        <is>
          <t>Eficiencia de capacidad instalada</t>
        </is>
      </c>
      <c r="C2668" t="inlineStr">
        <is>
          <t>GESTIÓN DE LA TECNOLOGÍA E INNOVACIÓN DIGITAL</t>
        </is>
      </c>
      <c r="D2668" t="inlineStr">
        <is>
          <t>Trimestral</t>
        </is>
      </c>
      <c r="E2668" t="inlineStr">
        <is>
          <t>Positivo</t>
        </is>
      </c>
      <c r="F2668" s="113" t="n">
        <v>46022</v>
      </c>
      <c r="G2668" t="n">
        <v>2025</v>
      </c>
      <c r="H2668" t="inlineStr">
        <is>
          <t>Diciembre</t>
        </is>
      </c>
      <c r="I2668" t="inlineStr">
        <is>
          <t>2025-2</t>
        </is>
      </c>
      <c r="J2668" t="n">
        <v>90</v>
      </c>
      <c r="K2668" t="n">
        <v>93.94</v>
      </c>
      <c r="L2668" s="39" t="n">
        <v>1.043777777777778</v>
      </c>
      <c r="M2668" s="39" t="n">
        <v>1.043777777777778</v>
      </c>
      <c r="N2668" t="inlineStr">
        <is>
          <t>%</t>
        </is>
      </c>
      <c r="O2668" t="inlineStr">
        <is>
          <t>%</t>
        </is>
      </c>
      <c r="P2668" t="n">
        <v>0</v>
      </c>
      <c r="Q2668" t="n">
        <v>0</v>
      </c>
      <c r="R2668" t="inlineStr">
        <is>
          <t>531-2025-12-31</t>
        </is>
      </c>
    </row>
    <row r="2669">
      <c r="A2669" t="n">
        <v>532</v>
      </c>
      <c r="B2669" t="inlineStr">
        <is>
          <t>Actividades de Cooperación en Internacionalización</t>
        </is>
      </c>
      <c r="C2669" t="inlineStr">
        <is>
          <t>VISIBILIDAD NACIONAL E INTERNACIONAL</t>
        </is>
      </c>
      <c r="D2669" t="inlineStr">
        <is>
          <t>Trimestral</t>
        </is>
      </c>
      <c r="E2669" t="inlineStr">
        <is>
          <t>Positivo</t>
        </is>
      </c>
      <c r="F2669" s="113" t="n">
        <v>45838</v>
      </c>
      <c r="G2669" t="n">
        <v>2025</v>
      </c>
      <c r="H2669" t="inlineStr">
        <is>
          <t>Junio</t>
        </is>
      </c>
      <c r="I2669" t="inlineStr">
        <is>
          <t>2025-1</t>
        </is>
      </c>
      <c r="J2669" t="n">
        <v>100</v>
      </c>
      <c r="K2669" t="n">
        <v>133.15</v>
      </c>
      <c r="L2669" s="39" t="n">
        <v>1.3</v>
      </c>
      <c r="M2669" s="39" t="n">
        <v>1.3315</v>
      </c>
      <c r="N2669" t="inlineStr">
        <is>
          <t>%</t>
        </is>
      </c>
      <c r="O2669" t="inlineStr">
        <is>
          <t>%</t>
        </is>
      </c>
      <c r="P2669" t="n">
        <v>0</v>
      </c>
      <c r="Q2669" t="n">
        <v>0</v>
      </c>
      <c r="R2669" t="inlineStr">
        <is>
          <t>532-2025-06-30</t>
        </is>
      </c>
    </row>
    <row r="2670">
      <c r="A2670" t="n">
        <v>532</v>
      </c>
      <c r="B2670" t="inlineStr">
        <is>
          <t>Actividades de Cooperación en Internacionalización</t>
        </is>
      </c>
      <c r="C2670" t="inlineStr">
        <is>
          <t>VISIBILIDAD NACIONAL E INTERNACIONAL</t>
        </is>
      </c>
      <c r="D2670" t="inlineStr">
        <is>
          <t>Trimestral</t>
        </is>
      </c>
      <c r="E2670" t="inlineStr">
        <is>
          <t>Positivo</t>
        </is>
      </c>
      <c r="F2670" s="113" t="n">
        <v>46022</v>
      </c>
      <c r="G2670" t="n">
        <v>2025</v>
      </c>
      <c r="H2670" t="inlineStr">
        <is>
          <t>Diciembre</t>
        </is>
      </c>
      <c r="I2670" t="inlineStr">
        <is>
          <t>2025-2</t>
        </is>
      </c>
      <c r="J2670" t="n">
        <v>100</v>
      </c>
      <c r="K2670" t="n">
        <v>134.78</v>
      </c>
      <c r="L2670" s="39" t="n">
        <v>1.3</v>
      </c>
      <c r="M2670" s="39" t="n">
        <v>1.3478</v>
      </c>
      <c r="N2670" t="inlineStr">
        <is>
          <t>%</t>
        </is>
      </c>
      <c r="O2670" t="inlineStr">
        <is>
          <t>%</t>
        </is>
      </c>
      <c r="P2670" t="n">
        <v>0</v>
      </c>
      <c r="Q2670" t="n">
        <v>0</v>
      </c>
      <c r="R2670" t="inlineStr">
        <is>
          <t>532-2025-12-31</t>
        </is>
      </c>
    </row>
    <row r="2671">
      <c r="A2671" t="n">
        <v>533</v>
      </c>
      <c r="B2671" t="inlineStr">
        <is>
          <t>Participación de estudiantes externos invitados a actividades de cooperación nacional e internacional</t>
        </is>
      </c>
      <c r="C2671" t="inlineStr">
        <is>
          <t>VISIBILIDAD NACIONAL E INTERNACIONAL</t>
        </is>
      </c>
      <c r="D2671" t="inlineStr">
        <is>
          <t>Trimestral</t>
        </is>
      </c>
      <c r="E2671" t="inlineStr">
        <is>
          <t>Positivo</t>
        </is>
      </c>
      <c r="F2671" s="113" t="n">
        <v>45838</v>
      </c>
      <c r="G2671" t="n">
        <v>2025</v>
      </c>
      <c r="H2671" t="inlineStr">
        <is>
          <t>Junio</t>
        </is>
      </c>
      <c r="I2671" t="inlineStr">
        <is>
          <t>2025-1</t>
        </is>
      </c>
      <c r="J2671" t="n">
        <v>100</v>
      </c>
      <c r="K2671" t="n">
        <v>124.89</v>
      </c>
      <c r="L2671" s="39" t="n">
        <v>1.2489</v>
      </c>
      <c r="M2671" s="39" t="n">
        <v>1.2489</v>
      </c>
      <c r="N2671" t="inlineStr">
        <is>
          <t>%</t>
        </is>
      </c>
      <c r="O2671" t="inlineStr">
        <is>
          <t>%</t>
        </is>
      </c>
      <c r="P2671" t="n">
        <v>0</v>
      </c>
      <c r="Q2671" t="n">
        <v>0</v>
      </c>
      <c r="R2671" t="inlineStr">
        <is>
          <t>533-2025-06-30</t>
        </is>
      </c>
    </row>
    <row r="2672">
      <c r="A2672" t="n">
        <v>533</v>
      </c>
      <c r="B2672" t="inlineStr">
        <is>
          <t>Participación de estudiantes externos invitados a actividades de cooperación nacional e internacional</t>
        </is>
      </c>
      <c r="C2672" t="inlineStr">
        <is>
          <t>VISIBILIDAD NACIONAL E INTERNACIONAL</t>
        </is>
      </c>
      <c r="D2672" t="inlineStr">
        <is>
          <t>Trimestral</t>
        </is>
      </c>
      <c r="E2672" t="inlineStr">
        <is>
          <t>Positivo</t>
        </is>
      </c>
      <c r="F2672" s="113" t="n">
        <v>46022</v>
      </c>
      <c r="G2672" t="n">
        <v>2025</v>
      </c>
      <c r="H2672" t="inlineStr">
        <is>
          <t>Diciembre</t>
        </is>
      </c>
      <c r="I2672" t="inlineStr">
        <is>
          <t>2025-2</t>
        </is>
      </c>
      <c r="J2672" t="n">
        <v>100</v>
      </c>
      <c r="K2672" t="n">
        <v>177.95</v>
      </c>
      <c r="L2672" s="39" t="n">
        <v>1.3</v>
      </c>
      <c r="M2672" s="39" t="n">
        <v>1.7795</v>
      </c>
      <c r="N2672" t="inlineStr">
        <is>
          <t>%</t>
        </is>
      </c>
      <c r="O2672" t="inlineStr">
        <is>
          <t>%</t>
        </is>
      </c>
      <c r="P2672" t="n">
        <v>0</v>
      </c>
      <c r="Q2672" t="n">
        <v>0</v>
      </c>
      <c r="R2672" t="inlineStr">
        <is>
          <t>533-2025-12-31</t>
        </is>
      </c>
    </row>
    <row r="2673">
      <c r="A2673" t="n">
        <v>534</v>
      </c>
      <c r="B2673" t="inlineStr">
        <is>
          <t>Participación de estudiantes POLI en actividades de cooperación nacional e internacional</t>
        </is>
      </c>
      <c r="C2673" t="inlineStr">
        <is>
          <t>VISIBILIDAD NACIONAL E INTERNACIONAL</t>
        </is>
      </c>
      <c r="D2673" t="inlineStr">
        <is>
          <t>Trimestral</t>
        </is>
      </c>
      <c r="E2673" t="inlineStr">
        <is>
          <t>Positivo</t>
        </is>
      </c>
      <c r="F2673" s="113" t="n">
        <v>45838</v>
      </c>
      <c r="G2673" t="n">
        <v>2025</v>
      </c>
      <c r="H2673" t="inlineStr">
        <is>
          <t>Junio</t>
        </is>
      </c>
      <c r="I2673" t="inlineStr">
        <is>
          <t>2025-1</t>
        </is>
      </c>
      <c r="J2673" t="n">
        <v>100</v>
      </c>
      <c r="K2673" t="n">
        <v>134.09</v>
      </c>
      <c r="L2673" s="39" t="n">
        <v>1.3</v>
      </c>
      <c r="M2673" s="39" t="n">
        <v>1.3409</v>
      </c>
      <c r="N2673" t="inlineStr">
        <is>
          <t>%</t>
        </is>
      </c>
      <c r="O2673" t="inlineStr">
        <is>
          <t>%</t>
        </is>
      </c>
      <c r="P2673" t="n">
        <v>0</v>
      </c>
      <c r="Q2673" t="n">
        <v>0</v>
      </c>
      <c r="R2673" t="inlineStr">
        <is>
          <t>534-2025-06-30</t>
        </is>
      </c>
    </row>
    <row r="2674">
      <c r="A2674" t="n">
        <v>534</v>
      </c>
      <c r="B2674" t="inlineStr">
        <is>
          <t>Participación de estudiantes POLI en actividades de cooperación nacional e internacional</t>
        </is>
      </c>
      <c r="C2674" t="inlineStr">
        <is>
          <t>VISIBILIDAD NACIONAL E INTERNACIONAL</t>
        </is>
      </c>
      <c r="D2674" t="inlineStr">
        <is>
          <t>Trimestral</t>
        </is>
      </c>
      <c r="E2674" t="inlineStr">
        <is>
          <t>Positivo</t>
        </is>
      </c>
      <c r="F2674" s="113" t="n">
        <v>46022</v>
      </c>
      <c r="G2674" t="n">
        <v>2025</v>
      </c>
      <c r="H2674" t="inlineStr">
        <is>
          <t>Diciembre</t>
        </is>
      </c>
      <c r="I2674" t="inlineStr">
        <is>
          <t>2025-2</t>
        </is>
      </c>
      <c r="J2674" t="n">
        <v>100</v>
      </c>
      <c r="K2674" t="n">
        <v>134.53</v>
      </c>
      <c r="L2674" s="39" t="n">
        <v>1.3</v>
      </c>
      <c r="M2674" s="39" t="n">
        <v>1.3453</v>
      </c>
      <c r="N2674" t="inlineStr">
        <is>
          <t>%</t>
        </is>
      </c>
      <c r="O2674" t="inlineStr">
        <is>
          <t>%</t>
        </is>
      </c>
      <c r="P2674" t="n">
        <v>0</v>
      </c>
      <c r="Q2674" t="n">
        <v>0</v>
      </c>
      <c r="R2674" t="inlineStr">
        <is>
          <t>534-2025-12-31</t>
        </is>
      </c>
    </row>
    <row r="2675">
      <c r="A2675" t="n">
        <v>535</v>
      </c>
      <c r="B2675" t="inlineStr">
        <is>
          <t>Participación de profesores externos invitados a actividades de cooperación nacional e internacional</t>
        </is>
      </c>
      <c r="C2675" t="inlineStr">
        <is>
          <t>VISIBILIDAD NACIONAL E INTERNACIONAL</t>
        </is>
      </c>
      <c r="D2675" t="inlineStr">
        <is>
          <t>Trimestral</t>
        </is>
      </c>
      <c r="E2675" t="inlineStr">
        <is>
          <t>Positivo</t>
        </is>
      </c>
      <c r="F2675" s="113" t="n">
        <v>45838</v>
      </c>
      <c r="G2675" t="n">
        <v>2025</v>
      </c>
      <c r="H2675" t="inlineStr">
        <is>
          <t>Junio</t>
        </is>
      </c>
      <c r="I2675" t="inlineStr">
        <is>
          <t>2025-1</t>
        </is>
      </c>
      <c r="J2675" t="n">
        <v>100</v>
      </c>
      <c r="K2675" t="n">
        <v>132.67</v>
      </c>
      <c r="L2675" s="39" t="n">
        <v>1.3</v>
      </c>
      <c r="M2675" s="39" t="n">
        <v>1.3267</v>
      </c>
      <c r="N2675" t="inlineStr">
        <is>
          <t>%</t>
        </is>
      </c>
      <c r="O2675" t="inlineStr">
        <is>
          <t>%</t>
        </is>
      </c>
      <c r="P2675" t="n">
        <v>0</v>
      </c>
      <c r="Q2675" t="n">
        <v>0</v>
      </c>
      <c r="R2675" t="inlineStr">
        <is>
          <t>535-2025-06-30</t>
        </is>
      </c>
    </row>
    <row r="2676">
      <c r="A2676" t="n">
        <v>535</v>
      </c>
      <c r="B2676" t="inlineStr">
        <is>
          <t>Participación de profesores externos invitados a actividades de cooperación nacional e internacional</t>
        </is>
      </c>
      <c r="C2676" t="inlineStr">
        <is>
          <t>VISIBILIDAD NACIONAL E INTERNACIONAL</t>
        </is>
      </c>
      <c r="D2676" t="inlineStr">
        <is>
          <t>Trimestral</t>
        </is>
      </c>
      <c r="E2676" t="inlineStr">
        <is>
          <t>Positivo</t>
        </is>
      </c>
      <c r="F2676" s="113" t="n">
        <v>46022</v>
      </c>
      <c r="G2676" t="n">
        <v>2025</v>
      </c>
      <c r="H2676" t="inlineStr">
        <is>
          <t>Diciembre</t>
        </is>
      </c>
      <c r="I2676" t="inlineStr">
        <is>
          <t>2025-2</t>
        </is>
      </c>
      <c r="J2676" t="n">
        <v>100</v>
      </c>
      <c r="K2676" t="n">
        <v>209.63</v>
      </c>
      <c r="L2676" s="39" t="n">
        <v>1.3</v>
      </c>
      <c r="M2676" s="39" t="n">
        <v>2.0963</v>
      </c>
      <c r="N2676" t="inlineStr">
        <is>
          <t>%</t>
        </is>
      </c>
      <c r="O2676" t="inlineStr">
        <is>
          <t>%</t>
        </is>
      </c>
      <c r="P2676" t="n">
        <v>0</v>
      </c>
      <c r="Q2676" t="n">
        <v>0</v>
      </c>
      <c r="R2676" t="inlineStr">
        <is>
          <t>535-2025-12-31</t>
        </is>
      </c>
    </row>
    <row r="2677">
      <c r="A2677" t="n">
        <v>536</v>
      </c>
      <c r="B2677" t="inlineStr">
        <is>
          <t>Participación de profesores POLI en actividades de cooperación nacional e internacional</t>
        </is>
      </c>
      <c r="C2677" t="inlineStr">
        <is>
          <t>VISIBILIDAD NACIONAL E INTERNACIONAL</t>
        </is>
      </c>
      <c r="D2677" t="inlineStr">
        <is>
          <t>Trimestral</t>
        </is>
      </c>
      <c r="E2677" t="inlineStr">
        <is>
          <t>Positivo</t>
        </is>
      </c>
      <c r="F2677" s="113" t="n">
        <v>45838</v>
      </c>
      <c r="G2677" t="n">
        <v>2025</v>
      </c>
      <c r="H2677" t="inlineStr">
        <is>
          <t>Junio</t>
        </is>
      </c>
      <c r="I2677" t="inlineStr">
        <is>
          <t>2025-1</t>
        </is>
      </c>
      <c r="J2677" t="n">
        <v>100</v>
      </c>
      <c r="K2677" t="n">
        <v>109.33</v>
      </c>
      <c r="L2677" s="39" t="n">
        <v>1.0933</v>
      </c>
      <c r="M2677" s="39" t="n">
        <v>1.0933</v>
      </c>
      <c r="N2677" t="inlineStr">
        <is>
          <t>%</t>
        </is>
      </c>
      <c r="O2677" t="inlineStr">
        <is>
          <t>%</t>
        </is>
      </c>
      <c r="P2677" t="n">
        <v>0</v>
      </c>
      <c r="Q2677" t="n">
        <v>0</v>
      </c>
      <c r="R2677" t="inlineStr">
        <is>
          <t>536-2025-06-30</t>
        </is>
      </c>
    </row>
    <row r="2678">
      <c r="A2678" t="n">
        <v>536</v>
      </c>
      <c r="B2678" t="inlineStr">
        <is>
          <t>Participación de profesores POLI en actividades de cooperación nacional e internacional</t>
        </is>
      </c>
      <c r="C2678" t="inlineStr">
        <is>
          <t>VISIBILIDAD NACIONAL E INTERNACIONAL</t>
        </is>
      </c>
      <c r="D2678" t="inlineStr">
        <is>
          <t>Trimestral</t>
        </is>
      </c>
      <c r="E2678" t="inlineStr">
        <is>
          <t>Positivo</t>
        </is>
      </c>
      <c r="F2678" s="113" t="n">
        <v>46022</v>
      </c>
      <c r="G2678" t="n">
        <v>2025</v>
      </c>
      <c r="H2678" t="inlineStr">
        <is>
          <t>Diciembre</t>
        </is>
      </c>
      <c r="I2678" t="inlineStr">
        <is>
          <t>2025-2</t>
        </is>
      </c>
      <c r="J2678" t="n">
        <v>100</v>
      </c>
      <c r="K2678" t="n">
        <v>260.75</v>
      </c>
      <c r="L2678" s="39" t="n">
        <v>1.3</v>
      </c>
      <c r="M2678" s="39" t="n">
        <v>2.6075</v>
      </c>
      <c r="N2678" t="inlineStr">
        <is>
          <t>%</t>
        </is>
      </c>
      <c r="O2678" t="inlineStr">
        <is>
          <t>%</t>
        </is>
      </c>
      <c r="P2678" t="n">
        <v>0</v>
      </c>
      <c r="Q2678" t="n">
        <v>0</v>
      </c>
      <c r="R2678" t="inlineStr">
        <is>
          <t>536-2025-12-31</t>
        </is>
      </c>
    </row>
    <row r="2679">
      <c r="A2679" t="n">
        <v>537</v>
      </c>
      <c r="B2679" t="inlineStr">
        <is>
          <t>FCR- Resolución en primer contacto</t>
        </is>
      </c>
      <c r="C2679" t="inlineStr">
        <is>
          <t>Servicio</t>
        </is>
      </c>
      <c r="D2679" t="inlineStr">
        <is>
          <t>Trimestral</t>
        </is>
      </c>
      <c r="E2679" t="inlineStr">
        <is>
          <t>Positivo</t>
        </is>
      </c>
      <c r="F2679" s="113" t="n">
        <v>45838</v>
      </c>
      <c r="G2679" t="n">
        <v>2025</v>
      </c>
      <c r="H2679" t="inlineStr">
        <is>
          <t>Junio</t>
        </is>
      </c>
      <c r="I2679" t="inlineStr">
        <is>
          <t>2025-1</t>
        </is>
      </c>
      <c r="J2679" t="n">
        <v>65</v>
      </c>
      <c r="K2679" t="n">
        <v>58.9</v>
      </c>
      <c r="L2679" s="39" t="n">
        <v>0.9061538461538461</v>
      </c>
      <c r="M2679" s="39" t="n">
        <v>0.9061538461538461</v>
      </c>
      <c r="N2679" t="inlineStr">
        <is>
          <t>ENT</t>
        </is>
      </c>
      <c r="O2679" t="inlineStr">
        <is>
          <t>ENT</t>
        </is>
      </c>
      <c r="P2679" t="n">
        <v>0</v>
      </c>
      <c r="Q2679" t="n">
        <v>0</v>
      </c>
      <c r="R2679" t="inlineStr">
        <is>
          <t>537-2025-06-30</t>
        </is>
      </c>
    </row>
    <row r="2680">
      <c r="A2680" t="n">
        <v>537</v>
      </c>
      <c r="B2680" t="inlineStr">
        <is>
          <t>FCR- Resolución en primer contacto</t>
        </is>
      </c>
      <c r="C2680" t="inlineStr">
        <is>
          <t>Servicio</t>
        </is>
      </c>
      <c r="D2680" t="inlineStr">
        <is>
          <t>Trimestral</t>
        </is>
      </c>
      <c r="E2680" t="inlineStr">
        <is>
          <t>Positivo</t>
        </is>
      </c>
      <c r="F2680" s="113" t="n">
        <v>46022</v>
      </c>
      <c r="G2680" t="n">
        <v>2025</v>
      </c>
      <c r="H2680" t="inlineStr">
        <is>
          <t>Diciembre</t>
        </is>
      </c>
      <c r="I2680" t="inlineStr">
        <is>
          <t>2025-2</t>
        </is>
      </c>
      <c r="J2680" t="n">
        <v>65</v>
      </c>
      <c r="K2680" t="n">
        <v>64.3</v>
      </c>
      <c r="L2680" s="39" t="n">
        <v>0.9892307692307691</v>
      </c>
      <c r="M2680" s="39" t="n">
        <v>0.9892307692307691</v>
      </c>
      <c r="N2680" t="inlineStr">
        <is>
          <t>ENT</t>
        </is>
      </c>
      <c r="O2680" t="inlineStr">
        <is>
          <t>ENT</t>
        </is>
      </c>
      <c r="P2680" t="n">
        <v>0</v>
      </c>
      <c r="Q2680" t="n">
        <v>0</v>
      </c>
      <c r="R2680" t="inlineStr">
        <is>
          <t>537-2025-12-31</t>
        </is>
      </c>
    </row>
    <row r="2681">
      <c r="A2681" t="n">
        <v>538</v>
      </c>
      <c r="B2681" t="inlineStr">
        <is>
          <t>Cumplimiento de sesiones de socialización de planeación académica</t>
        </is>
      </c>
      <c r="C2681" t="inlineStr">
        <is>
          <t>Registro y Control</t>
        </is>
      </c>
      <c r="D2681" t="inlineStr">
        <is>
          <t>Trimestral</t>
        </is>
      </c>
      <c r="E2681" t="inlineStr">
        <is>
          <t>Positivo</t>
        </is>
      </c>
      <c r="F2681" s="113" t="n">
        <v>46022</v>
      </c>
      <c r="G2681" t="n">
        <v>2025</v>
      </c>
      <c r="H2681" t="inlineStr">
        <is>
          <t>Diciembre</t>
        </is>
      </c>
      <c r="I2681" t="inlineStr">
        <is>
          <t>2025-2</t>
        </is>
      </c>
      <c r="J2681" t="n">
        <v>90</v>
      </c>
      <c r="K2681" t="n">
        <v>100</v>
      </c>
      <c r="L2681" s="39" t="n">
        <v>1.111111111111111</v>
      </c>
      <c r="M2681" s="39" t="n">
        <v>1.111111111111111</v>
      </c>
      <c r="N2681" t="inlineStr">
        <is>
          <t>%</t>
        </is>
      </c>
      <c r="O2681" t="inlineStr">
        <is>
          <t>%</t>
        </is>
      </c>
      <c r="P2681" t="n">
        <v>0</v>
      </c>
      <c r="Q2681" t="n">
        <v>0</v>
      </c>
      <c r="R2681" t="inlineStr">
        <is>
          <t>538-2025-12-31</t>
        </is>
      </c>
    </row>
    <row r="2682">
      <c r="A2682" t="n">
        <v>539</v>
      </c>
      <c r="B2682" t="inlineStr">
        <is>
          <t>CES emisión de certificados</t>
        </is>
      </c>
      <c r="C2682" t="inlineStr">
        <is>
          <t>Registro y Control</t>
        </is>
      </c>
      <c r="D2682" t="inlineStr">
        <is>
          <t>Trimestral</t>
        </is>
      </c>
      <c r="E2682" t="inlineStr">
        <is>
          <t>Negativo</t>
        </is>
      </c>
      <c r="F2682" s="113" t="n">
        <v>46022</v>
      </c>
      <c r="G2682" t="n">
        <v>2025</v>
      </c>
      <c r="H2682" t="inlineStr">
        <is>
          <t>Diciembre</t>
        </is>
      </c>
      <c r="I2682" t="inlineStr">
        <is>
          <t>2025-2</t>
        </is>
      </c>
      <c r="J2682" t="n">
        <v>2.5</v>
      </c>
      <c r="K2682" t="n">
        <v>2.5</v>
      </c>
      <c r="L2682" s="39" t="n">
        <v>1</v>
      </c>
      <c r="M2682" s="39" t="n">
        <v>1</v>
      </c>
      <c r="N2682" t="inlineStr">
        <is>
          <t>%</t>
        </is>
      </c>
      <c r="O2682" t="inlineStr">
        <is>
          <t>%</t>
        </is>
      </c>
      <c r="P2682" t="n">
        <v>0</v>
      </c>
      <c r="Q2682" t="n">
        <v>0</v>
      </c>
      <c r="R2682" t="inlineStr">
        <is>
          <t>539-2025-12-31</t>
        </is>
      </c>
    </row>
    <row r="2683">
      <c r="A2683" t="n">
        <v>540</v>
      </c>
      <c r="B2683" t="inlineStr">
        <is>
          <t>Nivel de Calidad de los Datos Cargados al SNIES</t>
        </is>
      </c>
      <c r="C2683" t="inlineStr">
        <is>
          <t>DATOS Y ANALÍTICA</t>
        </is>
      </c>
      <c r="D2683" t="inlineStr">
        <is>
          <t>Trimestral</t>
        </is>
      </c>
      <c r="E2683" t="inlineStr">
        <is>
          <t>Positivo</t>
        </is>
      </c>
      <c r="F2683" s="113" t="n">
        <v>45838</v>
      </c>
      <c r="G2683" t="n">
        <v>2025</v>
      </c>
      <c r="H2683" t="inlineStr">
        <is>
          <t>Junio</t>
        </is>
      </c>
      <c r="I2683" t="inlineStr">
        <is>
          <t>2025-1</t>
        </is>
      </c>
      <c r="J2683" t="n">
        <v>97</v>
      </c>
      <c r="K2683" t="n">
        <v>97.33</v>
      </c>
      <c r="L2683" s="39" t="n">
        <v>1.00340206185567</v>
      </c>
      <c r="M2683" s="39" t="n">
        <v>1.00340206185567</v>
      </c>
      <c r="N2683" t="inlineStr">
        <is>
          <t>%</t>
        </is>
      </c>
      <c r="O2683" t="inlineStr">
        <is>
          <t>%</t>
        </is>
      </c>
      <c r="P2683" t="n">
        <v>0</v>
      </c>
      <c r="Q2683" t="n">
        <v>0</v>
      </c>
      <c r="R2683" t="inlineStr">
        <is>
          <t>540-2025-06-30</t>
        </is>
      </c>
    </row>
    <row r="2684">
      <c r="A2684" t="n">
        <v>540</v>
      </c>
      <c r="B2684" t="inlineStr">
        <is>
          <t>Nivel de Calidad de los Datos Cargados al SNIES</t>
        </is>
      </c>
      <c r="C2684" t="inlineStr">
        <is>
          <t>DATOS Y ANALÍTICA</t>
        </is>
      </c>
      <c r="D2684" t="inlineStr">
        <is>
          <t>Trimestral</t>
        </is>
      </c>
      <c r="E2684" t="inlineStr">
        <is>
          <t>Positivo</t>
        </is>
      </c>
      <c r="F2684" s="113" t="n">
        <v>46022</v>
      </c>
      <c r="G2684" t="n">
        <v>2025</v>
      </c>
      <c r="H2684" t="inlineStr">
        <is>
          <t>Diciembre</t>
        </is>
      </c>
      <c r="I2684" t="inlineStr">
        <is>
          <t>2025-2</t>
        </is>
      </c>
      <c r="J2684" t="n">
        <v>97</v>
      </c>
      <c r="K2684" t="n">
        <v>97.90000000000001</v>
      </c>
      <c r="L2684" s="39" t="n">
        <v>1.009278350515464</v>
      </c>
      <c r="M2684" s="39" t="n">
        <v>1.009278350515464</v>
      </c>
      <c r="N2684" t="inlineStr">
        <is>
          <t>%</t>
        </is>
      </c>
      <c r="O2684" t="inlineStr">
        <is>
          <t>%</t>
        </is>
      </c>
      <c r="P2684" t="n">
        <v>0</v>
      </c>
      <c r="Q2684" t="n">
        <v>0</v>
      </c>
      <c r="R2684" t="inlineStr">
        <is>
          <t>540-2025-12-31</t>
        </is>
      </c>
    </row>
    <row r="2685">
      <c r="A2685" t="n">
        <v>541</v>
      </c>
      <c r="B2685" t="inlineStr">
        <is>
          <t>Participación de graduados en actividades de empleabilidad y relacionamiento</t>
        </is>
      </c>
      <c r="C2685" t="inlineStr">
        <is>
          <t>Gestión de Graduados</t>
        </is>
      </c>
      <c r="D2685" t="inlineStr">
        <is>
          <t>Anual</t>
        </is>
      </c>
      <c r="E2685" t="inlineStr">
        <is>
          <t>Positivo</t>
        </is>
      </c>
      <c r="F2685" s="113" t="n">
        <v>46022</v>
      </c>
      <c r="G2685" t="n">
        <v>2025</v>
      </c>
      <c r="H2685" t="inlineStr">
        <is>
          <t>Diciembre</t>
        </is>
      </c>
      <c r="I2685" t="inlineStr">
        <is>
          <t>2025-2</t>
        </is>
      </c>
      <c r="J2685" t="n">
        <v>4</v>
      </c>
      <c r="K2685" t="n">
        <v>6.99</v>
      </c>
      <c r="L2685" s="39" t="n">
        <v>1.3</v>
      </c>
      <c r="M2685" s="39" t="n">
        <v>1.7475</v>
      </c>
      <c r="N2685" t="inlineStr">
        <is>
          <t>%</t>
        </is>
      </c>
      <c r="O2685" t="inlineStr">
        <is>
          <t>%</t>
        </is>
      </c>
      <c r="P2685" t="n">
        <v>0</v>
      </c>
      <c r="Q2685" t="n">
        <v>0</v>
      </c>
      <c r="R2685" t="inlineStr">
        <is>
          <t>541-2025-12-31</t>
        </is>
      </c>
    </row>
    <row r="2686">
      <c r="A2686" t="n">
        <v>542</v>
      </c>
      <c r="B2686" t="inlineStr">
        <is>
          <t>Tasa de cotización del graduado - Metrica</t>
        </is>
      </c>
      <c r="C2686" t="inlineStr">
        <is>
          <t>Gestión de Graduados</t>
        </is>
      </c>
      <c r="D2686" t="inlineStr">
        <is>
          <t>Anual</t>
        </is>
      </c>
      <c r="E2686" t="inlineStr">
        <is>
          <t>Positivo</t>
        </is>
      </c>
      <c r="F2686" s="113" t="n">
        <v>46022</v>
      </c>
      <c r="G2686" t="n">
        <v>2025</v>
      </c>
      <c r="H2686" t="inlineStr">
        <is>
          <t>Diciembre</t>
        </is>
      </c>
      <c r="I2686" t="inlineStr">
        <is>
          <t>2025-2</t>
        </is>
      </c>
      <c r="K2686" t="n">
        <v>81.23999999999999</v>
      </c>
      <c r="L2686" s="39" t="n"/>
      <c r="M2686" s="39" t="n"/>
      <c r="N2686" t="inlineStr">
        <is>
          <t>%</t>
        </is>
      </c>
      <c r="O2686" t="inlineStr">
        <is>
          <t>%</t>
        </is>
      </c>
      <c r="P2686" t="n">
        <v>0</v>
      </c>
      <c r="Q2686" t="n">
        <v>0</v>
      </c>
      <c r="R2686" t="inlineStr">
        <is>
          <t>542-2025-12-31</t>
        </is>
      </c>
      <c r="S2686" t="inlineStr">
        <is>
          <t>Metrica</t>
        </is>
      </c>
    </row>
    <row r="2687">
      <c r="A2687" t="n">
        <v>543</v>
      </c>
      <c r="B2687" t="inlineStr">
        <is>
          <t>Tasa de interacción por usuario</t>
        </is>
      </c>
      <c r="C2687" t="inlineStr">
        <is>
          <t>Editorial y Publicaciones</t>
        </is>
      </c>
      <c r="D2687" t="inlineStr">
        <is>
          <t>Trimestral</t>
        </is>
      </c>
      <c r="E2687" t="inlineStr">
        <is>
          <t>Positivo</t>
        </is>
      </c>
      <c r="F2687" s="113" t="n">
        <v>45838</v>
      </c>
      <c r="G2687" t="n">
        <v>2025</v>
      </c>
      <c r="H2687" t="inlineStr">
        <is>
          <t>Junio</t>
        </is>
      </c>
      <c r="I2687" t="inlineStr">
        <is>
          <t>2025-1</t>
        </is>
      </c>
      <c r="K2687" t="n">
        <v>7.29</v>
      </c>
      <c r="L2687" s="39" t="n"/>
      <c r="M2687" s="39" t="n"/>
      <c r="N2687" t="inlineStr">
        <is>
          <t>ENT</t>
        </is>
      </c>
      <c r="O2687" t="inlineStr">
        <is>
          <t>ENT</t>
        </is>
      </c>
      <c r="P2687" t="n">
        <v>0</v>
      </c>
      <c r="Q2687" t="n">
        <v>0</v>
      </c>
      <c r="R2687" t="inlineStr">
        <is>
          <t>543-2025-06-30</t>
        </is>
      </c>
    </row>
    <row r="2688">
      <c r="A2688" t="n">
        <v>543</v>
      </c>
      <c r="B2688" t="inlineStr">
        <is>
          <t>Tasa de interacción por usuario</t>
        </is>
      </c>
      <c r="C2688" t="inlineStr">
        <is>
          <t>Editorial y Publicaciones</t>
        </is>
      </c>
      <c r="D2688" t="inlineStr">
        <is>
          <t>Trimestral</t>
        </is>
      </c>
      <c r="E2688" t="inlineStr">
        <is>
          <t>Positivo</t>
        </is>
      </c>
      <c r="F2688" s="113" t="n">
        <v>46022</v>
      </c>
      <c r="G2688" t="n">
        <v>2025</v>
      </c>
      <c r="H2688" t="inlineStr">
        <is>
          <t>Diciembre</t>
        </is>
      </c>
      <c r="I2688" t="inlineStr">
        <is>
          <t>2025-2</t>
        </is>
      </c>
      <c r="K2688" t="n">
        <v>6.91</v>
      </c>
      <c r="L2688" s="39" t="n"/>
      <c r="M2688" s="39" t="n"/>
      <c r="N2688" t="inlineStr">
        <is>
          <t>ENT</t>
        </is>
      </c>
      <c r="O2688" t="inlineStr">
        <is>
          <t>ENT</t>
        </is>
      </c>
      <c r="P2688" t="n">
        <v>0</v>
      </c>
      <c r="Q2688" t="n">
        <v>0</v>
      </c>
      <c r="R2688" t="inlineStr">
        <is>
          <t>543-2025-12-31</t>
        </is>
      </c>
    </row>
    <row r="2689">
      <c r="A2689" t="n">
        <v>544</v>
      </c>
      <c r="B2689" t="inlineStr">
        <is>
          <t>Producción de ambientes inmersivos LEI</t>
        </is>
      </c>
      <c r="C2689" t="inlineStr">
        <is>
          <t>LEI</t>
        </is>
      </c>
      <c r="D2689" t="inlineStr">
        <is>
          <t>Trimestral</t>
        </is>
      </c>
      <c r="E2689" t="inlineStr">
        <is>
          <t>Positivo</t>
        </is>
      </c>
      <c r="F2689" s="113" t="n">
        <v>45838</v>
      </c>
      <c r="G2689" t="n">
        <v>2025</v>
      </c>
      <c r="H2689" t="inlineStr">
        <is>
          <t>Junio</t>
        </is>
      </c>
      <c r="I2689" t="inlineStr">
        <is>
          <t>2025-1</t>
        </is>
      </c>
      <c r="J2689" t="n">
        <v>100</v>
      </c>
      <c r="K2689" t="n">
        <v>250</v>
      </c>
      <c r="L2689" s="39" t="n">
        <v>1.3</v>
      </c>
      <c r="M2689" s="39" t="n">
        <v>2.5</v>
      </c>
      <c r="N2689" t="inlineStr">
        <is>
          <t>ENT</t>
        </is>
      </c>
      <c r="O2689" t="inlineStr">
        <is>
          <t>ENT</t>
        </is>
      </c>
      <c r="P2689" t="n">
        <v>0</v>
      </c>
      <c r="Q2689" t="n">
        <v>0</v>
      </c>
      <c r="R2689" t="inlineStr">
        <is>
          <t>544-2025-06-30</t>
        </is>
      </c>
    </row>
    <row r="2690">
      <c r="A2690" t="n">
        <v>544</v>
      </c>
      <c r="B2690" t="inlineStr">
        <is>
          <t>Producción de ambientes inmersivos LEI</t>
        </is>
      </c>
      <c r="C2690" t="inlineStr">
        <is>
          <t>LEI</t>
        </is>
      </c>
      <c r="D2690" t="inlineStr">
        <is>
          <t>Trimestral</t>
        </is>
      </c>
      <c r="E2690" t="inlineStr">
        <is>
          <t>Positivo</t>
        </is>
      </c>
      <c r="F2690" s="113" t="n">
        <v>46022</v>
      </c>
      <c r="G2690" t="n">
        <v>2025</v>
      </c>
      <c r="H2690" t="inlineStr">
        <is>
          <t>Diciembre</t>
        </is>
      </c>
      <c r="I2690" t="inlineStr">
        <is>
          <t>2025-2</t>
        </is>
      </c>
      <c r="J2690" t="n">
        <v>100</v>
      </c>
      <c r="K2690" t="n">
        <v>162.5</v>
      </c>
      <c r="L2690" s="39" t="n">
        <v>1.3</v>
      </c>
      <c r="M2690" s="39" t="n">
        <v>1.625</v>
      </c>
      <c r="N2690" t="inlineStr">
        <is>
          <t>ENT</t>
        </is>
      </c>
      <c r="O2690" t="inlineStr">
        <is>
          <t>ENT</t>
        </is>
      </c>
      <c r="P2690" t="n">
        <v>0</v>
      </c>
      <c r="Q2690" t="n">
        <v>0</v>
      </c>
      <c r="R2690" t="inlineStr">
        <is>
          <t>544-2025-12-31</t>
        </is>
      </c>
    </row>
    <row r="2691">
      <c r="A2691" t="n">
        <v>546</v>
      </c>
      <c r="B2691" t="inlineStr">
        <is>
          <t>Tasa de participación de graduados en instrumentos de seguimiento (M0, M1, M5)</t>
        </is>
      </c>
      <c r="C2691" t="inlineStr">
        <is>
          <t>Gestión de Graduados</t>
        </is>
      </c>
      <c r="D2691" t="inlineStr">
        <is>
          <t>Anual</t>
        </is>
      </c>
      <c r="E2691" t="inlineStr">
        <is>
          <t>Positivo</t>
        </is>
      </c>
      <c r="F2691" s="113" t="n">
        <v>46022</v>
      </c>
      <c r="G2691" t="n">
        <v>2025</v>
      </c>
      <c r="H2691" t="inlineStr">
        <is>
          <t>Diciembre</t>
        </is>
      </c>
      <c r="I2691" t="inlineStr">
        <is>
          <t>2025-2</t>
        </is>
      </c>
      <c r="J2691" t="n">
        <v>100</v>
      </c>
      <c r="K2691" t="n">
        <v>113.38</v>
      </c>
      <c r="L2691" s="39" t="n">
        <v>1.1338</v>
      </c>
      <c r="M2691" s="39" t="n">
        <v>1.1338</v>
      </c>
      <c r="N2691" t="inlineStr">
        <is>
          <t>%</t>
        </is>
      </c>
      <c r="O2691" t="inlineStr">
        <is>
          <t>%</t>
        </is>
      </c>
      <c r="P2691" t="n">
        <v>0</v>
      </c>
      <c r="Q2691" t="n">
        <v>0</v>
      </c>
      <c r="R2691" t="inlineStr">
        <is>
          <t>546-2025-12-31</t>
        </is>
      </c>
    </row>
    <row r="2692">
      <c r="A2692" t="n">
        <v>547</v>
      </c>
      <c r="B2692" t="inlineStr">
        <is>
          <t>Nivel de satisfacción del graduado con la institución</t>
        </is>
      </c>
      <c r="C2692" t="inlineStr">
        <is>
          <t>Gestión de Graduados</t>
        </is>
      </c>
      <c r="D2692" t="inlineStr">
        <is>
          <t>Anual</t>
        </is>
      </c>
      <c r="E2692" t="inlineStr">
        <is>
          <t>Positivo</t>
        </is>
      </c>
      <c r="F2692" s="113" t="n">
        <v>46022</v>
      </c>
      <c r="G2692" t="n">
        <v>2025</v>
      </c>
      <c r="H2692" t="inlineStr">
        <is>
          <t>Diciembre</t>
        </is>
      </c>
      <c r="I2692" t="inlineStr">
        <is>
          <t>2025-2</t>
        </is>
      </c>
      <c r="K2692" t="n">
        <v>92</v>
      </c>
      <c r="L2692" s="39" t="n"/>
      <c r="M2692" s="39" t="n"/>
      <c r="N2692" t="inlineStr">
        <is>
          <t>%</t>
        </is>
      </c>
      <c r="O2692" t="inlineStr">
        <is>
          <t>%</t>
        </is>
      </c>
      <c r="P2692" t="n">
        <v>0</v>
      </c>
      <c r="Q2692" t="n">
        <v>0</v>
      </c>
      <c r="R2692" t="inlineStr">
        <is>
          <t>547-2025-12-31</t>
        </is>
      </c>
    </row>
    <row r="2693">
      <c r="A2693" t="n">
        <v>550</v>
      </c>
      <c r="B2693" t="inlineStr">
        <is>
          <t>Nivel de satisfacción con las actividades de formación</t>
        </is>
      </c>
      <c r="C2693" t="inlineStr">
        <is>
          <t>Emprendimiento</t>
        </is>
      </c>
      <c r="D2693" t="inlineStr">
        <is>
          <t>Trimestral</t>
        </is>
      </c>
      <c r="E2693" t="inlineStr">
        <is>
          <t>Positivo</t>
        </is>
      </c>
      <c r="F2693" s="113" t="n">
        <v>45838</v>
      </c>
      <c r="G2693" t="n">
        <v>2025</v>
      </c>
      <c r="H2693" t="inlineStr">
        <is>
          <t>Junio</t>
        </is>
      </c>
      <c r="I2693" t="inlineStr">
        <is>
          <t>2025-1</t>
        </is>
      </c>
      <c r="J2693" t="n">
        <v>80</v>
      </c>
      <c r="K2693" t="n">
        <v>95</v>
      </c>
      <c r="L2693" s="39" t="n">
        <v>1.1875</v>
      </c>
      <c r="M2693" s="39" t="n">
        <v>1.1875</v>
      </c>
      <c r="N2693" t="inlineStr">
        <is>
          <t>%</t>
        </is>
      </c>
      <c r="O2693" t="inlineStr">
        <is>
          <t>%</t>
        </is>
      </c>
      <c r="P2693" t="n">
        <v>0</v>
      </c>
      <c r="Q2693" t="n">
        <v>0</v>
      </c>
      <c r="R2693" t="inlineStr">
        <is>
          <t>550-2025-06-30</t>
        </is>
      </c>
    </row>
    <row r="2694">
      <c r="A2694" t="n">
        <v>550</v>
      </c>
      <c r="B2694" t="inlineStr">
        <is>
          <t>Nivel de satisfacción con las actividades de formación</t>
        </is>
      </c>
      <c r="C2694" t="inlineStr">
        <is>
          <t>Emprendimiento</t>
        </is>
      </c>
      <c r="D2694" t="inlineStr">
        <is>
          <t>Trimestral</t>
        </is>
      </c>
      <c r="E2694" t="inlineStr">
        <is>
          <t>Positivo</t>
        </is>
      </c>
      <c r="F2694" s="113" t="n">
        <v>46022</v>
      </c>
      <c r="G2694" t="n">
        <v>2025</v>
      </c>
      <c r="H2694" t="inlineStr">
        <is>
          <t>Diciembre</t>
        </is>
      </c>
      <c r="I2694" t="inlineStr">
        <is>
          <t>2025-2</t>
        </is>
      </c>
      <c r="J2694" t="n">
        <v>80</v>
      </c>
      <c r="K2694" t="n">
        <v>95.5</v>
      </c>
      <c r="L2694" s="39" t="n">
        <v>1.19375</v>
      </c>
      <c r="M2694" s="39" t="n">
        <v>1.19375</v>
      </c>
      <c r="N2694" t="inlineStr">
        <is>
          <t>%</t>
        </is>
      </c>
      <c r="O2694" t="inlineStr">
        <is>
          <t>%</t>
        </is>
      </c>
      <c r="P2694" t="n">
        <v>0</v>
      </c>
      <c r="Q2694" t="n">
        <v>0</v>
      </c>
      <c r="R2694" t="inlineStr">
        <is>
          <t>550-2025-12-31</t>
        </is>
      </c>
    </row>
    <row r="2695">
      <c r="A2695" t="n">
        <v>551</v>
      </c>
      <c r="B2695" t="inlineStr">
        <is>
          <t>Evaluación del desempeño de los mentores</t>
        </is>
      </c>
      <c r="C2695" t="inlineStr">
        <is>
          <t>Emprendimiento</t>
        </is>
      </c>
      <c r="D2695" t="inlineStr">
        <is>
          <t>Trimestral</t>
        </is>
      </c>
      <c r="E2695" t="inlineStr">
        <is>
          <t>Positivo</t>
        </is>
      </c>
      <c r="F2695" s="113" t="n">
        <v>45838</v>
      </c>
      <c r="G2695" t="n">
        <v>2025</v>
      </c>
      <c r="H2695" t="inlineStr">
        <is>
          <t>Junio</t>
        </is>
      </c>
      <c r="I2695" t="inlineStr">
        <is>
          <t>2025-1</t>
        </is>
      </c>
      <c r="J2695" t="n">
        <v>4</v>
      </c>
      <c r="K2695" t="n">
        <v>5</v>
      </c>
      <c r="L2695" s="39" t="n">
        <v>1.25</v>
      </c>
      <c r="M2695" s="39" t="n">
        <v>1.25</v>
      </c>
      <c r="N2695" t="inlineStr">
        <is>
          <t>%</t>
        </is>
      </c>
      <c r="O2695" t="inlineStr">
        <is>
          <t>%</t>
        </is>
      </c>
      <c r="P2695" t="n">
        <v>0</v>
      </c>
      <c r="Q2695" t="n">
        <v>0</v>
      </c>
      <c r="R2695" t="inlineStr">
        <is>
          <t>551-2025-06-30</t>
        </is>
      </c>
    </row>
    <row r="2696">
      <c r="A2696" t="n">
        <v>551</v>
      </c>
      <c r="B2696" t="inlineStr">
        <is>
          <t>Evaluación del desempeño de los mentores</t>
        </is>
      </c>
      <c r="C2696" t="inlineStr">
        <is>
          <t>Emprendimiento</t>
        </is>
      </c>
      <c r="D2696" t="inlineStr">
        <is>
          <t>Trimestral</t>
        </is>
      </c>
      <c r="E2696" t="inlineStr">
        <is>
          <t>Positivo</t>
        </is>
      </c>
      <c r="F2696" s="113" t="n">
        <v>46022</v>
      </c>
      <c r="G2696" t="n">
        <v>2025</v>
      </c>
      <c r="H2696" t="inlineStr">
        <is>
          <t>Diciembre</t>
        </is>
      </c>
      <c r="I2696" t="inlineStr">
        <is>
          <t>2025-2</t>
        </is>
      </c>
      <c r="J2696" t="n">
        <v>4</v>
      </c>
      <c r="K2696" t="n">
        <v>5</v>
      </c>
      <c r="L2696" s="39" t="n">
        <v>1.25</v>
      </c>
      <c r="M2696" s="39" t="n">
        <v>1.25</v>
      </c>
      <c r="N2696" t="inlineStr">
        <is>
          <t>%</t>
        </is>
      </c>
      <c r="O2696" t="inlineStr">
        <is>
          <t>%</t>
        </is>
      </c>
      <c r="P2696" t="n">
        <v>0</v>
      </c>
      <c r="Q2696" t="n">
        <v>0</v>
      </c>
      <c r="R2696" t="inlineStr">
        <is>
          <t>551-2025-12-31</t>
        </is>
      </c>
    </row>
    <row r="2697">
      <c r="A2697" t="n">
        <v>552</v>
      </c>
      <c r="B2697" t="inlineStr">
        <is>
          <t>Nivel de Satisfacción Servicios Prestados -Gestión de la Responsabilidad Social</t>
        </is>
      </c>
      <c r="C2697" t="inlineStr">
        <is>
          <t>Gestión de la Responsabilidad Social</t>
        </is>
      </c>
      <c r="D2697" t="inlineStr">
        <is>
          <t>Anual</t>
        </is>
      </c>
      <c r="E2697" t="inlineStr">
        <is>
          <t>Positivo</t>
        </is>
      </c>
      <c r="F2697" s="113" t="n">
        <v>45838</v>
      </c>
      <c r="G2697" t="n">
        <v>2025</v>
      </c>
      <c r="H2697" t="inlineStr">
        <is>
          <t>Junio</t>
        </is>
      </c>
      <c r="I2697" t="inlineStr">
        <is>
          <t>2025-1</t>
        </is>
      </c>
      <c r="J2697" t="n">
        <v>80</v>
      </c>
      <c r="K2697" t="n">
        <v>92</v>
      </c>
      <c r="L2697" s="39" t="n">
        <v>1.15</v>
      </c>
      <c r="M2697" s="39" t="n">
        <v>1.15</v>
      </c>
      <c r="N2697" t="inlineStr">
        <is>
          <t>%</t>
        </is>
      </c>
      <c r="O2697" t="inlineStr">
        <is>
          <t>%</t>
        </is>
      </c>
      <c r="P2697" t="n">
        <v>0</v>
      </c>
      <c r="Q2697" t="n">
        <v>0</v>
      </c>
      <c r="R2697" t="inlineStr">
        <is>
          <t>552-2025-06-30</t>
        </is>
      </c>
    </row>
    <row r="2698">
      <c r="A2698" t="n">
        <v>552</v>
      </c>
      <c r="B2698" t="inlineStr">
        <is>
          <t>Nivel de Satisfacción Servicios Prestados -Gestión de la Responsabilidad Social</t>
        </is>
      </c>
      <c r="C2698" t="inlineStr">
        <is>
          <t>Gestión de la Responsabilidad Social</t>
        </is>
      </c>
      <c r="D2698" t="inlineStr">
        <is>
          <t>Anual</t>
        </is>
      </c>
      <c r="E2698" t="inlineStr">
        <is>
          <t>Positivo</t>
        </is>
      </c>
      <c r="F2698" s="113" t="n">
        <v>46022</v>
      </c>
      <c r="G2698" t="n">
        <v>2025</v>
      </c>
      <c r="H2698" t="inlineStr">
        <is>
          <t>Diciembre</t>
        </is>
      </c>
      <c r="I2698" t="inlineStr">
        <is>
          <t>2025-2</t>
        </is>
      </c>
      <c r="J2698" t="n">
        <v>80</v>
      </c>
      <c r="K2698" t="n">
        <v>92</v>
      </c>
      <c r="L2698" s="39" t="n">
        <v>1.15</v>
      </c>
      <c r="M2698" s="39" t="n">
        <v>1.15</v>
      </c>
      <c r="N2698" t="inlineStr">
        <is>
          <t>%</t>
        </is>
      </c>
      <c r="O2698" t="inlineStr">
        <is>
          <t>%</t>
        </is>
      </c>
      <c r="P2698" t="n">
        <v>0</v>
      </c>
      <c r="Q2698" t="n">
        <v>0</v>
      </c>
      <c r="R2698" t="inlineStr">
        <is>
          <t>552-2025-12-31</t>
        </is>
      </c>
    </row>
    <row r="2699">
      <c r="A2699" t="n">
        <v>553</v>
      </c>
      <c r="B2699" t="inlineStr">
        <is>
          <t>Nivel de Satisfacción Servicios Prestados -Inscripción, admisión y matrícula de estudiantes nuevos</t>
        </is>
      </c>
      <c r="C2699" t="inlineStr">
        <is>
          <t>Inscripción, admisión y matrícula de estudiantes nuevos</t>
        </is>
      </c>
      <c r="D2699" t="inlineStr">
        <is>
          <t>Anual</t>
        </is>
      </c>
      <c r="E2699" t="inlineStr">
        <is>
          <t>Positivo</t>
        </is>
      </c>
      <c r="F2699" s="113" t="n">
        <v>46022</v>
      </c>
      <c r="G2699" t="n">
        <v>2025</v>
      </c>
      <c r="H2699" t="inlineStr">
        <is>
          <t>Diciembre</t>
        </is>
      </c>
      <c r="I2699" t="inlineStr">
        <is>
          <t>2025-2</t>
        </is>
      </c>
      <c r="J2699" t="n">
        <v>80</v>
      </c>
      <c r="K2699" t="n">
        <v>83</v>
      </c>
      <c r="L2699" s="39" t="n">
        <v>1.0375</v>
      </c>
      <c r="M2699" s="39" t="n">
        <v>1.0375</v>
      </c>
      <c r="N2699" t="inlineStr">
        <is>
          <t>%</t>
        </is>
      </c>
      <c r="O2699" t="inlineStr">
        <is>
          <t>%</t>
        </is>
      </c>
      <c r="P2699" t="n">
        <v>0</v>
      </c>
      <c r="Q2699" t="n">
        <v>0</v>
      </c>
      <c r="R2699" t="inlineStr">
        <is>
          <t>553-2025-12-31</t>
        </is>
      </c>
    </row>
    <row r="2700">
      <c r="A2700" t="n">
        <v>554</v>
      </c>
      <c r="B2700" t="inlineStr">
        <is>
          <t>Nivel de Satisfacción Servicios Prestados -Permanencia</t>
        </is>
      </c>
      <c r="C2700" t="inlineStr">
        <is>
          <t>Permanencia</t>
        </is>
      </c>
      <c r="D2700" t="inlineStr">
        <is>
          <t>Trimestral</t>
        </is>
      </c>
      <c r="E2700" t="inlineStr">
        <is>
          <t>Positivo</t>
        </is>
      </c>
      <c r="F2700" s="113" t="n">
        <v>45838</v>
      </c>
      <c r="G2700" t="n">
        <v>2025</v>
      </c>
      <c r="H2700" t="inlineStr">
        <is>
          <t>Junio</t>
        </is>
      </c>
      <c r="I2700" t="inlineStr">
        <is>
          <t>2025-1</t>
        </is>
      </c>
      <c r="J2700" t="n">
        <v>80</v>
      </c>
      <c r="L2700" s="39" t="n"/>
      <c r="M2700" s="39" t="n"/>
      <c r="N2700" t="inlineStr">
        <is>
          <t>%</t>
        </is>
      </c>
      <c r="O2700" t="inlineStr">
        <is>
          <t>%</t>
        </is>
      </c>
      <c r="P2700" t="n">
        <v>0</v>
      </c>
      <c r="Q2700" t="n">
        <v>0</v>
      </c>
      <c r="R2700" t="inlineStr">
        <is>
          <t>554-2025-06-30</t>
        </is>
      </c>
      <c r="S2700" t="inlineStr">
        <is>
          <t>No Aplica</t>
        </is>
      </c>
    </row>
    <row r="2701">
      <c r="A2701" t="n">
        <v>554</v>
      </c>
      <c r="B2701" t="inlineStr">
        <is>
          <t>Nivel de Satisfacción Servicios Prestados -Permanencia</t>
        </is>
      </c>
      <c r="C2701" t="inlineStr">
        <is>
          <t>Permanencia</t>
        </is>
      </c>
      <c r="D2701" t="inlineStr">
        <is>
          <t>Trimestral</t>
        </is>
      </c>
      <c r="E2701" t="inlineStr">
        <is>
          <t>Positivo</t>
        </is>
      </c>
      <c r="F2701" s="113" t="n">
        <v>46022</v>
      </c>
      <c r="G2701" t="n">
        <v>2025</v>
      </c>
      <c r="H2701" t="inlineStr">
        <is>
          <t>Diciembre</t>
        </is>
      </c>
      <c r="I2701" t="inlineStr">
        <is>
          <t>2025-2</t>
        </is>
      </c>
      <c r="J2701" t="n">
        <v>80</v>
      </c>
      <c r="K2701" t="n">
        <v>95</v>
      </c>
      <c r="L2701" s="39" t="n">
        <v>1.1875</v>
      </c>
      <c r="M2701" s="39" t="n">
        <v>1.1875</v>
      </c>
      <c r="N2701" t="inlineStr">
        <is>
          <t>%</t>
        </is>
      </c>
      <c r="O2701" t="inlineStr">
        <is>
          <t>%</t>
        </is>
      </c>
      <c r="P2701" t="n">
        <v>0</v>
      </c>
      <c r="Q2701" t="n">
        <v>0</v>
      </c>
      <c r="R2701" t="inlineStr">
        <is>
          <t>554-2025-12-31</t>
        </is>
      </c>
    </row>
    <row r="2702">
      <c r="A2702" t="n">
        <v>555</v>
      </c>
      <c r="B2702" t="inlineStr">
        <is>
          <t>Nivel de Satisfacción Servicios Prestados -Mercadeo y venta de educación para la vida</t>
        </is>
      </c>
      <c r="C2702" t="inlineStr">
        <is>
          <t>Mercadeo y venta de educación para la vida</t>
        </is>
      </c>
      <c r="D2702" t="inlineStr">
        <is>
          <t>Trimestral</t>
        </is>
      </c>
      <c r="E2702" t="inlineStr">
        <is>
          <t>Positivo</t>
        </is>
      </c>
      <c r="F2702" s="113" t="n">
        <v>46022</v>
      </c>
      <c r="G2702" t="n">
        <v>2025</v>
      </c>
      <c r="H2702" t="inlineStr">
        <is>
          <t>Diciembre</t>
        </is>
      </c>
      <c r="I2702" t="inlineStr">
        <is>
          <t>2025-2</t>
        </is>
      </c>
      <c r="J2702" t="n">
        <v>80</v>
      </c>
      <c r="K2702" t="n">
        <v>100</v>
      </c>
      <c r="L2702" s="39" t="n">
        <v>1.25</v>
      </c>
      <c r="M2702" s="39" t="n">
        <v>1.25</v>
      </c>
      <c r="N2702" t="inlineStr">
        <is>
          <t>%</t>
        </is>
      </c>
      <c r="O2702" t="inlineStr">
        <is>
          <t>%</t>
        </is>
      </c>
      <c r="P2702" t="n">
        <v>0</v>
      </c>
      <c r="Q2702" t="n">
        <v>0</v>
      </c>
      <c r="R2702" t="inlineStr">
        <is>
          <t>555-2025-12-31</t>
        </is>
      </c>
    </row>
    <row r="2703">
      <c r="A2703" t="n">
        <v>556</v>
      </c>
      <c r="B2703" t="inlineStr">
        <is>
          <t>Cumplimiento Plan de formación Institucional</t>
        </is>
      </c>
      <c r="C2703" t="inlineStr">
        <is>
          <t>GESTIÓN Y DESARROLLO DEL TALENTO HUMANO</t>
        </is>
      </c>
      <c r="D2703" t="inlineStr">
        <is>
          <t>Anual</t>
        </is>
      </c>
      <c r="E2703" t="inlineStr">
        <is>
          <t>Positivo</t>
        </is>
      </c>
      <c r="F2703" s="113" t="n">
        <v>46022</v>
      </c>
      <c r="G2703" t="n">
        <v>2025</v>
      </c>
      <c r="H2703" t="inlineStr">
        <is>
          <t>Diciembre</t>
        </is>
      </c>
      <c r="I2703" t="inlineStr">
        <is>
          <t>2025-2</t>
        </is>
      </c>
      <c r="J2703" t="n">
        <v>70</v>
      </c>
      <c r="K2703" t="n">
        <v>113.75</v>
      </c>
      <c r="L2703" s="39" t="n">
        <v>1.3</v>
      </c>
      <c r="M2703" s="39" t="n">
        <v>1.625</v>
      </c>
      <c r="N2703" t="inlineStr">
        <is>
          <t>%</t>
        </is>
      </c>
      <c r="O2703" t="inlineStr">
        <is>
          <t>%</t>
        </is>
      </c>
      <c r="P2703" t="n">
        <v>0</v>
      </c>
      <c r="Q2703" t="n">
        <v>0</v>
      </c>
      <c r="R2703" t="inlineStr">
        <is>
          <t>556-2025-12-31</t>
        </is>
      </c>
    </row>
    <row r="2704">
      <c r="A2704" t="n">
        <v>561</v>
      </c>
      <c r="B2704" t="inlineStr">
        <is>
          <t>Tasa de Ejecución Presupuestal del Proceso</t>
        </is>
      </c>
      <c r="C2704" t="inlineStr">
        <is>
          <t>Operación de nuevos negocios y CI</t>
        </is>
      </c>
      <c r="D2704" t="inlineStr">
        <is>
          <t>Quincenal</t>
        </is>
      </c>
      <c r="E2704" t="inlineStr">
        <is>
          <t>Negativo</t>
        </is>
      </c>
      <c r="F2704" s="113" t="n">
        <v>46081</v>
      </c>
      <c r="G2704" t="n">
        <v>2026</v>
      </c>
      <c r="H2704" t="inlineStr">
        <is>
          <t>Febrero</t>
        </is>
      </c>
      <c r="I2704" t="inlineStr">
        <is>
          <t>2026-1</t>
        </is>
      </c>
      <c r="J2704" t="n">
        <v>1</v>
      </c>
      <c r="L2704" s="39" t="n"/>
      <c r="M2704" s="39" t="n"/>
      <c r="N2704" t="inlineStr">
        <is>
          <t>%</t>
        </is>
      </c>
      <c r="O2704" t="inlineStr">
        <is>
          <t>No Aplica</t>
        </is>
      </c>
      <c r="P2704" t="n">
        <v>0</v>
      </c>
      <c r="Q2704" t="n">
        <v>0</v>
      </c>
      <c r="R2704" t="inlineStr">
        <is>
          <t>561-2026-02-28</t>
        </is>
      </c>
      <c r="S2704" t="inlineStr">
        <is>
          <t>No Aplica</t>
        </is>
      </c>
    </row>
    <row r="2705">
      <c r="A2705" t="n">
        <v>561</v>
      </c>
      <c r="B2705" t="inlineStr">
        <is>
          <t>Tasa de Ejecución Presupuestal del Proceso</t>
        </is>
      </c>
      <c r="C2705" t="inlineStr">
        <is>
          <t>Operación de nuevos negocios y CI</t>
        </is>
      </c>
      <c r="D2705" t="inlineStr">
        <is>
          <t>Quincenal</t>
        </is>
      </c>
      <c r="E2705" t="inlineStr">
        <is>
          <t>Negativo</t>
        </is>
      </c>
      <c r="F2705" s="113" t="n">
        <v>46142</v>
      </c>
      <c r="G2705" t="n">
        <v>2026</v>
      </c>
      <c r="H2705" t="inlineStr">
        <is>
          <t>Abril</t>
        </is>
      </c>
      <c r="I2705" t="inlineStr">
        <is>
          <t>2026-1</t>
        </is>
      </c>
      <c r="J2705" t="n">
        <v>1</v>
      </c>
      <c r="L2705" s="39" t="n"/>
      <c r="M2705" s="39" t="n"/>
      <c r="N2705" t="inlineStr">
        <is>
          <t>%</t>
        </is>
      </c>
      <c r="O2705" t="inlineStr">
        <is>
          <t>No Aplica</t>
        </is>
      </c>
      <c r="P2705" t="n">
        <v>0</v>
      </c>
      <c r="Q2705" t="n">
        <v>0</v>
      </c>
      <c r="R2705" t="inlineStr">
        <is>
          <t>561-2026-04-30</t>
        </is>
      </c>
      <c r="S2705" t="inlineStr">
        <is>
          <t>No Aplica</t>
        </is>
      </c>
    </row>
    <row r="2706">
      <c r="A2706" t="n">
        <v>561</v>
      </c>
      <c r="B2706" t="inlineStr">
        <is>
          <t>Tasa de Ejecución Presupuestal del Proceso</t>
        </is>
      </c>
      <c r="C2706" t="inlineStr">
        <is>
          <t>Operación de nuevos negocios y CI</t>
        </is>
      </c>
      <c r="D2706" t="inlineStr">
        <is>
          <t>Quincenal</t>
        </is>
      </c>
      <c r="E2706" t="inlineStr">
        <is>
          <t>Negativo</t>
        </is>
      </c>
      <c r="F2706" s="113" t="n">
        <v>46203</v>
      </c>
      <c r="G2706" t="n">
        <v>2026</v>
      </c>
      <c r="H2706" t="inlineStr">
        <is>
          <t>Junio</t>
        </is>
      </c>
      <c r="I2706" t="inlineStr">
        <is>
          <t>2026-1</t>
        </is>
      </c>
      <c r="J2706" t="n">
        <v>1</v>
      </c>
      <c r="L2706" s="39" t="n"/>
      <c r="M2706" s="39" t="n"/>
      <c r="N2706" t="inlineStr">
        <is>
          <t>%</t>
        </is>
      </c>
      <c r="O2706" t="inlineStr">
        <is>
          <t>No Aplica</t>
        </is>
      </c>
      <c r="P2706" t="n">
        <v>0</v>
      </c>
      <c r="Q2706" t="n">
        <v>0</v>
      </c>
      <c r="R2706" t="inlineStr">
        <is>
          <t>561-2026-06-30</t>
        </is>
      </c>
      <c r="S2706" t="inlineStr">
        <is>
          <t>No Aplica</t>
        </is>
      </c>
    </row>
  </sheetData>
  <autoFilter ref="A1:S2652">
    <filterColumn colId="1" hiddenButton="0" showButton="1">
      <filters>
        <filter val="Cumplimiento de planes anuales por líneas"/>
      </filters>
    </filterColumn>
  </autoFilter>
  <conditionalFormatting sqref="A367">
    <cfRule type="duplicateValues" priority="45" dxfId="0"/>
  </conditionalFormatting>
  <conditionalFormatting sqref="A369:A372">
    <cfRule type="duplicateValues" priority="42" dxfId="0"/>
  </conditionalFormatting>
  <conditionalFormatting sqref="A373:A382">
    <cfRule type="duplicateValues" priority="60" dxfId="0"/>
  </conditionalFormatting>
  <conditionalFormatting sqref="A383">
    <cfRule type="duplicateValues" priority="46" dxfId="0"/>
  </conditionalFormatting>
  <conditionalFormatting sqref="A384">
    <cfRule type="duplicateValues" priority="47" dxfId="0"/>
  </conditionalFormatting>
  <conditionalFormatting sqref="A385">
    <cfRule type="duplicateValues" priority="48" dxfId="0"/>
  </conditionalFormatting>
  <conditionalFormatting sqref="A386">
    <cfRule type="duplicateValues" priority="49" dxfId="0"/>
  </conditionalFormatting>
  <conditionalFormatting sqref="A387:A399">
    <cfRule type="duplicateValues" priority="36" dxfId="0"/>
  </conditionalFormatting>
  <conditionalFormatting sqref="A472:A475">
    <cfRule type="duplicateValues" priority="35" dxfId="0"/>
  </conditionalFormatting>
  <conditionalFormatting sqref="A820">
    <cfRule type="duplicateValues" priority="50" dxfId="0"/>
  </conditionalFormatting>
  <conditionalFormatting sqref="A821">
    <cfRule type="duplicateValues" priority="51" dxfId="0"/>
  </conditionalFormatting>
  <conditionalFormatting sqref="A883">
    <cfRule type="duplicateValues" priority="52" dxfId="0"/>
  </conditionalFormatting>
  <conditionalFormatting sqref="A952:A963">
    <cfRule type="duplicateValues" priority="31" dxfId="0"/>
  </conditionalFormatting>
  <conditionalFormatting sqref="A1136">
    <cfRule type="duplicateValues" priority="53" dxfId="0"/>
  </conditionalFormatting>
  <conditionalFormatting sqref="A1138:A1141">
    <cfRule type="duplicateValues" priority="29" dxfId="0"/>
  </conditionalFormatting>
  <conditionalFormatting sqref="A1142:A1145">
    <cfRule type="duplicateValues" priority="28" dxfId="0"/>
  </conditionalFormatting>
  <conditionalFormatting sqref="A1192">
    <cfRule type="duplicateValues" priority="54" dxfId="0"/>
  </conditionalFormatting>
  <conditionalFormatting sqref="A1218">
    <cfRule type="duplicateValues" priority="55" dxfId="0"/>
  </conditionalFormatting>
  <conditionalFormatting sqref="A1515">
    <cfRule type="duplicateValues" priority="56" dxfId="0"/>
    <cfRule type="duplicateValues" priority="57" dxfId="0"/>
    <cfRule type="duplicateValues" priority="58" dxfId="0"/>
    <cfRule type="duplicateValues" priority="59" dxfId="0"/>
  </conditionalFormatting>
  <conditionalFormatting sqref="A2298">
    <cfRule type="duplicateValues" priority="14" dxfId="0"/>
  </conditionalFormatting>
  <conditionalFormatting sqref="A2338:A2340">
    <cfRule type="duplicateValues" priority="13" dxfId="0"/>
  </conditionalFormatting>
  <conditionalFormatting sqref="A2341">
    <cfRule type="duplicateValues" priority="10" dxfId="0"/>
  </conditionalFormatting>
  <conditionalFormatting sqref="A2342">
    <cfRule type="duplicateValues" priority="11" dxfId="0"/>
  </conditionalFormatting>
  <conditionalFormatting sqref="A2343:A2344">
    <cfRule type="duplicateValues" priority="12" dxfId="0"/>
  </conditionalFormatting>
  <conditionalFormatting sqref="A2345:A2346">
    <cfRule type="duplicateValues" priority="9" dxfId="0"/>
  </conditionalFormatting>
  <conditionalFormatting sqref="A2394 A2396">
    <cfRule type="duplicateValues" priority="8" dxfId="0"/>
  </conditionalFormatting>
  <conditionalFormatting sqref="A2403">
    <cfRule type="duplicateValues" priority="7" dxfId="0"/>
  </conditionalFormatting>
  <conditionalFormatting sqref="A2404">
    <cfRule type="duplicateValues" priority="6" dxfId="0"/>
  </conditionalFormatting>
  <conditionalFormatting sqref="A2423">
    <cfRule type="duplicateValues" priority="5" dxfId="0"/>
  </conditionalFormatting>
  <conditionalFormatting sqref="A2530">
    <cfRule type="duplicateValues" priority="3" dxfId="0"/>
    <cfRule type="duplicateValues" priority="4" dxfId="0"/>
  </conditionalFormatting>
  <conditionalFormatting sqref="A2638:A2643">
    <cfRule type="duplicateValues" priority="2" dxfId="0"/>
  </conditionalFormatting>
  <conditionalFormatting sqref="A2644:A2645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701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9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9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9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09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4" t="n">
        <v>1.043154035059156</v>
      </c>
      <c r="M10" s="14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9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4" t="n">
        <v>1.055522694175925</v>
      </c>
      <c r="M11" s="14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9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4" t="n">
        <v>1.00521918674345</v>
      </c>
      <c r="M12" s="14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9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4" t="n">
        <v>1.031555555555556</v>
      </c>
      <c r="M13" s="14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9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74" t="n">
        <v>1.014722222222222</v>
      </c>
      <c r="M14" s="14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74" t="n">
        <v>1.012055555555556</v>
      </c>
      <c r="M15" s="14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9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4" t="n">
        <v>1.0085</v>
      </c>
      <c r="M16" s="14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09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4" t="n">
        <v>1.009222222222222</v>
      </c>
      <c r="M17" s="14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Semestral</t>
        </is>
      </c>
      <c r="E18" s="5" t="inlineStr">
        <is>
          <t>Positivo</t>
        </is>
      </c>
      <c r="F18" s="109" t="n">
        <v>46203</v>
      </c>
      <c r="G18" s="15" t="n">
        <v>2026</v>
      </c>
      <c r="H18" s="6" t="inlineStr">
        <is>
          <t>Junio</t>
        </is>
      </c>
      <c r="I18" s="6" t="inlineStr">
        <is>
          <t>2026-1</t>
        </is>
      </c>
      <c r="J18" s="5" t="n">
        <v>90</v>
      </c>
      <c r="K18" s="5" t="n">
        <v>90.45999999999999</v>
      </c>
      <c r="L18" s="14" t="n">
        <v>1.005111111111111</v>
      </c>
      <c r="M18" s="14" t="n">
        <v>1.005111111111111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69-2026-06-30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09" t="n">
        <v>44742</v>
      </c>
      <c r="G19" s="15" t="n">
        <v>2022</v>
      </c>
      <c r="H19" s="6" t="inlineStr">
        <is>
          <t>Junio</t>
        </is>
      </c>
      <c r="I19" s="6" t="inlineStr">
        <is>
          <t>2022-1</t>
        </is>
      </c>
      <c r="J19" s="5" t="n">
        <v>20</v>
      </c>
      <c r="K19" s="5" t="n">
        <v>17.67</v>
      </c>
      <c r="L19" s="14" t="n">
        <v>1.131861912846633</v>
      </c>
      <c r="M19" s="14" t="n">
        <v>1.131861912846633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73-2022-06-30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Trimestral</t>
        </is>
      </c>
      <c r="E20" s="5" t="inlineStr">
        <is>
          <t>Negativo</t>
        </is>
      </c>
      <c r="F20" s="109" t="n">
        <v>44926</v>
      </c>
      <c r="G20" s="15" t="n">
        <v>2022</v>
      </c>
      <c r="H20" s="6" t="inlineStr">
        <is>
          <t>Diciembre</t>
        </is>
      </c>
      <c r="I20" s="6" t="inlineStr">
        <is>
          <t>2022-2</t>
        </is>
      </c>
      <c r="J20" s="5" t="n">
        <v>20</v>
      </c>
      <c r="K20" s="10" t="n">
        <v>20</v>
      </c>
      <c r="L20" s="14" t="n">
        <v>1</v>
      </c>
      <c r="M20" s="14" t="n">
        <v>1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73-2022-12-31</t>
        </is>
      </c>
    </row>
    <row r="21" hidden="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9" t="n">
        <v>45107</v>
      </c>
      <c r="G21" s="5" t="n">
        <v>2023</v>
      </c>
      <c r="H21" s="5" t="inlineStr">
        <is>
          <t>Junio</t>
        </is>
      </c>
      <c r="I21" s="6" t="inlineStr">
        <is>
          <t>2023-1</t>
        </is>
      </c>
      <c r="J21" s="5" t="n">
        <v>20</v>
      </c>
      <c r="K21" s="10" t="n">
        <v>19</v>
      </c>
      <c r="L21" s="14" t="n">
        <v>1.052631578947368</v>
      </c>
      <c r="M21" s="14" t="n">
        <v>1.052631578947368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73-2023-06-30</t>
        </is>
      </c>
    </row>
    <row r="22" hidden="1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9" t="n">
        <v>45291</v>
      </c>
      <c r="G22" s="5" t="n">
        <v>2023</v>
      </c>
      <c r="H22" s="5" t="inlineStr">
        <is>
          <t>Diciembre</t>
        </is>
      </c>
      <c r="I22" s="6" t="inlineStr">
        <is>
          <t>2023-2</t>
        </is>
      </c>
      <c r="J22" s="5" t="n">
        <v>20</v>
      </c>
      <c r="K22" s="5" t="n">
        <v>17</v>
      </c>
      <c r="L22" s="74" t="n">
        <v>1.176470588235294</v>
      </c>
      <c r="M22" s="14" t="n">
        <v>1.176470588235294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73-2023-12-31</t>
        </is>
      </c>
    </row>
    <row r="23" hidden="1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09" t="n">
        <v>45473</v>
      </c>
      <c r="G23" s="5" t="n">
        <v>2024</v>
      </c>
      <c r="H23" s="5" t="inlineStr">
        <is>
          <t>Junio</t>
        </is>
      </c>
      <c r="I23" s="6" t="inlineStr">
        <is>
          <t>2024-1</t>
        </is>
      </c>
      <c r="J23" s="5" t="n">
        <v>20</v>
      </c>
      <c r="K23" s="5" t="n">
        <v>20</v>
      </c>
      <c r="L23" s="74" t="n">
        <v>1</v>
      </c>
      <c r="M23" s="14" t="n">
        <v>1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73-2024-06-30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Semestral</t>
        </is>
      </c>
      <c r="E24" s="5" t="inlineStr">
        <is>
          <t>Negativo</t>
        </is>
      </c>
      <c r="F24" s="109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20</v>
      </c>
      <c r="K24" s="5" t="n">
        <v>17</v>
      </c>
      <c r="L24" s="14" t="n">
        <v>1.176470588235294</v>
      </c>
      <c r="M24" s="14" t="n">
        <v>1.176470588235294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73-2024-12-31</t>
        </is>
      </c>
    </row>
    <row r="25" hidden="1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9" t="n">
        <v>45838</v>
      </c>
      <c r="G25" s="5" t="n">
        <v>2025</v>
      </c>
      <c r="H25" s="5" t="inlineStr">
        <is>
          <t>Junio</t>
        </is>
      </c>
      <c r="I25" s="6" t="inlineStr">
        <is>
          <t>2025-1</t>
        </is>
      </c>
      <c r="J25" s="5" t="n">
        <v>20</v>
      </c>
      <c r="K25" s="10" t="n">
        <v>19</v>
      </c>
      <c r="L25" s="14" t="n">
        <v>1.052631578947368</v>
      </c>
      <c r="M25" s="14" t="n">
        <v>1.052631578947368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73-2025-06-30</t>
        </is>
      </c>
    </row>
    <row r="26" hidden="1">
      <c r="A26" s="26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9" t="n">
        <v>46022</v>
      </c>
      <c r="G26" s="5" t="n">
        <v>2025</v>
      </c>
      <c r="H26" s="5" t="inlineStr">
        <is>
          <t>Diciembre</t>
        </is>
      </c>
      <c r="I26" s="6" t="inlineStr">
        <is>
          <t>2025-2</t>
        </is>
      </c>
      <c r="J26" s="5" t="n">
        <v>20</v>
      </c>
      <c r="K26" s="5" t="n">
        <v>20</v>
      </c>
      <c r="L26" s="74" t="n">
        <v>1</v>
      </c>
      <c r="M26" s="14" t="n">
        <v>1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73-2025-12-31</t>
        </is>
      </c>
    </row>
    <row r="27" hidden="1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08" t="n">
        <v>44742</v>
      </c>
      <c r="G27" s="15" t="n">
        <v>2022</v>
      </c>
      <c r="H27" s="6" t="inlineStr">
        <is>
          <t>Junio</t>
        </is>
      </c>
      <c r="I27" s="6" t="inlineStr">
        <is>
          <t>2022-1</t>
        </is>
      </c>
      <c r="J27" s="5" t="n">
        <v>80</v>
      </c>
      <c r="K27" s="5" t="n">
        <v>88</v>
      </c>
      <c r="L27" s="74" t="n">
        <v>1.1</v>
      </c>
      <c r="M27" s="14" t="n">
        <v>1.1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74-2022-06-30</t>
        </is>
      </c>
    </row>
    <row r="28" hidden="1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Trimestral</t>
        </is>
      </c>
      <c r="E28" s="5" t="inlineStr">
        <is>
          <t>Positivo</t>
        </is>
      </c>
      <c r="F28" s="109" t="n">
        <v>44926</v>
      </c>
      <c r="G28" s="5" t="n">
        <v>2022</v>
      </c>
      <c r="H28" s="5" t="inlineStr">
        <is>
          <t>Diciembre</t>
        </is>
      </c>
      <c r="I28" s="6" t="inlineStr">
        <is>
          <t>2022-2</t>
        </is>
      </c>
      <c r="J28" s="5" t="n">
        <v>80</v>
      </c>
      <c r="K28" s="5" t="n">
        <v>82.894736842105</v>
      </c>
      <c r="L28" s="74" t="n">
        <v>1.036184210526313</v>
      </c>
      <c r="M28" s="14" t="n">
        <v>1.036184210526313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74-2022-12-31</t>
        </is>
      </c>
    </row>
    <row r="29" hidden="1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9" t="n">
        <v>45107</v>
      </c>
      <c r="G29" s="5" t="n">
        <v>2023</v>
      </c>
      <c r="H29" s="5" t="inlineStr">
        <is>
          <t>Junio</t>
        </is>
      </c>
      <c r="I29" s="6" t="inlineStr">
        <is>
          <t>2023-1</t>
        </is>
      </c>
      <c r="J29" s="5" t="n">
        <v>80</v>
      </c>
      <c r="K29" s="5" t="n">
        <v>87.179487179487</v>
      </c>
      <c r="L29" s="74" t="n">
        <v>1.089743589743587</v>
      </c>
      <c r="M29" s="14" t="n">
        <v>1.089743589743587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74-2023-06-30</t>
        </is>
      </c>
    </row>
    <row r="30" hidden="1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9" t="n">
        <v>45291</v>
      </c>
      <c r="G30" s="5" t="n">
        <v>2023</v>
      </c>
      <c r="H30" s="5" t="inlineStr">
        <is>
          <t>Diciembre</t>
        </is>
      </c>
      <c r="I30" s="6" t="inlineStr">
        <is>
          <t>2023-2</t>
        </is>
      </c>
      <c r="J30" s="5" t="n">
        <v>80</v>
      </c>
      <c r="K30" s="5" t="n">
        <v>94.64</v>
      </c>
      <c r="L30" s="74" t="n">
        <v>1.183</v>
      </c>
      <c r="M30" s="14" t="n">
        <v>1.183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74-2023-12-31</t>
        </is>
      </c>
    </row>
    <row r="31" hidden="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09" t="n">
        <v>45473</v>
      </c>
      <c r="G31" s="5" t="n">
        <v>2024</v>
      </c>
      <c r="H31" s="5" t="inlineStr">
        <is>
          <t>Junio</t>
        </is>
      </c>
      <c r="I31" s="6" t="inlineStr">
        <is>
          <t>2024-1</t>
        </is>
      </c>
      <c r="J31" s="5" t="n">
        <v>80</v>
      </c>
      <c r="K31" s="5" t="n">
        <v>91.53</v>
      </c>
      <c r="L31" s="14" t="n">
        <v>1.144125</v>
      </c>
      <c r="M31" s="14" t="n">
        <v>1.144125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74-2024-06-30</t>
        </is>
      </c>
    </row>
    <row r="32" hidden="1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Semestral</t>
        </is>
      </c>
      <c r="E32" s="5" t="inlineStr">
        <is>
          <t>Positivo</t>
        </is>
      </c>
      <c r="F32" s="109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80</v>
      </c>
      <c r="K32" s="5" t="n">
        <v>95.45</v>
      </c>
      <c r="L32" s="74" t="n">
        <v>1.193125</v>
      </c>
      <c r="M32" s="14" t="n">
        <v>1.193125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74-2024-12-31</t>
        </is>
      </c>
    </row>
    <row r="33" hidden="1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9" t="n">
        <v>45838</v>
      </c>
      <c r="G33" s="5" t="n">
        <v>2025</v>
      </c>
      <c r="H33" s="5" t="inlineStr">
        <is>
          <t>Junio</t>
        </is>
      </c>
      <c r="I33" s="6" t="inlineStr">
        <is>
          <t>2025-1</t>
        </is>
      </c>
      <c r="J33" s="5" t="n">
        <v>80</v>
      </c>
      <c r="K33" s="5" t="n">
        <v>91.48999999999999</v>
      </c>
      <c r="L33" s="14" t="n">
        <v>1.143625</v>
      </c>
      <c r="M33" s="14" t="n">
        <v>1.143625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74-2025-06-30</t>
        </is>
      </c>
    </row>
    <row r="34" hidden="1">
      <c r="A34" s="28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9" t="n">
        <v>46022</v>
      </c>
      <c r="G34" s="5" t="n">
        <v>2025</v>
      </c>
      <c r="H34" s="5" t="inlineStr">
        <is>
          <t>Diciembre</t>
        </is>
      </c>
      <c r="I34" s="6" t="inlineStr">
        <is>
          <t>2025-2</t>
        </is>
      </c>
      <c r="J34" s="5" t="n">
        <v>80</v>
      </c>
      <c r="K34" s="5" t="n">
        <v>90.31999999999999</v>
      </c>
      <c r="L34" s="74" t="n">
        <v>1.129</v>
      </c>
      <c r="M34" s="14" t="n">
        <v>1.129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74-2025-12-31</t>
        </is>
      </c>
    </row>
    <row r="35" hidden="1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9" t="n">
        <v>44742</v>
      </c>
      <c r="G35" s="5" t="n">
        <v>2022</v>
      </c>
      <c r="H35" s="5" t="inlineStr">
        <is>
          <t>Junio</t>
        </is>
      </c>
      <c r="I35" s="6" t="inlineStr">
        <is>
          <t>2022-1</t>
        </is>
      </c>
      <c r="J35" s="5" t="n">
        <v>97</v>
      </c>
      <c r="K35" s="5" t="n">
        <v>97.68333333333334</v>
      </c>
      <c r="L35" s="74" t="n">
        <v>1.007044673539519</v>
      </c>
      <c r="M35" s="14" t="n">
        <v>1.007044673539519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77-2022-06-30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9" t="n">
        <v>44926</v>
      </c>
      <c r="G36" s="5" t="n">
        <v>2022</v>
      </c>
      <c r="H36" s="5" t="inlineStr">
        <is>
          <t>Diciembre</t>
        </is>
      </c>
      <c r="I36" s="6" t="inlineStr">
        <is>
          <t>2022-2</t>
        </is>
      </c>
      <c r="J36" s="5" t="n">
        <v>97</v>
      </c>
      <c r="K36" s="5" t="n">
        <v>98.11666666666667</v>
      </c>
      <c r="L36" s="14" t="n">
        <v>1.011512027491409</v>
      </c>
      <c r="M36" s="14" t="n">
        <v>1.011512027491409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77-2022-12-31</t>
        </is>
      </c>
    </row>
    <row r="37" hidden="1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9" t="n">
        <v>45107</v>
      </c>
      <c r="G37" s="5" t="n">
        <v>2023</v>
      </c>
      <c r="H37" s="5" t="inlineStr">
        <is>
          <t>Junio</t>
        </is>
      </c>
      <c r="I37" s="6" t="inlineStr">
        <is>
          <t>2023-1</t>
        </is>
      </c>
      <c r="J37" s="5" t="n">
        <v>97</v>
      </c>
      <c r="K37" s="5" t="n">
        <v>97.68333333333334</v>
      </c>
      <c r="L37" s="14" t="n">
        <v>1.007044673539519</v>
      </c>
      <c r="M37" s="14" t="n">
        <v>1.007044673539519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77-2023-06-30</t>
        </is>
      </c>
    </row>
    <row r="38" hidden="1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9" t="n">
        <v>45291</v>
      </c>
      <c r="G38" s="5" t="n">
        <v>2023</v>
      </c>
      <c r="H38" s="5" t="inlineStr">
        <is>
          <t>Diciembre</t>
        </is>
      </c>
      <c r="I38" s="6" t="inlineStr">
        <is>
          <t>2023-2</t>
        </is>
      </c>
      <c r="J38" s="5" t="n">
        <v>97</v>
      </c>
      <c r="K38" s="5" t="n">
        <v>97.58333333333333</v>
      </c>
      <c r="L38" s="74" t="n">
        <v>1.006013745704467</v>
      </c>
      <c r="M38" s="14" t="n">
        <v>1.006013745704467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77-2023-12-31</t>
        </is>
      </c>
    </row>
    <row r="39" hidden="1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9" t="n">
        <v>45473</v>
      </c>
      <c r="G39" s="5" t="n">
        <v>2024</v>
      </c>
      <c r="H39" s="5" t="inlineStr">
        <is>
          <t>Junio</t>
        </is>
      </c>
      <c r="I39" s="6" t="inlineStr">
        <is>
          <t>2024-1</t>
        </is>
      </c>
      <c r="J39" s="5" t="n">
        <v>97</v>
      </c>
      <c r="K39" s="5" t="n">
        <v>98.33166666666666</v>
      </c>
      <c r="L39" s="14" t="n">
        <v>1.01372852233677</v>
      </c>
      <c r="M39" s="14" t="n">
        <v>1.01372852233677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77-2024-06-30</t>
        </is>
      </c>
    </row>
    <row r="40" hidden="1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9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97</v>
      </c>
      <c r="K40" s="5" t="n">
        <v>96.53333333333335</v>
      </c>
      <c r="L40" s="74" t="n">
        <v>0.9951890034364262</v>
      </c>
      <c r="M40" s="14" t="n">
        <v>0.9951890034364262</v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77-2024-12-31</t>
        </is>
      </c>
    </row>
    <row r="41" hidden="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9" t="n">
        <v>45838</v>
      </c>
      <c r="G41" s="5" t="n">
        <v>2025</v>
      </c>
      <c r="H41" s="5" t="inlineStr">
        <is>
          <t>Junio</t>
        </is>
      </c>
      <c r="I41" s="6" t="inlineStr">
        <is>
          <t>2025-1</t>
        </is>
      </c>
      <c r="J41" s="5" t="n">
        <v>97</v>
      </c>
      <c r="K41" s="5" t="n">
        <v>94.64999999999999</v>
      </c>
      <c r="L41" s="74" t="n">
        <v>0.9757731958762885</v>
      </c>
      <c r="M41" s="14" t="n">
        <v>0.9757731958762885</v>
      </c>
      <c r="N41" s="5" t="inlineStr">
        <is>
          <t>%</t>
        </is>
      </c>
      <c r="O41" s="5" t="inlineStr">
        <is>
          <t>%</t>
        </is>
      </c>
      <c r="P41" s="5" t="n">
        <v>1</v>
      </c>
      <c r="Q41" s="5" t="n">
        <v>1</v>
      </c>
      <c r="R41" s="5" t="inlineStr">
        <is>
          <t>77-2025-06-30</t>
        </is>
      </c>
    </row>
    <row r="42" hidden="1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9" t="n">
        <v>46022</v>
      </c>
      <c r="G42" s="5" t="n">
        <v>2025</v>
      </c>
      <c r="H42" s="5" t="inlineStr">
        <is>
          <t>Diciembre</t>
        </is>
      </c>
      <c r="I42" s="6" t="inlineStr">
        <is>
          <t>2025-2</t>
        </is>
      </c>
      <c r="J42" s="5" t="n">
        <v>97</v>
      </c>
      <c r="K42" s="5" t="n">
        <v>96.78333333333335</v>
      </c>
      <c r="L42" s="74" t="n">
        <v>0.9977663230240551</v>
      </c>
      <c r="M42" s="14" t="n">
        <v>0.9977663230240551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 t="inlineStr">
        <is>
          <t>77-2025-12-31</t>
        </is>
      </c>
    </row>
    <row r="43" hidden="1">
      <c r="A43" s="5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9" t="n">
        <v>46203</v>
      </c>
      <c r="G43" s="5" t="n">
        <v>2026</v>
      </c>
      <c r="H43" s="5" t="inlineStr">
        <is>
          <t>Junio</t>
        </is>
      </c>
      <c r="I43" s="6" t="inlineStr">
        <is>
          <t>2026-1</t>
        </is>
      </c>
      <c r="J43" s="5" t="n">
        <v>97</v>
      </c>
      <c r="K43" s="5" t="n">
        <v>94.5</v>
      </c>
      <c r="L43" s="14" t="n">
        <v>0.9742268041237113</v>
      </c>
      <c r="M43" s="14" t="n">
        <v>0.9742268041237113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1</v>
      </c>
      <c r="R43" s="5" t="inlineStr">
        <is>
          <t>77-2026-06-30</t>
        </is>
      </c>
    </row>
    <row r="44" hidden="1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9" t="n">
        <v>45107</v>
      </c>
      <c r="G44" s="5" t="n">
        <v>2023</v>
      </c>
      <c r="H44" s="5" t="inlineStr">
        <is>
          <t>Junio</t>
        </is>
      </c>
      <c r="I44" s="6" t="inlineStr">
        <is>
          <t>2023-1</t>
        </is>
      </c>
      <c r="J44" s="5" t="n">
        <v>100</v>
      </c>
      <c r="K44" s="5" t="n">
        <v>100</v>
      </c>
      <c r="L44" s="74" t="n">
        <v>1</v>
      </c>
      <c r="M44" s="14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78-2023-06-30</t>
        </is>
      </c>
    </row>
    <row r="45" hidden="1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9" t="n">
        <v>45291</v>
      </c>
      <c r="G45" s="5" t="n">
        <v>2023</v>
      </c>
      <c r="H45" s="5" t="inlineStr">
        <is>
          <t>Diciembre</t>
        </is>
      </c>
      <c r="I45" s="6" t="inlineStr">
        <is>
          <t>2023-2</t>
        </is>
      </c>
      <c r="J45" s="5" t="n">
        <v>100</v>
      </c>
      <c r="K45" s="5" t="n">
        <v>122</v>
      </c>
      <c r="L45" s="14" t="n">
        <v>1.22</v>
      </c>
      <c r="M45" s="14" t="n">
        <v>1.22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78-2023-12-31</t>
        </is>
      </c>
    </row>
    <row r="46" hidden="1">
      <c r="A46" s="26" t="n">
        <v>78</v>
      </c>
      <c r="B46" s="5" t="inlineStr">
        <is>
          <t>Cumplimiento programa de auditoría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9" t="n">
        <v>45473</v>
      </c>
      <c r="G46" s="5" t="n">
        <v>2024</v>
      </c>
      <c r="H46" s="5" t="inlineStr">
        <is>
          <t>Junio</t>
        </is>
      </c>
      <c r="I46" s="6" t="inlineStr">
        <is>
          <t>2024-1</t>
        </is>
      </c>
      <c r="J46" s="5" t="n">
        <v>100</v>
      </c>
      <c r="K46" s="5" t="n">
        <v>80</v>
      </c>
      <c r="L46" s="74" t="n">
        <v>0.8</v>
      </c>
      <c r="M46" s="14" t="n">
        <v>0.8</v>
      </c>
      <c r="N46" s="5" t="n"/>
      <c r="O46" s="5" t="n"/>
      <c r="P46" s="5" t="n">
        <v>0</v>
      </c>
      <c r="Q46" s="5" t="n">
        <v>0</v>
      </c>
      <c r="R46" s="5" t="inlineStr">
        <is>
          <t>78-2024-06-30</t>
        </is>
      </c>
    </row>
    <row r="47" hidden="1">
      <c r="A47" s="5" t="n">
        <v>78</v>
      </c>
      <c r="B47" s="5" t="inlineStr">
        <is>
          <t>Cumplimiento programa de auditoría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9" t="n">
        <v>45657</v>
      </c>
      <c r="G47" s="5" t="n">
        <v>2024</v>
      </c>
      <c r="H47" s="5" t="inlineStr">
        <is>
          <t>Diciembre</t>
        </is>
      </c>
      <c r="I47" s="6" t="inlineStr">
        <is>
          <t>2024-2</t>
        </is>
      </c>
      <c r="J47" s="5" t="n">
        <v>100</v>
      </c>
      <c r="K47" s="5" t="n">
        <v>112.5</v>
      </c>
      <c r="L47" s="14" t="n">
        <v>1.125</v>
      </c>
      <c r="M47" s="14" t="n">
        <v>1.125</v>
      </c>
      <c r="N47" s="5" t="n"/>
      <c r="O47" s="5" t="n"/>
      <c r="P47" s="5" t="n">
        <v>0</v>
      </c>
      <c r="Q47" s="5" t="n">
        <v>0</v>
      </c>
      <c r="R47" s="5" t="inlineStr">
        <is>
          <t>78-2024-12-31</t>
        </is>
      </c>
    </row>
    <row r="48" hidden="1">
      <c r="A48" s="26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9" t="n">
        <v>45107</v>
      </c>
      <c r="G48" s="5" t="n">
        <v>2023</v>
      </c>
      <c r="H48" s="5" t="inlineStr">
        <is>
          <t>Junio</t>
        </is>
      </c>
      <c r="I48" s="6" t="inlineStr">
        <is>
          <t>2023-1</t>
        </is>
      </c>
      <c r="J48" s="5" t="n">
        <v>85</v>
      </c>
      <c r="K48" s="5" t="n">
        <v>100</v>
      </c>
      <c r="L48" s="74" t="n">
        <v>1.176470588235294</v>
      </c>
      <c r="M48" s="14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79-2023-06-30</t>
        </is>
      </c>
    </row>
    <row r="49" hidden="1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09" t="n">
        <v>45169</v>
      </c>
      <c r="G49" s="5" t="n">
        <v>2023</v>
      </c>
      <c r="H49" s="5" t="inlineStr">
        <is>
          <t>Agosto</t>
        </is>
      </c>
      <c r="I49" s="6" t="inlineStr">
        <is>
          <t>2023-2</t>
        </is>
      </c>
      <c r="J49" s="5" t="n">
        <v>85</v>
      </c>
      <c r="K49" s="5" t="n">
        <v>100</v>
      </c>
      <c r="L49" s="74" t="n">
        <v>1.176470588235294</v>
      </c>
      <c r="M49" s="14" t="n">
        <v>1.176470588235294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79-2023-08-31</t>
        </is>
      </c>
    </row>
    <row r="50" hidden="1">
      <c r="A50" s="28" t="n">
        <v>79</v>
      </c>
      <c r="B50" s="5" t="inlineStr">
        <is>
          <t>Cierre Eficaz De Oportunidades De Mejora De Auditoria Interna</t>
        </is>
      </c>
      <c r="C50" s="5" t="inlineStr">
        <is>
          <t>AUDITORÍA INTERNA</t>
        </is>
      </c>
      <c r="D50" s="5" t="inlineStr">
        <is>
          <t>Bimestral</t>
        </is>
      </c>
      <c r="E50" s="5" t="inlineStr">
        <is>
          <t>Positivo</t>
        </is>
      </c>
      <c r="F50" s="109" t="n">
        <v>45230</v>
      </c>
      <c r="G50" s="5" t="n">
        <v>2023</v>
      </c>
      <c r="H50" s="5" t="inlineStr">
        <is>
          <t>Octubre</t>
        </is>
      </c>
      <c r="I50" s="6" t="inlineStr">
        <is>
          <t>2023-2</t>
        </is>
      </c>
      <c r="J50" s="5" t="n">
        <v>85</v>
      </c>
      <c r="K50" s="5" t="n">
        <v>100</v>
      </c>
      <c r="L50" s="74" t="n">
        <v>1.176470588235294</v>
      </c>
      <c r="M50" s="14" t="n">
        <v>1.176470588235294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79-2023-10-31</t>
        </is>
      </c>
    </row>
    <row r="51" hidden="1">
      <c r="A51" s="26" t="n">
        <v>79</v>
      </c>
      <c r="B51" s="5" t="inlineStr">
        <is>
          <t>Cierre Eficaz De Oportunidades De Mejora De Auditoria Interna</t>
        </is>
      </c>
      <c r="C51" s="5" t="inlineStr">
        <is>
          <t>AUDITORÍA INTERNA</t>
        </is>
      </c>
      <c r="D51" s="5" t="inlineStr">
        <is>
          <t>Bimestral</t>
        </is>
      </c>
      <c r="E51" s="5" t="inlineStr">
        <is>
          <t>Positivo</t>
        </is>
      </c>
      <c r="F51" s="109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85</v>
      </c>
      <c r="K51" s="5" t="n">
        <v>95.45</v>
      </c>
      <c r="L51" s="74" t="n">
        <v>1.122941176470588</v>
      </c>
      <c r="M51" s="14" t="n">
        <v>1.122941176470588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79-2023-12-31</t>
        </is>
      </c>
    </row>
    <row r="52" hidden="1">
      <c r="A52" s="5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44926</v>
      </c>
      <c r="G52" s="5" t="n">
        <v>2022</v>
      </c>
      <c r="H52" s="5" t="inlineStr">
        <is>
          <t>Diciembre</t>
        </is>
      </c>
      <c r="I52" s="6" t="inlineStr">
        <is>
          <t>2022-2</t>
        </is>
      </c>
      <c r="J52" s="5" t="n">
        <v>100</v>
      </c>
      <c r="K52" s="5" t="n">
        <v>100</v>
      </c>
      <c r="L52" s="7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84-2022-12-31</t>
        </is>
      </c>
    </row>
    <row r="53" hidden="1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45291</v>
      </c>
      <c r="G53" s="5" t="n">
        <v>2023</v>
      </c>
      <c r="H53" s="5" t="inlineStr">
        <is>
          <t>Diciembre</t>
        </is>
      </c>
      <c r="I53" s="6" t="inlineStr">
        <is>
          <t>2023-2</t>
        </is>
      </c>
      <c r="J53" s="5" t="n">
        <v>100</v>
      </c>
      <c r="K53" s="5" t="n">
        <v>100</v>
      </c>
      <c r="L53" s="7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84-2023-12-31</t>
        </is>
      </c>
    </row>
    <row r="54" hidden="1">
      <c r="A54" s="5" t="n">
        <v>84</v>
      </c>
      <c r="B54" s="20" t="inlineStr">
        <is>
          <t>Funcionamiento del COPASST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45657</v>
      </c>
      <c r="G54" s="15" t="n">
        <v>2024</v>
      </c>
      <c r="H54" s="6" t="inlineStr">
        <is>
          <t>Diciembre</t>
        </is>
      </c>
      <c r="I54" s="6" t="inlineStr">
        <is>
          <t>2024-2</t>
        </is>
      </c>
      <c r="J54" s="5" t="n">
        <v>100</v>
      </c>
      <c r="K54" s="5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84-2024-12-31</t>
        </is>
      </c>
    </row>
    <row r="55" hidden="1">
      <c r="A55" s="26" t="n">
        <v>84</v>
      </c>
      <c r="B55" s="5" t="inlineStr">
        <is>
          <t>Funcionamiento del COPASST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46022</v>
      </c>
      <c r="G55" s="5" t="n">
        <v>2025</v>
      </c>
      <c r="H55" s="5" t="inlineStr">
        <is>
          <t>Diciembre</t>
        </is>
      </c>
      <c r="I55" s="6" t="inlineStr">
        <is>
          <t>2025-2</t>
        </is>
      </c>
      <c r="J55" s="5" t="n">
        <v>100</v>
      </c>
      <c r="K55" s="5" t="n">
        <v>100</v>
      </c>
      <c r="L55" s="7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84-2025-12-31</t>
        </is>
      </c>
    </row>
    <row r="56" hidden="1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44926</v>
      </c>
      <c r="G56" s="5" t="n">
        <v>2022</v>
      </c>
      <c r="H56" s="5" t="inlineStr">
        <is>
          <t>Diciembre</t>
        </is>
      </c>
      <c r="I56" s="6" t="inlineStr">
        <is>
          <t>2022-2</t>
        </is>
      </c>
      <c r="J56" s="5" t="n">
        <v>100</v>
      </c>
      <c r="K56" s="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85-2022-12-31</t>
        </is>
      </c>
    </row>
    <row r="57" hidden="1">
      <c r="A57" s="26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45291</v>
      </c>
      <c r="G57" s="5" t="n">
        <v>2023</v>
      </c>
      <c r="H57" s="5" t="inlineStr">
        <is>
          <t>Diciembre</t>
        </is>
      </c>
      <c r="I57" s="6" t="inlineStr">
        <is>
          <t>2023-2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85-2023-12-31</t>
        </is>
      </c>
    </row>
    <row r="58" hidden="1">
      <c r="A58" s="5" t="n">
        <v>85</v>
      </c>
      <c r="B58" s="5" t="inlineStr">
        <is>
          <t>Plan de Emergencias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9" t="n">
        <v>45657</v>
      </c>
      <c r="G58" s="5" t="n">
        <v>2024</v>
      </c>
      <c r="H58" s="5" t="inlineStr">
        <is>
          <t>Diciembre</t>
        </is>
      </c>
      <c r="I58" s="6" t="inlineStr">
        <is>
          <t>2024-2</t>
        </is>
      </c>
      <c r="J58" s="5" t="n">
        <v>100</v>
      </c>
      <c r="K58" s="10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85-2024-12-31</t>
        </is>
      </c>
    </row>
    <row r="59" hidden="1">
      <c r="A59" s="26" t="n">
        <v>85</v>
      </c>
      <c r="B59" s="5" t="inlineStr">
        <is>
          <t>Plan de Emergencias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9" t="n">
        <v>46022</v>
      </c>
      <c r="G59" s="5" t="n">
        <v>2025</v>
      </c>
      <c r="H59" s="5" t="inlineStr">
        <is>
          <t>Diciembre</t>
        </is>
      </c>
      <c r="I59" s="6" t="inlineStr">
        <is>
          <t>2025-2</t>
        </is>
      </c>
      <c r="J59" s="73" t="n">
        <v>100</v>
      </c>
      <c r="K59" s="9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85-2025-12-31</t>
        </is>
      </c>
    </row>
    <row r="60" hidden="1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Trimestral</t>
        </is>
      </c>
      <c r="E60" s="5" t="inlineStr">
        <is>
          <t>Positivo</t>
        </is>
      </c>
      <c r="F60" s="109" t="n">
        <v>44742</v>
      </c>
      <c r="G60" s="5" t="n">
        <v>2022</v>
      </c>
      <c r="H60" s="5" t="inlineStr">
        <is>
          <t>Junio</t>
        </is>
      </c>
      <c r="I60" s="6" t="inlineStr">
        <is>
          <t>2022-1</t>
        </is>
      </c>
      <c r="J60" s="73" t="n">
        <v>100</v>
      </c>
      <c r="K60" s="9" t="n">
        <v>100</v>
      </c>
      <c r="L60" s="14" t="n">
        <v>1</v>
      </c>
      <c r="M60" s="14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86-2022-06-30</t>
        </is>
      </c>
    </row>
    <row r="61" hidden="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Trimestral</t>
        </is>
      </c>
      <c r="E61" s="5" t="inlineStr">
        <is>
          <t>Positivo</t>
        </is>
      </c>
      <c r="F61" s="109" t="n">
        <v>44926</v>
      </c>
      <c r="G61" s="5" t="n">
        <v>2022</v>
      </c>
      <c r="H61" s="5" t="inlineStr">
        <is>
          <t>Diciembre</t>
        </is>
      </c>
      <c r="I61" s="6" t="inlineStr">
        <is>
          <t>2022-2</t>
        </is>
      </c>
      <c r="J61" s="5" t="n">
        <v>100</v>
      </c>
      <c r="K61" s="5" t="n">
        <v>100</v>
      </c>
      <c r="L61" s="74" t="n">
        <v>1</v>
      </c>
      <c r="M61" s="14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86-2022-12-31</t>
        </is>
      </c>
    </row>
    <row r="62" hidden="1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9" t="n">
        <v>45107</v>
      </c>
      <c r="G62" s="5" t="n">
        <v>2023</v>
      </c>
      <c r="H62" s="5" t="inlineStr">
        <is>
          <t>Junio</t>
        </is>
      </c>
      <c r="I62" s="6" t="inlineStr">
        <is>
          <t>2023-1</t>
        </is>
      </c>
      <c r="J62" s="5" t="n">
        <v>100</v>
      </c>
      <c r="K62" s="5" t="n">
        <v>100</v>
      </c>
      <c r="L62" s="1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86-2023-06-30</t>
        </is>
      </c>
    </row>
    <row r="63" hidden="1">
      <c r="A63" s="26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9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7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86-2023-12-31</t>
        </is>
      </c>
    </row>
    <row r="64" hidden="1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09" t="n">
        <v>45473</v>
      </c>
      <c r="G64" s="5" t="n">
        <v>2024</v>
      </c>
      <c r="H64" s="5" t="inlineStr">
        <is>
          <t>Junio</t>
        </is>
      </c>
      <c r="I64" s="6" t="inlineStr">
        <is>
          <t>2024-1</t>
        </is>
      </c>
      <c r="J64" s="5" t="n">
        <v>100</v>
      </c>
      <c r="K64" s="5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86-2024-06-30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Semestral</t>
        </is>
      </c>
      <c r="E65" s="5" t="inlineStr">
        <is>
          <t>Positivo</t>
        </is>
      </c>
      <c r="F65" s="109" t="n">
        <v>45657</v>
      </c>
      <c r="G65" s="5" t="n">
        <v>2024</v>
      </c>
      <c r="H65" s="5" t="inlineStr">
        <is>
          <t>Diciembre</t>
        </is>
      </c>
      <c r="I65" s="6" t="inlineStr">
        <is>
          <t>2024-2</t>
        </is>
      </c>
      <c r="J65" s="5" t="n">
        <v>100</v>
      </c>
      <c r="K65" s="5" t="n">
        <v>100</v>
      </c>
      <c r="L65" s="7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86-2024-12-31</t>
        </is>
      </c>
    </row>
    <row r="66" hidden="1">
      <c r="A66" s="5" t="n">
        <v>86</v>
      </c>
      <c r="B66" s="5" t="inlineStr">
        <is>
          <t>Reporte e investigación</t>
        </is>
      </c>
      <c r="C66" s="5" t="inlineStr">
        <is>
          <t>GESTIÓN DE SEGURIDAD Y SALUD EN EL TRABAJO</t>
        </is>
      </c>
      <c r="D66" s="5" t="inlineStr">
        <is>
          <t>Semestral</t>
        </is>
      </c>
      <c r="E66" s="5" t="inlineStr">
        <is>
          <t>Positivo</t>
        </is>
      </c>
      <c r="F66" s="109" t="n">
        <v>45838</v>
      </c>
      <c r="G66" s="5" t="n">
        <v>2025</v>
      </c>
      <c r="H66" s="5" t="inlineStr">
        <is>
          <t>Junio</t>
        </is>
      </c>
      <c r="I66" s="6" t="inlineStr">
        <is>
          <t>2025-1</t>
        </is>
      </c>
      <c r="J66" s="5" t="n">
        <v>100</v>
      </c>
      <c r="K66" s="5" t="n">
        <v>100</v>
      </c>
      <c r="L66" s="7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86-2025-06-30</t>
        </is>
      </c>
    </row>
    <row r="67" hidden="1">
      <c r="A67" s="5" t="n">
        <v>86</v>
      </c>
      <c r="B67" s="5" t="inlineStr">
        <is>
          <t>Reporte e investigación</t>
        </is>
      </c>
      <c r="C67" s="5" t="inlineStr">
        <is>
          <t>GESTIÓN DE SEGURIDAD Y SALUD EN EL TRABAJO</t>
        </is>
      </c>
      <c r="D67" s="5" t="inlineStr">
        <is>
          <t>Trimestral</t>
        </is>
      </c>
      <c r="E67" s="5" t="inlineStr">
        <is>
          <t>Positivo</t>
        </is>
      </c>
      <c r="F67" s="109" t="n">
        <v>46022</v>
      </c>
      <c r="G67" s="5" t="n">
        <v>2025</v>
      </c>
      <c r="H67" s="5" t="inlineStr">
        <is>
          <t>Diciembre</t>
        </is>
      </c>
      <c r="I67" s="6" t="inlineStr">
        <is>
          <t>2025-2</t>
        </is>
      </c>
      <c r="J67" s="5" t="n">
        <v>100</v>
      </c>
      <c r="K67" s="5" t="n">
        <v>100</v>
      </c>
      <c r="L67" s="14" t="n">
        <v>1</v>
      </c>
      <c r="M67" s="14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86-2025-12-31</t>
        </is>
      </c>
    </row>
    <row r="68" hidden="1">
      <c r="A68" s="26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9" t="n">
        <v>44926</v>
      </c>
      <c r="G68" s="5" t="n">
        <v>2022</v>
      </c>
      <c r="H68" s="5" t="inlineStr">
        <is>
          <t>Diciembre</t>
        </is>
      </c>
      <c r="I68" s="6" t="inlineStr">
        <is>
          <t>2022-2</t>
        </is>
      </c>
      <c r="J68" s="5" t="n">
        <v>80</v>
      </c>
      <c r="K68" s="10" t="n">
        <v>99</v>
      </c>
      <c r="L68" s="74" t="n">
        <v>1.2375</v>
      </c>
      <c r="M68" s="14" t="n">
        <v>1.2375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87-2022-12-31</t>
        </is>
      </c>
    </row>
    <row r="69" hidden="1">
      <c r="A69" s="26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9" t="n">
        <v>45291</v>
      </c>
      <c r="G69" s="5" t="n">
        <v>2023</v>
      </c>
      <c r="H69" s="5" t="inlineStr">
        <is>
          <t>Diciembre</t>
        </is>
      </c>
      <c r="I69" s="6" t="inlineStr">
        <is>
          <t>2023-2</t>
        </is>
      </c>
      <c r="J69" s="5" t="n">
        <v>90</v>
      </c>
      <c r="K69" s="10" t="n">
        <v>100</v>
      </c>
      <c r="L69" s="74" t="n">
        <v>1.111111111111111</v>
      </c>
      <c r="M69" s="14" t="n">
        <v>1.111111111111111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87-2023-12-31</t>
        </is>
      </c>
    </row>
    <row r="70" hidden="1">
      <c r="A70" s="5" t="n">
        <v>87</v>
      </c>
      <c r="B70" s="5" t="inlineStr">
        <is>
          <t>Autoevaluación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9" t="n">
        <v>45657</v>
      </c>
      <c r="G70" s="5" t="n">
        <v>2024</v>
      </c>
      <c r="H70" s="5" t="inlineStr">
        <is>
          <t>Diciembre</t>
        </is>
      </c>
      <c r="I70" s="6" t="inlineStr">
        <is>
          <t>2024-2</t>
        </is>
      </c>
      <c r="J70" s="5" t="n">
        <v>90</v>
      </c>
      <c r="K70" s="10" t="n">
        <v>100</v>
      </c>
      <c r="L70" s="14" t="n">
        <v>1.111111111111111</v>
      </c>
      <c r="M70" s="14" t="n">
        <v>1.111111111111111</v>
      </c>
      <c r="N70" s="5" t="n"/>
      <c r="O70" s="5" t="n"/>
      <c r="P70" s="5" t="n">
        <v>0</v>
      </c>
      <c r="Q70" s="5" t="n">
        <v>0</v>
      </c>
      <c r="R70" s="5" t="inlineStr">
        <is>
          <t>87-2024-12-31</t>
        </is>
      </c>
    </row>
    <row r="71" hidden="1">
      <c r="A71" s="5" t="n">
        <v>87</v>
      </c>
      <c r="B71" s="5" t="inlineStr">
        <is>
          <t>Autoevaluación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9" t="n">
        <v>46022</v>
      </c>
      <c r="G71" s="5" t="n">
        <v>2025</v>
      </c>
      <c r="H71" s="5" t="inlineStr">
        <is>
          <t>Diciembre</t>
        </is>
      </c>
      <c r="I71" s="6" t="inlineStr">
        <is>
          <t>2025-2</t>
        </is>
      </c>
      <c r="J71" s="5" t="n">
        <v>80</v>
      </c>
      <c r="K71" s="10" t="n">
        <v>100</v>
      </c>
      <c r="L71" s="14" t="n">
        <v>1.25</v>
      </c>
      <c r="M71" s="14" t="n">
        <v>1.25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87-2025-12-31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44926</v>
      </c>
      <c r="G72" s="5" t="n">
        <v>2022</v>
      </c>
      <c r="H72" s="5" t="inlineStr">
        <is>
          <t>Diciembre</t>
        </is>
      </c>
      <c r="I72" s="6" t="inlineStr">
        <is>
          <t>2022-2</t>
        </is>
      </c>
      <c r="J72" s="5" t="n">
        <v>100</v>
      </c>
      <c r="K72" s="5" t="n">
        <v>99.344262295082</v>
      </c>
      <c r="L72" s="74" t="n">
        <v>0.9934426229508201</v>
      </c>
      <c r="M72" s="14" t="n">
        <v>0.9934426229508201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88-2022-12-31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45291</v>
      </c>
      <c r="G73" s="5" t="n">
        <v>2023</v>
      </c>
      <c r="H73" s="5" t="inlineStr">
        <is>
          <t>Diciembre</t>
        </is>
      </c>
      <c r="I73" s="6" t="inlineStr">
        <is>
          <t>2023-2</t>
        </is>
      </c>
      <c r="J73" s="5" t="n">
        <v>100</v>
      </c>
      <c r="K73" s="5" t="n">
        <v>100</v>
      </c>
      <c r="L73" s="74" t="n">
        <v>1</v>
      </c>
      <c r="M73" s="14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88-2023-12-31</t>
        </is>
      </c>
    </row>
    <row r="74" hidden="1">
      <c r="A74" s="5" t="n">
        <v>88</v>
      </c>
      <c r="B74" s="5" t="inlineStr">
        <is>
          <t>Ejecución del plan de trabajo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45657</v>
      </c>
      <c r="G74" s="5" t="n">
        <v>2024</v>
      </c>
      <c r="H74" s="5" t="inlineStr">
        <is>
          <t>Diciembre</t>
        </is>
      </c>
      <c r="I74" s="6" t="inlineStr">
        <is>
          <t>2024-2</t>
        </is>
      </c>
      <c r="J74" s="5" t="n">
        <v>100</v>
      </c>
      <c r="K74" s="5" t="n">
        <v>100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88-2024-12-31</t>
        </is>
      </c>
    </row>
    <row r="75" hidden="1">
      <c r="A75" s="5" t="n">
        <v>88</v>
      </c>
      <c r="B75" s="5" t="inlineStr">
        <is>
          <t>Ejecución del plan de trabajo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9" t="n">
        <v>46022</v>
      </c>
      <c r="G75" s="5" t="n">
        <v>2025</v>
      </c>
      <c r="H75" s="5" t="inlineStr">
        <is>
          <t>Diciembre</t>
        </is>
      </c>
      <c r="I75" s="6" t="inlineStr">
        <is>
          <t>2025-2</t>
        </is>
      </c>
      <c r="J75" s="5" t="n">
        <v>100</v>
      </c>
      <c r="K75" s="5" t="n">
        <v>100</v>
      </c>
      <c r="L75" s="7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88-2025-12-31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9" t="n">
        <v>44926</v>
      </c>
      <c r="G76" s="5" t="n">
        <v>2022</v>
      </c>
      <c r="H76" s="5" t="inlineStr">
        <is>
          <t>Diciembre</t>
        </is>
      </c>
      <c r="I76" s="6" t="inlineStr">
        <is>
          <t>2022-2</t>
        </is>
      </c>
      <c r="J76" s="5" t="n">
        <v>100</v>
      </c>
      <c r="K76" s="5" t="n">
        <v>100</v>
      </c>
      <c r="L76" s="7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89-2022-12-31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9" t="n">
        <v>45291</v>
      </c>
      <c r="G77" s="5" t="n">
        <v>2023</v>
      </c>
      <c r="H77" s="5" t="inlineStr">
        <is>
          <t>Diciembre</t>
        </is>
      </c>
      <c r="I77" s="6" t="inlineStr">
        <is>
          <t>2023-2</t>
        </is>
      </c>
      <c r="J77" s="5" t="n">
        <v>100</v>
      </c>
      <c r="K77" s="5" t="n">
        <v>100</v>
      </c>
      <c r="L77" s="14" t="n">
        <v>1</v>
      </c>
      <c r="M77" s="14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89-2023-12-31</t>
        </is>
      </c>
    </row>
    <row r="78" hidden="1">
      <c r="A78" s="5" t="n">
        <v>89</v>
      </c>
      <c r="B78" s="5" t="inlineStr">
        <is>
          <t>Ejecución plan de capacitación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9" t="n">
        <v>45657</v>
      </c>
      <c r="G78" s="5" t="n">
        <v>2024</v>
      </c>
      <c r="H78" s="5" t="inlineStr">
        <is>
          <t>Diciembre</t>
        </is>
      </c>
      <c r="I78" s="6" t="inlineStr">
        <is>
          <t>2024-2</t>
        </is>
      </c>
      <c r="J78" s="5" t="n">
        <v>100</v>
      </c>
      <c r="K78" s="5" t="n">
        <v>100</v>
      </c>
      <c r="L78" s="74" t="n">
        <v>1</v>
      </c>
      <c r="M78" s="14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89-2024-12-31</t>
        </is>
      </c>
    </row>
    <row r="79" hidden="1">
      <c r="A79" s="5" t="n">
        <v>89</v>
      </c>
      <c r="B79" s="5" t="inlineStr">
        <is>
          <t>Ejecución plan de capacitación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9" t="n">
        <v>46022</v>
      </c>
      <c r="G79" s="5" t="n">
        <v>2025</v>
      </c>
      <c r="H79" s="5" t="inlineStr">
        <is>
          <t>Diciembre</t>
        </is>
      </c>
      <c r="I79" s="6" t="inlineStr">
        <is>
          <t>2025-2</t>
        </is>
      </c>
      <c r="J79" s="5" t="n">
        <v>100</v>
      </c>
      <c r="K79" s="5" t="n">
        <v>100</v>
      </c>
      <c r="L79" s="74" t="n">
        <v>1</v>
      </c>
      <c r="M79" s="14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89-2025-12-31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9" t="n">
        <v>44926</v>
      </c>
      <c r="G80" s="5" t="n">
        <v>2022</v>
      </c>
      <c r="H80" s="5" t="inlineStr">
        <is>
          <t>Diciembre</t>
        </is>
      </c>
      <c r="I80" s="6" t="inlineStr">
        <is>
          <t>2022-2</t>
        </is>
      </c>
      <c r="J80" s="5" t="n">
        <v>100</v>
      </c>
      <c r="K80" s="5" t="n">
        <v>100</v>
      </c>
      <c r="L80" s="1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90-2022-12-31</t>
        </is>
      </c>
    </row>
    <row r="81" hidden="1">
      <c r="A81" s="26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9" t="n">
        <v>45291</v>
      </c>
      <c r="G81" s="5" t="n">
        <v>2023</v>
      </c>
      <c r="H81" s="5" t="inlineStr">
        <is>
          <t>Diciembre</t>
        </is>
      </c>
      <c r="I81" s="6" t="inlineStr">
        <is>
          <t>2023-2</t>
        </is>
      </c>
      <c r="J81" s="5" t="n">
        <v>100</v>
      </c>
      <c r="K81" s="5" t="n">
        <v>100</v>
      </c>
      <c r="L81" s="74" t="n">
        <v>1</v>
      </c>
      <c r="M81" s="14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90-2023-12-31</t>
        </is>
      </c>
    </row>
    <row r="82" hidden="1">
      <c r="A82" s="5" t="n">
        <v>90</v>
      </c>
      <c r="B82" s="5" t="inlineStr">
        <is>
          <t>Ejecución de Simulacros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9" t="n">
        <v>45657</v>
      </c>
      <c r="G82" s="5" t="n">
        <v>2024</v>
      </c>
      <c r="H82" s="5" t="inlineStr">
        <is>
          <t>Diciembre</t>
        </is>
      </c>
      <c r="I82" s="6" t="inlineStr">
        <is>
          <t>2024-2</t>
        </is>
      </c>
      <c r="J82" s="5" t="n">
        <v>100</v>
      </c>
      <c r="K82" s="5" t="n">
        <v>100</v>
      </c>
      <c r="L82" s="1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90-2024-12-31</t>
        </is>
      </c>
    </row>
    <row r="83" hidden="1">
      <c r="A83" s="5" t="n">
        <v>90</v>
      </c>
      <c r="B83" s="5" t="inlineStr">
        <is>
          <t>Ejecución de Simulacros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9" t="n">
        <v>46022</v>
      </c>
      <c r="G83" s="15" t="n">
        <v>2025</v>
      </c>
      <c r="H83" s="6" t="inlineStr">
        <is>
          <t>Diciembre</t>
        </is>
      </c>
      <c r="I83" s="6" t="inlineStr">
        <is>
          <t>2025-2</t>
        </is>
      </c>
      <c r="J83" s="5" t="n">
        <v>100</v>
      </c>
      <c r="K83" s="5" t="n">
        <v>100</v>
      </c>
      <c r="L83" s="74" t="n">
        <v>1</v>
      </c>
      <c r="M83" s="14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90-2025-12-31</t>
        </is>
      </c>
    </row>
    <row r="84" hidden="1">
      <c r="A84" s="26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9" t="n">
        <v>44926</v>
      </c>
      <c r="G84" s="5" t="n">
        <v>2022</v>
      </c>
      <c r="H84" s="5" t="inlineStr">
        <is>
          <t>Diciembre</t>
        </is>
      </c>
      <c r="I84" s="6" t="inlineStr">
        <is>
          <t>2022-2</t>
        </is>
      </c>
      <c r="J84" s="5" t="n">
        <v>100</v>
      </c>
      <c r="K84" s="5" t="n">
        <v>100</v>
      </c>
      <c r="L84" s="74" t="n">
        <v>1</v>
      </c>
      <c r="M84" s="14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91-2022-12-31</t>
        </is>
      </c>
    </row>
    <row r="85" hidden="1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9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100</v>
      </c>
      <c r="K85" s="5" t="n">
        <v>100</v>
      </c>
      <c r="L85" s="14" t="n">
        <v>1</v>
      </c>
      <c r="M85" s="14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91-2023-12-31</t>
        </is>
      </c>
    </row>
    <row r="86" hidden="1">
      <c r="A86" s="5" t="n">
        <v>91</v>
      </c>
      <c r="B86" s="5" t="inlineStr">
        <is>
          <t>Participación en capacitaciones SST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9" t="n">
        <v>45657</v>
      </c>
      <c r="G86" s="5" t="n">
        <v>2024</v>
      </c>
      <c r="H86" s="5" t="inlineStr">
        <is>
          <t>Diciembre</t>
        </is>
      </c>
      <c r="I86" s="6" t="inlineStr">
        <is>
          <t>2024-2</t>
        </is>
      </c>
      <c r="J86" s="5" t="n">
        <v>100</v>
      </c>
      <c r="K86" s="5" t="n">
        <v>100</v>
      </c>
      <c r="L86" s="14" t="n">
        <v>1</v>
      </c>
      <c r="M86" s="14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91-2024-12-31</t>
        </is>
      </c>
    </row>
    <row r="87" hidden="1">
      <c r="A87" s="5" t="n">
        <v>91</v>
      </c>
      <c r="B87" s="5" t="inlineStr">
        <is>
          <t>Participación en capacitaciones SST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9" t="n">
        <v>46022</v>
      </c>
      <c r="G87" s="5" t="n">
        <v>2025</v>
      </c>
      <c r="H87" s="5" t="inlineStr">
        <is>
          <t>Diciembre</t>
        </is>
      </c>
      <c r="I87" s="6" t="inlineStr">
        <is>
          <t>2025-2</t>
        </is>
      </c>
      <c r="J87" s="5" t="n">
        <v>100</v>
      </c>
      <c r="K87" s="5" t="n">
        <v>100</v>
      </c>
      <c r="L87" s="74" t="n">
        <v>1</v>
      </c>
      <c r="M87" s="14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91-2025-12-31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9" t="n">
        <v>44926</v>
      </c>
      <c r="G88" s="5" t="n">
        <v>2022</v>
      </c>
      <c r="H88" s="5" t="inlineStr">
        <is>
          <t>Diciembre</t>
        </is>
      </c>
      <c r="I88" s="6" t="inlineStr">
        <is>
          <t>2022-2</t>
        </is>
      </c>
      <c r="J88" s="5" t="n">
        <v>100</v>
      </c>
      <c r="K88" s="5" t="n">
        <v>100</v>
      </c>
      <c r="L88" s="74" t="n">
        <v>1</v>
      </c>
      <c r="M88" s="14" t="n">
        <v>1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92-2022-12-31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9" t="n">
        <v>45291</v>
      </c>
      <c r="G89" s="5" t="n">
        <v>2023</v>
      </c>
      <c r="H89" s="5" t="inlineStr">
        <is>
          <t>Diciembre</t>
        </is>
      </c>
      <c r="I89" s="6" t="inlineStr">
        <is>
          <t>2023-2</t>
        </is>
      </c>
      <c r="J89" s="5" t="n">
        <v>100</v>
      </c>
      <c r="K89" s="5" t="n">
        <v>100</v>
      </c>
      <c r="L89" s="14" t="n">
        <v>1</v>
      </c>
      <c r="M89" s="14" t="n">
        <v>1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92-2023-12-31</t>
        </is>
      </c>
    </row>
    <row r="90" hidden="1">
      <c r="A90" s="5" t="n">
        <v>92</v>
      </c>
      <c r="B90" s="5" t="inlineStr">
        <is>
          <t>Evaluación condiciones de salud (examen médico)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9" t="n">
        <v>45657</v>
      </c>
      <c r="G90" s="5" t="n">
        <v>2024</v>
      </c>
      <c r="H90" s="5" t="inlineStr">
        <is>
          <t>Diciembre</t>
        </is>
      </c>
      <c r="I90" s="6" t="inlineStr">
        <is>
          <t>2024-2</t>
        </is>
      </c>
      <c r="J90" s="5" t="n">
        <v>98</v>
      </c>
      <c r="K90" s="5" t="n">
        <v>100</v>
      </c>
      <c r="L90" s="74" t="n">
        <v>1.020408163265306</v>
      </c>
      <c r="M90" s="14" t="n">
        <v>1.020408163265306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92-2024-12-31</t>
        </is>
      </c>
    </row>
    <row r="91" hidden="1">
      <c r="A91" s="5" t="n">
        <v>92</v>
      </c>
      <c r="B91" s="5" t="inlineStr">
        <is>
          <t>Evaluación condiciones de salud (examen médico)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9" t="n">
        <v>46022</v>
      </c>
      <c r="G91" s="5" t="n">
        <v>2025</v>
      </c>
      <c r="H91" s="5" t="inlineStr">
        <is>
          <t>Diciembre</t>
        </is>
      </c>
      <c r="I91" s="6" t="inlineStr">
        <is>
          <t>2025-2</t>
        </is>
      </c>
      <c r="J91" s="5" t="n">
        <v>98</v>
      </c>
      <c r="K91" s="5" t="n">
        <v>100</v>
      </c>
      <c r="L91" s="74" t="n">
        <v>1.020408163265306</v>
      </c>
      <c r="M91" s="14" t="n">
        <v>1.020408163265306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92-2025-12-31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9" t="n">
        <v>44926</v>
      </c>
      <c r="G92" s="5" t="n">
        <v>2022</v>
      </c>
      <c r="H92" s="5" t="inlineStr">
        <is>
          <t>Diciembre</t>
        </is>
      </c>
      <c r="I92" s="6" t="inlineStr">
        <is>
          <t>2022-2</t>
        </is>
      </c>
      <c r="J92" s="5" t="n">
        <v>100</v>
      </c>
      <c r="K92" s="5" t="n">
        <v>100</v>
      </c>
      <c r="L92" s="1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94-2022-12-31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09" t="n">
        <v>45291</v>
      </c>
      <c r="G93" s="15" t="n">
        <v>2023</v>
      </c>
      <c r="H93" s="6" t="inlineStr">
        <is>
          <t>Diciembre</t>
        </is>
      </c>
      <c r="I93" s="6" t="inlineStr">
        <is>
          <t>2023-2</t>
        </is>
      </c>
      <c r="J93" s="73" t="n">
        <v>100</v>
      </c>
      <c r="K93" s="9" t="n">
        <v>100</v>
      </c>
      <c r="L93" s="14" t="n">
        <v>1</v>
      </c>
      <c r="M93" s="14" t="n">
        <v>1</v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94-2023-12-31</t>
        </is>
      </c>
    </row>
    <row r="94" hidden="1">
      <c r="A94" s="5" t="n">
        <v>94</v>
      </c>
      <c r="B94" s="5" t="inlineStr">
        <is>
          <t>Cobertura Elementos de Protección Personal</t>
        </is>
      </c>
      <c r="C94" s="5" t="inlineStr">
        <is>
          <t>GESTIÓN DE SEGURIDAD Y SALUD EN EL TRABAJO</t>
        </is>
      </c>
      <c r="D94" s="5" t="inlineStr">
        <is>
          <t>Anual</t>
        </is>
      </c>
      <c r="E94" s="5" t="inlineStr">
        <is>
          <t>Positivo</t>
        </is>
      </c>
      <c r="F94" s="109" t="n">
        <v>45657</v>
      </c>
      <c r="G94" s="15" t="n">
        <v>2024</v>
      </c>
      <c r="H94" s="6" t="inlineStr">
        <is>
          <t>Diciembre</t>
        </is>
      </c>
      <c r="I94" s="6" t="inlineStr">
        <is>
          <t>2024-2</t>
        </is>
      </c>
      <c r="J94" s="73" t="n">
        <v>100</v>
      </c>
      <c r="K94" s="9" t="n">
        <v>100</v>
      </c>
      <c r="L94" s="14" t="n">
        <v>1</v>
      </c>
      <c r="M94" s="14" t="n">
        <v>1</v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94-2024-12-31</t>
        </is>
      </c>
    </row>
    <row r="95" hidden="1">
      <c r="A95" s="5" t="n">
        <v>94</v>
      </c>
      <c r="B95" s="5" t="inlineStr">
        <is>
          <t>Cobertura Elementos de Protección Personal</t>
        </is>
      </c>
      <c r="C95" s="5" t="inlineStr">
        <is>
          <t>GESTIÓN DE SEGURIDAD Y SALUD EN EL TRABAJO</t>
        </is>
      </c>
      <c r="D95" s="5" t="inlineStr">
        <is>
          <t>Anual</t>
        </is>
      </c>
      <c r="E95" s="5" t="inlineStr">
        <is>
          <t>Positivo</t>
        </is>
      </c>
      <c r="F95" s="109" t="n">
        <v>46022</v>
      </c>
      <c r="G95" s="15" t="n">
        <v>2025</v>
      </c>
      <c r="H95" s="6" t="inlineStr">
        <is>
          <t>Diciembre</t>
        </is>
      </c>
      <c r="I95" s="6" t="inlineStr">
        <is>
          <t>2025-2</t>
        </is>
      </c>
      <c r="J95" s="73" t="n">
        <v>100</v>
      </c>
      <c r="K95" s="9" t="n">
        <v>100</v>
      </c>
      <c r="L95" s="14" t="n">
        <v>1</v>
      </c>
      <c r="M95" s="14" t="n">
        <v>1</v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94-2025-12-31</t>
        </is>
      </c>
    </row>
    <row r="96" hidden="1">
      <c r="A96" s="26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Trimestral</t>
        </is>
      </c>
      <c r="E96" s="5" t="inlineStr">
        <is>
          <t>Positivo</t>
        </is>
      </c>
      <c r="F96" s="109" t="n">
        <v>44742</v>
      </c>
      <c r="G96" s="5" t="n">
        <v>2022</v>
      </c>
      <c r="H96" s="5" t="inlineStr">
        <is>
          <t>Junio</t>
        </is>
      </c>
      <c r="I96" s="6" t="inlineStr">
        <is>
          <t>2022-1</t>
        </is>
      </c>
      <c r="J96" s="73" t="n">
        <v>100</v>
      </c>
      <c r="K96" s="9" t="n">
        <v>100</v>
      </c>
      <c r="L96" s="14" t="n">
        <v>1</v>
      </c>
      <c r="M96" s="14" t="n">
        <v>1</v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95-2022-06-30</t>
        </is>
      </c>
    </row>
    <row r="97" hidden="1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Trimestral</t>
        </is>
      </c>
      <c r="E97" s="5" t="inlineStr">
        <is>
          <t>Positivo</t>
        </is>
      </c>
      <c r="F97" s="109" t="n">
        <v>44926</v>
      </c>
      <c r="G97" s="5" t="n">
        <v>2022</v>
      </c>
      <c r="H97" s="5" t="inlineStr">
        <is>
          <t>Diciembre</t>
        </is>
      </c>
      <c r="I97" s="6" t="inlineStr">
        <is>
          <t>2022-2</t>
        </is>
      </c>
      <c r="J97" s="73" t="n">
        <v>100</v>
      </c>
      <c r="K97" s="9" t="n">
        <v>100</v>
      </c>
      <c r="L97" s="14" t="n">
        <v>1</v>
      </c>
      <c r="M97" s="14" t="n">
        <v>1</v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95-2022-12-31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9" t="n">
        <v>45107</v>
      </c>
      <c r="G98" s="5" t="n">
        <v>2023</v>
      </c>
      <c r="H98" s="5" t="inlineStr">
        <is>
          <t>Junio</t>
        </is>
      </c>
      <c r="I98" s="6" t="inlineStr">
        <is>
          <t>2023-1</t>
        </is>
      </c>
      <c r="J98" s="73" t="n">
        <v>100</v>
      </c>
      <c r="K98" s="9" t="n">
        <v>100</v>
      </c>
      <c r="L98" s="14" t="n">
        <v>1</v>
      </c>
      <c r="M98" s="14" t="n">
        <v>1</v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95-2023-06-30</t>
        </is>
      </c>
    </row>
    <row r="99" hidden="1">
      <c r="A99" s="26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9" t="n">
        <v>45291</v>
      </c>
      <c r="G99" s="5" t="n">
        <v>2023</v>
      </c>
      <c r="H99" s="5" t="inlineStr">
        <is>
          <t>Diciembre</t>
        </is>
      </c>
      <c r="I99" s="6" t="inlineStr">
        <is>
          <t>2023-2</t>
        </is>
      </c>
      <c r="J99" s="5" t="n">
        <v>100</v>
      </c>
      <c r="K99" s="5" t="n">
        <v>100</v>
      </c>
      <c r="L99" s="74" t="n">
        <v>1</v>
      </c>
      <c r="M99" s="14" t="n">
        <v>1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95-2023-12-31</t>
        </is>
      </c>
    </row>
    <row r="100" hidden="1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09" t="n">
        <v>45473</v>
      </c>
      <c r="G100" s="15" t="n">
        <v>2024</v>
      </c>
      <c r="H100" s="6" t="inlineStr">
        <is>
          <t>Junio</t>
        </is>
      </c>
      <c r="I100" s="6" t="inlineStr">
        <is>
          <t>2024-1</t>
        </is>
      </c>
      <c r="J100" s="5" t="n">
        <v>100</v>
      </c>
      <c r="K100" s="5" t="n">
        <v>100</v>
      </c>
      <c r="L100" s="74" t="n">
        <v>1</v>
      </c>
      <c r="M100" s="14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95-2024-06-30</t>
        </is>
      </c>
    </row>
    <row r="101" hidden="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Semestral</t>
        </is>
      </c>
      <c r="E101" s="5" t="inlineStr">
        <is>
          <t>Positivo</t>
        </is>
      </c>
      <c r="F101" s="109" t="n">
        <v>45657</v>
      </c>
      <c r="G101" s="5" t="n">
        <v>2024</v>
      </c>
      <c r="H101" s="5" t="inlineStr">
        <is>
          <t>Diciembre</t>
        </is>
      </c>
      <c r="I101" s="6" t="inlineStr">
        <is>
          <t>2024-2</t>
        </is>
      </c>
      <c r="J101" s="5" t="n">
        <v>100</v>
      </c>
      <c r="K101" s="5" t="n">
        <v>100</v>
      </c>
      <c r="L101" s="14" t="n">
        <v>1</v>
      </c>
      <c r="M101" s="14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95-2024-12-31</t>
        </is>
      </c>
    </row>
    <row r="102" hidden="1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Semestral</t>
        </is>
      </c>
      <c r="E102" s="5" t="inlineStr">
        <is>
          <t>Positivo</t>
        </is>
      </c>
      <c r="F102" s="109" t="n">
        <v>45838</v>
      </c>
      <c r="G102" s="5" t="n">
        <v>2025</v>
      </c>
      <c r="H102" s="5" t="inlineStr">
        <is>
          <t>Junio</t>
        </is>
      </c>
      <c r="I102" s="6" t="inlineStr">
        <is>
          <t>2025-1</t>
        </is>
      </c>
      <c r="J102" s="5" t="n">
        <v>100</v>
      </c>
      <c r="K102" s="5" t="n">
        <v>100</v>
      </c>
      <c r="L102" s="14" t="n">
        <v>1</v>
      </c>
      <c r="M102" s="14" t="n">
        <v>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95-2025-06-30</t>
        </is>
      </c>
    </row>
    <row r="103" hidden="1">
      <c r="A103" s="26" t="n">
        <v>95</v>
      </c>
      <c r="B103" s="5" t="inlineStr">
        <is>
          <t>Inspecciones de seguridad</t>
        </is>
      </c>
      <c r="C103" s="5" t="inlineStr">
        <is>
          <t>GESTIÓN DE SEGURIDAD Y SALUD EN EL TRABAJO</t>
        </is>
      </c>
      <c r="D103" s="5" t="inlineStr">
        <is>
          <t>Trimestral</t>
        </is>
      </c>
      <c r="E103" s="5" t="inlineStr">
        <is>
          <t>Positivo</t>
        </is>
      </c>
      <c r="F103" s="109" t="n">
        <v>46022</v>
      </c>
      <c r="G103" s="5" t="n">
        <v>2025</v>
      </c>
      <c r="H103" s="5" t="inlineStr">
        <is>
          <t>Diciembre</t>
        </is>
      </c>
      <c r="I103" s="6" t="inlineStr">
        <is>
          <t>2025-2</t>
        </is>
      </c>
      <c r="J103" s="5" t="n">
        <v>100</v>
      </c>
      <c r="K103" s="10" t="n">
        <v>100</v>
      </c>
      <c r="L103" s="14" t="n">
        <v>1</v>
      </c>
      <c r="M103" s="14" t="n">
        <v>1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95-2025-12-31</t>
        </is>
      </c>
    </row>
    <row r="104" hidden="1">
      <c r="A104" s="26" t="n">
        <v>96</v>
      </c>
      <c r="B104" s="5" t="inlineStr">
        <is>
          <t>Productos de investigación, innovación y creación</t>
        </is>
      </c>
      <c r="C104" s="5" t="inlineStr">
        <is>
          <t>Investigación, desarrollo tecnológico, innovación y creación</t>
        </is>
      </c>
      <c r="D104" s="5" t="inlineStr">
        <is>
          <t>Semestral</t>
        </is>
      </c>
      <c r="E104" s="5" t="inlineStr">
        <is>
          <t>Positivo</t>
        </is>
      </c>
      <c r="F104" s="109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509</v>
      </c>
      <c r="K104" s="5" t="n">
        <v>566</v>
      </c>
      <c r="L104" s="14" t="n">
        <v>1.111984282907662</v>
      </c>
      <c r="M104" s="14" t="n">
        <v>1.111984282907662</v>
      </c>
      <c r="N104" s="5" t="inlineStr">
        <is>
          <t>ENT</t>
        </is>
      </c>
      <c r="O104" s="5" t="inlineStr">
        <is>
          <t>ENT</t>
        </is>
      </c>
      <c r="P104" s="5" t="n">
        <v>0</v>
      </c>
      <c r="Q104" s="5" t="n">
        <v>0</v>
      </c>
      <c r="R104" s="5" t="inlineStr">
        <is>
          <t>96-2022-12-31</t>
        </is>
      </c>
    </row>
    <row r="105" hidden="1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9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5" t="n">
        <v>100</v>
      </c>
      <c r="K105" s="10" t="n">
        <v>98.3</v>
      </c>
      <c r="L105" s="14" t="n">
        <v>0.983</v>
      </c>
      <c r="M105" s="14" t="n">
        <v>0.983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100-2022-12-31</t>
        </is>
      </c>
    </row>
    <row r="106" hidden="1">
      <c r="A106" s="26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9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5" t="n">
        <v>100</v>
      </c>
      <c r="K106" s="5" t="n">
        <v>99</v>
      </c>
      <c r="L106" s="14" t="n">
        <v>0.99</v>
      </c>
      <c r="M106" s="14" t="n">
        <v>0.99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100-2023-12-31</t>
        </is>
      </c>
    </row>
    <row r="107" hidden="1">
      <c r="A107" s="5" t="n">
        <v>100</v>
      </c>
      <c r="B107" s="5" t="inlineStr">
        <is>
          <t>Cumplimiento de requisitos legales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9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100</v>
      </c>
      <c r="K107" s="5" t="n">
        <v>99</v>
      </c>
      <c r="L107" s="14" t="n">
        <v>0.99</v>
      </c>
      <c r="M107" s="14" t="n">
        <v>0.99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100-2024-12-31</t>
        </is>
      </c>
    </row>
    <row r="108" hidden="1">
      <c r="A108" s="5" t="n">
        <v>100</v>
      </c>
      <c r="B108" s="5" t="inlineStr">
        <is>
          <t>Cumplimiento de requisitos legales 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9" t="n">
        <v>46022</v>
      </c>
      <c r="G108" s="5" t="n">
        <v>2025</v>
      </c>
      <c r="H108" s="5" t="inlineStr">
        <is>
          <t>Diciembre</t>
        </is>
      </c>
      <c r="I108" s="6" t="inlineStr">
        <is>
          <t>2025-2</t>
        </is>
      </c>
      <c r="J108" s="5" t="n">
        <v>100</v>
      </c>
      <c r="K108" s="5" t="n">
        <v>100</v>
      </c>
      <c r="L108" s="14" t="n">
        <v>1</v>
      </c>
      <c r="M108" s="14" t="n">
        <v>1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100-2025-12-31</t>
        </is>
      </c>
    </row>
    <row r="109" hidden="1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9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2.14</v>
      </c>
      <c r="K109" s="5" t="n">
        <v>0.37174721189591</v>
      </c>
      <c r="L109" s="14" t="n">
        <v>1.3</v>
      </c>
      <c r="M109" s="14" t="n">
        <v>5.756600000000013</v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104-2022-12-31</t>
        </is>
      </c>
    </row>
    <row r="110" hidden="1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9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2.14</v>
      </c>
      <c r="K110" s="5" t="n">
        <v>0.47</v>
      </c>
      <c r="L110" s="14" t="n">
        <v>1.3</v>
      </c>
      <c r="M110" s="14" t="n">
        <v>4.553191489361702</v>
      </c>
      <c r="N110" s="5" t="inlineStr">
        <is>
          <t>DEC</t>
        </is>
      </c>
      <c r="O110" s="5" t="inlineStr">
        <is>
          <t>DEC</t>
        </is>
      </c>
      <c r="P110" s="5" t="n">
        <v>2</v>
      </c>
      <c r="Q110" s="5" t="n">
        <v>2</v>
      </c>
      <c r="R110" s="5" t="inlineStr">
        <is>
          <t>104-2023-12-31</t>
        </is>
      </c>
    </row>
    <row r="111" hidden="1">
      <c r="A111" s="26" t="n">
        <v>104</v>
      </c>
      <c r="B111" s="5" t="inlineStr">
        <is>
          <t>Tasa de accidentalidad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9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1.2</v>
      </c>
      <c r="K111" s="5" t="n">
        <v>0.11</v>
      </c>
      <c r="L111" s="14" t="n">
        <v>1.3</v>
      </c>
      <c r="M111" s="14" t="n">
        <v>10.90909090909091</v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104-2024-12-31</t>
        </is>
      </c>
    </row>
    <row r="112" hidden="1">
      <c r="A112" s="26" t="n">
        <v>104</v>
      </c>
      <c r="B112" s="5" t="inlineStr">
        <is>
          <t>Tasa de accidentalidad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9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2.14</v>
      </c>
      <c r="K112" s="5" t="n">
        <v>0.21</v>
      </c>
      <c r="L112" s="14" t="n">
        <v>1.3</v>
      </c>
      <c r="M112" s="14" t="n">
        <v>10.19047619047619</v>
      </c>
      <c r="N112" s="5" t="inlineStr">
        <is>
          <t>DEC</t>
        </is>
      </c>
      <c r="O112" s="5" t="inlineStr">
        <is>
          <t>DEC</t>
        </is>
      </c>
      <c r="P112" s="5" t="n">
        <v>1</v>
      </c>
      <c r="Q112" s="5" t="n">
        <v>2</v>
      </c>
      <c r="R112" s="5" t="inlineStr">
        <is>
          <t>104-2025-12-31</t>
        </is>
      </c>
    </row>
    <row r="113" hidden="1">
      <c r="A113" s="5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9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0</v>
      </c>
      <c r="K113" s="5" t="n">
        <v>0</v>
      </c>
      <c r="L113" s="14" t="n">
        <v>1</v>
      </c>
      <c r="M113" s="14" t="n">
        <v>1</v>
      </c>
      <c r="N113" s="5" t="inlineStr">
        <is>
          <t>DEC</t>
        </is>
      </c>
      <c r="O113" s="5" t="inlineStr">
        <is>
          <t>DEC</t>
        </is>
      </c>
      <c r="P113" s="5" t="n">
        <v>0</v>
      </c>
      <c r="Q113" s="5" t="n">
        <v>0</v>
      </c>
      <c r="R113" s="5" t="inlineStr">
        <is>
          <t>106-2022-12-31</t>
        </is>
      </c>
    </row>
    <row r="114" hidden="1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09" t="n">
        <v>45291</v>
      </c>
      <c r="G114" s="5" t="n">
        <v>2023</v>
      </c>
      <c r="H114" s="5" t="inlineStr">
        <is>
          <t>Diciembre</t>
        </is>
      </c>
      <c r="I114" s="6" t="inlineStr">
        <is>
          <t>2023-2</t>
        </is>
      </c>
      <c r="J114" s="5" t="n">
        <v>0</v>
      </c>
      <c r="K114" s="5" t="n">
        <v>0</v>
      </c>
      <c r="L114" s="14" t="n">
        <v>1</v>
      </c>
      <c r="M114" s="14" t="n">
        <v>1</v>
      </c>
      <c r="N114" s="5" t="inlineStr">
        <is>
          <t>ENT</t>
        </is>
      </c>
      <c r="O114" s="5" t="inlineStr">
        <is>
          <t>ENT</t>
        </is>
      </c>
      <c r="P114" s="5" t="n">
        <v>0</v>
      </c>
      <c r="Q114" s="5" t="n">
        <v>0</v>
      </c>
      <c r="R114" s="5" t="inlineStr">
        <is>
          <t>106-2023-12-31</t>
        </is>
      </c>
    </row>
    <row r="115" hidden="1">
      <c r="A115" s="26" t="n">
        <v>106</v>
      </c>
      <c r="B115" s="5" t="inlineStr">
        <is>
          <t>Mortalidad de los accidentes laborales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109" t="n">
        <v>45657</v>
      </c>
      <c r="G115" s="5" t="n">
        <v>2024</v>
      </c>
      <c r="H115" s="5" t="inlineStr">
        <is>
          <t>Diciembre</t>
        </is>
      </c>
      <c r="I115" s="6" t="inlineStr">
        <is>
          <t>2024-2</t>
        </is>
      </c>
      <c r="J115" s="5" t="n">
        <v>0</v>
      </c>
      <c r="K115" s="5" t="n">
        <v>0</v>
      </c>
      <c r="L115" s="14" t="n">
        <v>1</v>
      </c>
      <c r="M115" s="14" t="n">
        <v>1</v>
      </c>
      <c r="N115" s="5" t="inlineStr">
        <is>
          <t>ENT</t>
        </is>
      </c>
      <c r="O115" s="5" t="inlineStr">
        <is>
          <t>ENT</t>
        </is>
      </c>
      <c r="P115" s="5" t="n">
        <v>0</v>
      </c>
      <c r="Q115" s="5" t="n">
        <v>0</v>
      </c>
      <c r="R115" s="5" t="inlineStr">
        <is>
          <t>106-2024-12-31</t>
        </is>
      </c>
    </row>
    <row r="116" hidden="1">
      <c r="A116" s="26" t="n">
        <v>106</v>
      </c>
      <c r="B116" s="5" t="inlineStr">
        <is>
          <t>Mortalidad de los accidentes laborales</t>
        </is>
      </c>
      <c r="C116" s="5" t="inlineStr">
        <is>
          <t>GESTIÓN DE SEGURIDAD Y SALUD EN EL TRABAJO</t>
        </is>
      </c>
      <c r="D116" s="5" t="inlineStr">
        <is>
          <t>Anual</t>
        </is>
      </c>
      <c r="E116" s="5" t="inlineStr">
        <is>
          <t>Negativo</t>
        </is>
      </c>
      <c r="F116" s="109" t="n">
        <v>46022</v>
      </c>
      <c r="G116" s="5" t="n">
        <v>2025</v>
      </c>
      <c r="H116" s="5" t="inlineStr">
        <is>
          <t>Diciembre</t>
        </is>
      </c>
      <c r="I116" s="6" t="inlineStr">
        <is>
          <t>2025-2</t>
        </is>
      </c>
      <c r="J116" s="5" t="n">
        <v>0</v>
      </c>
      <c r="K116" s="5" t="n">
        <v>0</v>
      </c>
      <c r="L116" s="14" t="n">
        <v>1</v>
      </c>
      <c r="M116" s="14" t="n">
        <v>1</v>
      </c>
      <c r="N116" s="5" t="inlineStr">
        <is>
          <t>DEC</t>
        </is>
      </c>
      <c r="O116" s="5" t="inlineStr">
        <is>
          <t>DEC</t>
        </is>
      </c>
      <c r="P116" s="5" t="n">
        <v>0</v>
      </c>
      <c r="Q116" s="5" t="n">
        <v>0</v>
      </c>
      <c r="R116" s="5" t="inlineStr">
        <is>
          <t>106-2025-12-31</t>
        </is>
      </c>
    </row>
    <row r="117" hidden="1">
      <c r="A117" s="5" t="n">
        <v>108</v>
      </c>
      <c r="B117" s="5" t="inlineStr">
        <is>
          <t>Nivel de Satisfacción Servicios Prestados</t>
        </is>
      </c>
      <c r="C117" s="5" t="inlineStr">
        <is>
          <t>DIRECCIONAMIENTO ESTRATÉGICO</t>
        </is>
      </c>
      <c r="D117" s="5" t="inlineStr">
        <is>
          <t>Anual</t>
        </is>
      </c>
      <c r="E117" s="5" t="inlineStr">
        <is>
          <t>Positivo</t>
        </is>
      </c>
      <c r="F117" s="109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8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108-2023-12-31</t>
        </is>
      </c>
    </row>
    <row r="118" hidden="1">
      <c r="A118" s="26" t="n">
        <v>108</v>
      </c>
      <c r="B118" s="5" t="inlineStr">
        <is>
          <t>Nivel de Satisfacción Servicios Prestados</t>
        </is>
      </c>
      <c r="C118" s="5" t="inlineStr">
        <is>
          <t>DIRECCIONAMIENTO ESTRATÉGICO</t>
        </is>
      </c>
      <c r="D118" s="5" t="inlineStr">
        <is>
          <t>Anual</t>
        </is>
      </c>
      <c r="E118" s="5" t="inlineStr">
        <is>
          <t>Positivo</t>
        </is>
      </c>
      <c r="F118" s="109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15" t="n"/>
      <c r="L118" s="14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108-2024-12-31</t>
        </is>
      </c>
    </row>
    <row r="119" hidden="1">
      <c r="A119" s="26" t="n">
        <v>109</v>
      </c>
      <c r="B119" s="5" t="inlineStr">
        <is>
          <t>Nivel de Satisfacción Servicios Prestados</t>
        </is>
      </c>
      <c r="C119" s="5" t="inlineStr">
        <is>
          <t>COMUNICACIÓN Y POSICIONAMIENTO ESTRATÉGICO</t>
        </is>
      </c>
      <c r="D119" s="5" t="inlineStr">
        <is>
          <t>Anual</t>
        </is>
      </c>
      <c r="E119" s="5" t="inlineStr">
        <is>
          <t>Positivo</t>
        </is>
      </c>
      <c r="F119" s="109" t="n">
        <v>45291</v>
      </c>
      <c r="G119" s="5" t="n">
        <v>2023</v>
      </c>
      <c r="H119" s="5" t="inlineStr">
        <is>
          <t>Diciembre</t>
        </is>
      </c>
      <c r="I119" s="6" t="inlineStr">
        <is>
          <t>2023-2</t>
        </is>
      </c>
      <c r="J119" s="5" t="n"/>
      <c r="K119" s="15" t="n"/>
      <c r="L119" s="14" t="n"/>
      <c r="M119" s="14" t="n"/>
      <c r="N119" s="5" t="n"/>
      <c r="O119" s="5" t="n"/>
      <c r="P119" s="5" t="n">
        <v>0</v>
      </c>
      <c r="Q119" s="5" t="n">
        <v>0</v>
      </c>
      <c r="R119" s="5" t="inlineStr">
        <is>
          <t>109-2023-12-31</t>
        </is>
      </c>
    </row>
    <row r="120" hidden="1">
      <c r="A120" s="5" t="n">
        <v>109</v>
      </c>
      <c r="B120" s="5" t="inlineStr">
        <is>
          <t>Nivel de Satisfacción Servicios Prestados</t>
        </is>
      </c>
      <c r="C120" s="5" t="inlineStr">
        <is>
          <t>Comunicaciones Internas</t>
        </is>
      </c>
      <c r="D120" s="5" t="inlineStr">
        <is>
          <t>Anual</t>
        </is>
      </c>
      <c r="E120" s="5" t="inlineStr">
        <is>
          <t>Positivo</t>
        </is>
      </c>
      <c r="F120" s="109" t="n">
        <v>45657</v>
      </c>
      <c r="G120" s="5" t="n">
        <v>2024</v>
      </c>
      <c r="H120" s="5" t="inlineStr">
        <is>
          <t>Diciembre</t>
        </is>
      </c>
      <c r="I120" s="6" t="inlineStr">
        <is>
          <t>2024-2</t>
        </is>
      </c>
      <c r="J120" s="5" t="n"/>
      <c r="K120" s="15" t="n"/>
      <c r="L120" s="14" t="n"/>
      <c r="M120" s="14" t="n"/>
      <c r="N120" s="5" t="n"/>
      <c r="O120" s="5" t="n"/>
      <c r="P120" s="5" t="n">
        <v>0</v>
      </c>
      <c r="Q120" s="5" t="n">
        <v>0</v>
      </c>
      <c r="R120" s="5" t="inlineStr">
        <is>
          <t>109-2024-12-31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Planeación Financiera</t>
        </is>
      </c>
      <c r="D121" s="5" t="inlineStr">
        <is>
          <t>Anual</t>
        </is>
      </c>
      <c r="E121" s="5" t="inlineStr">
        <is>
          <t>Positivo</t>
        </is>
      </c>
      <c r="F121" s="109" t="n">
        <v>44865</v>
      </c>
      <c r="G121" s="5" t="n">
        <v>2022</v>
      </c>
      <c r="H121" s="5" t="inlineStr">
        <is>
          <t>Octubre</t>
        </is>
      </c>
      <c r="I121" s="6" t="inlineStr">
        <is>
          <t>2022-2</t>
        </is>
      </c>
      <c r="J121" s="5" t="n">
        <v>80</v>
      </c>
      <c r="K121" s="5" t="n">
        <v>73.4019151138716</v>
      </c>
      <c r="L121" s="14" t="n">
        <v>0.9175239389233949</v>
      </c>
      <c r="M121" s="14" t="n">
        <v>0.9175239389233949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110-2022-10-31</t>
        </is>
      </c>
    </row>
    <row r="122" hidden="1">
      <c r="A122" s="26" t="n">
        <v>110</v>
      </c>
      <c r="B122" s="5" t="inlineStr">
        <is>
          <t>Nivel de Satisfacción Servicios Prestados</t>
        </is>
      </c>
      <c r="C122" s="5" t="inlineStr">
        <is>
          <t>Planeación Financiera</t>
        </is>
      </c>
      <c r="D122" s="5" t="inlineStr">
        <is>
          <t>Anual</t>
        </is>
      </c>
      <c r="E122" s="5" t="inlineStr">
        <is>
          <t>Positivo</t>
        </is>
      </c>
      <c r="F122" s="109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78</v>
      </c>
      <c r="L122" s="14" t="n">
        <v>0.975</v>
      </c>
      <c r="M122" s="14" t="n">
        <v>0.975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110-2023-12-31</t>
        </is>
      </c>
    </row>
    <row r="123" hidden="1">
      <c r="A123" s="5" t="n">
        <v>110</v>
      </c>
      <c r="B123" s="5" t="inlineStr">
        <is>
          <t>Nivel de Satisfacción Servicios Prestados</t>
        </is>
      </c>
      <c r="C123" s="5" t="inlineStr">
        <is>
          <t>GESTIÓN FINANCIERA</t>
        </is>
      </c>
      <c r="D123" s="5" t="inlineStr">
        <is>
          <t>Anual</t>
        </is>
      </c>
      <c r="E123" s="5" t="inlineStr">
        <is>
          <t>Positivo</t>
        </is>
      </c>
      <c r="F123" s="109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/>
      <c r="K123" s="5" t="n"/>
      <c r="L123" s="14" t="n"/>
      <c r="M123" s="14" t="n"/>
      <c r="N123" s="5" t="n"/>
      <c r="O123" s="5" t="n"/>
      <c r="P123" s="5" t="n">
        <v>0</v>
      </c>
      <c r="Q123" s="5" t="n">
        <v>0</v>
      </c>
      <c r="R123" s="5" t="inlineStr">
        <is>
          <t>110-2024-12-31</t>
        </is>
      </c>
    </row>
    <row r="124" hidden="1">
      <c r="A124" s="26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Semestral</t>
        </is>
      </c>
      <c r="E124" s="5" t="inlineStr">
        <is>
          <t>Positivo</t>
        </is>
      </c>
      <c r="F124" s="109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80</v>
      </c>
      <c r="K124" s="5" t="n">
        <v>70</v>
      </c>
      <c r="L124" s="14" t="n">
        <v>0.875</v>
      </c>
      <c r="M124" s="14" t="n">
        <v>0.875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111-2022-12-31</t>
        </is>
      </c>
    </row>
    <row r="125" hidden="1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9" t="n">
        <v>45107</v>
      </c>
      <c r="G125" s="5" t="n">
        <v>2023</v>
      </c>
      <c r="H125" s="5" t="inlineStr">
        <is>
          <t>Junio</t>
        </is>
      </c>
      <c r="I125" s="6" t="inlineStr">
        <is>
          <t>2023-1</t>
        </is>
      </c>
      <c r="J125" s="5" t="n">
        <v>80</v>
      </c>
      <c r="K125" s="5" t="n">
        <v>88.5</v>
      </c>
      <c r="L125" s="14" t="n">
        <v>1.10625</v>
      </c>
      <c r="M125" s="14" t="n">
        <v>1.10625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111-2023-06-30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9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80</v>
      </c>
      <c r="K126" s="5" t="n">
        <v>94.5</v>
      </c>
      <c r="L126" s="14" t="n">
        <v>1.18125</v>
      </c>
      <c r="M126" s="14" t="n">
        <v>1.18125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111-2023-12-31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09" t="n">
        <v>45473</v>
      </c>
      <c r="G127" s="5" t="n">
        <v>2024</v>
      </c>
      <c r="H127" s="5" t="inlineStr">
        <is>
          <t>Junio</t>
        </is>
      </c>
      <c r="I127" s="6" t="inlineStr">
        <is>
          <t>2024-1</t>
        </is>
      </c>
      <c r="J127" s="5" t="n">
        <v>80</v>
      </c>
      <c r="K127" s="5" t="n">
        <v>96</v>
      </c>
      <c r="L127" s="74" t="n">
        <v>1.2</v>
      </c>
      <c r="M127" s="14" t="n">
        <v>1.2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111-2024-06-30</t>
        </is>
      </c>
    </row>
    <row r="128" hidden="1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Trimestral</t>
        </is>
      </c>
      <c r="E128" s="5" t="inlineStr">
        <is>
          <t>Positivo</t>
        </is>
      </c>
      <c r="F128" s="109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80</v>
      </c>
      <c r="K128" s="5" t="n">
        <v>89.34999999999999</v>
      </c>
      <c r="L128" s="74" t="n">
        <v>1.116875</v>
      </c>
      <c r="M128" s="14" t="n">
        <v>1.116875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111-2024-12-31</t>
        </is>
      </c>
    </row>
    <row r="129" hidden="1">
      <c r="A129" s="5" t="n">
        <v>111</v>
      </c>
      <c r="B129" s="5" t="inlineStr">
        <is>
          <t>Nivel de Satisfacción Servicios Prestados</t>
        </is>
      </c>
      <c r="C129" s="5" t="inlineStr">
        <is>
          <t>GESTIÓN DE ABASTECIMIENTO</t>
        </is>
      </c>
      <c r="D129" s="5" t="inlineStr">
        <is>
          <t>Trimestral</t>
        </is>
      </c>
      <c r="E129" s="5" t="inlineStr">
        <is>
          <t>Positivo</t>
        </is>
      </c>
      <c r="F129" s="109" t="n">
        <v>45838</v>
      </c>
      <c r="G129" s="5" t="n">
        <v>2025</v>
      </c>
      <c r="H129" s="5" t="inlineStr">
        <is>
          <t>Junio</t>
        </is>
      </c>
      <c r="I129" s="6" t="inlineStr">
        <is>
          <t>2025-1</t>
        </is>
      </c>
      <c r="J129" s="5" t="n">
        <v>80</v>
      </c>
      <c r="K129" s="5" t="n">
        <v>92.7</v>
      </c>
      <c r="L129" s="14" t="n">
        <v>1.15875</v>
      </c>
      <c r="M129" s="14" t="n">
        <v>1.15875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111-2025-06-30</t>
        </is>
      </c>
    </row>
    <row r="130" hidden="1">
      <c r="A130" s="28" t="n">
        <v>111</v>
      </c>
      <c r="B130" s="5" t="inlineStr">
        <is>
          <t>Nivel de Satisfacción Servicios Prestados</t>
        </is>
      </c>
      <c r="C130" s="5" t="inlineStr">
        <is>
          <t>GESTIÓN DE ABASTECIMIENTO</t>
        </is>
      </c>
      <c r="D130" s="5" t="inlineStr">
        <is>
          <t>Semestral</t>
        </is>
      </c>
      <c r="E130" s="5" t="inlineStr">
        <is>
          <t>Positivo</t>
        </is>
      </c>
      <c r="F130" s="109" t="n">
        <v>46022</v>
      </c>
      <c r="G130" s="5" t="n">
        <v>2025</v>
      </c>
      <c r="H130" s="5" t="inlineStr">
        <is>
          <t>Diciembre</t>
        </is>
      </c>
      <c r="I130" s="6" t="inlineStr">
        <is>
          <t>2025-2</t>
        </is>
      </c>
      <c r="J130" s="5" t="n">
        <v>80</v>
      </c>
      <c r="K130" s="5" t="n">
        <v>94.55</v>
      </c>
      <c r="L130" s="14" t="n">
        <v>1.181875</v>
      </c>
      <c r="M130" s="14" t="n">
        <v>1.181875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111-2025-12-31</t>
        </is>
      </c>
    </row>
    <row r="131" hidden="1">
      <c r="A131" s="26" t="n">
        <v>111</v>
      </c>
      <c r="B131" s="5" t="inlineStr">
        <is>
          <t>Nivel de Satisfacción Servicios Prestados</t>
        </is>
      </c>
      <c r="C131" s="5" t="inlineStr">
        <is>
          <t>GESTIÓN DE ABASTECIMIENTO</t>
        </is>
      </c>
      <c r="D131" s="5" t="inlineStr">
        <is>
          <t>Semestral</t>
        </is>
      </c>
      <c r="E131" s="5" t="inlineStr">
        <is>
          <t>Positivo</t>
        </is>
      </c>
      <c r="F131" s="109" t="n">
        <v>46203</v>
      </c>
      <c r="G131" s="5" t="n">
        <v>2026</v>
      </c>
      <c r="H131" s="5" t="inlineStr">
        <is>
          <t>Junio</t>
        </is>
      </c>
      <c r="I131" s="6" t="inlineStr">
        <is>
          <t>2026-1</t>
        </is>
      </c>
      <c r="J131" s="5" t="n">
        <v>80</v>
      </c>
      <c r="K131" s="5" t="n">
        <v>97.59999999999999</v>
      </c>
      <c r="L131" s="14" t="n">
        <v>1.22</v>
      </c>
      <c r="M131" s="14" t="n">
        <v>1.22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111-2026-06-30</t>
        </is>
      </c>
    </row>
    <row r="132" hidden="1">
      <c r="A132" s="26" t="n">
        <v>112</v>
      </c>
      <c r="B132" s="5" t="inlineStr">
        <is>
          <t>Nivel de Satisfacción Servicios Prestados</t>
        </is>
      </c>
      <c r="C132" s="5" t="inlineStr">
        <is>
          <t>Gestión Infraestructura Física</t>
        </is>
      </c>
      <c r="D132" s="5" t="inlineStr">
        <is>
          <t>Anual</t>
        </is>
      </c>
      <c r="E132" s="5" t="inlineStr">
        <is>
          <t>Positivo</t>
        </is>
      </c>
      <c r="F132" s="109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85</v>
      </c>
      <c r="L132" s="74" t="n">
        <v>1.0625</v>
      </c>
      <c r="M132" s="14" t="n">
        <v>1.0625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112-2022-10-31</t>
        </is>
      </c>
    </row>
    <row r="133" hidden="1">
      <c r="A133" s="26" t="n">
        <v>112</v>
      </c>
      <c r="B133" s="5" t="inlineStr">
        <is>
          <t>Nivel de Satisfacción Servicios Prestados</t>
        </is>
      </c>
      <c r="C133" s="5" t="inlineStr">
        <is>
          <t>Gestión Infraestructura Física</t>
        </is>
      </c>
      <c r="D133" s="5" t="inlineStr">
        <is>
          <t>Anual</t>
        </is>
      </c>
      <c r="E133" s="5" t="inlineStr">
        <is>
          <t>Positivo</t>
        </is>
      </c>
      <c r="F133" s="109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80</v>
      </c>
      <c r="K133" s="5" t="n">
        <v>89.60384728437799</v>
      </c>
      <c r="L133" s="74" t="n">
        <v>1.120048091054725</v>
      </c>
      <c r="M133" s="14" t="n">
        <v>1.120048091054725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112-2023-12-31</t>
        </is>
      </c>
    </row>
    <row r="134" hidden="1">
      <c r="A134" s="5" t="n">
        <v>112</v>
      </c>
      <c r="B134" s="5" t="inlineStr">
        <is>
          <t>Nivel de Satisfacción Servicios Prestados</t>
        </is>
      </c>
      <c r="C134" s="5" t="inlineStr">
        <is>
          <t>Gestión Infraestructura Física</t>
        </is>
      </c>
      <c r="D134" s="5" t="inlineStr">
        <is>
          <t>Anual</t>
        </is>
      </c>
      <c r="E134" s="5" t="inlineStr">
        <is>
          <t>Positivo</t>
        </is>
      </c>
      <c r="F134" s="109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96" t="n">
        <v>80</v>
      </c>
      <c r="K134" s="96" t="n">
        <v>90</v>
      </c>
      <c r="L134" s="14" t="n">
        <v>1.125</v>
      </c>
      <c r="M134" s="14" t="n">
        <v>1.125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112-2024-12-31</t>
        </is>
      </c>
    </row>
    <row r="135" hidden="1">
      <c r="A135" s="5" t="n">
        <v>113</v>
      </c>
      <c r="B135" s="5" t="inlineStr">
        <is>
          <t>Nivel de Satisfacción Servicios Prestados</t>
        </is>
      </c>
      <c r="C135" s="5" t="inlineStr">
        <is>
          <t>Gestión y Desarrollo del Talento Humano</t>
        </is>
      </c>
      <c r="D135" s="5" t="inlineStr">
        <is>
          <t>Anual</t>
        </is>
      </c>
      <c r="E135" s="5" t="inlineStr">
        <is>
          <t>Positivo</t>
        </is>
      </c>
      <c r="F135" s="109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96" t="n">
        <v>80</v>
      </c>
      <c r="K135" s="96" t="n">
        <v>78</v>
      </c>
      <c r="L135" s="14" t="n">
        <v>0.975</v>
      </c>
      <c r="M135" s="14" t="n">
        <v>0.975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113-2022-10-31</t>
        </is>
      </c>
    </row>
    <row r="136" hidden="1">
      <c r="A136" s="5" t="n">
        <v>113</v>
      </c>
      <c r="B136" s="5" t="inlineStr">
        <is>
          <t>Nivel de Satisfacción Servicios Prestados</t>
        </is>
      </c>
      <c r="C136" s="5" t="inlineStr">
        <is>
          <t>Gestión y Desarrollo del Talento Humano</t>
        </is>
      </c>
      <c r="D136" s="5" t="inlineStr">
        <is>
          <t>Anual</t>
        </is>
      </c>
      <c r="E136" s="5" t="inlineStr">
        <is>
          <t>Positivo</t>
        </is>
      </c>
      <c r="F136" s="109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97" t="n">
        <v>80</v>
      </c>
      <c r="K136" s="97" t="n">
        <v>88</v>
      </c>
      <c r="L136" s="14" t="n">
        <v>1.1</v>
      </c>
      <c r="M136" s="14" t="n">
        <v>1.1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113-2023-10-31</t>
        </is>
      </c>
    </row>
    <row r="137" hidden="1">
      <c r="A137" s="5" t="n">
        <v>113</v>
      </c>
      <c r="B137" s="5" t="inlineStr">
        <is>
          <t>Nivel de Satisfacción Servicios Prestados</t>
        </is>
      </c>
      <c r="C137" s="5" t="inlineStr">
        <is>
          <t>Gestión y Desarrollo del Talento Humano</t>
        </is>
      </c>
      <c r="D137" s="5" t="inlineStr">
        <is>
          <t>Anual</t>
        </is>
      </c>
      <c r="E137" s="5" t="inlineStr">
        <is>
          <t>Positivo</t>
        </is>
      </c>
      <c r="F137" s="109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9" t="n">
        <v>80</v>
      </c>
      <c r="K137" s="9" t="n">
        <v>88</v>
      </c>
      <c r="L137" s="14" t="n">
        <v>1.1</v>
      </c>
      <c r="M137" s="14" t="n">
        <v>1.1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113-2024-10-31</t>
        </is>
      </c>
    </row>
    <row r="138" hidden="1">
      <c r="A138" s="28" t="n">
        <v>114</v>
      </c>
      <c r="B138" s="5" t="inlineStr">
        <is>
          <t>Nivel de Satisfacción Servicios Prestados</t>
        </is>
      </c>
      <c r="C138" s="5" t="inlineStr">
        <is>
          <t>Gestión de la tecnología e innovación digital</t>
        </is>
      </c>
      <c r="D138" s="5" t="inlineStr">
        <is>
          <t>Anual</t>
        </is>
      </c>
      <c r="E138" s="5" t="inlineStr">
        <is>
          <t>Positivo</t>
        </is>
      </c>
      <c r="F138" s="109" t="n">
        <v>44865</v>
      </c>
      <c r="G138" s="5" t="n">
        <v>2022</v>
      </c>
      <c r="H138" s="5" t="inlineStr">
        <is>
          <t>Octubre</t>
        </is>
      </c>
      <c r="I138" s="6" t="inlineStr">
        <is>
          <t>2022-2</t>
        </is>
      </c>
      <c r="J138" s="5" t="n">
        <v>80</v>
      </c>
      <c r="K138" s="5" t="n">
        <v>82</v>
      </c>
      <c r="L138" s="74" t="n">
        <v>1.025</v>
      </c>
      <c r="M138" s="14" t="n">
        <v>1.025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114-2022-10-31</t>
        </is>
      </c>
    </row>
    <row r="139" hidden="1">
      <c r="A139" s="26" t="n">
        <v>114</v>
      </c>
      <c r="B139" s="5" t="inlineStr">
        <is>
          <t>Nivel de Satisfacción Servicios Prestados</t>
        </is>
      </c>
      <c r="C139" s="5" t="inlineStr">
        <is>
          <t>Gestión de la tecnología e innovación digital</t>
        </is>
      </c>
      <c r="D139" s="5" t="inlineStr">
        <is>
          <t>Anual</t>
        </is>
      </c>
      <c r="E139" s="5" t="inlineStr">
        <is>
          <t>Positivo</t>
        </is>
      </c>
      <c r="F139" s="109" t="n">
        <v>45230</v>
      </c>
      <c r="G139" s="5" t="n">
        <v>2023</v>
      </c>
      <c r="H139" s="5" t="inlineStr">
        <is>
          <t>Octubre</t>
        </is>
      </c>
      <c r="I139" s="6" t="inlineStr">
        <is>
          <t>2023-2</t>
        </is>
      </c>
      <c r="J139" s="5" t="n">
        <v>80</v>
      </c>
      <c r="K139" s="5" t="n">
        <v>86</v>
      </c>
      <c r="L139" s="74" t="n">
        <v>1.075</v>
      </c>
      <c r="M139" s="14" t="n">
        <v>1.075</v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114-2023-10-31</t>
        </is>
      </c>
    </row>
    <row r="140" hidden="1">
      <c r="A140" s="5" t="n">
        <v>114</v>
      </c>
      <c r="B140" s="5" t="inlineStr">
        <is>
          <t>Nivel de Satisfacción Servicios Prestados</t>
        </is>
      </c>
      <c r="C140" s="5" t="inlineStr">
        <is>
          <t>Gestión de la tecnología e innovación digital</t>
        </is>
      </c>
      <c r="D140" s="5" t="inlineStr">
        <is>
          <t>Anual</t>
        </is>
      </c>
      <c r="E140" s="5" t="inlineStr">
        <is>
          <t>Positivo</t>
        </is>
      </c>
      <c r="F140" s="109" t="n">
        <v>45596</v>
      </c>
      <c r="G140" s="5" t="n">
        <v>2024</v>
      </c>
      <c r="H140" s="5" t="inlineStr">
        <is>
          <t>Octubre</t>
        </is>
      </c>
      <c r="I140" s="6" t="inlineStr">
        <is>
          <t>2024-2</t>
        </is>
      </c>
      <c r="J140" s="5" t="n">
        <v>80</v>
      </c>
      <c r="K140" s="5" t="n">
        <v>81</v>
      </c>
      <c r="L140" s="14" t="n">
        <v>1.0125</v>
      </c>
      <c r="M140" s="14" t="n">
        <v>1.0125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114-2024-10-31</t>
        </is>
      </c>
    </row>
    <row r="141" hidden="1">
      <c r="A141" s="5" t="n">
        <v>115</v>
      </c>
      <c r="B141" s="5" t="inlineStr">
        <is>
          <t>Nivel de Satisfacción Servicios Prestados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9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90.7894054838542</v>
      </c>
      <c r="L141" s="14" t="n">
        <v>1.134867568548177</v>
      </c>
      <c r="M141" s="14" t="n">
        <v>1.134867568548177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115-2023-12-31</t>
        </is>
      </c>
    </row>
    <row r="142" hidden="1">
      <c r="A142" s="26" t="n">
        <v>115</v>
      </c>
      <c r="B142" s="5" t="inlineStr">
        <is>
          <t>Nivel de Satisfacción Servicios Prestados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9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5" t="n"/>
      <c r="K142" s="5" t="n"/>
      <c r="L142" s="74" t="n"/>
      <c r="M142" s="14" t="n"/>
      <c r="N142" s="5" t="n"/>
      <c r="O142" s="5" t="n"/>
      <c r="P142" s="5" t="n">
        <v>0</v>
      </c>
      <c r="Q142" s="5" t="n">
        <v>0</v>
      </c>
      <c r="R142" s="5" t="inlineStr">
        <is>
          <t>115-2024-12-31</t>
        </is>
      </c>
    </row>
    <row r="143" hidden="1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09" t="n">
        <v>45107</v>
      </c>
      <c r="G143" s="5" t="n">
        <v>2023</v>
      </c>
      <c r="H143" s="5" t="inlineStr">
        <is>
          <t>Junio</t>
        </is>
      </c>
      <c r="I143" s="6" t="inlineStr">
        <is>
          <t>2023-1</t>
        </is>
      </c>
      <c r="J143" s="5" t="n">
        <v>80</v>
      </c>
      <c r="K143" s="5" t="n">
        <v>84</v>
      </c>
      <c r="L143" s="14" t="n">
        <v>1.05</v>
      </c>
      <c r="M143" s="14" t="n">
        <v>1.05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116-2023-06-30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Bimestral</t>
        </is>
      </c>
      <c r="E144" s="5" t="inlineStr">
        <is>
          <t>Positivo</t>
        </is>
      </c>
      <c r="F144" s="109" t="n">
        <v>45291</v>
      </c>
      <c r="G144" s="5" t="n">
        <v>2023</v>
      </c>
      <c r="H144" s="5" t="inlineStr">
        <is>
          <t>Diciembre</t>
        </is>
      </c>
      <c r="I144" s="6" t="inlineStr">
        <is>
          <t>2023-2</t>
        </is>
      </c>
      <c r="J144" s="5" t="n">
        <v>80</v>
      </c>
      <c r="K144" s="5" t="n">
        <v>88</v>
      </c>
      <c r="L144" s="14" t="n">
        <v>1.1</v>
      </c>
      <c r="M144" s="14" t="n">
        <v>1.1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116-2023-12-31</t>
        </is>
      </c>
    </row>
    <row r="145" hidden="1">
      <c r="A145" s="5" t="n">
        <v>116</v>
      </c>
      <c r="B145" s="5" t="inlineStr">
        <is>
          <t>Nivel de Satisfacción Servicios Prestados</t>
        </is>
      </c>
      <c r="C145" s="5" t="inlineStr">
        <is>
          <t>AUDITORÍA INTERNA</t>
        </is>
      </c>
      <c r="D145" s="5" t="inlineStr">
        <is>
          <t>Bimestral</t>
        </is>
      </c>
      <c r="E145" s="5" t="inlineStr">
        <is>
          <t>Positivo</t>
        </is>
      </c>
      <c r="F145" s="109" t="n">
        <v>45473</v>
      </c>
      <c r="G145" s="5" t="n">
        <v>2024</v>
      </c>
      <c r="H145" s="5" t="inlineStr">
        <is>
          <t>Junio</t>
        </is>
      </c>
      <c r="I145" s="6" t="inlineStr">
        <is>
          <t>2024-1</t>
        </is>
      </c>
      <c r="J145" s="5" t="n">
        <v>80</v>
      </c>
      <c r="K145" s="5" t="n"/>
      <c r="L145" s="14" t="n"/>
      <c r="M145" s="14" t="n"/>
      <c r="N145" s="5" t="inlineStr">
        <is>
          <t>N/A</t>
        </is>
      </c>
      <c r="O145" s="5" t="inlineStr">
        <is>
          <t>N/A</t>
        </is>
      </c>
      <c r="P145" s="5" t="n">
        <v>0</v>
      </c>
      <c r="Q145" s="5" t="n">
        <v>0</v>
      </c>
      <c r="R145" s="5" t="inlineStr">
        <is>
          <t>116-2024-06-30</t>
        </is>
      </c>
    </row>
    <row r="146" hidden="1">
      <c r="A146" s="5" t="n">
        <v>116</v>
      </c>
      <c r="B146" s="5" t="inlineStr">
        <is>
          <t>Nivel de Satisfacción Servicios Prestados</t>
        </is>
      </c>
      <c r="C146" s="5" t="inlineStr">
        <is>
          <t>AUDITORÍA INTERNA</t>
        </is>
      </c>
      <c r="D146" s="5" t="inlineStr">
        <is>
          <t>Bimestral</t>
        </is>
      </c>
      <c r="E146" s="5" t="inlineStr">
        <is>
          <t>Positivo</t>
        </is>
      </c>
      <c r="F146" s="109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5" t="n">
        <v>80</v>
      </c>
      <c r="K146" s="5" t="n">
        <v>88</v>
      </c>
      <c r="L146" s="14" t="n">
        <v>1.1</v>
      </c>
      <c r="M146" s="14" t="n">
        <v>1.1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116-2024-12-31</t>
        </is>
      </c>
    </row>
    <row r="147" hidden="1">
      <c r="A147" s="5" t="n">
        <v>116</v>
      </c>
      <c r="B147" s="5" t="inlineStr">
        <is>
          <t>Nivel de Satisfacción Servicios Prestados</t>
        </is>
      </c>
      <c r="C147" s="5" t="inlineStr">
        <is>
          <t>AUDITORÍA INTERNA</t>
        </is>
      </c>
      <c r="D147" s="5" t="inlineStr">
        <is>
          <t>Anual</t>
        </is>
      </c>
      <c r="E147" s="5" t="inlineStr">
        <is>
          <t>Positivo</t>
        </is>
      </c>
      <c r="F147" s="109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5" t="n">
        <v>80</v>
      </c>
      <c r="K147" s="5" t="n">
        <v>100</v>
      </c>
      <c r="L147" s="14" t="n">
        <v>1.25</v>
      </c>
      <c r="M147" s="14" t="n">
        <v>1.25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116-2025-12-31</t>
        </is>
      </c>
    </row>
    <row r="148" hidden="1">
      <c r="A148" s="28" t="n">
        <v>117</v>
      </c>
      <c r="B148" s="5" t="inlineStr">
        <is>
          <t>Nivel de Satisfacción Servicios Prestados</t>
        </is>
      </c>
      <c r="C148" s="5" t="inlineStr">
        <is>
          <t>GESTIÓN AMBIENTAL</t>
        </is>
      </c>
      <c r="D148" s="5" t="inlineStr">
        <is>
          <t>Anual</t>
        </is>
      </c>
      <c r="E148" s="5" t="inlineStr">
        <is>
          <t>Positivo</t>
        </is>
      </c>
      <c r="F148" s="109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93</v>
      </c>
      <c r="L148" s="74" t="n">
        <v>1.1625</v>
      </c>
      <c r="M148" s="14" t="n">
        <v>1.1625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117-2022-10-31</t>
        </is>
      </c>
    </row>
    <row r="149" hidden="1">
      <c r="A149" s="26" t="n">
        <v>117</v>
      </c>
      <c r="B149" s="5" t="inlineStr">
        <is>
          <t>Nivel de Satisfacción Servicios Prestados</t>
        </is>
      </c>
      <c r="C149" s="5" t="inlineStr">
        <is>
          <t>GESTIÓN AMBIENTAL</t>
        </is>
      </c>
      <c r="D149" s="5" t="inlineStr">
        <is>
          <t>Anual</t>
        </is>
      </c>
      <c r="E149" s="5" t="inlineStr">
        <is>
          <t>Positivo</t>
        </is>
      </c>
      <c r="F149" s="109" t="n">
        <v>45230</v>
      </c>
      <c r="G149" s="5" t="n">
        <v>2023</v>
      </c>
      <c r="H149" s="5" t="inlineStr">
        <is>
          <t>Octubre</t>
        </is>
      </c>
      <c r="I149" s="6" t="inlineStr">
        <is>
          <t>2023-2</t>
        </is>
      </c>
      <c r="J149" s="5" t="n">
        <v>80</v>
      </c>
      <c r="K149" s="5" t="n">
        <v>90</v>
      </c>
      <c r="L149" s="74" t="n">
        <v>1.125</v>
      </c>
      <c r="M149" s="14" t="n">
        <v>1.125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117-2023-10-31</t>
        </is>
      </c>
    </row>
    <row r="150" hidden="1">
      <c r="A150" s="5" t="n">
        <v>117</v>
      </c>
      <c r="B150" s="5" t="inlineStr">
        <is>
          <t>Nivel de Satisfacción Servicios Prestados</t>
        </is>
      </c>
      <c r="C150" s="5" t="inlineStr">
        <is>
          <t>GESTIÓN AMBIENTAL</t>
        </is>
      </c>
      <c r="D150" s="5" t="inlineStr">
        <is>
          <t>Anual</t>
        </is>
      </c>
      <c r="E150" s="5" t="inlineStr">
        <is>
          <t>Positivo</t>
        </is>
      </c>
      <c r="F150" s="109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89</v>
      </c>
      <c r="L150" s="14" t="n">
        <v>1.1125</v>
      </c>
      <c r="M150" s="14" t="n">
        <v>1.1125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117-2024-12-31</t>
        </is>
      </c>
    </row>
    <row r="151" hidden="1">
      <c r="A151" s="5" t="n">
        <v>118</v>
      </c>
      <c r="B151" s="5" t="inlineStr">
        <is>
          <t>Nivel de Satisfacción Servicios Prestados</t>
        </is>
      </c>
      <c r="C151" s="5" t="inlineStr">
        <is>
          <t>Gestión de Calidad</t>
        </is>
      </c>
      <c r="D151" s="5" t="inlineStr">
        <is>
          <t>Anual</t>
        </is>
      </c>
      <c r="E151" s="5" t="inlineStr">
        <is>
          <t>Positivo</t>
        </is>
      </c>
      <c r="F151" s="109" t="n">
        <v>44865</v>
      </c>
      <c r="G151" s="5" t="n">
        <v>2022</v>
      </c>
      <c r="H151" s="5" t="inlineStr">
        <is>
          <t>Octubre</t>
        </is>
      </c>
      <c r="I151" s="6" t="inlineStr">
        <is>
          <t>2022-2</t>
        </is>
      </c>
      <c r="J151" s="5" t="n">
        <v>80</v>
      </c>
      <c r="K151" s="5" t="n">
        <v>88</v>
      </c>
      <c r="L151" s="14" t="n">
        <v>1.1</v>
      </c>
      <c r="M151" s="14" t="n">
        <v>1.1</v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118-2022-10-31</t>
        </is>
      </c>
    </row>
    <row r="152" hidden="1">
      <c r="A152" s="26" t="n">
        <v>118</v>
      </c>
      <c r="B152" s="5" t="inlineStr">
        <is>
          <t>Nivel de Satisfacción Servicios Prestados</t>
        </is>
      </c>
      <c r="C152" s="5" t="inlineStr">
        <is>
          <t>Gestión de Calidad</t>
        </is>
      </c>
      <c r="D152" s="5" t="inlineStr">
        <is>
          <t>Anual</t>
        </is>
      </c>
      <c r="E152" s="5" t="inlineStr">
        <is>
          <t>Positivo</t>
        </is>
      </c>
      <c r="F152" s="109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5" t="n">
        <v>80</v>
      </c>
      <c r="K152" s="5" t="n">
        <v>94.1385767790262</v>
      </c>
      <c r="L152" s="74" t="n">
        <v>1.176732209737827</v>
      </c>
      <c r="M152" s="14" t="n">
        <v>1.176732209737827</v>
      </c>
      <c r="N152" s="5" t="inlineStr">
        <is>
          <t>%</t>
        </is>
      </c>
      <c r="O152" s="5" t="inlineStr">
        <is>
          <t>%</t>
        </is>
      </c>
      <c r="P152" s="5" t="n">
        <v>0</v>
      </c>
      <c r="Q152" s="5" t="n">
        <v>0</v>
      </c>
      <c r="R152" s="5" t="inlineStr">
        <is>
          <t>118-2023-12-31</t>
        </is>
      </c>
    </row>
    <row r="153" hidden="1">
      <c r="A153" s="5" t="n">
        <v>118</v>
      </c>
      <c r="B153" s="5" t="inlineStr">
        <is>
          <t>Nivel de Satisfacción del sistema de gestión de calidad</t>
        </is>
      </c>
      <c r="C153" s="5" t="inlineStr">
        <is>
          <t>Gestión de calidad</t>
        </is>
      </c>
      <c r="D153" s="5" t="inlineStr">
        <is>
          <t>Anual</t>
        </is>
      </c>
      <c r="E153" s="5" t="inlineStr">
        <is>
          <t>Positivo</t>
        </is>
      </c>
      <c r="F153" s="109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5" t="n">
        <v>80</v>
      </c>
      <c r="K153" s="5" t="n">
        <v>86</v>
      </c>
      <c r="L153" s="14" t="n">
        <v>1.075</v>
      </c>
      <c r="M153" s="14" t="n">
        <v>1.075</v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 t="inlineStr">
        <is>
          <t>118-2024-12-31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8" t="n">
        <v>44742</v>
      </c>
      <c r="G154" s="15" t="n">
        <v>2022</v>
      </c>
      <c r="H154" s="6" t="inlineStr">
        <is>
          <t>Junio</t>
        </is>
      </c>
      <c r="I154" s="27" t="inlineStr">
        <is>
          <t>2022-1</t>
        </is>
      </c>
      <c r="J154" s="5" t="n">
        <v>100</v>
      </c>
      <c r="K154" s="5" t="n">
        <v>100.01207569838</v>
      </c>
      <c r="L154" s="14" t="n">
        <v>0.9998792575966884</v>
      </c>
      <c r="M154" s="14" t="n">
        <v>0.9998792575966884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121-2022-06-30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8" t="n">
        <v>44926</v>
      </c>
      <c r="G155" s="15" t="n">
        <v>2022</v>
      </c>
      <c r="H155" s="6" t="inlineStr">
        <is>
          <t>Diciembre</t>
        </is>
      </c>
      <c r="I155" s="27" t="inlineStr">
        <is>
          <t>2022-2</t>
        </is>
      </c>
      <c r="J155" s="5" t="n">
        <v>102</v>
      </c>
      <c r="K155" s="5" t="n">
        <v>99.868284606334</v>
      </c>
      <c r="L155" s="14" t="n">
        <v>1.021345268941676</v>
      </c>
      <c r="M155" s="14" t="n">
        <v>1.021345268941676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121-2022-12-31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45107</v>
      </c>
      <c r="G156" s="5" t="n">
        <v>2023</v>
      </c>
      <c r="H156" s="5" t="inlineStr">
        <is>
          <t>Junio</t>
        </is>
      </c>
      <c r="I156" s="6" t="inlineStr">
        <is>
          <t>2023-1</t>
        </is>
      </c>
      <c r="J156" s="5" t="n">
        <v>102</v>
      </c>
      <c r="K156" s="5" t="n">
        <v>102.42831146953</v>
      </c>
      <c r="L156" s="14" t="n">
        <v>0.9958184269233276</v>
      </c>
      <c r="M156" s="14" t="n">
        <v>0.9958184269233276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121-2023-06-30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5" t="n">
        <v>102</v>
      </c>
      <c r="K157" s="5" t="n">
        <v>111.3</v>
      </c>
      <c r="L157" s="14" t="n">
        <v>0.9164420485175202</v>
      </c>
      <c r="M157" s="14" t="n">
        <v>0.9164420485175202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121-2023-12-31</t>
        </is>
      </c>
    </row>
    <row r="158" hidden="1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45473</v>
      </c>
      <c r="G158" s="5" t="n">
        <v>2024</v>
      </c>
      <c r="H158" s="5" t="inlineStr">
        <is>
          <t>Junio</t>
        </is>
      </c>
      <c r="I158" s="6" t="inlineStr">
        <is>
          <t>2024-1</t>
        </is>
      </c>
      <c r="J158" s="5" t="n">
        <v>102</v>
      </c>
      <c r="K158" s="5" t="n">
        <v>101.89</v>
      </c>
      <c r="L158" s="74" t="n">
        <v>1.001079595642359</v>
      </c>
      <c r="M158" s="14" t="n">
        <v>1.001079595642359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121-2024-06-30</t>
        </is>
      </c>
    </row>
    <row r="159" hidden="1">
      <c r="A159" s="5" t="n">
        <v>121</v>
      </c>
      <c r="B159" s="5" t="inlineStr">
        <is>
          <t>Ejecución presupuestal de la nómina acumulada</t>
        </is>
      </c>
      <c r="C159" s="5" t="inlineStr">
        <is>
          <t>GESTIÓN Y DESARROLLO DEL TALENTO HUMANO</t>
        </is>
      </c>
      <c r="D159" s="5" t="inlineStr">
        <is>
          <t>Mensual</t>
        </is>
      </c>
      <c r="E159" s="5" t="inlineStr">
        <is>
          <t>Negativo</t>
        </is>
      </c>
      <c r="F159" s="109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5" t="n">
        <v>102</v>
      </c>
      <c r="K159" s="5" t="n">
        <v>100.17</v>
      </c>
      <c r="L159" s="74" t="n">
        <v>1.018268942797245</v>
      </c>
      <c r="M159" s="14" t="n">
        <v>1.018268942797245</v>
      </c>
      <c r="N159" s="5" t="inlineStr">
        <is>
          <t>$</t>
        </is>
      </c>
      <c r="O159" s="5" t="inlineStr">
        <is>
          <t>$</t>
        </is>
      </c>
      <c r="P159" s="5" t="n">
        <v>0</v>
      </c>
      <c r="Q159" s="5" t="n">
        <v>0</v>
      </c>
      <c r="R159" s="5" t="inlineStr">
        <is>
          <t>121-2024-12-31</t>
        </is>
      </c>
    </row>
    <row r="160" hidden="1">
      <c r="A160" s="5" t="n">
        <v>121</v>
      </c>
      <c r="B160" s="5" t="inlineStr">
        <is>
          <t>Ejecución presupuestal de la nómina acumulada</t>
        </is>
      </c>
      <c r="C160" s="5" t="inlineStr">
        <is>
          <t>GESTIÓN Y DESARROLLO DEL TALENTO HUMANO</t>
        </is>
      </c>
      <c r="D160" s="5" t="inlineStr">
        <is>
          <t>Mensual</t>
        </is>
      </c>
      <c r="E160" s="5" t="inlineStr">
        <is>
          <t>Negativo</t>
        </is>
      </c>
      <c r="F160" s="109" t="n">
        <v>45838</v>
      </c>
      <c r="G160" s="5" t="n">
        <v>2025</v>
      </c>
      <c r="H160" s="5" t="inlineStr">
        <is>
          <t>Junio</t>
        </is>
      </c>
      <c r="I160" s="6" t="inlineStr">
        <is>
          <t>2025-1</t>
        </is>
      </c>
      <c r="J160" s="5" t="n">
        <v>102</v>
      </c>
      <c r="K160" s="5" t="n">
        <v>110.06</v>
      </c>
      <c r="L160" s="14" t="n">
        <v>0.9267672178811557</v>
      </c>
      <c r="M160" s="14" t="n">
        <v>0.9267672178811557</v>
      </c>
      <c r="N160" s="5" t="inlineStr">
        <is>
          <t>$</t>
        </is>
      </c>
      <c r="O160" s="5" t="inlineStr">
        <is>
          <t>$</t>
        </is>
      </c>
      <c r="P160" s="5" t="n">
        <v>0</v>
      </c>
      <c r="Q160" s="5" t="n">
        <v>0</v>
      </c>
      <c r="R160" s="5" t="inlineStr">
        <is>
          <t>121-2025-06-30</t>
        </is>
      </c>
    </row>
    <row r="161" hidden="1">
      <c r="A161" s="26" t="n">
        <v>121</v>
      </c>
      <c r="B161" s="5" t="inlineStr">
        <is>
          <t>Ejecución presupuestal de la nómina acumulada</t>
        </is>
      </c>
      <c r="C161" s="5" t="inlineStr">
        <is>
          <t>GESTIÓN Y DESARROLLO DEL TALENTO HUMANO</t>
        </is>
      </c>
      <c r="D161" s="5" t="inlineStr">
        <is>
          <t>Mensual</t>
        </is>
      </c>
      <c r="E161" s="5" t="inlineStr">
        <is>
          <t>Negativo</t>
        </is>
      </c>
      <c r="F161" s="109" t="n">
        <v>46022</v>
      </c>
      <c r="G161" s="5" t="n">
        <v>2025</v>
      </c>
      <c r="H161" s="5" t="inlineStr">
        <is>
          <t>Diciembre</t>
        </is>
      </c>
      <c r="I161" s="6" t="inlineStr">
        <is>
          <t>2025-2</t>
        </is>
      </c>
      <c r="J161" s="5" t="n">
        <v>102</v>
      </c>
      <c r="K161" s="5" t="n">
        <v>104.92</v>
      </c>
      <c r="L161" s="74" t="n">
        <v>0.9721692718261532</v>
      </c>
      <c r="M161" s="14" t="n">
        <v>0.9721692718261532</v>
      </c>
      <c r="N161" s="5" t="inlineStr">
        <is>
          <t>$</t>
        </is>
      </c>
      <c r="O161" s="5" t="inlineStr">
        <is>
          <t>$</t>
        </is>
      </c>
      <c r="P161" s="5" t="n">
        <v>0</v>
      </c>
      <c r="Q161" s="5" t="n">
        <v>0</v>
      </c>
      <c r="R161" s="5" t="inlineStr">
        <is>
          <t>121-2025-12-31</t>
        </is>
      </c>
    </row>
    <row r="162" hidden="1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Mensual</t>
        </is>
      </c>
      <c r="E162" s="5" t="inlineStr">
        <is>
          <t>Positivo</t>
        </is>
      </c>
      <c r="F162" s="109" t="n">
        <v>44742</v>
      </c>
      <c r="G162" s="5" t="n">
        <v>2022</v>
      </c>
      <c r="H162" s="5" t="inlineStr">
        <is>
          <t>Junio</t>
        </is>
      </c>
      <c r="I162" s="6" t="inlineStr">
        <is>
          <t>2022-1</t>
        </is>
      </c>
      <c r="J162" s="5" t="n">
        <v>80</v>
      </c>
      <c r="K162" s="5" t="n">
        <v>75.873015873016</v>
      </c>
      <c r="L162" s="14" t="n">
        <v>0.9484126984127</v>
      </c>
      <c r="M162" s="14" t="n">
        <v>0.9484126984127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122-2022-06-30</t>
        </is>
      </c>
    </row>
    <row r="163" hidden="1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Mensual</t>
        </is>
      </c>
      <c r="E163" s="5" t="inlineStr">
        <is>
          <t>Positivo</t>
        </is>
      </c>
      <c r="F163" s="109" t="n">
        <v>44926</v>
      </c>
      <c r="G163" s="5" t="n">
        <v>2022</v>
      </c>
      <c r="H163" s="5" t="inlineStr">
        <is>
          <t>Diciembre</t>
        </is>
      </c>
      <c r="I163" s="6" t="inlineStr">
        <is>
          <t>2022-2</t>
        </is>
      </c>
      <c r="J163" s="5" t="n">
        <v>80</v>
      </c>
      <c r="K163" s="5" t="n">
        <v>99.57264957264967</v>
      </c>
      <c r="L163" s="74" t="n">
        <v>1.244658119658121</v>
      </c>
      <c r="M163" s="14" t="n">
        <v>1.244658119658121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122-2022-12-31</t>
        </is>
      </c>
    </row>
    <row r="164" hidden="1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9" t="n">
        <v>45107</v>
      </c>
      <c r="G164" s="5" t="n">
        <v>2023</v>
      </c>
      <c r="H164" s="5" t="inlineStr">
        <is>
          <t>Junio</t>
        </is>
      </c>
      <c r="I164" s="6" t="inlineStr">
        <is>
          <t>2023-1</t>
        </is>
      </c>
      <c r="J164" s="5" t="n">
        <v>80</v>
      </c>
      <c r="K164" s="5" t="n">
        <v>91.66666666666667</v>
      </c>
      <c r="L164" s="74" t="n">
        <v>1.145833333333333</v>
      </c>
      <c r="M164" s="14" t="n">
        <v>1.145833333333333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122-2023-06-30</t>
        </is>
      </c>
    </row>
    <row r="165" hidden="1">
      <c r="A165" s="5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09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80</v>
      </c>
      <c r="K165" s="5" t="n">
        <v>90.30333333333333</v>
      </c>
      <c r="L165" s="14" t="n">
        <v>1.128791666666667</v>
      </c>
      <c r="M165" s="14" t="n">
        <v>1.128791666666667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122-2023-12-31</t>
        </is>
      </c>
    </row>
    <row r="166" hidden="1">
      <c r="A166" s="26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Bimestral</t>
        </is>
      </c>
      <c r="E166" s="5" t="inlineStr">
        <is>
          <t>Positivo</t>
        </is>
      </c>
      <c r="F166" s="109" t="n">
        <v>45473</v>
      </c>
      <c r="G166" s="5" t="n">
        <v>2024</v>
      </c>
      <c r="H166" s="5" t="inlineStr">
        <is>
          <t>Junio</t>
        </is>
      </c>
      <c r="I166" s="6" t="inlineStr">
        <is>
          <t>2024-1</t>
        </is>
      </c>
      <c r="J166" s="5" t="n">
        <v>80</v>
      </c>
      <c r="K166" s="5" t="n">
        <v>96.44666666666667</v>
      </c>
      <c r="L166" s="74" t="n">
        <v>1.205583333333333</v>
      </c>
      <c r="M166" s="14" t="n">
        <v>1.205583333333333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122-2024-06-30</t>
        </is>
      </c>
    </row>
    <row r="167" hidden="1">
      <c r="A167" s="5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Bimestral</t>
        </is>
      </c>
      <c r="E167" s="5" t="inlineStr">
        <is>
          <t>Positivo</t>
        </is>
      </c>
      <c r="F167" s="109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5" t="n">
        <v>80</v>
      </c>
      <c r="K167" s="5" t="n">
        <v>92.19</v>
      </c>
      <c r="L167" s="14" t="n">
        <v>1.152375</v>
      </c>
      <c r="M167" s="14" t="n">
        <v>1.152375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122-2024-12-31</t>
        </is>
      </c>
    </row>
    <row r="168" hidden="1">
      <c r="A168" s="28" t="n">
        <v>122</v>
      </c>
      <c r="B168" s="5" t="inlineStr">
        <is>
          <t>Eficacia en la solicitud documental- por periodo</t>
        </is>
      </c>
      <c r="C168" s="5" t="inlineStr">
        <is>
          <t>Gestión de calidad</t>
        </is>
      </c>
      <c r="D168" s="5" t="inlineStr">
        <is>
          <t>Bimestral</t>
        </is>
      </c>
      <c r="E168" s="5" t="inlineStr">
        <is>
          <t>Positivo</t>
        </is>
      </c>
      <c r="F168" s="109" t="n">
        <v>45838</v>
      </c>
      <c r="G168" s="5" t="n">
        <v>2025</v>
      </c>
      <c r="H168" s="5" t="inlineStr">
        <is>
          <t>Junio</t>
        </is>
      </c>
      <c r="I168" s="6" t="inlineStr">
        <is>
          <t>2025-1</t>
        </is>
      </c>
      <c r="J168" s="5" t="n">
        <v>90</v>
      </c>
      <c r="K168" s="5" t="n">
        <v>81.16</v>
      </c>
      <c r="L168" s="14" t="n">
        <v>0.9017777777777778</v>
      </c>
      <c r="M168" s="14" t="n">
        <v>0.9017777777777778</v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122-2025-06-30</t>
        </is>
      </c>
    </row>
    <row r="169" hidden="1">
      <c r="A169" s="26" t="n">
        <v>122</v>
      </c>
      <c r="B169" s="5" t="inlineStr">
        <is>
          <t>Eficacia en la solicitud documental- por periodo</t>
        </is>
      </c>
      <c r="C169" s="5" t="inlineStr">
        <is>
          <t>Gestión de calidad</t>
        </is>
      </c>
      <c r="D169" s="5" t="inlineStr">
        <is>
          <t>Mensual</t>
        </is>
      </c>
      <c r="E169" s="5" t="inlineStr">
        <is>
          <t>Positivo</t>
        </is>
      </c>
      <c r="F169" s="109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5" t="n">
        <v>90</v>
      </c>
      <c r="K169" s="5" t="n">
        <v>82.81</v>
      </c>
      <c r="L169" s="14" t="n">
        <v>0.9201111111111111</v>
      </c>
      <c r="M169" s="14" t="n">
        <v>0.9201111111111111</v>
      </c>
      <c r="N169" s="5" t="inlineStr">
        <is>
          <t>%</t>
        </is>
      </c>
      <c r="O169" s="5" t="inlineStr">
        <is>
          <t>%</t>
        </is>
      </c>
      <c r="P169" s="5" t="n">
        <v>0</v>
      </c>
      <c r="Q169" s="5" t="n">
        <v>0</v>
      </c>
      <c r="R169" s="5" t="inlineStr">
        <is>
          <t>122-2025-12-31</t>
        </is>
      </c>
    </row>
    <row r="170" hidden="1">
      <c r="A170" s="5" t="n">
        <v>122</v>
      </c>
      <c r="B170" s="5" t="inlineStr">
        <is>
          <t>Eficacia en la solicitud documental- por periodo</t>
        </is>
      </c>
      <c r="C170" s="5" t="inlineStr">
        <is>
          <t>Gestión de calidad</t>
        </is>
      </c>
      <c r="D170" s="5" t="inlineStr">
        <is>
          <t>Mensual</t>
        </is>
      </c>
      <c r="E170" s="5" t="inlineStr">
        <is>
          <t>Positivo</t>
        </is>
      </c>
      <c r="F170" s="109" t="n">
        <v>46203</v>
      </c>
      <c r="G170" s="5" t="n">
        <v>2026</v>
      </c>
      <c r="H170" s="5" t="inlineStr">
        <is>
          <t>Junio</t>
        </is>
      </c>
      <c r="I170" s="6" t="inlineStr">
        <is>
          <t>2026-1</t>
        </is>
      </c>
      <c r="J170" s="5" t="n">
        <v>80</v>
      </c>
      <c r="K170" s="5" t="n">
        <v>82.07666666666667</v>
      </c>
      <c r="L170" s="14" t="n">
        <v>1.025958333333333</v>
      </c>
      <c r="M170" s="14" t="n">
        <v>1.025958333333333</v>
      </c>
      <c r="N170" s="5" t="inlineStr">
        <is>
          <t>%</t>
        </is>
      </c>
      <c r="O170" s="5" t="inlineStr">
        <is>
          <t>%</t>
        </is>
      </c>
      <c r="P170" s="5" t="n">
        <v>0</v>
      </c>
      <c r="Q170" s="5" t="n">
        <v>0</v>
      </c>
      <c r="R170" s="5" t="inlineStr">
        <is>
          <t>122-2026-06-30</t>
        </is>
      </c>
    </row>
    <row r="171" hidden="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9" t="n">
        <v>44742</v>
      </c>
      <c r="G171" s="5" t="n">
        <v>2022</v>
      </c>
      <c r="H171" s="5" t="inlineStr">
        <is>
          <t>Junio</t>
        </is>
      </c>
      <c r="I171" s="6" t="inlineStr">
        <is>
          <t>2022-1</t>
        </is>
      </c>
      <c r="J171" s="5" t="n">
        <v>1.6</v>
      </c>
      <c r="K171" s="5" t="n">
        <v>0.02054049915215283</v>
      </c>
      <c r="L171" s="14" t="n">
        <v>1.3</v>
      </c>
      <c r="M171" s="14" t="n">
        <v>77.89489379727686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124-2022-06-30</t>
        </is>
      </c>
    </row>
    <row r="172" hidden="1">
      <c r="A172" s="26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9" t="n">
        <v>44926</v>
      </c>
      <c r="G172" s="5" t="n">
        <v>2022</v>
      </c>
      <c r="H172" s="5" t="inlineStr">
        <is>
          <t>Diciembre</t>
        </is>
      </c>
      <c r="I172" s="6" t="inlineStr">
        <is>
          <t>2022-2</t>
        </is>
      </c>
      <c r="J172" s="5" t="n">
        <v>1.6</v>
      </c>
      <c r="K172" s="5" t="n">
        <v>0.04029246702469916</v>
      </c>
      <c r="L172" s="74" t="n">
        <v>1.3</v>
      </c>
      <c r="M172" s="14" t="n">
        <v>39.70965587734315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124-2022-12-31</t>
        </is>
      </c>
    </row>
    <row r="173" hidden="1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9" t="n">
        <v>45107</v>
      </c>
      <c r="G173" s="5" t="n">
        <v>2023</v>
      </c>
      <c r="H173" s="5" t="inlineStr">
        <is>
          <t>Junio</t>
        </is>
      </c>
      <c r="I173" s="6" t="inlineStr">
        <is>
          <t>2023-1</t>
        </is>
      </c>
      <c r="J173" s="5" t="n">
        <v>1.6</v>
      </c>
      <c r="K173" s="5" t="n">
        <v>0.0259049039304475</v>
      </c>
      <c r="L173" s="74" t="n">
        <v>1.3</v>
      </c>
      <c r="M173" s="14" t="n">
        <v>61.76436725246564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124-2023-06-30</t>
        </is>
      </c>
    </row>
    <row r="174" hidden="1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9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1.6</v>
      </c>
      <c r="K174" s="5" t="n">
        <v>0.03091194968553467</v>
      </c>
      <c r="L174" s="74" t="n">
        <v>1.3</v>
      </c>
      <c r="M174" s="14" t="n">
        <v>51.75991861648004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124-2023-12-31</t>
        </is>
      </c>
    </row>
    <row r="175" hidden="1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9" t="n">
        <v>45473</v>
      </c>
      <c r="G175" s="5" t="n">
        <v>2024</v>
      </c>
      <c r="H175" s="5" t="inlineStr">
        <is>
          <t>Junio</t>
        </is>
      </c>
      <c r="I175" s="6" t="inlineStr">
        <is>
          <t>2024-1</t>
        </is>
      </c>
      <c r="J175" s="5" t="n">
        <v>0.2</v>
      </c>
      <c r="K175" s="5" t="n">
        <v>0.0069705841349505</v>
      </c>
      <c r="L175" s="14" t="n">
        <v>1.3</v>
      </c>
      <c r="M175" s="14" t="n">
        <v>28.69200000000004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3</v>
      </c>
      <c r="R175" s="5" t="inlineStr">
        <is>
          <t>124-2024-06-30</t>
        </is>
      </c>
    </row>
    <row r="176" hidden="1">
      <c r="A176" s="28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9" t="n">
        <v>45657</v>
      </c>
      <c r="G176" s="5" t="n">
        <v>2024</v>
      </c>
      <c r="H176" s="5" t="inlineStr">
        <is>
          <t>Diciembre</t>
        </is>
      </c>
      <c r="I176" s="6" t="inlineStr">
        <is>
          <t>2024-2</t>
        </is>
      </c>
      <c r="J176" s="5" t="n">
        <v>0.2</v>
      </c>
      <c r="K176" s="5" t="n">
        <v>0.01902587519025875</v>
      </c>
      <c r="L176" s="74" t="n">
        <v>1.3</v>
      </c>
      <c r="M176" s="14" t="n">
        <v>10.512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124-2024-12-31</t>
        </is>
      </c>
    </row>
    <row r="177" hidden="1">
      <c r="A177" s="26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9" t="n">
        <v>45838</v>
      </c>
      <c r="G177" s="5" t="n">
        <v>2025</v>
      </c>
      <c r="H177" s="5" t="inlineStr">
        <is>
          <t>Junio</t>
        </is>
      </c>
      <c r="I177" s="6" t="inlineStr">
        <is>
          <t>2025-1</t>
        </is>
      </c>
      <c r="J177" s="5" t="n">
        <v>0.2</v>
      </c>
      <c r="K177" s="5" t="n">
        <v>0.03519295047098145</v>
      </c>
      <c r="L177" s="74" t="n">
        <v>1.3</v>
      </c>
      <c r="M177" s="14" t="n">
        <v>5.682956311517875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124-2025-06-30</t>
        </is>
      </c>
    </row>
    <row r="178" hidden="1">
      <c r="A178" s="5" t="n">
        <v>124</v>
      </c>
      <c r="B178" s="5" t="inlineStr">
        <is>
          <t>Indice de Frecuencia de accidentalidad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9" t="n">
        <v>45869</v>
      </c>
      <c r="G178" s="5" t="n">
        <v>2025</v>
      </c>
      <c r="H178" s="5" t="inlineStr">
        <is>
          <t>Julio</t>
        </is>
      </c>
      <c r="I178" s="6" t="inlineStr">
        <is>
          <t>2025-2</t>
        </is>
      </c>
      <c r="J178" s="5" t="n">
        <v>0.2</v>
      </c>
      <c r="K178" s="5" t="n">
        <v>0.01333333333333333</v>
      </c>
      <c r="L178" s="14" t="n">
        <v>1.3</v>
      </c>
      <c r="M178" s="14" t="n">
        <v>15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124-2025-07-31</t>
        </is>
      </c>
    </row>
    <row r="179" hidden="1">
      <c r="A179" s="5" t="n">
        <v>124</v>
      </c>
      <c r="B179" s="5" t="inlineStr">
        <is>
          <t>Indice de Frecuencia de accidentalidad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9" t="n">
        <v>46022</v>
      </c>
      <c r="G179" s="5" t="n">
        <v>2025</v>
      </c>
      <c r="H179" s="5" t="inlineStr">
        <is>
          <t>Diciembre</t>
        </is>
      </c>
      <c r="I179" s="6" t="inlineStr">
        <is>
          <t>2025-2</t>
        </is>
      </c>
      <c r="J179" s="5" t="n">
        <v>0.2</v>
      </c>
      <c r="K179" s="5" t="n">
        <v>0.01333333333333333</v>
      </c>
      <c r="L179" s="14" t="n">
        <v>1.3</v>
      </c>
      <c r="M179" s="14" t="n">
        <v>15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124-2025-12-31</t>
        </is>
      </c>
    </row>
    <row r="180" hidden="1">
      <c r="A180" s="26" t="n">
        <v>124</v>
      </c>
      <c r="B180" s="5" t="inlineStr">
        <is>
          <t>Indice de Frecuencia de accidentalidad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9" t="n">
        <v>46203</v>
      </c>
      <c r="G180" s="5" t="n">
        <v>2026</v>
      </c>
      <c r="H180" s="5" t="inlineStr">
        <is>
          <t>Junio</t>
        </is>
      </c>
      <c r="I180" s="6" t="inlineStr">
        <is>
          <t>2026-1</t>
        </is>
      </c>
      <c r="J180" s="5" t="n">
        <v>0.2</v>
      </c>
      <c r="K180" s="5" t="n">
        <v>0.0525</v>
      </c>
      <c r="L180" s="74" t="n">
        <v>1.3</v>
      </c>
      <c r="M180" s="14" t="n">
        <v>3.80952380952381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124-2026-06-30</t>
        </is>
      </c>
    </row>
    <row r="181" hidden="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9" t="n">
        <v>44742</v>
      </c>
      <c r="G181" s="5" t="n">
        <v>2022</v>
      </c>
      <c r="H181" s="5" t="inlineStr">
        <is>
          <t>Junio</t>
        </is>
      </c>
      <c r="I181" s="6" t="inlineStr">
        <is>
          <t>2022-1</t>
        </is>
      </c>
      <c r="J181" s="5" t="n">
        <v>4.7</v>
      </c>
      <c r="K181" s="5" t="n">
        <v>0.07940876177520667</v>
      </c>
      <c r="L181" s="14" t="n">
        <v>1.3</v>
      </c>
      <c r="M181" s="14" t="n">
        <v>59.18742333881163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125-2022-06-30</t>
        </is>
      </c>
    </row>
    <row r="182" hidden="1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9" t="n">
        <v>44926</v>
      </c>
      <c r="G182" s="5" t="n">
        <v>2022</v>
      </c>
      <c r="H182" s="5" t="inlineStr">
        <is>
          <t>Diciembre</t>
        </is>
      </c>
      <c r="I182" s="6" t="inlineStr">
        <is>
          <t>2022-2</t>
        </is>
      </c>
      <c r="J182" s="5" t="n">
        <v>4.7</v>
      </c>
      <c r="K182" s="5" t="n">
        <v>0.07941803125652</v>
      </c>
      <c r="L182" s="14" t="n">
        <v>1.3</v>
      </c>
      <c r="M182" s="14" t="n">
        <v>59.18051512532481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125-2022-12-31</t>
        </is>
      </c>
    </row>
    <row r="183" hidden="1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08" t="n">
        <v>45107</v>
      </c>
      <c r="G183" s="15" t="n">
        <v>2023</v>
      </c>
      <c r="H183" s="6" t="inlineStr">
        <is>
          <t>Junio</t>
        </is>
      </c>
      <c r="I183" s="27" t="inlineStr">
        <is>
          <t>2023-1</t>
        </is>
      </c>
      <c r="J183" s="5" t="n">
        <v>4.7</v>
      </c>
      <c r="K183" s="5" t="n">
        <v>0.021741020958345</v>
      </c>
      <c r="L183" s="14" t="n">
        <v>1.3</v>
      </c>
      <c r="M183" s="14" t="n">
        <v>216.1811999999921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125-2023-06-30</t>
        </is>
      </c>
    </row>
    <row r="184" hidden="1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08" t="n">
        <v>45291</v>
      </c>
      <c r="G184" s="15" t="n">
        <v>2023</v>
      </c>
      <c r="H184" s="6" t="inlineStr">
        <is>
          <t>Diciembre</t>
        </is>
      </c>
      <c r="I184" s="27" t="inlineStr">
        <is>
          <t>2023-2</t>
        </is>
      </c>
      <c r="J184" s="5" t="n">
        <v>4.7</v>
      </c>
      <c r="K184" s="5" t="n">
        <v>0.32943396226415</v>
      </c>
      <c r="L184" s="14" t="n">
        <v>1.3</v>
      </c>
      <c r="M184" s="14" t="n">
        <v>14.26689576174116</v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125-2023-12-31</t>
        </is>
      </c>
    </row>
    <row r="185" hidden="1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09" t="n">
        <v>45473</v>
      </c>
      <c r="G185" s="5" t="n">
        <v>2024</v>
      </c>
      <c r="H185" s="5" t="inlineStr">
        <is>
          <t>Junio</t>
        </is>
      </c>
      <c r="I185" s="6" t="inlineStr">
        <is>
          <t>2024-1</t>
        </is>
      </c>
      <c r="J185" s="5" t="n">
        <v>1.9</v>
      </c>
      <c r="K185" s="5" t="n">
        <v>0.03485292067475255</v>
      </c>
      <c r="L185" s="14" t="n">
        <v>1.3</v>
      </c>
      <c r="M185" s="14" t="n">
        <v>54.51479999999999</v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125-2024-06-30</t>
        </is>
      </c>
    </row>
    <row r="186" hidden="1">
      <c r="A186" s="5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09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1.9</v>
      </c>
      <c r="K186" s="5" t="n">
        <v>0.15220700152207</v>
      </c>
      <c r="L186" s="14" t="n">
        <v>1.3</v>
      </c>
      <c r="M186" s="14" t="n">
        <v>12.483</v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125-2024-12-31</t>
        </is>
      </c>
    </row>
    <row r="187" hidden="1">
      <c r="A187" s="5" t="n">
        <v>125</v>
      </c>
      <c r="B187" s="5" t="inlineStr">
        <is>
          <t>Indice de severidad</t>
        </is>
      </c>
      <c r="C187" s="5" t="inlineStr">
        <is>
          <t>GESTIÓN DE SEGURIDAD Y SALUD EN EL TRABAJO</t>
        </is>
      </c>
      <c r="D187" s="5" t="inlineStr">
        <is>
          <t>Mensual</t>
        </is>
      </c>
      <c r="E187" s="5" t="inlineStr">
        <is>
          <t>Negativo</t>
        </is>
      </c>
      <c r="F187" s="109" t="n">
        <v>45838</v>
      </c>
      <c r="G187" s="5" t="n">
        <v>2025</v>
      </c>
      <c r="H187" s="5" t="inlineStr">
        <is>
          <t>Junio</t>
        </is>
      </c>
      <c r="I187" s="6" t="inlineStr">
        <is>
          <t>2025-1</t>
        </is>
      </c>
      <c r="J187" s="5" t="n">
        <v>1.9</v>
      </c>
      <c r="K187" s="5" t="n">
        <v>0.1605788514129444</v>
      </c>
      <c r="L187" s="14" t="n">
        <v>1.3</v>
      </c>
      <c r="M187" s="14" t="n">
        <v>11.83219323890891</v>
      </c>
      <c r="N187" s="5" t="inlineStr">
        <is>
          <t>DEC</t>
        </is>
      </c>
      <c r="O187" s="5" t="inlineStr">
        <is>
          <t>DEC</t>
        </is>
      </c>
      <c r="P187" s="5" t="n">
        <v>1</v>
      </c>
      <c r="Q187" s="5" t="n">
        <v>2</v>
      </c>
      <c r="R187" s="5" t="inlineStr">
        <is>
          <t>125-2025-06-30</t>
        </is>
      </c>
    </row>
    <row r="188" hidden="1">
      <c r="A188" s="5" t="n">
        <v>125</v>
      </c>
      <c r="B188" s="5" t="inlineStr">
        <is>
          <t>Indice de severidad</t>
        </is>
      </c>
      <c r="C188" s="5" t="inlineStr">
        <is>
          <t>GESTIÓN DE SEGURIDAD Y SALUD EN EL TRABAJO</t>
        </is>
      </c>
      <c r="D188" s="5" t="inlineStr">
        <is>
          <t>Mensual</t>
        </is>
      </c>
      <c r="E188" s="5" t="inlineStr">
        <is>
          <t>Negativo</t>
        </is>
      </c>
      <c r="F188" s="108" t="n">
        <v>46022</v>
      </c>
      <c r="G188" s="15" t="n">
        <v>2025</v>
      </c>
      <c r="H188" s="6" t="inlineStr">
        <is>
          <t>Diciembre</t>
        </is>
      </c>
      <c r="I188" s="27" t="inlineStr">
        <is>
          <t>2025-2</t>
        </is>
      </c>
      <c r="J188" s="5" t="n">
        <v>1.9</v>
      </c>
      <c r="K188" s="5" t="n">
        <v>0.04166666666666666</v>
      </c>
      <c r="L188" s="14" t="n">
        <v>1.3</v>
      </c>
      <c r="M188" s="14" t="n">
        <v>45.60000000000001</v>
      </c>
      <c r="N188" s="5" t="inlineStr">
        <is>
          <t>DEC</t>
        </is>
      </c>
      <c r="O188" s="5" t="inlineStr">
        <is>
          <t>DEC</t>
        </is>
      </c>
      <c r="P188" s="5" t="n">
        <v>1</v>
      </c>
      <c r="Q188" s="5" t="n">
        <v>2</v>
      </c>
      <c r="R188" s="5" t="inlineStr">
        <is>
          <t>125-2025-12-31</t>
        </is>
      </c>
    </row>
    <row r="189" hidden="1">
      <c r="A189" s="5" t="n">
        <v>125</v>
      </c>
      <c r="B189" s="5" t="inlineStr">
        <is>
          <t>Indice de severidad</t>
        </is>
      </c>
      <c r="C189" s="5" t="inlineStr">
        <is>
          <t>GESTIÓN DE SEGURIDAD Y SALUD EN EL TRABAJO</t>
        </is>
      </c>
      <c r="D189" s="5" t="inlineStr">
        <is>
          <t>Mensual</t>
        </is>
      </c>
      <c r="E189" s="5" t="inlineStr">
        <is>
          <t>Negativo</t>
        </is>
      </c>
      <c r="F189" s="108" t="n">
        <v>46203</v>
      </c>
      <c r="G189" s="15" t="n">
        <v>2026</v>
      </c>
      <c r="H189" s="6" t="inlineStr">
        <is>
          <t>Junio</t>
        </is>
      </c>
      <c r="I189" s="27" t="inlineStr">
        <is>
          <t>2026-1</t>
        </is>
      </c>
      <c r="J189" s="5" t="n">
        <v>4.7</v>
      </c>
      <c r="K189" s="5" t="n">
        <v>0.1425</v>
      </c>
      <c r="L189" s="14" t="n">
        <v>1.3</v>
      </c>
      <c r="M189" s="14" t="n">
        <v>32.98245614035088</v>
      </c>
      <c r="N189" s="5" t="inlineStr">
        <is>
          <t>DEC</t>
        </is>
      </c>
      <c r="O189" s="5" t="inlineStr">
        <is>
          <t>DEC</t>
        </is>
      </c>
      <c r="P189" s="5" t="n">
        <v>1</v>
      </c>
      <c r="Q189" s="5" t="n">
        <v>2</v>
      </c>
      <c r="R189" s="5" t="inlineStr">
        <is>
          <t>125-2026-06-30</t>
        </is>
      </c>
    </row>
    <row r="190" hidden="1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8" t="n">
        <v>44926</v>
      </c>
      <c r="G190" s="15" t="n">
        <v>2022</v>
      </c>
      <c r="H190" s="6" t="inlineStr">
        <is>
          <t>Diciembre</t>
        </is>
      </c>
      <c r="I190" s="27" t="inlineStr">
        <is>
          <t>2022-2</t>
        </is>
      </c>
      <c r="J190" s="5" t="n">
        <v>2</v>
      </c>
      <c r="K190" s="5" t="n">
        <v>0.12391573729864</v>
      </c>
      <c r="L190" s="14" t="n">
        <v>1.3</v>
      </c>
      <c r="M190" s="14" t="n">
        <v>16.1399999999996</v>
      </c>
      <c r="N190" s="5" t="inlineStr">
        <is>
          <t>DEC</t>
        </is>
      </c>
      <c r="O190" s="5" t="inlineStr">
        <is>
          <t>DEC</t>
        </is>
      </c>
      <c r="P190" s="5" t="n">
        <v>0</v>
      </c>
      <c r="Q190" s="5" t="n">
        <v>2</v>
      </c>
      <c r="R190" s="5" t="inlineStr">
        <is>
          <t>126-2022-12-31</t>
        </is>
      </c>
    </row>
    <row r="191" hidden="1">
      <c r="A191" s="26" t="n">
        <v>126</v>
      </c>
      <c r="B191" s="5" t="inlineStr">
        <is>
          <t>Indice de Prevalencia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09" t="n">
        <v>45291</v>
      </c>
      <c r="G191" s="5" t="n">
        <v>2023</v>
      </c>
      <c r="H191" s="5" t="inlineStr">
        <is>
          <t>Diciembre</t>
        </is>
      </c>
      <c r="I191" s="6" t="inlineStr">
        <is>
          <t>2023-2</t>
        </is>
      </c>
      <c r="J191" s="5" t="n">
        <v>2</v>
      </c>
      <c r="K191" s="5" t="n">
        <v>0.12</v>
      </c>
      <c r="L191" s="14" t="n">
        <v>1.3</v>
      </c>
      <c r="M191" s="14" t="n">
        <v>16.66666666666667</v>
      </c>
      <c r="N191" s="5" t="inlineStr">
        <is>
          <t>DEC</t>
        </is>
      </c>
      <c r="O191" s="5" t="inlineStr">
        <is>
          <t>DEC</t>
        </is>
      </c>
      <c r="P191" s="5" t="n">
        <v>0</v>
      </c>
      <c r="Q191" s="5" t="n">
        <v>2</v>
      </c>
      <c r="R191" s="5" t="inlineStr">
        <is>
          <t>126-2023-12-31</t>
        </is>
      </c>
    </row>
    <row r="192" hidden="1">
      <c r="A192" s="5" t="n">
        <v>126</v>
      </c>
      <c r="B192" s="5" t="inlineStr">
        <is>
          <t>Indice de Prevalencia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09" t="n">
        <v>45657</v>
      </c>
      <c r="G192" s="5" t="n">
        <v>2024</v>
      </c>
      <c r="H192" s="5" t="inlineStr">
        <is>
          <t>Diciembre</t>
        </is>
      </c>
      <c r="I192" s="6" t="inlineStr">
        <is>
          <t>2024-2</t>
        </is>
      </c>
      <c r="J192" s="5" t="n">
        <v>2</v>
      </c>
      <c r="K192" s="5" t="n">
        <v>0.1</v>
      </c>
      <c r="L192" s="14" t="n">
        <v>1.3</v>
      </c>
      <c r="M192" s="14" t="n">
        <v>20</v>
      </c>
      <c r="N192" s="5" t="inlineStr">
        <is>
          <t>DEC</t>
        </is>
      </c>
      <c r="O192" s="5" t="inlineStr">
        <is>
          <t>DEC</t>
        </is>
      </c>
      <c r="P192" s="5" t="n">
        <v>0</v>
      </c>
      <c r="Q192" s="5" t="n">
        <v>1</v>
      </c>
      <c r="R192" s="5" t="inlineStr">
        <is>
          <t>126-2024-12-31</t>
        </is>
      </c>
    </row>
    <row r="193" hidden="1">
      <c r="A193" s="5" t="n">
        <v>126</v>
      </c>
      <c r="B193" s="5" t="inlineStr">
        <is>
          <t>Indice de Prevalencia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09" t="n">
        <v>46022</v>
      </c>
      <c r="G193" s="5" t="n">
        <v>2025</v>
      </c>
      <c r="H193" s="5" t="inlineStr">
        <is>
          <t>Diciembre</t>
        </is>
      </c>
      <c r="I193" s="6" t="inlineStr">
        <is>
          <t>2025-2</t>
        </is>
      </c>
      <c r="J193" s="5" t="n">
        <v>2</v>
      </c>
      <c r="K193" s="5" t="n">
        <v>0.16</v>
      </c>
      <c r="L193" s="14" t="n">
        <v>1.3</v>
      </c>
      <c r="M193" s="14" t="n">
        <v>12.5</v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1</v>
      </c>
      <c r="R193" s="5" t="inlineStr">
        <is>
          <t>126-2025-12-31</t>
        </is>
      </c>
    </row>
    <row r="194" hidden="1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08" t="n">
        <v>44926</v>
      </c>
      <c r="G194" s="15" t="n">
        <v>2022</v>
      </c>
      <c r="H194" s="6" t="inlineStr">
        <is>
          <t>Diciembre</t>
        </is>
      </c>
      <c r="I194" s="27" t="inlineStr">
        <is>
          <t>2022-2</t>
        </is>
      </c>
      <c r="J194" s="5" t="n">
        <v>0</v>
      </c>
      <c r="K194" s="5" t="n">
        <v>0</v>
      </c>
      <c r="L194" s="14" t="n">
        <v>1</v>
      </c>
      <c r="M194" s="14" t="n">
        <v>1</v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 t="inlineStr">
        <is>
          <t>127-2022-12-31</t>
        </is>
      </c>
    </row>
    <row r="195" hidden="1">
      <c r="A195" s="26" t="n">
        <v>127</v>
      </c>
      <c r="B195" s="5" t="inlineStr">
        <is>
          <t>Indice de Incidencia EL Enfermedad laboral</t>
        </is>
      </c>
      <c r="C195" s="5" t="inlineStr">
        <is>
          <t>GESTIÓN DE SEGURIDAD Y SALUD EN EL TRABAJO</t>
        </is>
      </c>
      <c r="D195" s="5" t="inlineStr">
        <is>
          <t>Anual</t>
        </is>
      </c>
      <c r="E195" s="5" t="inlineStr">
        <is>
          <t>Negativo</t>
        </is>
      </c>
      <c r="F195" s="109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0</v>
      </c>
      <c r="K195" s="5" t="n">
        <v>0</v>
      </c>
      <c r="L195" s="14" t="n">
        <v>1</v>
      </c>
      <c r="M195" s="14" t="n">
        <v>1</v>
      </c>
      <c r="N195" s="5" t="inlineStr">
        <is>
          <t>ENT</t>
        </is>
      </c>
      <c r="O195" s="5" t="inlineStr">
        <is>
          <t>ENT</t>
        </is>
      </c>
      <c r="P195" s="5" t="n">
        <v>0</v>
      </c>
      <c r="Q195" s="5" t="n">
        <v>0</v>
      </c>
      <c r="R195" s="5" t="inlineStr">
        <is>
          <t>127-2023-12-31</t>
        </is>
      </c>
    </row>
    <row r="196" hidden="1">
      <c r="A196" s="26" t="n">
        <v>127</v>
      </c>
      <c r="B196" s="5" t="inlineStr">
        <is>
          <t>Indice de Incidencia EL Enfermedad laboral</t>
        </is>
      </c>
      <c r="C196" s="5" t="inlineStr">
        <is>
          <t>GESTIÓN DE SEGURIDAD Y SALUD EN EL TRABAJO</t>
        </is>
      </c>
      <c r="D196" s="5" t="inlineStr">
        <is>
          <t>Anual</t>
        </is>
      </c>
      <c r="E196" s="5" t="inlineStr">
        <is>
          <t>Negativo</t>
        </is>
      </c>
      <c r="F196" s="109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0</v>
      </c>
      <c r="K196" s="5" t="n">
        <v>0</v>
      </c>
      <c r="L196" s="14" t="n">
        <v>1</v>
      </c>
      <c r="M196" s="14" t="n">
        <v>1</v>
      </c>
      <c r="N196" s="5" t="inlineStr">
        <is>
          <t>ENT</t>
        </is>
      </c>
      <c r="O196" s="5" t="inlineStr">
        <is>
          <t>ENT</t>
        </is>
      </c>
      <c r="P196" s="5" t="n">
        <v>0</v>
      </c>
      <c r="Q196" s="5" t="n">
        <v>0</v>
      </c>
      <c r="R196" s="5" t="inlineStr">
        <is>
          <t>127-2024-12-31</t>
        </is>
      </c>
    </row>
    <row r="197" hidden="1">
      <c r="A197" s="5" t="n">
        <v>127</v>
      </c>
      <c r="B197" s="5" t="inlineStr">
        <is>
          <t>Indice de Incidencia EL Enfermedad laboral</t>
        </is>
      </c>
      <c r="C197" s="5" t="inlineStr">
        <is>
          <t>GESTIÓN DE SEGURIDAD Y SALUD EN EL TRABAJO</t>
        </is>
      </c>
      <c r="D197" s="5" t="inlineStr">
        <is>
          <t>Anual</t>
        </is>
      </c>
      <c r="E197" s="5" t="inlineStr">
        <is>
          <t>Negativo</t>
        </is>
      </c>
      <c r="F197" s="109" t="n">
        <v>46022</v>
      </c>
      <c r="G197" s="5" t="n">
        <v>2025</v>
      </c>
      <c r="H197" s="5" t="inlineStr">
        <is>
          <t>Diciembre</t>
        </is>
      </c>
      <c r="I197" s="6" t="inlineStr">
        <is>
          <t>2025-2</t>
        </is>
      </c>
      <c r="J197" s="5" t="n">
        <v>0</v>
      </c>
      <c r="K197" s="5" t="n">
        <v>0</v>
      </c>
      <c r="L197" s="14" t="n">
        <v>1</v>
      </c>
      <c r="M197" s="14" t="n">
        <v>1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0</v>
      </c>
      <c r="R197" s="5" t="inlineStr">
        <is>
          <t>127-2025-12-31</t>
        </is>
      </c>
    </row>
    <row r="198" hidden="1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9" t="n">
        <v>44742</v>
      </c>
      <c r="G198" s="5" t="n">
        <v>2022</v>
      </c>
      <c r="H198" s="5" t="inlineStr">
        <is>
          <t>Junio</t>
        </is>
      </c>
      <c r="I198" s="6" t="inlineStr">
        <is>
          <t>2022-1</t>
        </is>
      </c>
      <c r="J198" s="5" t="n">
        <v>1</v>
      </c>
      <c r="K198" s="5" t="n">
        <v>0.7173436208217416</v>
      </c>
      <c r="L198" s="14" t="n">
        <v>1.3</v>
      </c>
      <c r="M198" s="14" t="n">
        <v>1.394032052385809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128-2022-06-30</t>
        </is>
      </c>
    </row>
    <row r="199" hidden="1">
      <c r="A199" s="28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09" t="n">
        <v>44926</v>
      </c>
      <c r="G199" s="5" t="n">
        <v>2022</v>
      </c>
      <c r="H199" s="5" t="inlineStr">
        <is>
          <t>Diciembre</t>
        </is>
      </c>
      <c r="I199" s="6" t="inlineStr">
        <is>
          <t>2022-2</t>
        </is>
      </c>
      <c r="J199" s="5" t="n">
        <v>1</v>
      </c>
      <c r="K199" s="5" t="n">
        <v>0.8523290336262234</v>
      </c>
      <c r="L199" s="74" t="n">
        <v>1.173255820871797</v>
      </c>
      <c r="M199" s="14" t="n">
        <v>1.173255820871797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128-2022-12-31</t>
        </is>
      </c>
    </row>
    <row r="200" hidden="1">
      <c r="A200" s="5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09" t="n">
        <v>45107</v>
      </c>
      <c r="G200" s="5" t="n">
        <v>2023</v>
      </c>
      <c r="H200" s="5" t="inlineStr">
        <is>
          <t>Junio</t>
        </is>
      </c>
      <c r="I200" s="6" t="inlineStr">
        <is>
          <t>2023-1</t>
        </is>
      </c>
      <c r="J200" s="5" t="n">
        <v>1</v>
      </c>
      <c r="K200" s="5" t="n">
        <v>0.9449840892803549</v>
      </c>
      <c r="L200" s="14" t="n">
        <v>1.058218875157509</v>
      </c>
      <c r="M200" s="14" t="n">
        <v>1.058218875157509</v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128-2023-06-30</t>
        </is>
      </c>
    </row>
    <row r="201" hidden="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09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1</v>
      </c>
      <c r="K201" s="5" t="n">
        <v>0.7491333924874333</v>
      </c>
      <c r="L201" s="14" t="n">
        <v>1.3</v>
      </c>
      <c r="M201" s="14" t="n">
        <v>1.33487575113904</v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128-2023-12-31</t>
        </is>
      </c>
    </row>
    <row r="202" hidden="1">
      <c r="A202" s="26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09" t="n">
        <v>45473</v>
      </c>
      <c r="G202" s="5" t="n">
        <v>2024</v>
      </c>
      <c r="H202" s="5" t="inlineStr">
        <is>
          <t>Junio</t>
        </is>
      </c>
      <c r="I202" s="6" t="inlineStr">
        <is>
          <t>2024-1</t>
        </is>
      </c>
      <c r="J202" s="5" t="n">
        <v>1</v>
      </c>
      <c r="K202" s="5" t="n">
        <v>0.6606634090870904</v>
      </c>
      <c r="L202" s="14" t="n">
        <v>1.3</v>
      </c>
      <c r="M202" s="14" t="n">
        <v>1.513630066756395</v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128-2024-06-30</t>
        </is>
      </c>
    </row>
    <row r="203" hidden="1">
      <c r="A203" s="5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09" t="n">
        <v>45657</v>
      </c>
      <c r="G203" s="5" t="n">
        <v>2024</v>
      </c>
      <c r="H203" s="5" t="inlineStr">
        <is>
          <t>Diciembre</t>
        </is>
      </c>
      <c r="I203" s="6" t="inlineStr">
        <is>
          <t>2024-2</t>
        </is>
      </c>
      <c r="J203" s="5" t="n">
        <v>1</v>
      </c>
      <c r="K203" s="5" t="n">
        <v>0.701289310309125</v>
      </c>
      <c r="L203" s="14" t="n">
        <v>1.3</v>
      </c>
      <c r="M203" s="14" t="n">
        <v>1.425945020549657</v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128-2024-12-31</t>
        </is>
      </c>
    </row>
    <row r="204" hidden="1">
      <c r="A204" s="5" t="n">
        <v>128</v>
      </c>
      <c r="B204" s="5" t="inlineStr">
        <is>
          <t>Ausentísmo por causa médica</t>
        </is>
      </c>
      <c r="C204" s="5" t="inlineStr">
        <is>
          <t>GESTIÓN DE SEGURIDAD Y SALUD EN EL TRABAJO</t>
        </is>
      </c>
      <c r="D204" s="5" t="inlineStr">
        <is>
          <t>Mensual</t>
        </is>
      </c>
      <c r="E204" s="5" t="inlineStr">
        <is>
          <t>Negativo</t>
        </is>
      </c>
      <c r="F204" s="109" t="n">
        <v>45838</v>
      </c>
      <c r="G204" s="15" t="n">
        <v>2025</v>
      </c>
      <c r="H204" s="6" t="inlineStr">
        <is>
          <t>Junio</t>
        </is>
      </c>
      <c r="I204" s="6" t="inlineStr">
        <is>
          <t>2025-1</t>
        </is>
      </c>
      <c r="J204" s="5" t="n">
        <v>1</v>
      </c>
      <c r="K204" s="5" t="n">
        <v>0.9333333333333332</v>
      </c>
      <c r="L204" s="14" t="n">
        <v>1.071428571428572</v>
      </c>
      <c r="M204" s="14" t="n">
        <v>1.071428571428572</v>
      </c>
      <c r="N204" s="5" t="inlineStr">
        <is>
          <t>ENT</t>
        </is>
      </c>
      <c r="O204" s="5" t="inlineStr">
        <is>
          <t>DEC</t>
        </is>
      </c>
      <c r="P204" s="5" t="n">
        <v>0</v>
      </c>
      <c r="Q204" s="5" t="n">
        <v>2</v>
      </c>
      <c r="R204" s="5" t="inlineStr">
        <is>
          <t>128-2025-06-30</t>
        </is>
      </c>
    </row>
    <row r="205" hidden="1">
      <c r="A205" s="5" t="n">
        <v>128</v>
      </c>
      <c r="B205" s="5" t="inlineStr">
        <is>
          <t>Ausentísmo por causa médica</t>
        </is>
      </c>
      <c r="C205" s="5" t="inlineStr">
        <is>
          <t>GESTIÓN DE SEGURIDAD Y SALUD EN EL TRABAJO</t>
        </is>
      </c>
      <c r="D205" s="5" t="inlineStr">
        <is>
          <t>Mensual</t>
        </is>
      </c>
      <c r="E205" s="5" t="inlineStr">
        <is>
          <t>Negativo</t>
        </is>
      </c>
      <c r="F205" s="109" t="n">
        <v>46022</v>
      </c>
      <c r="G205" s="5" t="n">
        <v>2025</v>
      </c>
      <c r="H205" s="5" t="inlineStr">
        <is>
          <t>Diciembre</t>
        </is>
      </c>
      <c r="I205" s="6" t="inlineStr">
        <is>
          <t>2025-2</t>
        </is>
      </c>
      <c r="J205" s="5" t="n">
        <v>1</v>
      </c>
      <c r="K205" s="5" t="n">
        <v>0.8799999999999999</v>
      </c>
      <c r="L205" s="14" t="n">
        <v>1.136363636363636</v>
      </c>
      <c r="M205" s="14" t="n">
        <v>1.136363636363636</v>
      </c>
      <c r="N205" s="5" t="inlineStr">
        <is>
          <t>ENT</t>
        </is>
      </c>
      <c r="O205" s="5" t="inlineStr">
        <is>
          <t>DEC</t>
        </is>
      </c>
      <c r="P205" s="5" t="n">
        <v>0</v>
      </c>
      <c r="Q205" s="5" t="n">
        <v>2</v>
      </c>
      <c r="R205" s="5" t="inlineStr">
        <is>
          <t>128-2025-12-31</t>
        </is>
      </c>
    </row>
    <row r="206" hidden="1">
      <c r="A206" s="5" t="n">
        <v>128</v>
      </c>
      <c r="B206" s="5" t="inlineStr">
        <is>
          <t>Ausentísmo por causa médica</t>
        </is>
      </c>
      <c r="C206" s="5" t="inlineStr">
        <is>
          <t>GESTIÓN DE SEGURIDAD Y SALUD EN EL TRABAJO</t>
        </is>
      </c>
      <c r="D206" s="5" t="inlineStr">
        <is>
          <t>Mensual</t>
        </is>
      </c>
      <c r="E206" s="5" t="inlineStr">
        <is>
          <t>Negativo</t>
        </is>
      </c>
      <c r="F206" s="108" t="n">
        <v>46203</v>
      </c>
      <c r="G206" s="15" t="n">
        <v>2026</v>
      </c>
      <c r="H206" s="6" t="inlineStr">
        <is>
          <t>Junio</t>
        </is>
      </c>
      <c r="I206" s="27" t="inlineStr">
        <is>
          <t>2026-1</t>
        </is>
      </c>
      <c r="J206" s="96" t="n">
        <v>1</v>
      </c>
      <c r="K206" s="96" t="n">
        <v>0.745</v>
      </c>
      <c r="L206" s="14" t="n">
        <v>1.3</v>
      </c>
      <c r="M206" s="14" t="n">
        <v>1.342281879194631</v>
      </c>
      <c r="N206" s="5" t="inlineStr">
        <is>
          <t>ENT</t>
        </is>
      </c>
      <c r="O206" s="5" t="inlineStr">
        <is>
          <t>DEC</t>
        </is>
      </c>
      <c r="P206" s="5" t="n">
        <v>0</v>
      </c>
      <c r="Q206" s="5" t="n">
        <v>2</v>
      </c>
      <c r="R206" s="5" t="inlineStr">
        <is>
          <t>128-2026-06-30</t>
        </is>
      </c>
    </row>
    <row r="207" hidden="1">
      <c r="A207" s="5" t="n">
        <v>133</v>
      </c>
      <c r="B207" s="5" t="inlineStr">
        <is>
          <t>Nivel de Satisfacción Servicios Prestados</t>
        </is>
      </c>
      <c r="C207" s="5" t="inlineStr">
        <is>
          <t>VISIBILIDAD NACIONAL E INTERNACIONAL</t>
        </is>
      </c>
      <c r="D207" s="5" t="inlineStr">
        <is>
          <t>Anual</t>
        </is>
      </c>
      <c r="E207" s="5" t="inlineStr">
        <is>
          <t>Positivo</t>
        </is>
      </c>
      <c r="F207" s="108" t="n">
        <v>44865</v>
      </c>
      <c r="G207" s="15" t="n">
        <v>2022</v>
      </c>
      <c r="H207" s="6" t="inlineStr">
        <is>
          <t>Octubre</t>
        </is>
      </c>
      <c r="I207" s="27" t="inlineStr">
        <is>
          <t>2022-2</t>
        </is>
      </c>
      <c r="J207" s="96" t="n">
        <v>80</v>
      </c>
      <c r="K207" s="96" t="n">
        <v>90</v>
      </c>
      <c r="L207" s="14" t="n">
        <v>1.125</v>
      </c>
      <c r="M207" s="14" t="n">
        <v>1.125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133-2022-10-31</t>
        </is>
      </c>
    </row>
    <row r="208" hidden="1">
      <c r="A208" s="5" t="n">
        <v>133</v>
      </c>
      <c r="B208" s="5" t="inlineStr">
        <is>
          <t>Nivel de Satisfacción Servicios Prestados</t>
        </is>
      </c>
      <c r="C208" s="5" t="inlineStr">
        <is>
          <t>VISIBILIDAD NACIONAL E INTERNACIONAL</t>
        </is>
      </c>
      <c r="D208" s="5" t="inlineStr">
        <is>
          <t>Anual</t>
        </is>
      </c>
      <c r="E208" s="5" t="inlineStr">
        <is>
          <t>Positivo</t>
        </is>
      </c>
      <c r="F208" s="108" t="n">
        <v>45291</v>
      </c>
      <c r="G208" s="15" t="n">
        <v>2023</v>
      </c>
      <c r="H208" s="6" t="inlineStr">
        <is>
          <t>Diciembre</t>
        </is>
      </c>
      <c r="I208" s="27" t="inlineStr">
        <is>
          <t>2023-2</t>
        </is>
      </c>
      <c r="J208" s="73" t="n">
        <v>80</v>
      </c>
      <c r="K208" s="96" t="n">
        <v>92.78911564625851</v>
      </c>
      <c r="L208" s="14" t="n">
        <v>1.159863945578231</v>
      </c>
      <c r="M208" s="14" t="n">
        <v>1.159863945578231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133-2023-12-31</t>
        </is>
      </c>
    </row>
    <row r="209" hidden="1">
      <c r="A209" s="26" t="n">
        <v>133</v>
      </c>
      <c r="B209" s="5" t="inlineStr">
        <is>
          <t>Nivel de Satisfacción Servicios Prestados</t>
        </is>
      </c>
      <c r="C209" s="5" t="inlineStr">
        <is>
          <t>VISIBILIDAD NACIONAL E INTERNACIONAL</t>
        </is>
      </c>
      <c r="D209" s="5" t="inlineStr">
        <is>
          <t>Anual</t>
        </is>
      </c>
      <c r="E209" s="5" t="inlineStr">
        <is>
          <t>Positivo</t>
        </is>
      </c>
      <c r="F209" s="109" t="n">
        <v>45657</v>
      </c>
      <c r="G209" s="5" t="n">
        <v>2024</v>
      </c>
      <c r="H209" s="5" t="inlineStr">
        <is>
          <t>Diciembre</t>
        </is>
      </c>
      <c r="I209" s="6" t="inlineStr">
        <is>
          <t>2024-2</t>
        </is>
      </c>
      <c r="J209" s="73" t="n">
        <v>80</v>
      </c>
      <c r="K209" s="96" t="n">
        <v>91</v>
      </c>
      <c r="L209" s="14" t="n">
        <v>1.1375</v>
      </c>
      <c r="M209" s="14" t="n">
        <v>1.1375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133-2024-12-31</t>
        </is>
      </c>
    </row>
    <row r="210" hidden="1">
      <c r="A210" s="5" t="n">
        <v>136</v>
      </c>
      <c r="B210" s="5" t="inlineStr">
        <is>
          <t>Ejecución de actividades culturales</t>
        </is>
      </c>
      <c r="C210" s="5" t="inlineStr">
        <is>
          <t>Biblioteca Institucional</t>
        </is>
      </c>
      <c r="D210" s="5" t="inlineStr">
        <is>
          <t>Semestral</t>
        </is>
      </c>
      <c r="E210" s="5" t="inlineStr">
        <is>
          <t>Positivo</t>
        </is>
      </c>
      <c r="F210" s="109" t="n">
        <v>45107</v>
      </c>
      <c r="G210" s="5" t="n">
        <v>2023</v>
      </c>
      <c r="H210" s="5" t="inlineStr">
        <is>
          <t>Junio</t>
        </is>
      </c>
      <c r="I210" s="6" t="inlineStr">
        <is>
          <t>2023-1</t>
        </is>
      </c>
      <c r="J210" s="76" t="n">
        <v>90</v>
      </c>
      <c r="K210" s="10" t="n">
        <v>105.56</v>
      </c>
      <c r="L210" s="14" t="n">
        <v>1.172888888888889</v>
      </c>
      <c r="M210" s="14" t="n">
        <v>1.172888888888889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 t="inlineStr">
        <is>
          <t>136-2023-06-30</t>
        </is>
      </c>
    </row>
    <row r="211" hidden="1">
      <c r="A211" s="26" t="n">
        <v>136</v>
      </c>
      <c r="B211" s="5" t="inlineStr">
        <is>
          <t>Ejecución de actividades culturales</t>
        </is>
      </c>
      <c r="C211" s="5" t="inlineStr">
        <is>
          <t>Biblioteca Institucional</t>
        </is>
      </c>
      <c r="D211" s="5" t="inlineStr">
        <is>
          <t>Semestral</t>
        </is>
      </c>
      <c r="E211" s="5" t="inlineStr">
        <is>
          <t>Positivo</t>
        </is>
      </c>
      <c r="F211" s="109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73" t="n">
        <v>90</v>
      </c>
      <c r="K211" s="96" t="n">
        <v>94.44</v>
      </c>
      <c r="L211" s="14" t="n">
        <v>1.049333333333333</v>
      </c>
      <c r="M211" s="14" t="n">
        <v>1.049333333333333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136-2023-12-31</t>
        </is>
      </c>
    </row>
    <row r="212" hidden="1">
      <c r="A212" s="5" t="n">
        <v>137</v>
      </c>
      <c r="B212" s="5" t="inlineStr">
        <is>
          <t>Ejecución de Talleres de formación</t>
        </is>
      </c>
      <c r="C212" s="5" t="inlineStr">
        <is>
          <t>Biblioteca Institucional</t>
        </is>
      </c>
      <c r="D212" s="5" t="inlineStr">
        <is>
          <t>Trimestral</t>
        </is>
      </c>
      <c r="E212" s="5" t="inlineStr">
        <is>
          <t>Positivo</t>
        </is>
      </c>
      <c r="F212" s="108" t="n">
        <v>45107</v>
      </c>
      <c r="G212" s="15" t="n">
        <v>2023</v>
      </c>
      <c r="H212" s="6" t="inlineStr">
        <is>
          <t>Junio</t>
        </is>
      </c>
      <c r="I212" s="27" t="inlineStr">
        <is>
          <t>2023-1</t>
        </is>
      </c>
      <c r="J212" s="11" t="n">
        <v>212</v>
      </c>
      <c r="K212" s="11" t="n">
        <v>213</v>
      </c>
      <c r="L212" s="14" t="n">
        <v>1.004716981132076</v>
      </c>
      <c r="M212" s="14" t="n">
        <v>1.004716981132076</v>
      </c>
      <c r="N212" s="5" t="n"/>
      <c r="O212" s="5" t="n"/>
      <c r="P212" s="5" t="n">
        <v>0</v>
      </c>
      <c r="Q212" s="5" t="n">
        <v>0</v>
      </c>
      <c r="R212" s="5" t="inlineStr">
        <is>
          <t>137-2023-06-30</t>
        </is>
      </c>
    </row>
    <row r="213" hidden="1">
      <c r="A213" s="5" t="n">
        <v>137</v>
      </c>
      <c r="B213" s="5" t="inlineStr">
        <is>
          <t>Ejecución de Talleres de formación</t>
        </is>
      </c>
      <c r="C213" s="5" t="inlineStr">
        <is>
          <t>Biblioteca Institucional</t>
        </is>
      </c>
      <c r="D213" s="5" t="inlineStr">
        <is>
          <t>Trimestral</t>
        </is>
      </c>
      <c r="E213" s="5" t="inlineStr">
        <is>
          <t>Positivo</t>
        </is>
      </c>
      <c r="F213" s="108" t="n">
        <v>45291</v>
      </c>
      <c r="G213" s="15" t="n">
        <v>2023</v>
      </c>
      <c r="H213" s="6" t="inlineStr">
        <is>
          <t>Diciembre</t>
        </is>
      </c>
      <c r="I213" s="27" t="inlineStr">
        <is>
          <t>2023-2</t>
        </is>
      </c>
      <c r="J213" s="11" t="n">
        <v>235</v>
      </c>
      <c r="K213" s="9" t="n">
        <v>3</v>
      </c>
      <c r="L213" s="14" t="n">
        <v>0.01276595744680851</v>
      </c>
      <c r="M213" s="14" t="n">
        <v>0.01276595744680851</v>
      </c>
      <c r="N213" s="5" t="n"/>
      <c r="O213" s="5" t="n"/>
      <c r="P213" s="5" t="n">
        <v>0</v>
      </c>
      <c r="Q213" s="5" t="n">
        <v>0</v>
      </c>
      <c r="R213" s="5" t="inlineStr">
        <is>
          <t>137-2023-12-31</t>
        </is>
      </c>
    </row>
    <row r="214" hidden="1">
      <c r="A214" s="5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08" t="n">
        <v>45107</v>
      </c>
      <c r="G214" s="15" t="n">
        <v>2023</v>
      </c>
      <c r="H214" s="6" t="inlineStr">
        <is>
          <t>Junio</t>
        </is>
      </c>
      <c r="I214" s="27" t="inlineStr">
        <is>
          <t>2023-1</t>
        </is>
      </c>
      <c r="J214" s="5" t="n">
        <v>570.083</v>
      </c>
      <c r="K214" s="11" t="n">
        <v>410.077</v>
      </c>
      <c r="L214" s="14" t="n">
        <v>1.3</v>
      </c>
      <c r="M214" s="14" t="n">
        <v>1.390185257890591</v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139-2023-06-30</t>
        </is>
      </c>
    </row>
    <row r="215" hidden="1">
      <c r="A215" s="26" t="n">
        <v>139</v>
      </c>
      <c r="B215" s="5" t="inlineStr">
        <is>
          <t>Ejecución presupuestal del gasto</t>
        </is>
      </c>
      <c r="C215" s="5" t="inlineStr">
        <is>
          <t>Biblioteca Institucional</t>
        </is>
      </c>
      <c r="D215" s="5" t="inlineStr">
        <is>
          <t>Mensual</t>
        </is>
      </c>
      <c r="E215" s="5" t="inlineStr">
        <is>
          <t>Negativo</t>
        </is>
      </c>
      <c r="F215" s="109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73" t="n">
        <v>981.982</v>
      </c>
      <c r="K215" s="9" t="n">
        <v>964.284</v>
      </c>
      <c r="L215" s="14" t="n">
        <v>1.018353514109951</v>
      </c>
      <c r="M215" s="14" t="n">
        <v>1.018353514109951</v>
      </c>
      <c r="N215" s="5" t="inlineStr">
        <is>
          <t>$</t>
        </is>
      </c>
      <c r="O215" s="5" t="inlineStr">
        <is>
          <t>$</t>
        </is>
      </c>
      <c r="P215" s="5" t="n">
        <v>0</v>
      </c>
      <c r="Q215" s="5" t="n">
        <v>0</v>
      </c>
      <c r="R215" s="5" t="inlineStr">
        <is>
          <t>139-2023-12-31</t>
        </is>
      </c>
    </row>
    <row r="216" hidden="1">
      <c r="A216" s="5" t="n">
        <v>139</v>
      </c>
      <c r="B216" s="5" t="inlineStr">
        <is>
          <t>Ejecución presupuestal del gasto</t>
        </is>
      </c>
      <c r="C216" s="5" t="inlineStr">
        <is>
          <t>Biblioteca Institucional</t>
        </is>
      </c>
      <c r="D216" s="5" t="inlineStr">
        <is>
          <t>Mensual</t>
        </is>
      </c>
      <c r="E216" s="5" t="inlineStr">
        <is>
          <t>Negativo</t>
        </is>
      </c>
      <c r="F216" s="109" t="n">
        <v>45473</v>
      </c>
      <c r="G216" s="5" t="n">
        <v>2024</v>
      </c>
      <c r="H216" s="5" t="inlineStr">
        <is>
          <t>Junio</t>
        </is>
      </c>
      <c r="I216" s="6" t="inlineStr">
        <is>
          <t>2024-1</t>
        </is>
      </c>
      <c r="J216" s="5" t="n">
        <v>624.0215930000001</v>
      </c>
      <c r="K216" s="10" t="n">
        <v>470.811775</v>
      </c>
      <c r="L216" s="14" t="n">
        <v>1.3</v>
      </c>
      <c r="M216" s="14" t="n">
        <v>1.325416283396905</v>
      </c>
      <c r="N216" s="5" t="inlineStr">
        <is>
          <t>$</t>
        </is>
      </c>
      <c r="O216" s="5" t="inlineStr">
        <is>
          <t>$</t>
        </is>
      </c>
      <c r="P216" s="5" t="n">
        <v>0</v>
      </c>
      <c r="Q216" s="5" t="n">
        <v>0</v>
      </c>
      <c r="R216" s="5" t="inlineStr">
        <is>
          <t>139-2024-06-30</t>
        </is>
      </c>
    </row>
    <row r="217" hidden="1">
      <c r="A217" s="5" t="n">
        <v>139</v>
      </c>
      <c r="B217" s="5" t="inlineStr">
        <is>
          <t>Ejecución presupuestal del gasto</t>
        </is>
      </c>
      <c r="C217" s="5" t="inlineStr">
        <is>
          <t>Biblioteca Institucional</t>
        </is>
      </c>
      <c r="D217" s="5" t="inlineStr">
        <is>
          <t>Mensual</t>
        </is>
      </c>
      <c r="E217" s="5" t="inlineStr">
        <is>
          <t>Negativo</t>
        </is>
      </c>
      <c r="F217" s="109" t="n">
        <v>45657</v>
      </c>
      <c r="G217" s="5" t="n">
        <v>2024</v>
      </c>
      <c r="H217" s="5" t="inlineStr">
        <is>
          <t>Diciembre</t>
        </is>
      </c>
      <c r="I217" s="6" t="inlineStr">
        <is>
          <t>2024-2</t>
        </is>
      </c>
      <c r="J217" s="5" t="n">
        <v>1338.614396</v>
      </c>
      <c r="K217" s="10" t="n">
        <v>1214.751881</v>
      </c>
      <c r="L217" s="14" t="n">
        <v>1.101965279442938</v>
      </c>
      <c r="M217" s="14" t="n">
        <v>1.101965279442938</v>
      </c>
      <c r="N217" s="5" t="inlineStr">
        <is>
          <t>$</t>
        </is>
      </c>
      <c r="O217" s="5" t="inlineStr">
        <is>
          <t>$</t>
        </is>
      </c>
      <c r="P217" s="5" t="n">
        <v>0</v>
      </c>
      <c r="Q217" s="5" t="n">
        <v>0</v>
      </c>
      <c r="R217" s="5" t="inlineStr">
        <is>
          <t>139-2024-12-31</t>
        </is>
      </c>
    </row>
    <row r="218" hidden="1">
      <c r="A218" s="5" t="n">
        <v>143</v>
      </c>
      <c r="B218" s="5" t="inlineStr">
        <is>
          <t>Proyectos de investigación e innovación- Metrica</t>
        </is>
      </c>
      <c r="C218" s="5" t="inlineStr">
        <is>
          <t>Investigación, desarrollo tecnológico, innovación y creación</t>
        </is>
      </c>
      <c r="D218" s="5" t="inlineStr">
        <is>
          <t>Trimestral</t>
        </is>
      </c>
      <c r="E218" s="5" t="inlineStr">
        <is>
          <t>Positivo</t>
        </is>
      </c>
      <c r="F218" s="108" t="n">
        <v>44742</v>
      </c>
      <c r="G218" s="15" t="n">
        <v>2022</v>
      </c>
      <c r="H218" s="6" t="inlineStr">
        <is>
          <t>Junio</t>
        </is>
      </c>
      <c r="I218" s="27" t="inlineStr">
        <is>
          <t>2022-1</t>
        </is>
      </c>
      <c r="J218" s="9" t="n">
        <v>100</v>
      </c>
      <c r="K218" s="9" t="n">
        <v>147</v>
      </c>
      <c r="L218" s="14" t="n">
        <v>1.3</v>
      </c>
      <c r="M218" s="14" t="n">
        <v>1.47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143-2022-06-30</t>
        </is>
      </c>
      <c r="S218" t="inlineStr">
        <is>
          <t>Metrica</t>
        </is>
      </c>
    </row>
    <row r="219" hidden="1">
      <c r="A219" s="5" t="n">
        <v>143</v>
      </c>
      <c r="B219" s="5" t="inlineStr">
        <is>
          <t>Proyectos de investigación e innovación- Metrica</t>
        </is>
      </c>
      <c r="C219" s="5" t="inlineStr">
        <is>
          <t>Investigación, desarrollo tecnológico, innovación y creación</t>
        </is>
      </c>
      <c r="D219" s="5" t="inlineStr">
        <is>
          <t>Trimestral</t>
        </is>
      </c>
      <c r="E219" s="5" t="inlineStr">
        <is>
          <t>Positivo</t>
        </is>
      </c>
      <c r="F219" s="108" t="n">
        <v>44926</v>
      </c>
      <c r="G219" s="15" t="n">
        <v>2022</v>
      </c>
      <c r="H219" s="6" t="inlineStr">
        <is>
          <t>Diciembre</t>
        </is>
      </c>
      <c r="I219" s="27" t="inlineStr">
        <is>
          <t>2022-2</t>
        </is>
      </c>
      <c r="J219" s="5" t="n">
        <v>100</v>
      </c>
      <c r="K219" s="11" t="n">
        <v>158</v>
      </c>
      <c r="L219" s="14" t="n">
        <v>1.3</v>
      </c>
      <c r="M219" s="14" t="n">
        <v>1.58</v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143-2022-12-31</t>
        </is>
      </c>
      <c r="S219" t="inlineStr">
        <is>
          <t>Metrica</t>
        </is>
      </c>
    </row>
    <row r="220" hidden="1">
      <c r="A220" s="26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09" t="n">
        <v>45107</v>
      </c>
      <c r="G220" s="5" t="n">
        <v>2023</v>
      </c>
      <c r="H220" s="5" t="inlineStr">
        <is>
          <t>Junio</t>
        </is>
      </c>
      <c r="I220" s="6" t="inlineStr">
        <is>
          <t>2023-1</t>
        </is>
      </c>
      <c r="J220" s="73" t="n">
        <v>100</v>
      </c>
      <c r="K220" s="9" t="n">
        <v>146</v>
      </c>
      <c r="L220" s="14" t="n">
        <v>1.3</v>
      </c>
      <c r="M220" s="14" t="n">
        <v>1.46</v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143-2023-06-30</t>
        </is>
      </c>
    </row>
    <row r="221" hidden="1">
      <c r="A221" s="5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100</v>
      </c>
      <c r="K221" s="9" t="n">
        <v>146</v>
      </c>
      <c r="L221" s="14" t="n">
        <v>1.3</v>
      </c>
      <c r="M221" s="14" t="n">
        <v>1.46</v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143-2023-12-31</t>
        </is>
      </c>
    </row>
    <row r="222" hidden="1">
      <c r="A222" s="5" t="n">
        <v>143</v>
      </c>
      <c r="B222" s="5" t="inlineStr">
        <is>
          <t>Proyectos de investigación e innovación</t>
        </is>
      </c>
      <c r="C222" s="5" t="inlineStr">
        <is>
          <t>Investigación, desarrollo tecnológico, innovación y creación</t>
        </is>
      </c>
      <c r="D222" s="5" t="inlineStr">
        <is>
          <t>Semestral</t>
        </is>
      </c>
      <c r="E222" s="5" t="inlineStr">
        <is>
          <t>Positivo</t>
        </is>
      </c>
      <c r="F222" s="109" t="n">
        <v>45473</v>
      </c>
      <c r="G222" s="5" t="n">
        <v>2024</v>
      </c>
      <c r="H222" s="5" t="inlineStr">
        <is>
          <t>Junio</t>
        </is>
      </c>
      <c r="I222" s="6" t="inlineStr">
        <is>
          <t>2024-1</t>
        </is>
      </c>
      <c r="J222" s="5" t="n">
        <v>100</v>
      </c>
      <c r="K222" s="10" t="n">
        <v>112</v>
      </c>
      <c r="L222" s="14" t="n">
        <v>1.12</v>
      </c>
      <c r="M222" s="14" t="n">
        <v>1.12</v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143-2024-06-30</t>
        </is>
      </c>
    </row>
    <row r="223" hidden="1">
      <c r="A223" s="5" t="n">
        <v>143</v>
      </c>
      <c r="B223" s="5" t="inlineStr">
        <is>
          <t>Proyectos de investigación e innovación</t>
        </is>
      </c>
      <c r="C223" s="5" t="inlineStr">
        <is>
          <t>Investigación, desarrollo tecnológico, innovación y creación</t>
        </is>
      </c>
      <c r="D223" s="5" t="inlineStr">
        <is>
          <t>Semestral</t>
        </is>
      </c>
      <c r="E223" s="5" t="inlineStr">
        <is>
          <t>Positivo</t>
        </is>
      </c>
      <c r="F223" s="108" t="n">
        <v>45657</v>
      </c>
      <c r="G223" s="15" t="n">
        <v>2024</v>
      </c>
      <c r="H223" s="6" t="inlineStr">
        <is>
          <t>Diciembre</t>
        </is>
      </c>
      <c r="I223" s="27" t="inlineStr">
        <is>
          <t>2024-2</t>
        </is>
      </c>
      <c r="J223" s="5" t="n">
        <v>100</v>
      </c>
      <c r="K223" s="11" t="n">
        <v>135</v>
      </c>
      <c r="L223" s="14" t="n">
        <v>1.3</v>
      </c>
      <c r="M223" s="14" t="n">
        <v>1.35</v>
      </c>
      <c r="N223" s="5" t="inlineStr">
        <is>
          <t>Metrica</t>
        </is>
      </c>
      <c r="O223" s="5" t="n"/>
      <c r="P223" s="5" t="n">
        <v>0</v>
      </c>
      <c r="Q223" s="5" t="n">
        <v>0</v>
      </c>
      <c r="R223" s="5" t="inlineStr">
        <is>
          <t>143-2024-12-31</t>
        </is>
      </c>
    </row>
    <row r="224" hidden="1">
      <c r="A224" s="26" t="n">
        <v>143</v>
      </c>
      <c r="B224" s="5" t="inlineStr">
        <is>
          <t>Proyectos de investigación e innovación</t>
        </is>
      </c>
      <c r="C224" s="5" t="inlineStr">
        <is>
          <t>Investigación, desarrollo tecnológico, innovación y creación</t>
        </is>
      </c>
      <c r="D224" s="5" t="inlineStr">
        <is>
          <t>Semestral</t>
        </is>
      </c>
      <c r="E224" s="5" t="inlineStr">
        <is>
          <t>Positivo</t>
        </is>
      </c>
      <c r="F224" s="109" t="n">
        <v>45838</v>
      </c>
      <c r="G224" s="5" t="n">
        <v>2025</v>
      </c>
      <c r="H224" s="5" t="inlineStr">
        <is>
          <t>Junio</t>
        </is>
      </c>
      <c r="I224" s="6" t="inlineStr">
        <is>
          <t>2025-1</t>
        </is>
      </c>
      <c r="J224" s="5" t="n">
        <v>100</v>
      </c>
      <c r="K224" s="96" t="n">
        <v>159</v>
      </c>
      <c r="L224" s="14" t="n">
        <v>1.3</v>
      </c>
      <c r="M224" s="14" t="n">
        <v>1.59</v>
      </c>
      <c r="N224" s="5" t="inlineStr">
        <is>
          <t>Metrica</t>
        </is>
      </c>
      <c r="O224" s="5" t="n"/>
      <c r="P224" s="5" t="n">
        <v>0</v>
      </c>
      <c r="Q224" s="5" t="n">
        <v>0</v>
      </c>
      <c r="R224" s="5" t="inlineStr">
        <is>
          <t>143-2025-06-30</t>
        </is>
      </c>
    </row>
    <row r="225" hidden="1">
      <c r="A225" s="26" t="n">
        <v>143</v>
      </c>
      <c r="B225" s="5" t="inlineStr">
        <is>
          <t>Proyectos de investigación e innovación- Metrica</t>
        </is>
      </c>
      <c r="C225" s="5" t="inlineStr">
        <is>
          <t>Investigación, desarrollo tecnológico, innovación y creación</t>
        </is>
      </c>
      <c r="D225" s="5" t="inlineStr">
        <is>
          <t>Trimestral</t>
        </is>
      </c>
      <c r="E225" s="5" t="inlineStr">
        <is>
          <t>Positivo</t>
        </is>
      </c>
      <c r="F225" s="109" t="n">
        <v>46022</v>
      </c>
      <c r="G225" s="5" t="n">
        <v>2025</v>
      </c>
      <c r="H225" s="5" t="inlineStr">
        <is>
          <t>Diciembre</t>
        </is>
      </c>
      <c r="I225" s="6" t="inlineStr">
        <is>
          <t>2025-2</t>
        </is>
      </c>
      <c r="J225" s="5" t="n">
        <v>100</v>
      </c>
      <c r="K225" s="5" t="n">
        <v>191</v>
      </c>
      <c r="L225" s="14" t="n">
        <v>1.3</v>
      </c>
      <c r="M225" s="14" t="n">
        <v>1.91</v>
      </c>
      <c r="N225" s="5" t="inlineStr">
        <is>
          <t>Metrica</t>
        </is>
      </c>
      <c r="O225" s="5" t="n"/>
      <c r="P225" s="5" t="n">
        <v>0</v>
      </c>
      <c r="Q225" s="5" t="n">
        <v>0</v>
      </c>
      <c r="R225" s="5" t="inlineStr">
        <is>
          <t>143-2025-12-31</t>
        </is>
      </c>
      <c r="S225" t="inlineStr">
        <is>
          <t>Metrica</t>
        </is>
      </c>
    </row>
    <row r="226" hidden="1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08" t="n">
        <v>44742</v>
      </c>
      <c r="G226" s="15" t="n">
        <v>2022</v>
      </c>
      <c r="H226" s="6" t="inlineStr">
        <is>
          <t>Junio</t>
        </is>
      </c>
      <c r="I226" s="27" t="inlineStr">
        <is>
          <t>2022-1</t>
        </is>
      </c>
      <c r="J226" s="5" t="n">
        <v>3</v>
      </c>
      <c r="K226" s="11" t="n">
        <v>3.2169811320755</v>
      </c>
      <c r="L226" s="14" t="n">
        <v>1.072327044025167</v>
      </c>
      <c r="M226" s="14" t="n">
        <v>1.072327044025167</v>
      </c>
      <c r="N226" s="5" t="inlineStr">
        <is>
          <t>ENT</t>
        </is>
      </c>
      <c r="O226" s="5" t="inlineStr">
        <is>
          <t>DEC</t>
        </is>
      </c>
      <c r="P226" s="5" t="n">
        <v>2</v>
      </c>
      <c r="Q226" s="5" t="n">
        <v>2</v>
      </c>
      <c r="R226" s="5" t="inlineStr">
        <is>
          <t>144-2022-06-30</t>
        </is>
      </c>
    </row>
    <row r="227" hidden="1">
      <c r="A227" s="26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09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73" t="n">
        <v>3</v>
      </c>
      <c r="K227" s="9" t="n">
        <v>3.55</v>
      </c>
      <c r="L227" s="14" t="n">
        <v>1.183333333333333</v>
      </c>
      <c r="M227" s="14" t="n">
        <v>1.183333333333333</v>
      </c>
      <c r="N227" s="5" t="inlineStr">
        <is>
          <t>ENT</t>
        </is>
      </c>
      <c r="O227" s="5" t="inlineStr">
        <is>
          <t>DEC</t>
        </is>
      </c>
      <c r="P227" s="5" t="n">
        <v>2</v>
      </c>
      <c r="Q227" s="5" t="n">
        <v>2</v>
      </c>
      <c r="R227" s="5" t="inlineStr">
        <is>
          <t>144-2022-12-31</t>
        </is>
      </c>
    </row>
    <row r="228" hidden="1">
      <c r="A228" s="5" t="n">
        <v>144</v>
      </c>
      <c r="B228" s="5" t="inlineStr">
        <is>
          <t>Productos de investigación</t>
        </is>
      </c>
      <c r="C228" s="5" t="inlineStr">
        <is>
          <t>Investigación, desarrollo tecnológico, innovación y creación</t>
        </is>
      </c>
      <c r="D228" s="5" t="inlineStr">
        <is>
          <t>Anual</t>
        </is>
      </c>
      <c r="E228" s="5" t="inlineStr">
        <is>
          <t>Positivo</t>
        </is>
      </c>
      <c r="F228" s="109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3</v>
      </c>
      <c r="K228" s="11" t="n">
        <v>4.83</v>
      </c>
      <c r="L228" s="14" t="n">
        <v>1.3</v>
      </c>
      <c r="M228" s="14" t="n">
        <v>1.61</v>
      </c>
      <c r="N228" s="5" t="n"/>
      <c r="O228" s="5" t="n"/>
      <c r="P228" s="5" t="n">
        <v>2</v>
      </c>
      <c r="Q228" s="5" t="n">
        <v>2</v>
      </c>
      <c r="R228" s="5" t="inlineStr">
        <is>
          <t>144-2023-12-31</t>
        </is>
      </c>
    </row>
    <row r="229" hidden="1">
      <c r="A229" s="5" t="n">
        <v>144</v>
      </c>
      <c r="B229" s="5" t="inlineStr">
        <is>
          <t>Productos de investigación</t>
        </is>
      </c>
      <c r="C229" s="5" t="inlineStr">
        <is>
          <t>Investigación, desarrollo tecnológico, innovación y creación</t>
        </is>
      </c>
      <c r="D229" s="5" t="inlineStr">
        <is>
          <t>Anual</t>
        </is>
      </c>
      <c r="E229" s="5" t="inlineStr">
        <is>
          <t>Positivo</t>
        </is>
      </c>
      <c r="F229" s="109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3</v>
      </c>
      <c r="K229" s="11" t="n">
        <v>4.6</v>
      </c>
      <c r="L229" s="14" t="n">
        <v>1.3</v>
      </c>
      <c r="M229" s="14" t="n">
        <v>1.533333333333333</v>
      </c>
      <c r="N229" s="5" t="n"/>
      <c r="O229" s="5" t="n"/>
      <c r="P229" s="5" t="n">
        <v>0</v>
      </c>
      <c r="Q229" s="5" t="n">
        <v>0</v>
      </c>
      <c r="R229" s="5" t="inlineStr">
        <is>
          <t>144-2024-12-31</t>
        </is>
      </c>
    </row>
    <row r="230" hidden="1">
      <c r="A230" s="26" t="n">
        <v>144</v>
      </c>
      <c r="B230" s="5" t="inlineStr">
        <is>
          <t>Productos de investigación</t>
        </is>
      </c>
      <c r="C230" s="5" t="inlineStr">
        <is>
          <t>Investigación, desarrollo tecnológico, innovación y creación</t>
        </is>
      </c>
      <c r="D230" s="5" t="inlineStr">
        <is>
          <t>Anual</t>
        </is>
      </c>
      <c r="E230" s="5" t="inlineStr">
        <is>
          <t>Positivo</t>
        </is>
      </c>
      <c r="F230" s="109" t="n">
        <v>46022</v>
      </c>
      <c r="G230" s="5" t="n">
        <v>2025</v>
      </c>
      <c r="H230" s="5" t="inlineStr">
        <is>
          <t>Diciembre</t>
        </is>
      </c>
      <c r="I230" s="6" t="inlineStr">
        <is>
          <t>2025-2</t>
        </is>
      </c>
      <c r="J230" s="5" t="n">
        <v>4</v>
      </c>
      <c r="K230" s="5" t="n">
        <v>1.95</v>
      </c>
      <c r="L230" s="14" t="n">
        <v>0.4875</v>
      </c>
      <c r="M230" s="14" t="n">
        <v>0.4875</v>
      </c>
      <c r="N230" s="5" t="inlineStr">
        <is>
          <t>ENT</t>
        </is>
      </c>
      <c r="O230" s="5" t="inlineStr">
        <is>
          <t>DEC</t>
        </is>
      </c>
      <c r="P230" s="5" t="n">
        <v>2</v>
      </c>
      <c r="Q230" s="5" t="n">
        <v>2</v>
      </c>
      <c r="R230" s="5" t="inlineStr">
        <is>
          <t>144-2025-12-31</t>
        </is>
      </c>
    </row>
    <row r="231" hidden="1">
      <c r="A231" s="26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Trimestral</t>
        </is>
      </c>
      <c r="E231" s="5" t="inlineStr">
        <is>
          <t>Positivo</t>
        </is>
      </c>
      <c r="F231" s="109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1</v>
      </c>
      <c r="K231" s="5" t="n">
        <v>2.1186440677966</v>
      </c>
      <c r="L231" s="14" t="n">
        <v>1.3</v>
      </c>
      <c r="M231" s="14" t="n">
        <v>2.1186440677966</v>
      </c>
      <c r="N231" s="5" t="inlineStr">
        <is>
          <t>ENT</t>
        </is>
      </c>
      <c r="O231" s="5" t="inlineStr">
        <is>
          <t>DEC</t>
        </is>
      </c>
      <c r="P231" s="5" t="n">
        <v>0</v>
      </c>
      <c r="Q231" s="5" t="n">
        <v>2</v>
      </c>
      <c r="R231" s="5" t="inlineStr">
        <is>
          <t>145-2022-06-30</t>
        </is>
      </c>
    </row>
    <row r="232" hidden="1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Trimestral</t>
        </is>
      </c>
      <c r="E232" s="5" t="inlineStr">
        <is>
          <t>Positivo</t>
        </is>
      </c>
      <c r="F232" s="109" t="n">
        <v>44926</v>
      </c>
      <c r="G232" s="5" t="n">
        <v>2022</v>
      </c>
      <c r="H232" s="5" t="inlineStr">
        <is>
          <t>Diciembre</t>
        </is>
      </c>
      <c r="I232" s="6" t="inlineStr">
        <is>
          <t>2022-2</t>
        </is>
      </c>
      <c r="J232" s="5" t="n">
        <v>1</v>
      </c>
      <c r="K232" s="5" t="n">
        <v>2.1186440677966</v>
      </c>
      <c r="L232" s="14" t="n">
        <v>1.3</v>
      </c>
      <c r="M232" s="14" t="n">
        <v>2.1186440677966</v>
      </c>
      <c r="N232" s="5" t="inlineStr">
        <is>
          <t>ENT</t>
        </is>
      </c>
      <c r="O232" s="5" t="inlineStr">
        <is>
          <t>DEC</t>
        </is>
      </c>
      <c r="P232" s="5" t="n">
        <v>0</v>
      </c>
      <c r="Q232" s="5" t="n">
        <v>2</v>
      </c>
      <c r="R232" s="5" t="inlineStr">
        <is>
          <t>145-2022-12-31</t>
        </is>
      </c>
    </row>
    <row r="233" hidden="1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09" t="n">
        <v>45107</v>
      </c>
      <c r="G233" s="5" t="n">
        <v>2023</v>
      </c>
      <c r="H233" s="5" t="inlineStr">
        <is>
          <t>Junio</t>
        </is>
      </c>
      <c r="I233" s="6" t="inlineStr">
        <is>
          <t>2023-1</t>
        </is>
      </c>
      <c r="J233" s="5" t="n">
        <v>1</v>
      </c>
      <c r="K233" s="5" t="n">
        <v>2</v>
      </c>
      <c r="L233" s="14" t="n">
        <v>1.3</v>
      </c>
      <c r="M233" s="14" t="n">
        <v>2</v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145-2023-06-30</t>
        </is>
      </c>
    </row>
    <row r="234" hidden="1">
      <c r="A234" s="26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09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1</v>
      </c>
      <c r="K234" s="5" t="n">
        <v>2</v>
      </c>
      <c r="L234" s="74" t="n">
        <v>1.3</v>
      </c>
      <c r="M234" s="14" t="n">
        <v>2</v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145-2023-12-31</t>
        </is>
      </c>
    </row>
    <row r="235" hidden="1">
      <c r="A235" s="34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Semestral</t>
        </is>
      </c>
      <c r="E235" s="5" t="inlineStr">
        <is>
          <t>Positivo</t>
        </is>
      </c>
      <c r="F235" s="109" t="n">
        <v>45473</v>
      </c>
      <c r="G235" s="5" t="n">
        <v>2024</v>
      </c>
      <c r="H235" s="5" t="inlineStr">
        <is>
          <t>Junio</t>
        </is>
      </c>
      <c r="I235" s="6" t="inlineStr">
        <is>
          <t>2024-1</t>
        </is>
      </c>
      <c r="J235" s="5" t="n">
        <v>1</v>
      </c>
      <c r="K235" s="5" t="n">
        <v>1.97</v>
      </c>
      <c r="L235" s="74" t="n">
        <v>1.3</v>
      </c>
      <c r="M235" s="14" t="n">
        <v>1.97</v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145-2024-06-30</t>
        </is>
      </c>
    </row>
    <row r="236" hidden="1">
      <c r="A236" s="26" t="n">
        <v>145</v>
      </c>
      <c r="B236" s="5" t="inlineStr">
        <is>
          <t>Semilleros de Investigación, Innovación y Creación</t>
        </is>
      </c>
      <c r="C236" s="5" t="inlineStr">
        <is>
          <t>Formación para la investigación, creación e innovación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1</v>
      </c>
      <c r="K236" s="5" t="n">
        <v>1.94</v>
      </c>
      <c r="L236" s="74" t="n">
        <v>1.3</v>
      </c>
      <c r="M236" s="14" t="n">
        <v>1.94</v>
      </c>
      <c r="N236" s="5" t="inlineStr">
        <is>
          <t>ENT</t>
        </is>
      </c>
      <c r="O236" s="5" t="inlineStr">
        <is>
          <t>DEC</t>
        </is>
      </c>
      <c r="P236" s="5" t="n">
        <v>0</v>
      </c>
      <c r="Q236" s="5" t="n">
        <v>2</v>
      </c>
      <c r="R236" s="5" t="inlineStr">
        <is>
          <t>145-2024-12-31</t>
        </is>
      </c>
    </row>
    <row r="237" hidden="1">
      <c r="A237" s="5" t="n">
        <v>145</v>
      </c>
      <c r="B237" s="5" t="inlineStr">
        <is>
          <t>Semilleros de Investigación, Innovación y Creación</t>
        </is>
      </c>
      <c r="C237" s="5" t="inlineStr">
        <is>
          <t>Formación para la investigación, creación e innovación</t>
        </is>
      </c>
      <c r="D237" s="5" t="inlineStr">
        <is>
          <t>Semestral</t>
        </is>
      </c>
      <c r="E237" s="5" t="inlineStr">
        <is>
          <t>Positivo</t>
        </is>
      </c>
      <c r="F237" s="109" t="n">
        <v>45838</v>
      </c>
      <c r="G237" s="15" t="n">
        <v>2025</v>
      </c>
      <c r="H237" s="6" t="inlineStr">
        <is>
          <t>Junio</t>
        </is>
      </c>
      <c r="I237" s="6" t="inlineStr">
        <is>
          <t>2025-1</t>
        </is>
      </c>
      <c r="J237" s="5" t="n">
        <v>1</v>
      </c>
      <c r="K237" s="5" t="n">
        <v>1.74</v>
      </c>
      <c r="L237" s="74" t="n">
        <v>1.3</v>
      </c>
      <c r="M237" s="14" t="n">
        <v>1.74</v>
      </c>
      <c r="N237" s="5" t="inlineStr">
        <is>
          <t>ENT</t>
        </is>
      </c>
      <c r="O237" s="5" t="inlineStr">
        <is>
          <t>DEC</t>
        </is>
      </c>
      <c r="P237" s="5" t="n">
        <v>0</v>
      </c>
      <c r="Q237" s="5" t="n">
        <v>2</v>
      </c>
      <c r="R237" s="5" t="inlineStr">
        <is>
          <t>145-2025-06-30</t>
        </is>
      </c>
    </row>
    <row r="238" hidden="1">
      <c r="A238" s="26" t="n">
        <v>145</v>
      </c>
      <c r="B238" s="5" t="inlineStr">
        <is>
          <t>Semilleros de Investigación, Innovación y Creación</t>
        </is>
      </c>
      <c r="C238" s="5" t="inlineStr">
        <is>
          <t>Formación para la investigación, creación e innovación</t>
        </is>
      </c>
      <c r="D238" s="5" t="inlineStr">
        <is>
          <t>Trimestral</t>
        </is>
      </c>
      <c r="E238" s="5" t="inlineStr">
        <is>
          <t>Positivo</t>
        </is>
      </c>
      <c r="F238" s="109" t="n">
        <v>46022</v>
      </c>
      <c r="G238" s="5" t="n">
        <v>2025</v>
      </c>
      <c r="H238" s="5" t="inlineStr">
        <is>
          <t>Diciembre</t>
        </is>
      </c>
      <c r="I238" s="6" t="inlineStr">
        <is>
          <t>2025-2</t>
        </is>
      </c>
      <c r="J238" s="5" t="n">
        <v>1</v>
      </c>
      <c r="K238" s="5" t="n">
        <v>1.62</v>
      </c>
      <c r="L238" s="74" t="n">
        <v>1.3</v>
      </c>
      <c r="M238" s="14" t="n">
        <v>1.62</v>
      </c>
      <c r="N238" s="5" t="inlineStr">
        <is>
          <t>ENT</t>
        </is>
      </c>
      <c r="O238" s="5" t="inlineStr">
        <is>
          <t>DEC</t>
        </is>
      </c>
      <c r="P238" s="5" t="n">
        <v>0</v>
      </c>
      <c r="Q238" s="5" t="n">
        <v>2</v>
      </c>
      <c r="R238" s="5" t="inlineStr">
        <is>
          <t>145-2025-12-31</t>
        </is>
      </c>
    </row>
    <row r="239" hidden="1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Trimestral</t>
        </is>
      </c>
      <c r="E239" s="5" t="inlineStr">
        <is>
          <t>Positivo</t>
        </is>
      </c>
      <c r="F239" s="109" t="n">
        <v>44742</v>
      </c>
      <c r="G239" s="5" t="n">
        <v>2022</v>
      </c>
      <c r="H239" s="5" t="inlineStr">
        <is>
          <t>Junio</t>
        </is>
      </c>
      <c r="I239" s="6" t="inlineStr">
        <is>
          <t>2022-1</t>
        </is>
      </c>
      <c r="J239" s="5" t="n">
        <v>230</v>
      </c>
      <c r="K239" s="5" t="n">
        <v>100.43</v>
      </c>
      <c r="L239" s="14" t="n">
        <v>0.4366521739130435</v>
      </c>
      <c r="M239" s="14" t="n">
        <v>0.4366521739130435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146-2022-06-30</t>
        </is>
      </c>
    </row>
    <row r="240" hidden="1">
      <c r="A240" s="5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Trimestral</t>
        </is>
      </c>
      <c r="E240" s="5" t="inlineStr">
        <is>
          <t>Positivo</t>
        </is>
      </c>
      <c r="F240" s="109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230</v>
      </c>
      <c r="K240" s="5" t="n">
        <v>121.74</v>
      </c>
      <c r="L240" s="14" t="n">
        <v>0.5293043478260869</v>
      </c>
      <c r="M240" s="14" t="n">
        <v>0.5293043478260869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146-2022-12-31</t>
        </is>
      </c>
    </row>
    <row r="241" hidden="1">
      <c r="A241" s="26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09" t="n">
        <v>45107</v>
      </c>
      <c r="G241" s="5" t="n">
        <v>2023</v>
      </c>
      <c r="H241" s="5" t="inlineStr">
        <is>
          <t>Junio</t>
        </is>
      </c>
      <c r="I241" s="6" t="inlineStr">
        <is>
          <t>2023-1</t>
        </is>
      </c>
      <c r="J241" s="5" t="n">
        <v>230</v>
      </c>
      <c r="K241" s="11" t="n">
        <v>120.87</v>
      </c>
      <c r="L241" s="14" t="n">
        <v>0.5255217391304348</v>
      </c>
      <c r="M241" s="14" t="n">
        <v>0.5255217391304348</v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146-2023-06-30</t>
        </is>
      </c>
    </row>
    <row r="242" hidden="1">
      <c r="A242" s="26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09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230</v>
      </c>
      <c r="K242" s="5" t="n">
        <v>148.7</v>
      </c>
      <c r="L242" s="14" t="n">
        <v>0.6465217391304348</v>
      </c>
      <c r="M242" s="14" t="n">
        <v>0.6465217391304348</v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146-2023-12-31</t>
        </is>
      </c>
    </row>
    <row r="243" hidden="1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Semestral</t>
        </is>
      </c>
      <c r="E243" s="5" t="inlineStr">
        <is>
          <t>Positivo</t>
        </is>
      </c>
      <c r="F243" s="109" t="n">
        <v>45473</v>
      </c>
      <c r="G243" s="5" t="n">
        <v>2024</v>
      </c>
      <c r="H243" s="5" t="inlineStr">
        <is>
          <t>Junio</t>
        </is>
      </c>
      <c r="I243" s="6" t="inlineStr">
        <is>
          <t>2024-1</t>
        </is>
      </c>
      <c r="J243" s="5" t="n">
        <v>294</v>
      </c>
      <c r="K243" s="5" t="n">
        <v>113.61</v>
      </c>
      <c r="L243" s="14" t="n">
        <v>0.3864285714285714</v>
      </c>
      <c r="M243" s="14" t="n">
        <v>0.3864285714285714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146-2024-06-30</t>
        </is>
      </c>
    </row>
    <row r="244" hidden="1">
      <c r="A244" s="5" t="n">
        <v>146</v>
      </c>
      <c r="B244" s="5" t="inlineStr">
        <is>
          <t>Docentes vinculados a investigación</t>
        </is>
      </c>
      <c r="C244" s="5" t="inlineStr">
        <is>
          <t>Investigación, desarrollo tecnológico, innovación y creación</t>
        </is>
      </c>
      <c r="D244" s="5" t="inlineStr">
        <is>
          <t>Semestral</t>
        </is>
      </c>
      <c r="E244" s="5" t="inlineStr">
        <is>
          <t>Positivo</t>
        </is>
      </c>
      <c r="F244" s="109" t="n">
        <v>45657</v>
      </c>
      <c r="G244" s="5" t="n">
        <v>2024</v>
      </c>
      <c r="H244" s="5" t="inlineStr">
        <is>
          <t>Diciembre</t>
        </is>
      </c>
      <c r="I244" s="6" t="inlineStr">
        <is>
          <t>2024-2</t>
        </is>
      </c>
      <c r="J244" s="5" t="n">
        <v>294</v>
      </c>
      <c r="K244" s="5" t="n">
        <v>116.67</v>
      </c>
      <c r="L244" s="14" t="n">
        <v>0.3968367346938775</v>
      </c>
      <c r="M244" s="14" t="n">
        <v>0.3968367346938775</v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146-2024-12-31</t>
        </is>
      </c>
    </row>
    <row r="245" hidden="1">
      <c r="A245" s="28" t="n">
        <v>146</v>
      </c>
      <c r="B245" s="5" t="inlineStr">
        <is>
          <t>Docentes vinculados a investigación</t>
        </is>
      </c>
      <c r="C245" s="5" t="inlineStr">
        <is>
          <t>Investigación, desarrollo tecnológico, innovación y creación</t>
        </is>
      </c>
      <c r="D245" s="5" t="inlineStr">
        <is>
          <t>Semestral</t>
        </is>
      </c>
      <c r="E245" s="5" t="inlineStr">
        <is>
          <t>Positivo</t>
        </is>
      </c>
      <c r="F245" s="109" t="n">
        <v>45838</v>
      </c>
      <c r="G245" s="5" t="n">
        <v>2025</v>
      </c>
      <c r="H245" s="5" t="inlineStr">
        <is>
          <t>Junio</t>
        </is>
      </c>
      <c r="I245" s="6" t="inlineStr">
        <is>
          <t>2025-1</t>
        </is>
      </c>
      <c r="J245" s="5" t="n">
        <v>100</v>
      </c>
      <c r="K245" s="5" t="n">
        <v>107</v>
      </c>
      <c r="L245" s="74" t="n">
        <v>1.07</v>
      </c>
      <c r="M245" s="14" t="n">
        <v>1.07</v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 t="inlineStr">
        <is>
          <t>146-2025-06-30</t>
        </is>
      </c>
    </row>
    <row r="246" hidden="1">
      <c r="A246" s="26" t="n">
        <v>146</v>
      </c>
      <c r="B246" s="5" t="inlineStr">
        <is>
          <t>Docentes vinculados a investigación</t>
        </is>
      </c>
      <c r="C246" s="5" t="inlineStr">
        <is>
          <t>Investigación, desarrollo tecnológico, innovación y creación</t>
        </is>
      </c>
      <c r="D246" s="5" t="inlineStr">
        <is>
          <t>Trimestral</t>
        </is>
      </c>
      <c r="E246" s="5" t="inlineStr">
        <is>
          <t>Positivo</t>
        </is>
      </c>
      <c r="F246" s="109" t="n">
        <v>46022</v>
      </c>
      <c r="G246" s="5" t="n">
        <v>2025</v>
      </c>
      <c r="H246" s="5" t="inlineStr">
        <is>
          <t>Diciembre</t>
        </is>
      </c>
      <c r="I246" s="6" t="inlineStr">
        <is>
          <t>2025-2</t>
        </is>
      </c>
      <c r="J246" s="5" t="n">
        <v>100</v>
      </c>
      <c r="K246" s="5" t="n">
        <v>133</v>
      </c>
      <c r="L246" s="74" t="n">
        <v>1.3</v>
      </c>
      <c r="M246" s="14" t="n">
        <v>1.33</v>
      </c>
      <c r="N246" s="5" t="inlineStr">
        <is>
          <t>ENT</t>
        </is>
      </c>
      <c r="O246" s="5" t="inlineStr">
        <is>
          <t>ENT</t>
        </is>
      </c>
      <c r="P246" s="5" t="n">
        <v>0</v>
      </c>
      <c r="Q246" s="5" t="n">
        <v>0</v>
      </c>
      <c r="R246" s="5" t="inlineStr">
        <is>
          <t>146-2025-12-31</t>
        </is>
      </c>
    </row>
    <row r="247" hidden="1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09" t="n">
        <v>44926</v>
      </c>
      <c r="G247" s="5" t="n">
        <v>2022</v>
      </c>
      <c r="H247" s="5" t="inlineStr">
        <is>
          <t>Diciembre</t>
        </is>
      </c>
      <c r="I247" s="6" t="inlineStr">
        <is>
          <t>2022-2</t>
        </is>
      </c>
      <c r="J247" s="5" t="n">
        <v>18</v>
      </c>
      <c r="K247" s="5" t="n">
        <v>11</v>
      </c>
      <c r="L247" s="14" t="n">
        <v>0.6111111111111112</v>
      </c>
      <c r="M247" s="14" t="n">
        <v>0.6111111111111112</v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 t="inlineStr">
        <is>
          <t>147-2022-12-31</t>
        </is>
      </c>
    </row>
    <row r="248" hidden="1">
      <c r="A248" s="5" t="n">
        <v>147</v>
      </c>
      <c r="B248" s="5" t="inlineStr">
        <is>
          <t>Grupos de investigación categorizados</t>
        </is>
      </c>
      <c r="C248" s="5" t="inlineStr">
        <is>
          <t>Investigación, desarrollo tecnológico, innovación y creación</t>
        </is>
      </c>
      <c r="D248" s="5" t="inlineStr">
        <is>
          <t>Anual</t>
        </is>
      </c>
      <c r="E248" s="5" t="inlineStr">
        <is>
          <t>Positivo</t>
        </is>
      </c>
      <c r="F248" s="109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13</v>
      </c>
      <c r="K248" s="5" t="n">
        <v>12</v>
      </c>
      <c r="L248" s="14" t="n">
        <v>0.9230769230769231</v>
      </c>
      <c r="M248" s="14" t="n">
        <v>0.9230769230769231</v>
      </c>
      <c r="N248" s="5" t="n"/>
      <c r="O248" s="5" t="n"/>
      <c r="P248" s="5" t="n">
        <v>0</v>
      </c>
      <c r="Q248" s="5" t="n">
        <v>0</v>
      </c>
      <c r="R248" s="5" t="inlineStr">
        <is>
          <t>147-2023-12-31</t>
        </is>
      </c>
    </row>
    <row r="249" hidden="1">
      <c r="A249" s="26" t="n">
        <v>147</v>
      </c>
      <c r="B249" s="5" t="inlineStr">
        <is>
          <t>Grupos de investigación categorizados</t>
        </is>
      </c>
      <c r="C249" s="5" t="inlineStr">
        <is>
          <t>Investigación, desarrollo tecnológico, innovación y creación</t>
        </is>
      </c>
      <c r="D249" s="5" t="inlineStr">
        <is>
          <t>Anual</t>
        </is>
      </c>
      <c r="E249" s="5" t="inlineStr">
        <is>
          <t>Positivo</t>
        </is>
      </c>
      <c r="F249" s="109" t="n">
        <v>45657</v>
      </c>
      <c r="G249" s="5" t="n">
        <v>2024</v>
      </c>
      <c r="H249" s="5" t="inlineStr">
        <is>
          <t>Diciembre</t>
        </is>
      </c>
      <c r="I249" s="6" t="inlineStr">
        <is>
          <t>2024-2</t>
        </is>
      </c>
      <c r="J249" s="5" t="n">
        <v>0</v>
      </c>
      <c r="K249" s="5" t="n">
        <v>12</v>
      </c>
      <c r="L249" s="74" t="n"/>
      <c r="M249" s="14" t="n"/>
      <c r="N249" s="5" t="n"/>
      <c r="O249" s="5" t="n"/>
      <c r="P249" s="5" t="n">
        <v>0</v>
      </c>
      <c r="Q249" s="5" t="n">
        <v>0</v>
      </c>
      <c r="R249" s="5" t="inlineStr">
        <is>
          <t>147-2024-12-31</t>
        </is>
      </c>
    </row>
    <row r="250" hidden="1">
      <c r="A250" s="5" t="n">
        <v>147</v>
      </c>
      <c r="B250" s="5" t="inlineStr">
        <is>
          <t>Grupos de investigación categorizados</t>
        </is>
      </c>
      <c r="C250" s="5" t="inlineStr">
        <is>
          <t>Investigación, desarrollo tecnológico, innovación y creación</t>
        </is>
      </c>
      <c r="D250" s="5" t="inlineStr">
        <is>
          <t>Anual</t>
        </is>
      </c>
      <c r="E250" s="5" t="inlineStr">
        <is>
          <t>Positivo</t>
        </is>
      </c>
      <c r="F250" s="109" t="n">
        <v>46022</v>
      </c>
      <c r="G250" s="5" t="n">
        <v>2025</v>
      </c>
      <c r="H250" s="5" t="inlineStr">
        <is>
          <t>Diciembre</t>
        </is>
      </c>
      <c r="I250" s="6" t="inlineStr">
        <is>
          <t>2025-2</t>
        </is>
      </c>
      <c r="J250" s="5" t="n">
        <v>16</v>
      </c>
      <c r="K250" s="5" t="n">
        <v>16</v>
      </c>
      <c r="L250" s="14" t="n">
        <v>1</v>
      </c>
      <c r="M250" s="14" t="n">
        <v>1</v>
      </c>
      <c r="N250" s="5" t="inlineStr">
        <is>
          <t>ENT</t>
        </is>
      </c>
      <c r="O250" s="5" t="inlineStr">
        <is>
          <t>ENT</t>
        </is>
      </c>
      <c r="P250" s="5" t="n">
        <v>0</v>
      </c>
      <c r="Q250" s="5" t="n">
        <v>0</v>
      </c>
      <c r="R250" s="5" t="inlineStr">
        <is>
          <t>147-2025-12-31</t>
        </is>
      </c>
    </row>
    <row r="251" hidden="1">
      <c r="A251" s="26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Trimestral</t>
        </is>
      </c>
      <c r="E251" s="5" t="inlineStr">
        <is>
          <t>Positivo</t>
        </is>
      </c>
      <c r="F251" s="109" t="n">
        <v>44742</v>
      </c>
      <c r="G251" s="5" t="n">
        <v>2022</v>
      </c>
      <c r="H251" s="5" t="inlineStr">
        <is>
          <t>Junio</t>
        </is>
      </c>
      <c r="I251" s="6" t="inlineStr">
        <is>
          <t>2022-1</t>
        </is>
      </c>
      <c r="J251" s="5" t="n">
        <v>2</v>
      </c>
      <c r="K251" s="11" t="n">
        <v>1.56749025217</v>
      </c>
      <c r="L251" s="74" t="n">
        <v>0.783745126085</v>
      </c>
      <c r="M251" s="14" t="n">
        <v>0.783745126085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148-2022-06-30</t>
        </is>
      </c>
    </row>
    <row r="252" hidden="1">
      <c r="A252" s="26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Trimestral</t>
        </is>
      </c>
      <c r="E252" s="5" t="inlineStr">
        <is>
          <t>Positivo</t>
        </is>
      </c>
      <c r="F252" s="109" t="n">
        <v>44926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2</v>
      </c>
      <c r="K252" s="11" t="n">
        <v>3.0897703549061</v>
      </c>
      <c r="L252" s="74" t="n">
        <v>1.3</v>
      </c>
      <c r="M252" s="14" t="n">
        <v>1.54488517745305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148-2022-12-31</t>
        </is>
      </c>
    </row>
    <row r="253" hidden="1">
      <c r="A253" s="26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09" t="n">
        <v>45107</v>
      </c>
      <c r="G253" s="5" t="n">
        <v>2023</v>
      </c>
      <c r="H253" s="5" t="inlineStr">
        <is>
          <t>Junio</t>
        </is>
      </c>
      <c r="I253" s="6" t="inlineStr">
        <is>
          <t>2023-1</t>
        </is>
      </c>
      <c r="J253" s="5" t="n">
        <v>2.5</v>
      </c>
      <c r="K253" s="11" t="n">
        <v>4.11</v>
      </c>
      <c r="L253" s="74" t="n">
        <v>1.3</v>
      </c>
      <c r="M253" s="14" t="n">
        <v>1.644</v>
      </c>
      <c r="N253" s="5" t="inlineStr">
        <is>
          <t>%</t>
        </is>
      </c>
      <c r="O253" s="5" t="inlineStr">
        <is>
          <t>%</t>
        </is>
      </c>
      <c r="P253" s="5" t="n">
        <v>1</v>
      </c>
      <c r="Q253" s="5" t="n">
        <v>1</v>
      </c>
      <c r="R253" s="5" t="inlineStr">
        <is>
          <t>148-2023-06-30</t>
        </is>
      </c>
    </row>
    <row r="254" hidden="1">
      <c r="A254" s="26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09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>
        <v>5</v>
      </c>
      <c r="K254" s="11" t="n">
        <v>5.71</v>
      </c>
      <c r="L254" s="74" t="n">
        <v>1.142</v>
      </c>
      <c r="M254" s="14" t="n">
        <v>1.142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148-2023-12-31</t>
        </is>
      </c>
    </row>
    <row r="255" hidden="1">
      <c r="A255" s="26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Semestral</t>
        </is>
      </c>
      <c r="E255" s="5" t="inlineStr">
        <is>
          <t>Positivo</t>
        </is>
      </c>
      <c r="F255" s="109" t="n">
        <v>45473</v>
      </c>
      <c r="G255" s="5" t="n">
        <v>2024</v>
      </c>
      <c r="H255" s="5" t="inlineStr">
        <is>
          <t>Junio</t>
        </is>
      </c>
      <c r="I255" s="6" t="inlineStr">
        <is>
          <t>2024-1</t>
        </is>
      </c>
      <c r="J255" s="5" t="n">
        <v>5</v>
      </c>
      <c r="K255" s="11" t="n">
        <v>4.3</v>
      </c>
      <c r="L255" s="74" t="n">
        <v>0.86</v>
      </c>
      <c r="M255" s="14" t="n">
        <v>0.86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148-2024-06-30</t>
        </is>
      </c>
    </row>
    <row r="256" hidden="1">
      <c r="A256" s="26" t="n">
        <v>148</v>
      </c>
      <c r="B256" s="5" t="inlineStr">
        <is>
          <t>Estudiantes vinculados a investigación</t>
        </is>
      </c>
      <c r="C256" s="5" t="inlineStr">
        <is>
          <t>Formación para la investigación, creación e innovación</t>
        </is>
      </c>
      <c r="D256" s="5" t="inlineStr">
        <is>
          <t>Semestral</t>
        </is>
      </c>
      <c r="E256" s="5" t="inlineStr">
        <is>
          <t>Positivo</t>
        </is>
      </c>
      <c r="F256" s="109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>
        <v>5</v>
      </c>
      <c r="K256" s="11" t="n">
        <v>6.3</v>
      </c>
      <c r="L256" s="74" t="n">
        <v>1.26</v>
      </c>
      <c r="M256" s="14" t="n">
        <v>1.26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1</v>
      </c>
      <c r="R256" s="5" t="inlineStr">
        <is>
          <t>148-2024-12-31</t>
        </is>
      </c>
    </row>
    <row r="257" hidden="1">
      <c r="A257" s="5" t="n">
        <v>148</v>
      </c>
      <c r="B257" s="5" t="inlineStr">
        <is>
          <t>Estudiantes vinculados a investigación</t>
        </is>
      </c>
      <c r="C257" s="5" t="inlineStr">
        <is>
          <t>Formación para la investigación, creación e innovación</t>
        </is>
      </c>
      <c r="D257" s="5" t="inlineStr">
        <is>
          <t>Semestral</t>
        </is>
      </c>
      <c r="E257" s="5" t="inlineStr">
        <is>
          <t>Positivo</t>
        </is>
      </c>
      <c r="F257" s="109" t="n">
        <v>45838</v>
      </c>
      <c r="G257" s="15" t="n">
        <v>2025</v>
      </c>
      <c r="H257" s="6" t="inlineStr">
        <is>
          <t>Junio</t>
        </is>
      </c>
      <c r="I257" s="6" t="inlineStr">
        <is>
          <t>2025-1</t>
        </is>
      </c>
      <c r="J257" s="5" t="n">
        <v>4</v>
      </c>
      <c r="K257" s="11" t="n">
        <v>4.08</v>
      </c>
      <c r="L257" s="74" t="n">
        <v>1.02</v>
      </c>
      <c r="M257" s="14" t="n">
        <v>1.02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1</v>
      </c>
      <c r="R257" s="5" t="inlineStr">
        <is>
          <t>148-2025-06-30</t>
        </is>
      </c>
    </row>
    <row r="258" hidden="1">
      <c r="A258" s="5" t="n">
        <v>148</v>
      </c>
      <c r="B258" s="5" t="inlineStr">
        <is>
          <t>Estudiantes vinculados a investigación</t>
        </is>
      </c>
      <c r="C258" s="5" t="inlineStr">
        <is>
          <t>Formación para la investigación, creación e innovación</t>
        </is>
      </c>
      <c r="D258" s="5" t="inlineStr">
        <is>
          <t>Trimestral</t>
        </is>
      </c>
      <c r="E258" s="5" t="inlineStr">
        <is>
          <t>Positivo</t>
        </is>
      </c>
      <c r="F258" s="109" t="n">
        <v>46022</v>
      </c>
      <c r="G258" s="15" t="n">
        <v>2025</v>
      </c>
      <c r="H258" s="6" t="inlineStr">
        <is>
          <t>Diciembre</t>
        </is>
      </c>
      <c r="I258" s="6" t="inlineStr">
        <is>
          <t>2025-2</t>
        </is>
      </c>
      <c r="J258" s="5" t="n">
        <v>5</v>
      </c>
      <c r="K258" s="11" t="n">
        <v>6.78</v>
      </c>
      <c r="L258" s="74" t="n">
        <v>1.3</v>
      </c>
      <c r="M258" s="14" t="n">
        <v>1.356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1</v>
      </c>
      <c r="R258" s="5" t="inlineStr">
        <is>
          <t>148-2025-12-31</t>
        </is>
      </c>
    </row>
    <row r="259" hidden="1">
      <c r="A259" s="5" t="n">
        <v>150</v>
      </c>
      <c r="B259" s="5" t="inlineStr">
        <is>
          <t>Nivel de Satisfacción Servicios Prestados</t>
        </is>
      </c>
      <c r="C259" s="5" t="inlineStr">
        <is>
          <t>Investigación, desarrollo tecnológico e innovación</t>
        </is>
      </c>
      <c r="D259" s="5" t="inlineStr">
        <is>
          <t>Anual</t>
        </is>
      </c>
      <c r="E259" s="5" t="inlineStr">
        <is>
          <t>Positivo</t>
        </is>
      </c>
      <c r="F259" s="109" t="n">
        <v>44865</v>
      </c>
      <c r="G259" s="15" t="n">
        <v>2022</v>
      </c>
      <c r="H259" s="6" t="inlineStr">
        <is>
          <t>Octubre</t>
        </is>
      </c>
      <c r="I259" s="6" t="inlineStr">
        <is>
          <t>2022-2</t>
        </is>
      </c>
      <c r="J259" s="5" t="n">
        <v>80</v>
      </c>
      <c r="K259" s="11" t="n">
        <v>80</v>
      </c>
      <c r="L259" s="74" t="n">
        <v>1</v>
      </c>
      <c r="M259" s="14" t="n">
        <v>1</v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 t="inlineStr">
        <is>
          <t>150-2022-10-31</t>
        </is>
      </c>
    </row>
    <row r="260" hidden="1">
      <c r="A260" s="26" t="n">
        <v>150</v>
      </c>
      <c r="B260" s="5" t="inlineStr">
        <is>
          <t>Nivel de Satisfacción Servicios Prestados</t>
        </is>
      </c>
      <c r="C260" s="5" t="inlineStr">
        <is>
          <t>Investigación, desarrollo tecnológico e innovación</t>
        </is>
      </c>
      <c r="D260" s="5" t="inlineStr">
        <is>
          <t>Anual</t>
        </is>
      </c>
      <c r="E260" s="5" t="inlineStr">
        <is>
          <t>Positivo</t>
        </is>
      </c>
      <c r="F260" s="109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80</v>
      </c>
      <c r="K260" s="5" t="n">
        <v>84.34350070811109</v>
      </c>
      <c r="L260" s="74" t="n">
        <v>1.054293758851389</v>
      </c>
      <c r="M260" s="14" t="n">
        <v>1.054293758851389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150-2023-12-31</t>
        </is>
      </c>
    </row>
    <row r="261" hidden="1">
      <c r="A261" s="26" t="n">
        <v>150</v>
      </c>
      <c r="B261" s="5" t="inlineStr">
        <is>
          <t>Nivel de Satisfacción Servicios Prestados</t>
        </is>
      </c>
      <c r="C261" s="5" t="inlineStr">
        <is>
          <t>Investigación, desarrollo tecnológico, innovación y creación</t>
        </is>
      </c>
      <c r="D261" s="5" t="inlineStr">
        <is>
          <t>Anual</t>
        </is>
      </c>
      <c r="E261" s="5" t="inlineStr">
        <is>
          <t>Positivo</t>
        </is>
      </c>
      <c r="F261" s="109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/>
      <c r="K261" s="5" t="n"/>
      <c r="L261" s="74" t="n"/>
      <c r="M261" s="14" t="n"/>
      <c r="N261" s="5" t="n"/>
      <c r="O261" s="5" t="n"/>
      <c r="P261" s="5" t="n">
        <v>0</v>
      </c>
      <c r="Q261" s="5" t="n">
        <v>0</v>
      </c>
      <c r="R261" s="5" t="inlineStr">
        <is>
          <t>150-2024-12-31</t>
        </is>
      </c>
    </row>
    <row r="262" hidden="1">
      <c r="A262" s="26" t="n">
        <v>151</v>
      </c>
      <c r="B262" s="5" t="inlineStr">
        <is>
          <t>Nivel de Satisfacción Servicios Prestados</t>
        </is>
      </c>
      <c r="C262" s="5" t="inlineStr">
        <is>
          <t>Biblioteca Institucional</t>
        </is>
      </c>
      <c r="D262" s="5" t="inlineStr">
        <is>
          <t>Anual</t>
        </is>
      </c>
      <c r="E262" s="5" t="inlineStr">
        <is>
          <t>Positivo</t>
        </is>
      </c>
      <c r="F262" s="109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/>
      <c r="K262" s="5" t="n"/>
      <c r="L262" s="74" t="n"/>
      <c r="M262" s="14" t="n"/>
      <c r="N262" s="5" t="n"/>
      <c r="O262" s="5" t="n"/>
      <c r="P262" s="5" t="n">
        <v>0</v>
      </c>
      <c r="Q262" s="5" t="n">
        <v>0</v>
      </c>
      <c r="R262" s="5" t="inlineStr">
        <is>
          <t>151-2023-12-31</t>
        </is>
      </c>
    </row>
    <row r="263" hidden="1">
      <c r="A263" s="5" t="n">
        <v>151</v>
      </c>
      <c r="B263" s="5" t="inlineStr">
        <is>
          <t>Nivel de Satisfacción Servicios Prestados</t>
        </is>
      </c>
      <c r="C263" s="5" t="inlineStr">
        <is>
          <t>Biblioteca Institucional</t>
        </is>
      </c>
      <c r="D263" s="5" t="inlineStr">
        <is>
          <t>Anual</t>
        </is>
      </c>
      <c r="E263" s="5" t="inlineStr">
        <is>
          <t>Positivo</t>
        </is>
      </c>
      <c r="F263" s="109" t="n">
        <v>45657</v>
      </c>
      <c r="G263" s="5" t="n">
        <v>2024</v>
      </c>
      <c r="H263" s="5" t="inlineStr">
        <is>
          <t>Diciembre</t>
        </is>
      </c>
      <c r="I263" s="6" t="inlineStr">
        <is>
          <t>2024-2</t>
        </is>
      </c>
      <c r="J263" s="5" t="n"/>
      <c r="K263" s="5" t="n"/>
      <c r="L263" s="14" t="n"/>
      <c r="M263" s="14" t="n"/>
      <c r="N263" s="5" t="n"/>
      <c r="O263" s="5" t="n"/>
      <c r="P263" s="5" t="n">
        <v>0</v>
      </c>
      <c r="Q263" s="5" t="n">
        <v>0</v>
      </c>
      <c r="R263" s="5" t="inlineStr">
        <is>
          <t>151-2024-12-31</t>
        </is>
      </c>
    </row>
    <row r="264" hidden="1">
      <c r="A264" s="5" t="n">
        <v>157</v>
      </c>
      <c r="B264" s="5" t="inlineStr">
        <is>
          <t>Indexación de bases de datos o SIRES</t>
        </is>
      </c>
      <c r="C264" s="5" t="inlineStr">
        <is>
          <t>Editorial y Publicaciones</t>
        </is>
      </c>
      <c r="D264" s="5" t="inlineStr">
        <is>
          <t>Anual</t>
        </is>
      </c>
      <c r="E264" s="5" t="inlineStr">
        <is>
          <t>Positivo</t>
        </is>
      </c>
      <c r="F264" s="109" t="n">
        <v>45107</v>
      </c>
      <c r="G264" s="5" t="n">
        <v>2023</v>
      </c>
      <c r="H264" s="5" t="inlineStr">
        <is>
          <t>Junio</t>
        </is>
      </c>
      <c r="I264" s="6" t="inlineStr">
        <is>
          <t>2023-1</t>
        </is>
      </c>
      <c r="J264" s="5" t="n"/>
      <c r="K264" s="5" t="n"/>
      <c r="L264" s="14" t="n"/>
      <c r="M264" s="14" t="n"/>
      <c r="N264" s="5" t="n"/>
      <c r="O264" s="5" t="n"/>
      <c r="P264" s="5" t="n">
        <v>0</v>
      </c>
      <c r="Q264" s="5" t="n">
        <v>0</v>
      </c>
      <c r="R264" s="5" t="inlineStr">
        <is>
          <t>157-2023-06-30</t>
        </is>
      </c>
    </row>
    <row r="265" hidden="1">
      <c r="A265" s="26" t="n">
        <v>157</v>
      </c>
      <c r="B265" s="5" t="inlineStr">
        <is>
          <t>Indexación de bases de datos o SIRES</t>
        </is>
      </c>
      <c r="C265" s="5" t="inlineStr">
        <is>
          <t>Editorial y Publicaciones</t>
        </is>
      </c>
      <c r="D265" s="5" t="inlineStr">
        <is>
          <t>Anual</t>
        </is>
      </c>
      <c r="E265" s="5" t="inlineStr">
        <is>
          <t>Positivo</t>
        </is>
      </c>
      <c r="F265" s="109" t="n">
        <v>45291</v>
      </c>
      <c r="G265" s="5" t="n">
        <v>2023</v>
      </c>
      <c r="H265" s="5" t="inlineStr">
        <is>
          <t>Diciembre</t>
        </is>
      </c>
      <c r="I265" s="6" t="inlineStr">
        <is>
          <t>2023-2</t>
        </is>
      </c>
      <c r="J265" s="5" t="n">
        <v>3</v>
      </c>
      <c r="K265" s="5" t="n">
        <v>7</v>
      </c>
      <c r="L265" s="14" t="n">
        <v>1.3</v>
      </c>
      <c r="M265" s="14" t="n">
        <v>2.333333333333333</v>
      </c>
      <c r="N265" s="5" t="n"/>
      <c r="O265" s="5" t="n"/>
      <c r="P265" s="5" t="n">
        <v>0</v>
      </c>
      <c r="Q265" s="5" t="n">
        <v>0</v>
      </c>
      <c r="R265" s="5" t="inlineStr">
        <is>
          <t>157-2023-12-31</t>
        </is>
      </c>
    </row>
    <row r="266" hidden="1">
      <c r="A266" s="26" t="n">
        <v>157</v>
      </c>
      <c r="B266" s="5" t="inlineStr">
        <is>
          <t>Indexación de bases de datos o SIRES</t>
        </is>
      </c>
      <c r="C266" s="5" t="inlineStr">
        <is>
          <t>Editorial y Publicaciones</t>
        </is>
      </c>
      <c r="D266" s="5" t="inlineStr">
        <is>
          <t>Anual</t>
        </is>
      </c>
      <c r="E266" s="5" t="inlineStr">
        <is>
          <t>Positivo</t>
        </is>
      </c>
      <c r="F266" s="109" t="n">
        <v>45657</v>
      </c>
      <c r="G266" s="5" t="n">
        <v>2024</v>
      </c>
      <c r="H266" s="5" t="inlineStr">
        <is>
          <t>Diciembre</t>
        </is>
      </c>
      <c r="I266" s="6" t="inlineStr">
        <is>
          <t>2024-2</t>
        </is>
      </c>
      <c r="J266" s="5" t="n">
        <v>100</v>
      </c>
      <c r="K266" s="23" t="n">
        <v>125</v>
      </c>
      <c r="L266" s="14" t="n">
        <v>1.25</v>
      </c>
      <c r="M266" s="14" t="n">
        <v>1.25</v>
      </c>
      <c r="N266" s="5" t="n"/>
      <c r="O266" s="5" t="n"/>
      <c r="P266" s="5" t="n">
        <v>0</v>
      </c>
      <c r="Q266" s="5" t="n">
        <v>0</v>
      </c>
      <c r="R266" s="5" t="inlineStr">
        <is>
          <t>157-2024-12-31</t>
        </is>
      </c>
    </row>
    <row r="267" hidden="1">
      <c r="A267" s="26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Trimestral</t>
        </is>
      </c>
      <c r="E267" s="5" t="inlineStr">
        <is>
          <t>Positivo</t>
        </is>
      </c>
      <c r="F267" s="109" t="n">
        <v>44926</v>
      </c>
      <c r="G267" s="5" t="n">
        <v>2022</v>
      </c>
      <c r="H267" s="5" t="inlineStr">
        <is>
          <t>Diciembre</t>
        </is>
      </c>
      <c r="I267" s="6" t="inlineStr">
        <is>
          <t>2022-2</t>
        </is>
      </c>
      <c r="J267" s="5" t="n">
        <v>80</v>
      </c>
      <c r="K267" s="15" t="n">
        <v>70</v>
      </c>
      <c r="L267" s="14" t="n">
        <v>0.875</v>
      </c>
      <c r="M267" s="14" t="n">
        <v>0.875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159-2022-12-31</t>
        </is>
      </c>
    </row>
    <row r="268" hidden="1">
      <c r="A268" s="26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09" t="n">
        <v>45107</v>
      </c>
      <c r="G268" s="5" t="n">
        <v>2023</v>
      </c>
      <c r="H268" s="5" t="inlineStr">
        <is>
          <t>Junio</t>
        </is>
      </c>
      <c r="I268" s="6" t="inlineStr">
        <is>
          <t>2023-1</t>
        </is>
      </c>
      <c r="J268" s="5" t="n">
        <v>80</v>
      </c>
      <c r="K268" s="5" t="n">
        <v>96</v>
      </c>
      <c r="L268" s="14" t="n">
        <v>1.2</v>
      </c>
      <c r="M268" s="14" t="n">
        <v>1.2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159-2023-06-30</t>
        </is>
      </c>
    </row>
    <row r="269" hidden="1">
      <c r="A269" s="26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09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80</v>
      </c>
      <c r="K269" s="5" t="n">
        <v>100</v>
      </c>
      <c r="L269" s="14" t="n">
        <v>1.25</v>
      </c>
      <c r="M269" s="14" t="n">
        <v>1.25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159-2023-12-31</t>
        </is>
      </c>
    </row>
    <row r="270" hidden="1">
      <c r="A270" s="26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Semestral</t>
        </is>
      </c>
      <c r="E270" s="5" t="inlineStr">
        <is>
          <t>Positivo</t>
        </is>
      </c>
      <c r="F270" s="109" t="n">
        <v>45473</v>
      </c>
      <c r="G270" s="5" t="n">
        <v>2024</v>
      </c>
      <c r="H270" s="5" t="inlineStr">
        <is>
          <t>Junio</t>
        </is>
      </c>
      <c r="I270" s="6" t="inlineStr">
        <is>
          <t>2024-1</t>
        </is>
      </c>
      <c r="J270" s="5" t="n">
        <v>80</v>
      </c>
      <c r="K270" s="5" t="n">
        <v>95</v>
      </c>
      <c r="L270" s="14" t="n">
        <v>1.1875</v>
      </c>
      <c r="M270" s="14" t="n">
        <v>1.1875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159-2024-06-30</t>
        </is>
      </c>
    </row>
    <row r="271" hidden="1">
      <c r="A271" s="5" t="n">
        <v>159</v>
      </c>
      <c r="B271" s="5" t="inlineStr">
        <is>
          <t>Nivel de Satisfacción Servicios Prestados</t>
        </is>
      </c>
      <c r="C271" s="5" t="inlineStr">
        <is>
          <t>Editorial y Publicaciones</t>
        </is>
      </c>
      <c r="D271" s="5" t="inlineStr">
        <is>
          <t>Semestral</t>
        </is>
      </c>
      <c r="E271" s="5" t="inlineStr">
        <is>
          <t>Positivo</t>
        </is>
      </c>
      <c r="F271" s="109" t="n">
        <v>45657</v>
      </c>
      <c r="G271" s="15" t="n">
        <v>2024</v>
      </c>
      <c r="H271" s="6" t="inlineStr">
        <is>
          <t>Diciembre</t>
        </is>
      </c>
      <c r="I271" s="6" t="inlineStr">
        <is>
          <t>2024-2</t>
        </is>
      </c>
      <c r="J271" s="5" t="n">
        <v>80</v>
      </c>
      <c r="K271" s="5" t="n">
        <v>97.8</v>
      </c>
      <c r="L271" s="14" t="n">
        <v>1.2225</v>
      </c>
      <c r="M271" s="14" t="n">
        <v>1.2225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159-2024-12-31</t>
        </is>
      </c>
    </row>
    <row r="272" hidden="1">
      <c r="A272" s="5" t="n">
        <v>159</v>
      </c>
      <c r="B272" s="5" t="inlineStr">
        <is>
          <t>Nivel de Satisfacción Servicios Prestados</t>
        </is>
      </c>
      <c r="C272" s="5" t="inlineStr">
        <is>
          <t>Editorial y Publicaciones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45838</v>
      </c>
      <c r="G272" s="15" t="n">
        <v>2025</v>
      </c>
      <c r="H272" s="6" t="inlineStr">
        <is>
          <t>Junio</t>
        </is>
      </c>
      <c r="I272" s="6" t="inlineStr">
        <is>
          <t>2025-1</t>
        </is>
      </c>
      <c r="J272" s="5" t="n">
        <v>80</v>
      </c>
      <c r="K272" s="5" t="n">
        <v>100</v>
      </c>
      <c r="L272" s="14" t="n">
        <v>1.25</v>
      </c>
      <c r="M272" s="14" t="n">
        <v>1.25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159-2025-06-30</t>
        </is>
      </c>
    </row>
    <row r="273" hidden="1">
      <c r="A273" s="5" t="n">
        <v>159</v>
      </c>
      <c r="B273" s="5" t="inlineStr">
        <is>
          <t>Nivel de Satisfacción Servicios Prestados</t>
        </is>
      </c>
      <c r="C273" s="5" t="inlineStr">
        <is>
          <t>Editorial y Publicaciones</t>
        </is>
      </c>
      <c r="D273" s="5" t="inlineStr">
        <is>
          <t>Trimestral</t>
        </is>
      </c>
      <c r="E273" s="5" t="inlineStr">
        <is>
          <t>Positivo</t>
        </is>
      </c>
      <c r="F273" s="109" t="n">
        <v>46022</v>
      </c>
      <c r="G273" s="15" t="n">
        <v>2025</v>
      </c>
      <c r="H273" s="6" t="inlineStr">
        <is>
          <t>Diciembre</t>
        </is>
      </c>
      <c r="I273" s="6" t="inlineStr">
        <is>
          <t>2025-2</t>
        </is>
      </c>
      <c r="J273" s="5" t="n">
        <v>80</v>
      </c>
      <c r="K273" s="7" t="n">
        <v>100</v>
      </c>
      <c r="L273" s="14" t="n">
        <v>1.25</v>
      </c>
      <c r="M273" s="14" t="n">
        <v>1.25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159-2025-12-31</t>
        </is>
      </c>
    </row>
    <row r="274" hidden="1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109" t="n">
        <v>44742</v>
      </c>
      <c r="G274" s="5" t="n">
        <v>2022</v>
      </c>
      <c r="H274" s="5" t="inlineStr">
        <is>
          <t>Junio</t>
        </is>
      </c>
      <c r="I274" s="6" t="inlineStr">
        <is>
          <t>2022-1</t>
        </is>
      </c>
      <c r="J274" s="5" t="n">
        <v>80</v>
      </c>
      <c r="K274" s="5" t="n">
        <v>97.64</v>
      </c>
      <c r="L274" s="14" t="n">
        <v>1.2205</v>
      </c>
      <c r="M274" s="14" t="n">
        <v>1.2205</v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167-2022-06-30</t>
        </is>
      </c>
    </row>
    <row r="275" hidden="1">
      <c r="A275" s="26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Trimestral</t>
        </is>
      </c>
      <c r="E275" s="5" t="inlineStr">
        <is>
          <t>Positivo</t>
        </is>
      </c>
      <c r="F275" s="109" t="n">
        <v>44926</v>
      </c>
      <c r="G275" s="5" t="n">
        <v>2022</v>
      </c>
      <c r="H275" s="5" t="inlineStr">
        <is>
          <t>Diciembre</t>
        </is>
      </c>
      <c r="I275" s="6" t="inlineStr">
        <is>
          <t>2022-2</t>
        </is>
      </c>
      <c r="J275" s="5" t="n">
        <v>80</v>
      </c>
      <c r="K275" s="5" t="n">
        <v>96.55</v>
      </c>
      <c r="L275" s="14" t="n">
        <v>1.206875</v>
      </c>
      <c r="M275" s="14" t="n">
        <v>1.206875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1</v>
      </c>
      <c r="R275" s="5" t="inlineStr">
        <is>
          <t>167-2022-12-31</t>
        </is>
      </c>
    </row>
    <row r="276" hidden="1">
      <c r="A276" s="26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09" t="n">
        <v>45107</v>
      </c>
      <c r="G276" s="5" t="n">
        <v>2023</v>
      </c>
      <c r="H276" s="5" t="inlineStr">
        <is>
          <t>Junio</t>
        </is>
      </c>
      <c r="I276" s="6" t="inlineStr">
        <is>
          <t>2023-1</t>
        </is>
      </c>
      <c r="J276" s="5" t="n">
        <v>80</v>
      </c>
      <c r="K276" s="5" t="n">
        <v>97.7</v>
      </c>
      <c r="L276" s="14" t="n">
        <v>1.22125</v>
      </c>
      <c r="M276" s="14" t="n">
        <v>1.22125</v>
      </c>
      <c r="N276" s="5" t="inlineStr">
        <is>
          <t>%</t>
        </is>
      </c>
      <c r="O276" s="5" t="inlineStr">
        <is>
          <t>%</t>
        </is>
      </c>
      <c r="P276" s="5" t="n">
        <v>1</v>
      </c>
      <c r="Q276" s="5" t="n">
        <v>1</v>
      </c>
      <c r="R276" s="5" t="inlineStr">
        <is>
          <t>167-2023-06-30</t>
        </is>
      </c>
    </row>
    <row r="277" hidden="1">
      <c r="A277" s="5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09" t="n">
        <v>45291</v>
      </c>
      <c r="G277" s="5" t="n">
        <v>2023</v>
      </c>
      <c r="H277" s="5" t="inlineStr">
        <is>
          <t>Diciembre</t>
        </is>
      </c>
      <c r="I277" s="6" t="inlineStr">
        <is>
          <t>2023-2</t>
        </is>
      </c>
      <c r="J277" s="5" t="n">
        <v>80</v>
      </c>
      <c r="K277" s="5" t="n">
        <v>96.15000000000001</v>
      </c>
      <c r="L277" s="14" t="n">
        <v>1.201875</v>
      </c>
      <c r="M277" s="14" t="n">
        <v>1.201875</v>
      </c>
      <c r="N277" s="5" t="inlineStr">
        <is>
          <t>%</t>
        </is>
      </c>
      <c r="O277" s="5" t="inlineStr">
        <is>
          <t>%</t>
        </is>
      </c>
      <c r="P277" s="5" t="n">
        <v>1</v>
      </c>
      <c r="Q277" s="5" t="n">
        <v>1</v>
      </c>
      <c r="R277" s="5" t="inlineStr">
        <is>
          <t>167-2023-12-31</t>
        </is>
      </c>
    </row>
    <row r="278" hidden="1">
      <c r="A278" s="28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Semestral</t>
        </is>
      </c>
      <c r="E278" s="5" t="inlineStr">
        <is>
          <t>Positivo</t>
        </is>
      </c>
      <c r="F278" s="109" t="n">
        <v>45473</v>
      </c>
      <c r="G278" s="5" t="n">
        <v>2024</v>
      </c>
      <c r="H278" s="5" t="inlineStr">
        <is>
          <t>Junio</t>
        </is>
      </c>
      <c r="I278" s="6" t="inlineStr">
        <is>
          <t>2024-1</t>
        </is>
      </c>
      <c r="J278" s="5" t="n">
        <v>85</v>
      </c>
      <c r="K278" s="5" t="n">
        <v>96.86</v>
      </c>
      <c r="L278" s="74" t="n">
        <v>1.139529411764706</v>
      </c>
      <c r="M278" s="14" t="n">
        <v>1.139529411764706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167-2024-06-30</t>
        </is>
      </c>
    </row>
    <row r="279" hidden="1">
      <c r="A279" s="26" t="n">
        <v>167</v>
      </c>
      <c r="B279" s="5" t="inlineStr">
        <is>
          <t>Satisfacción actividades plan de bienestar</t>
        </is>
      </c>
      <c r="C279" s="5" t="inlineStr">
        <is>
          <t>GESTIÓN Y DESARROLLO DEL TALENTO HUMANO</t>
        </is>
      </c>
      <c r="D279" s="5" t="inlineStr">
        <is>
          <t>Semestral</t>
        </is>
      </c>
      <c r="E279" s="5" t="inlineStr">
        <is>
          <t>Positivo</t>
        </is>
      </c>
      <c r="F279" s="109" t="n">
        <v>45657</v>
      </c>
      <c r="G279" s="5" t="n">
        <v>2024</v>
      </c>
      <c r="H279" s="5" t="inlineStr">
        <is>
          <t>Diciembre</t>
        </is>
      </c>
      <c r="I279" s="6" t="inlineStr">
        <is>
          <t>2024-2</t>
        </is>
      </c>
      <c r="J279" s="5" t="n">
        <v>85</v>
      </c>
      <c r="K279" s="5" t="n">
        <v>96.8</v>
      </c>
      <c r="L279" s="74" t="n">
        <v>1.138823529411765</v>
      </c>
      <c r="M279" s="14" t="n">
        <v>1.138823529411765</v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 t="inlineStr">
        <is>
          <t>167-2024-12-31</t>
        </is>
      </c>
    </row>
    <row r="280" hidden="1">
      <c r="A280" s="5" t="n">
        <v>167</v>
      </c>
      <c r="B280" s="5" t="inlineStr">
        <is>
          <t>Satisfacción actividades plan de bienestar</t>
        </is>
      </c>
      <c r="C280" s="5" t="inlineStr">
        <is>
          <t>GESTIÓN Y DESARROLLO DEL TALENTO HUMANO</t>
        </is>
      </c>
      <c r="D280" s="5" t="inlineStr">
        <is>
          <t>Semestral</t>
        </is>
      </c>
      <c r="E280" s="5" t="inlineStr">
        <is>
          <t>Positivo</t>
        </is>
      </c>
      <c r="F280" s="109" t="n">
        <v>45838</v>
      </c>
      <c r="G280" s="5" t="n">
        <v>2025</v>
      </c>
      <c r="H280" s="5" t="inlineStr">
        <is>
          <t>Junio</t>
        </is>
      </c>
      <c r="I280" s="6" t="inlineStr">
        <is>
          <t>2025-1</t>
        </is>
      </c>
      <c r="J280" s="5" t="n">
        <v>90</v>
      </c>
      <c r="K280" s="5" t="n">
        <v>93.63</v>
      </c>
      <c r="L280" s="14" t="n">
        <v>1.040333333333333</v>
      </c>
      <c r="M280" s="14" t="n">
        <v>1.040333333333333</v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167-2025-06-30</t>
        </is>
      </c>
    </row>
    <row r="281" hidden="1">
      <c r="A281" s="5" t="n">
        <v>167</v>
      </c>
      <c r="B281" s="5" t="inlineStr">
        <is>
          <t>Satisfacción actividades plan de bienestar</t>
        </is>
      </c>
      <c r="C281" s="5" t="inlineStr">
        <is>
          <t>GESTIÓN Y DESARROLLO DEL TALENTO HUMANO</t>
        </is>
      </c>
      <c r="D281" s="5" t="inlineStr">
        <is>
          <t>Trimestral</t>
        </is>
      </c>
      <c r="E281" s="5" t="inlineStr">
        <is>
          <t>Positivo</t>
        </is>
      </c>
      <c r="F281" s="109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90</v>
      </c>
      <c r="K281" s="5" t="n">
        <v>94</v>
      </c>
      <c r="L281" s="14" t="n">
        <v>1.044444444444445</v>
      </c>
      <c r="M281" s="14" t="n">
        <v>1.044444444444445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1</v>
      </c>
      <c r="R281" s="5" t="inlineStr">
        <is>
          <t>167-2025-12-31</t>
        </is>
      </c>
    </row>
    <row r="282" hidden="1">
      <c r="A282" s="28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9" t="n">
        <v>44742</v>
      </c>
      <c r="G282" s="5" t="n">
        <v>2022</v>
      </c>
      <c r="H282" s="5" t="inlineStr">
        <is>
          <t>Junio</t>
        </is>
      </c>
      <c r="I282" s="6" t="inlineStr">
        <is>
          <t>2022-1</t>
        </is>
      </c>
      <c r="J282" s="5" t="n">
        <v>90</v>
      </c>
      <c r="K282" s="5" t="n">
        <v>95.238095238095</v>
      </c>
      <c r="L282" s="74" t="n">
        <v>1.058201058201055</v>
      </c>
      <c r="M282" s="14" t="n">
        <v>1.058201058201055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172-2022-06-30</t>
        </is>
      </c>
    </row>
    <row r="283" hidden="1">
      <c r="A283" s="5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9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90</v>
      </c>
      <c r="K283" s="5" t="n">
        <v>98.40754321634361</v>
      </c>
      <c r="L283" s="14" t="n">
        <v>1.093417146848262</v>
      </c>
      <c r="M283" s="14" t="n">
        <v>1.093417146848262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172-2022-12-31</t>
        </is>
      </c>
    </row>
    <row r="284" hidden="1">
      <c r="A284" s="5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9" t="n">
        <v>45107</v>
      </c>
      <c r="G284" s="5" t="n">
        <v>2023</v>
      </c>
      <c r="H284" s="5" t="inlineStr">
        <is>
          <t>Junio</t>
        </is>
      </c>
      <c r="I284" s="6" t="inlineStr">
        <is>
          <t>2023-1</t>
        </is>
      </c>
      <c r="J284" s="5" t="n">
        <v>95</v>
      </c>
      <c r="K284" s="5" t="n">
        <v>92.6785714285715</v>
      </c>
      <c r="L284" s="14" t="n">
        <v>0.9755639097744369</v>
      </c>
      <c r="M284" s="14" t="n">
        <v>0.9755639097744369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172-2023-06-30</t>
        </is>
      </c>
    </row>
    <row r="285" hidden="1">
      <c r="A285" s="26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09" t="n">
        <v>45291</v>
      </c>
      <c r="G285" s="5" t="n">
        <v>2023</v>
      </c>
      <c r="H285" s="5" t="inlineStr">
        <is>
          <t>Diciembre</t>
        </is>
      </c>
      <c r="I285" s="6" t="inlineStr">
        <is>
          <t>2023-2</t>
        </is>
      </c>
      <c r="J285" s="5" t="n">
        <v>95</v>
      </c>
      <c r="K285" s="5" t="n">
        <v>95.74000000000001</v>
      </c>
      <c r="L285" s="74" t="n">
        <v>1.007789473684211</v>
      </c>
      <c r="M285" s="14" t="n">
        <v>1.007789473684211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172-2023-12-31</t>
        </is>
      </c>
    </row>
    <row r="286" hidden="1">
      <c r="A286" s="5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9" t="n">
        <v>45473</v>
      </c>
      <c r="G286" s="5" t="n">
        <v>2024</v>
      </c>
      <c r="H286" s="5" t="inlineStr">
        <is>
          <t>Junio</t>
        </is>
      </c>
      <c r="I286" s="6" t="inlineStr">
        <is>
          <t>2024-1</t>
        </is>
      </c>
      <c r="J286" s="5" t="n">
        <v>95</v>
      </c>
      <c r="K286" s="5" t="n">
        <v>86.94444444444446</v>
      </c>
      <c r="L286" s="14" t="n">
        <v>0.9152046783625732</v>
      </c>
      <c r="M286" s="14" t="n">
        <v>0.9152046783625732</v>
      </c>
      <c r="N286" s="5" t="n"/>
      <c r="O286" s="5" t="n"/>
      <c r="P286" s="5" t="n">
        <v>0</v>
      </c>
      <c r="Q286" s="5" t="n">
        <v>0</v>
      </c>
      <c r="R286" s="5" t="inlineStr">
        <is>
          <t>172-2024-06-30</t>
        </is>
      </c>
    </row>
    <row r="287" hidden="1">
      <c r="A287" s="26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9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95</v>
      </c>
      <c r="K287" s="5" t="n">
        <v>94.83371697961481</v>
      </c>
      <c r="L287" s="74" t="n">
        <v>0.9982496524169979</v>
      </c>
      <c r="M287" s="14" t="n">
        <v>0.9982496524169979</v>
      </c>
      <c r="N287" s="5" t="n"/>
      <c r="O287" s="5" t="n"/>
      <c r="P287" s="5" t="n">
        <v>0</v>
      </c>
      <c r="Q287" s="5" t="n">
        <v>0</v>
      </c>
      <c r="R287" s="5" t="inlineStr">
        <is>
          <t>172-2024-12-31</t>
        </is>
      </c>
    </row>
    <row r="288" hidden="1">
      <c r="A288" s="5" t="n">
        <v>172</v>
      </c>
      <c r="B288" s="5" t="inlineStr">
        <is>
          <t>Cumplimiento plan operativo del SGC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9" t="n">
        <v>45838</v>
      </c>
      <c r="G288" s="5" t="n">
        <v>2025</v>
      </c>
      <c r="H288" s="5" t="inlineStr">
        <is>
          <t>Junio</t>
        </is>
      </c>
      <c r="I288" s="6" t="inlineStr">
        <is>
          <t>2025-1</t>
        </is>
      </c>
      <c r="J288" s="5" t="n">
        <v>95</v>
      </c>
      <c r="K288" s="5" t="n">
        <v>88.28166666666668</v>
      </c>
      <c r="L288" s="14" t="n">
        <v>0.9292807017543862</v>
      </c>
      <c r="M288" s="14" t="n">
        <v>0.9292807017543862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172-2025-06-30</t>
        </is>
      </c>
    </row>
    <row r="289" hidden="1">
      <c r="A289" s="26" t="n">
        <v>172</v>
      </c>
      <c r="B289" s="5" t="inlineStr">
        <is>
          <t>Cumplimiento plan operativo del SGC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46022</v>
      </c>
      <c r="G289" s="5" t="n">
        <v>2025</v>
      </c>
      <c r="H289" s="5" t="inlineStr">
        <is>
          <t>Diciembre</t>
        </is>
      </c>
      <c r="I289" s="6" t="inlineStr">
        <is>
          <t>2025-2</t>
        </is>
      </c>
      <c r="J289" s="5" t="n">
        <v>95</v>
      </c>
      <c r="K289" s="5" t="n">
        <v>93.50166666666667</v>
      </c>
      <c r="L289" s="74" t="n">
        <v>0.9842280701754386</v>
      </c>
      <c r="M289" s="14" t="n">
        <v>0.9842280701754386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172-2025-12-31</t>
        </is>
      </c>
    </row>
    <row r="290" hidden="1">
      <c r="A290" s="5" t="n">
        <v>172</v>
      </c>
      <c r="B290" s="5" t="inlineStr">
        <is>
          <t>Cumplimiento plan operativo del SGC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46203</v>
      </c>
      <c r="G290" s="5" t="n">
        <v>2026</v>
      </c>
      <c r="H290" s="5" t="inlineStr">
        <is>
          <t>Junio</t>
        </is>
      </c>
      <c r="I290" s="6" t="inlineStr">
        <is>
          <t>2026-1</t>
        </is>
      </c>
      <c r="J290" s="5" t="n">
        <v>95</v>
      </c>
      <c r="K290" s="5" t="n">
        <v>90.91</v>
      </c>
      <c r="L290" s="14" t="n">
        <v>0.9569473684210525</v>
      </c>
      <c r="M290" s="14" t="n">
        <v>0.9569473684210525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172-2026-06-30</t>
        </is>
      </c>
    </row>
    <row r="291" hidden="1">
      <c r="A291" s="26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09" t="n">
        <v>45107</v>
      </c>
      <c r="G291" s="5" t="n">
        <v>2023</v>
      </c>
      <c r="H291" s="5" t="inlineStr">
        <is>
          <t>Junio</t>
        </is>
      </c>
      <c r="I291" s="6" t="inlineStr">
        <is>
          <t>2023-1</t>
        </is>
      </c>
      <c r="J291" s="5" t="n">
        <v>95</v>
      </c>
      <c r="K291" s="5" t="n">
        <v>100</v>
      </c>
      <c r="L291" s="74" t="n">
        <v>1.052631578947368</v>
      </c>
      <c r="M291" s="14" t="n">
        <v>1.052631578947368</v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174-2023-06-30</t>
        </is>
      </c>
    </row>
    <row r="292" hidden="1">
      <c r="A292" s="5" t="n">
        <v>174</v>
      </c>
      <c r="B292" s="5" t="inlineStr">
        <is>
          <t>Cumplimiento Plan de Formación SGC</t>
        </is>
      </c>
      <c r="C292" s="5" t="inlineStr">
        <is>
          <t>Gestión de calidad</t>
        </is>
      </c>
      <c r="D292" s="5" t="inlineStr">
        <is>
          <t>Semestral</t>
        </is>
      </c>
      <c r="E292" s="5" t="inlineStr">
        <is>
          <t>Positivo</t>
        </is>
      </c>
      <c r="F292" s="109" t="n">
        <v>45291</v>
      </c>
      <c r="G292" s="5" t="n">
        <v>2023</v>
      </c>
      <c r="H292" s="5" t="inlineStr">
        <is>
          <t>Diciembre</t>
        </is>
      </c>
      <c r="I292" s="6" t="inlineStr">
        <is>
          <t>2023-2</t>
        </is>
      </c>
      <c r="J292" s="5" t="n">
        <v>95</v>
      </c>
      <c r="K292" s="5" t="n">
        <v>100</v>
      </c>
      <c r="L292" s="14" t="n">
        <v>1.052631578947368</v>
      </c>
      <c r="M292" s="14" t="n">
        <v>1.052631578947368</v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174-2023-12-31</t>
        </is>
      </c>
    </row>
    <row r="293" hidden="1">
      <c r="A293" s="26" t="n">
        <v>174</v>
      </c>
      <c r="B293" s="5" t="inlineStr">
        <is>
          <t>Cumplimiento Plan de Formación SGC</t>
        </is>
      </c>
      <c r="C293" s="5" t="inlineStr">
        <is>
          <t>Gestión de calidad</t>
        </is>
      </c>
      <c r="D293" s="5" t="inlineStr">
        <is>
          <t>Semestral</t>
        </is>
      </c>
      <c r="E293" s="5" t="inlineStr">
        <is>
          <t>Positivo</t>
        </is>
      </c>
      <c r="F293" s="109" t="n">
        <v>45473</v>
      </c>
      <c r="G293" s="5" t="n">
        <v>2024</v>
      </c>
      <c r="H293" s="5" t="inlineStr">
        <is>
          <t>Junio</t>
        </is>
      </c>
      <c r="I293" s="6" t="inlineStr">
        <is>
          <t>2024-1</t>
        </is>
      </c>
      <c r="J293" s="5" t="n"/>
      <c r="K293" s="5" t="n"/>
      <c r="L293" s="74" t="n"/>
      <c r="M293" s="14" t="n"/>
      <c r="N293" s="5" t="n"/>
      <c r="O293" s="5" t="n"/>
      <c r="P293" s="5" t="n">
        <v>0</v>
      </c>
      <c r="Q293" s="5" t="n">
        <v>0</v>
      </c>
      <c r="R293" s="5" t="inlineStr">
        <is>
          <t>174-2024-06-30</t>
        </is>
      </c>
    </row>
    <row r="294" hidden="1">
      <c r="A294" s="26" t="n">
        <v>174</v>
      </c>
      <c r="B294" s="5" t="inlineStr">
        <is>
          <t>Cumplimiento Plan de Formación SGC</t>
        </is>
      </c>
      <c r="C294" s="5" t="inlineStr">
        <is>
          <t>Gestión de calidad</t>
        </is>
      </c>
      <c r="D294" s="5" t="inlineStr">
        <is>
          <t>Semestral</t>
        </is>
      </c>
      <c r="E294" s="5" t="inlineStr">
        <is>
          <t>Positivo</t>
        </is>
      </c>
      <c r="F294" s="109" t="n">
        <v>45657</v>
      </c>
      <c r="G294" s="5" t="n">
        <v>2024</v>
      </c>
      <c r="H294" s="5" t="inlineStr">
        <is>
          <t>Diciembre</t>
        </is>
      </c>
      <c r="I294" s="6" t="inlineStr">
        <is>
          <t>2024-2</t>
        </is>
      </c>
      <c r="J294" s="5" t="n">
        <v>95</v>
      </c>
      <c r="K294" s="5" t="n"/>
      <c r="L294" s="74" t="n"/>
      <c r="M294" s="14" t="n"/>
      <c r="N294" s="5" t="inlineStr">
        <is>
          <t>ENT</t>
        </is>
      </c>
      <c r="O294" s="5" t="inlineStr">
        <is>
          <t>N/A</t>
        </is>
      </c>
      <c r="P294" s="5" t="n">
        <v>0</v>
      </c>
      <c r="Q294" s="5" t="n">
        <v>0</v>
      </c>
      <c r="R294" s="5" t="inlineStr">
        <is>
          <t>174-2024-12-31</t>
        </is>
      </c>
    </row>
    <row r="295" hidden="1">
      <c r="A295" s="26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09" t="n">
        <v>45107</v>
      </c>
      <c r="G295" s="5" t="n">
        <v>2023</v>
      </c>
      <c r="H295" s="5" t="inlineStr">
        <is>
          <t>Junio</t>
        </is>
      </c>
      <c r="I295" s="6" t="inlineStr">
        <is>
          <t>2023-1</t>
        </is>
      </c>
      <c r="J295" s="5" t="n">
        <v>80</v>
      </c>
      <c r="K295" s="5" t="n">
        <v>83.31999999999999</v>
      </c>
      <c r="L295" s="74" t="n">
        <v>1.0415</v>
      </c>
      <c r="M295" s="14" t="n">
        <v>1.0415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176-2023-06-30</t>
        </is>
      </c>
    </row>
    <row r="296" hidden="1">
      <c r="A296" s="26" t="n">
        <v>176</v>
      </c>
      <c r="B296" s="5" t="inlineStr">
        <is>
          <t>Cumplimiento Planes de Mejora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9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80</v>
      </c>
      <c r="K296" s="5" t="n">
        <v>80.40000000000001</v>
      </c>
      <c r="L296" s="74" t="n">
        <v>1.005</v>
      </c>
      <c r="M296" s="14" t="n">
        <v>1.005</v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176-2023-12-31</t>
        </is>
      </c>
    </row>
    <row r="297" hidden="1">
      <c r="A297" s="26" t="n">
        <v>176</v>
      </c>
      <c r="B297" s="5" t="inlineStr">
        <is>
          <t>Cumplimiento Planes de Mejora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109" t="n">
        <v>45473</v>
      </c>
      <c r="G297" s="5" t="n">
        <v>2024</v>
      </c>
      <c r="H297" s="5" t="inlineStr">
        <is>
          <t>Junio</t>
        </is>
      </c>
      <c r="I297" s="6" t="inlineStr">
        <is>
          <t>2024-1</t>
        </is>
      </c>
      <c r="J297" s="5" t="n">
        <v>85</v>
      </c>
      <c r="K297" s="5" t="n">
        <v>92.5</v>
      </c>
      <c r="L297" s="74" t="n">
        <v>1.088235294117647</v>
      </c>
      <c r="M297" s="14" t="n">
        <v>1.088235294117647</v>
      </c>
      <c r="N297" s="5" t="n"/>
      <c r="O297" s="5" t="n"/>
      <c r="P297" s="5" t="n">
        <v>0</v>
      </c>
      <c r="Q297" s="5" t="n">
        <v>0</v>
      </c>
      <c r="R297" s="5" t="inlineStr">
        <is>
          <t>176-2024-06-30</t>
        </is>
      </c>
    </row>
    <row r="298" hidden="1">
      <c r="A298" s="26" t="n">
        <v>176</v>
      </c>
      <c r="B298" s="5" t="inlineStr">
        <is>
          <t>Cumplimiento Planes de Mejora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09" t="n">
        <v>45657</v>
      </c>
      <c r="G298" s="5" t="n">
        <v>2024</v>
      </c>
      <c r="H298" s="5" t="inlineStr">
        <is>
          <t>Diciembre</t>
        </is>
      </c>
      <c r="I298" s="6" t="inlineStr">
        <is>
          <t>2024-2</t>
        </is>
      </c>
      <c r="J298" s="5" t="n">
        <v>85</v>
      </c>
      <c r="K298" s="5" t="n">
        <v>89.08</v>
      </c>
      <c r="L298" s="74" t="n">
        <v>1.048</v>
      </c>
      <c r="M298" s="14" t="n">
        <v>1.048</v>
      </c>
      <c r="N298" s="5" t="n"/>
      <c r="O298" s="5" t="n"/>
      <c r="P298" s="5" t="n">
        <v>0</v>
      </c>
      <c r="Q298" s="5" t="n">
        <v>0</v>
      </c>
      <c r="R298" s="5" t="inlineStr">
        <is>
          <t>176-2024-12-31</t>
        </is>
      </c>
    </row>
    <row r="299" hidden="1">
      <c r="A299" s="5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44742</v>
      </c>
      <c r="G299" s="15" t="n">
        <v>2022</v>
      </c>
      <c r="H299" s="6" t="inlineStr">
        <is>
          <t>Junio</t>
        </is>
      </c>
      <c r="I299" s="6" t="inlineStr">
        <is>
          <t>2022-1</t>
        </is>
      </c>
      <c r="J299" s="5" t="n">
        <v>76</v>
      </c>
      <c r="K299" s="5" t="n">
        <v>91.8</v>
      </c>
      <c r="L299" s="74" t="n">
        <v>1.207894736842105</v>
      </c>
      <c r="M299" s="14" t="n">
        <v>1.207894736842105</v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193-2022-06-30</t>
        </is>
      </c>
    </row>
    <row r="300" hidden="1">
      <c r="A300" s="5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9" t="n">
        <v>44926</v>
      </c>
      <c r="G300" s="15" t="n">
        <v>2022</v>
      </c>
      <c r="H300" s="6" t="inlineStr">
        <is>
          <t>Diciembre</t>
        </is>
      </c>
      <c r="I300" s="6" t="inlineStr">
        <is>
          <t>2022-2</t>
        </is>
      </c>
      <c r="J300" s="5" t="n">
        <v>76</v>
      </c>
      <c r="K300" s="5" t="n">
        <v>92.40000000000001</v>
      </c>
      <c r="L300" s="74" t="n">
        <v>1.215789473684211</v>
      </c>
      <c r="M300" s="14" t="n">
        <v>1.215789473684211</v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193-2022-12-31</t>
        </is>
      </c>
    </row>
    <row r="301" hidden="1">
      <c r="A301" s="5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9" t="n">
        <v>45107</v>
      </c>
      <c r="G301" s="15" t="n">
        <v>2023</v>
      </c>
      <c r="H301" s="6" t="inlineStr">
        <is>
          <t>Junio</t>
        </is>
      </c>
      <c r="I301" s="6" t="inlineStr">
        <is>
          <t>2023-1</t>
        </is>
      </c>
      <c r="J301" s="5" t="n">
        <v>92</v>
      </c>
      <c r="K301" s="5" t="n">
        <v>91.899679829242</v>
      </c>
      <c r="L301" s="74" t="n">
        <v>0.9989095633613261</v>
      </c>
      <c r="M301" s="14" t="n">
        <v>0.9989095633613261</v>
      </c>
      <c r="N301" s="5" t="inlineStr">
        <is>
          <t>%</t>
        </is>
      </c>
      <c r="O301" s="5" t="inlineStr">
        <is>
          <t>%</t>
        </is>
      </c>
      <c r="P301" s="5" t="n">
        <v>1</v>
      </c>
      <c r="Q301" s="5" t="n">
        <v>1</v>
      </c>
      <c r="R301" s="5" t="inlineStr">
        <is>
          <t>193-2023-06-30</t>
        </is>
      </c>
    </row>
    <row r="302" hidden="1">
      <c r="A302" s="26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9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92</v>
      </c>
      <c r="K302" s="5" t="n">
        <v>91.3</v>
      </c>
      <c r="L302" s="74" t="n">
        <v>0.9923913043478261</v>
      </c>
      <c r="M302" s="14" t="n">
        <v>0.9923913043478261</v>
      </c>
      <c r="N302" s="5" t="inlineStr">
        <is>
          <t>%</t>
        </is>
      </c>
      <c r="O302" s="5" t="inlineStr">
        <is>
          <t>%</t>
        </is>
      </c>
      <c r="P302" s="5" t="n">
        <v>1</v>
      </c>
      <c r="Q302" s="5" t="n">
        <v>1</v>
      </c>
      <c r="R302" s="5" t="inlineStr">
        <is>
          <t>193-2023-12-31</t>
        </is>
      </c>
    </row>
    <row r="303" hidden="1">
      <c r="A303" s="26" t="n">
        <v>193</v>
      </c>
      <c r="B303" s="5" t="inlineStr">
        <is>
          <t>Mejorar flujo de atención en todos los niveles de servicio al estudiante (ANS)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9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90</v>
      </c>
      <c r="K303" s="5" t="n">
        <v>91.7002307620256</v>
      </c>
      <c r="L303" s="74" t="n">
        <v>1.018891452911395</v>
      </c>
      <c r="M303" s="14" t="n">
        <v>1.018891452911395</v>
      </c>
      <c r="N303" s="5" t="inlineStr">
        <is>
          <t>%</t>
        </is>
      </c>
      <c r="O303" s="5" t="inlineStr">
        <is>
          <t>%</t>
        </is>
      </c>
      <c r="P303" s="5" t="n">
        <v>1</v>
      </c>
      <c r="Q303" s="5" t="n">
        <v>1</v>
      </c>
      <c r="R303" s="5" t="inlineStr">
        <is>
          <t>193-2024-06-30</t>
        </is>
      </c>
    </row>
    <row r="304" hidden="1">
      <c r="A304" s="26" t="n">
        <v>193</v>
      </c>
      <c r="B304" s="5" t="inlineStr">
        <is>
          <t>Mejorar flujo de atención en todos los niveles de servicio al estudiante (ANS)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09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90</v>
      </c>
      <c r="K304" s="5" t="n">
        <v>93.5</v>
      </c>
      <c r="L304" s="74" t="n">
        <v>1.038888888888889</v>
      </c>
      <c r="M304" s="14" t="n">
        <v>1.038888888888889</v>
      </c>
      <c r="N304" s="5" t="n"/>
      <c r="O304" s="5" t="n"/>
      <c r="P304" s="5" t="n">
        <v>0</v>
      </c>
      <c r="Q304" s="5" t="n">
        <v>0</v>
      </c>
      <c r="R304" s="5" t="inlineStr">
        <is>
          <t>193-2024-12-31</t>
        </is>
      </c>
    </row>
    <row r="305" hidden="1">
      <c r="A305" s="5" t="n">
        <v>193</v>
      </c>
      <c r="B305" s="5" t="inlineStr">
        <is>
          <t>Mejorar flujo de atención en todos los niveles de servicio al estudiante (ANS)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09" t="n">
        <v>45838</v>
      </c>
      <c r="G305" s="5" t="n">
        <v>2025</v>
      </c>
      <c r="H305" s="5" t="inlineStr">
        <is>
          <t>Junio</t>
        </is>
      </c>
      <c r="I305" s="6" t="inlineStr">
        <is>
          <t>2025-1</t>
        </is>
      </c>
      <c r="J305" s="5" t="n">
        <v>93</v>
      </c>
      <c r="K305" s="5" t="n">
        <v>96.20999999999999</v>
      </c>
      <c r="L305" s="14" t="n">
        <v>1.034516129032258</v>
      </c>
      <c r="M305" s="14" t="n">
        <v>1.034516129032258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193-2025-06-30</t>
        </is>
      </c>
    </row>
    <row r="306" hidden="1">
      <c r="A306" s="5" t="n">
        <v>193</v>
      </c>
      <c r="B306" s="5" t="inlineStr">
        <is>
          <t>Porcentaje de Cumplimiento del Acuerdo de Nivel de Servicio (ANS)</t>
        </is>
      </c>
      <c r="C306" s="5" t="inlineStr">
        <is>
          <t>Servicio</t>
        </is>
      </c>
      <c r="D306" s="5" t="inlineStr">
        <is>
          <t>Trimestral</t>
        </is>
      </c>
      <c r="E306" s="5" t="inlineStr">
        <is>
          <t>Positivo</t>
        </is>
      </c>
      <c r="F306" s="109" t="n">
        <v>46022</v>
      </c>
      <c r="G306" s="5" t="n">
        <v>2025</v>
      </c>
      <c r="H306" s="5" t="inlineStr">
        <is>
          <t>Diciembre</t>
        </is>
      </c>
      <c r="I306" s="6" t="inlineStr">
        <is>
          <t>2025-2</t>
        </is>
      </c>
      <c r="J306" s="5" t="n">
        <v>94</v>
      </c>
      <c r="K306" s="5" t="n">
        <v>95</v>
      </c>
      <c r="L306" s="14" t="n">
        <v>1.01063829787234</v>
      </c>
      <c r="M306" s="14" t="n">
        <v>1.01063829787234</v>
      </c>
      <c r="N306" s="5" t="inlineStr">
        <is>
          <t>%</t>
        </is>
      </c>
      <c r="O306" s="5" t="inlineStr">
        <is>
          <t>%</t>
        </is>
      </c>
      <c r="P306" s="5" t="n">
        <v>1</v>
      </c>
      <c r="Q306" s="5" t="n">
        <v>1</v>
      </c>
      <c r="R306" s="5" t="inlineStr">
        <is>
          <t>193-2025-12-31</t>
        </is>
      </c>
    </row>
    <row r="307" hidden="1">
      <c r="A307" s="26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09" t="n">
        <v>44742</v>
      </c>
      <c r="G307" s="5" t="n">
        <v>2022</v>
      </c>
      <c r="H307" s="5" t="inlineStr">
        <is>
          <t>Junio</t>
        </is>
      </c>
      <c r="I307" s="6" t="inlineStr">
        <is>
          <t>2022-1</t>
        </is>
      </c>
      <c r="J307" s="5" t="n">
        <v>73</v>
      </c>
      <c r="K307" s="5" t="n">
        <v>83.26000000000001</v>
      </c>
      <c r="L307" s="74" t="n">
        <v>1.140547945205479</v>
      </c>
      <c r="M307" s="14" t="n">
        <v>1.140547945205479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194-2022-06-30</t>
        </is>
      </c>
    </row>
    <row r="308" hidden="1">
      <c r="A308" s="5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09" t="n">
        <v>44926</v>
      </c>
      <c r="G308" s="5" t="n">
        <v>2022</v>
      </c>
      <c r="H308" s="5" t="inlineStr">
        <is>
          <t>Diciembre</t>
        </is>
      </c>
      <c r="I308" s="6" t="inlineStr">
        <is>
          <t>2022-2</t>
        </is>
      </c>
      <c r="J308" s="5" t="n">
        <v>73</v>
      </c>
      <c r="K308" s="5" t="n">
        <v>83.11</v>
      </c>
      <c r="L308" s="14" t="n">
        <v>1.138493150684931</v>
      </c>
      <c r="M308" s="14" t="n">
        <v>1.138493150684931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194-2022-12-31</t>
        </is>
      </c>
    </row>
    <row r="309" hidden="1">
      <c r="A309" s="26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09" t="n">
        <v>45107</v>
      </c>
      <c r="G309" s="5" t="n">
        <v>2023</v>
      </c>
      <c r="H309" s="5" t="inlineStr">
        <is>
          <t>Junio</t>
        </is>
      </c>
      <c r="I309" s="6" t="inlineStr">
        <is>
          <t>2023-1</t>
        </is>
      </c>
      <c r="J309" s="5" t="n">
        <v>80</v>
      </c>
      <c r="K309" s="5" t="n">
        <v>79.18000000000001</v>
      </c>
      <c r="L309" s="14" t="n">
        <v>0.9897500000000001</v>
      </c>
      <c r="M309" s="14" t="n">
        <v>0.9897500000000001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194-2023-06-30</t>
        </is>
      </c>
    </row>
    <row r="310" hidden="1">
      <c r="A310" s="5" t="n">
        <v>194</v>
      </c>
      <c r="B310" s="5" t="inlineStr">
        <is>
          <t>Índice de satisfacción del estudiante (SSI)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Positivo</t>
        </is>
      </c>
      <c r="F310" s="109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80</v>
      </c>
      <c r="K310" s="5" t="n">
        <v>81.91</v>
      </c>
      <c r="L310" s="14" t="n">
        <v>1.023875</v>
      </c>
      <c r="M310" s="14" t="n">
        <v>1.023875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194-2023-12-31</t>
        </is>
      </c>
    </row>
    <row r="311" hidden="1">
      <c r="A311" s="26" t="n">
        <v>194</v>
      </c>
      <c r="B311" s="5" t="inlineStr">
        <is>
          <t>Índice de satisfacción del estudiante (SSI)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Positivo</t>
        </is>
      </c>
      <c r="F311" s="109" t="n">
        <v>45473</v>
      </c>
      <c r="G311" s="5" t="n">
        <v>2024</v>
      </c>
      <c r="H311" s="5" t="inlineStr">
        <is>
          <t>Junio</t>
        </is>
      </c>
      <c r="I311" s="6" t="inlineStr">
        <is>
          <t>2024-1</t>
        </is>
      </c>
      <c r="J311" s="5" t="n">
        <v>81</v>
      </c>
      <c r="K311" s="5" t="n">
        <v>83.01000000000001</v>
      </c>
      <c r="L311" s="14" t="n">
        <v>1.024814814814815</v>
      </c>
      <c r="M311" s="14" t="n">
        <v>1.024814814814815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194-2024-06-30</t>
        </is>
      </c>
    </row>
    <row r="312" hidden="1">
      <c r="A312" s="5" t="n">
        <v>194</v>
      </c>
      <c r="B312" s="5" t="inlineStr">
        <is>
          <t>Índice de satisfacción del estudiante (SSI)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Positivo</t>
        </is>
      </c>
      <c r="F312" s="109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80</v>
      </c>
      <c r="K312" s="5" t="n">
        <v>89</v>
      </c>
      <c r="L312" s="14" t="n">
        <v>1.1125</v>
      </c>
      <c r="M312" s="14" t="n">
        <v>1.1125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194-2024-12-31</t>
        </is>
      </c>
    </row>
    <row r="313" hidden="1">
      <c r="A313" s="28" t="n">
        <v>196</v>
      </c>
      <c r="B313" s="5" t="inlineStr">
        <is>
          <t>(% de solicitudes procesos Pareto)</t>
        </is>
      </c>
      <c r="C313" s="5" t="inlineStr">
        <is>
          <t>Servicio</t>
        </is>
      </c>
      <c r="D313" s="5" t="inlineStr">
        <is>
          <t>Semestral</t>
        </is>
      </c>
      <c r="E313" s="5" t="inlineStr">
        <is>
          <t>Negativo</t>
        </is>
      </c>
      <c r="F313" s="109" t="n">
        <v>45107</v>
      </c>
      <c r="G313" s="5" t="n">
        <v>2023</v>
      </c>
      <c r="H313" s="5" t="inlineStr">
        <is>
          <t>Junio</t>
        </is>
      </c>
      <c r="I313" s="6" t="inlineStr">
        <is>
          <t>2023-1</t>
        </is>
      </c>
      <c r="J313" s="5" t="n">
        <v>37</v>
      </c>
      <c r="K313" s="5" t="n">
        <v>34.41</v>
      </c>
      <c r="L313" s="74" t="n">
        <v>1.075268817204301</v>
      </c>
      <c r="M313" s="14" t="n">
        <v>1.075268817204301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196-2023-06-30</t>
        </is>
      </c>
    </row>
    <row r="314" hidden="1">
      <c r="A314" s="26" t="n">
        <v>196</v>
      </c>
      <c r="B314" s="5" t="inlineStr">
        <is>
          <t>(% de solicitudes procesos Pareto)</t>
        </is>
      </c>
      <c r="C314" s="5" t="inlineStr">
        <is>
          <t>Servicio</t>
        </is>
      </c>
      <c r="D314" s="5" t="inlineStr">
        <is>
          <t>Semestral</t>
        </is>
      </c>
      <c r="E314" s="5" t="inlineStr">
        <is>
          <t>Negativo</t>
        </is>
      </c>
      <c r="F314" s="109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37</v>
      </c>
      <c r="K314" s="5" t="n">
        <v>26.62</v>
      </c>
      <c r="L314" s="74" t="n">
        <v>1.3</v>
      </c>
      <c r="M314" s="14" t="n">
        <v>1.389932381667919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196-2023-12-31</t>
        </is>
      </c>
    </row>
    <row r="315" hidden="1">
      <c r="A315" s="5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Semestral</t>
        </is>
      </c>
      <c r="E315" s="5" t="inlineStr">
        <is>
          <t>Positivo</t>
        </is>
      </c>
      <c r="F315" s="109" t="n">
        <v>44926</v>
      </c>
      <c r="G315" s="5" t="n">
        <v>2022</v>
      </c>
      <c r="H315" s="5" t="inlineStr">
        <is>
          <t>Diciembre</t>
        </is>
      </c>
      <c r="I315" s="6" t="inlineStr">
        <is>
          <t>2022-2</t>
        </is>
      </c>
      <c r="J315" s="5" t="n">
        <v>90</v>
      </c>
      <c r="K315" s="5" t="n">
        <v>100</v>
      </c>
      <c r="L315" s="14" t="n">
        <v>1.111111111111111</v>
      </c>
      <c r="M315" s="14" t="n">
        <v>1.111111111111111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197-2022-12-31</t>
        </is>
      </c>
    </row>
    <row r="316" hidden="1">
      <c r="A316" s="5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09" t="n">
        <v>45107</v>
      </c>
      <c r="G316" s="5" t="n">
        <v>2023</v>
      </c>
      <c r="H316" s="5" t="inlineStr">
        <is>
          <t>Junio</t>
        </is>
      </c>
      <c r="I316" s="6" t="inlineStr">
        <is>
          <t>2023-1</t>
        </is>
      </c>
      <c r="J316" s="5" t="n">
        <v>90</v>
      </c>
      <c r="K316" s="5" t="n">
        <v>100</v>
      </c>
      <c r="L316" s="14" t="n">
        <v>1.111111111111111</v>
      </c>
      <c r="M316" s="14" t="n">
        <v>1.111111111111111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197-2023-06-30</t>
        </is>
      </c>
    </row>
    <row r="317" hidden="1">
      <c r="A317" s="28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09" t="n">
        <v>45291</v>
      </c>
      <c r="G317" s="5" t="n">
        <v>2023</v>
      </c>
      <c r="H317" s="5" t="inlineStr">
        <is>
          <t>Diciembre</t>
        </is>
      </c>
      <c r="I317" s="6" t="inlineStr">
        <is>
          <t>2023-2</t>
        </is>
      </c>
      <c r="J317" s="5" t="n">
        <v>90</v>
      </c>
      <c r="K317" s="5" t="n">
        <v>100</v>
      </c>
      <c r="L317" s="74" t="n">
        <v>1.111111111111111</v>
      </c>
      <c r="M317" s="14" t="n">
        <v>1.111111111111111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197-2023-12-31</t>
        </is>
      </c>
    </row>
    <row r="318" hidden="1">
      <c r="A318" s="26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Trimestral</t>
        </is>
      </c>
      <c r="E318" s="5" t="inlineStr">
        <is>
          <t>Positivo</t>
        </is>
      </c>
      <c r="F318" s="109" t="n">
        <v>45473</v>
      </c>
      <c r="G318" s="5" t="n">
        <v>2024</v>
      </c>
      <c r="H318" s="5" t="inlineStr">
        <is>
          <t>Junio</t>
        </is>
      </c>
      <c r="I318" s="6" t="inlineStr">
        <is>
          <t>2024-1</t>
        </is>
      </c>
      <c r="J318" s="5" t="n">
        <v>95</v>
      </c>
      <c r="K318" s="5" t="n">
        <v>100</v>
      </c>
      <c r="L318" s="74" t="n">
        <v>1.052631578947368</v>
      </c>
      <c r="M318" s="14" t="n">
        <v>1.052631578947368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197-2024-06-30</t>
        </is>
      </c>
    </row>
    <row r="319" hidden="1">
      <c r="A319" s="5" t="n">
        <v>197</v>
      </c>
      <c r="B319" s="5" t="inlineStr">
        <is>
          <t>Cumplimiento cronograma Mantenimiento de Equipos</t>
        </is>
      </c>
      <c r="C319" s="5" t="inlineStr">
        <is>
          <t>Gestión Infraestructura Física</t>
        </is>
      </c>
      <c r="D319" s="5" t="inlineStr">
        <is>
          <t>Trimestral</t>
        </is>
      </c>
      <c r="E319" s="5" t="inlineStr">
        <is>
          <t>Positivo</t>
        </is>
      </c>
      <c r="F319" s="109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95</v>
      </c>
      <c r="K319" s="5" t="n">
        <v>100</v>
      </c>
      <c r="L319" s="14" t="n">
        <v>1.052631578947368</v>
      </c>
      <c r="M319" s="14" t="n">
        <v>1.052631578947368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197-2024-12-31</t>
        </is>
      </c>
    </row>
    <row r="320" hidden="1">
      <c r="A320" s="5" t="n">
        <v>197</v>
      </c>
      <c r="B320" s="5" t="inlineStr">
        <is>
          <t>Cumplimiento cronograma Mantenimiento de Equipos</t>
        </is>
      </c>
      <c r="C320" s="5" t="inlineStr">
        <is>
          <t>Gestión Infraestructura Física</t>
        </is>
      </c>
      <c r="D320" s="5" t="inlineStr">
        <is>
          <t>Trimestral</t>
        </is>
      </c>
      <c r="E320" s="5" t="inlineStr">
        <is>
          <t>Positivo</t>
        </is>
      </c>
      <c r="F320" s="109" t="n">
        <v>45838</v>
      </c>
      <c r="G320" s="5" t="n">
        <v>2025</v>
      </c>
      <c r="H320" s="5" t="inlineStr">
        <is>
          <t>Junio</t>
        </is>
      </c>
      <c r="I320" s="6" t="inlineStr">
        <is>
          <t>2025-1</t>
        </is>
      </c>
      <c r="J320" s="5" t="n">
        <v>97</v>
      </c>
      <c r="K320" s="5" t="n">
        <v>98.215</v>
      </c>
      <c r="L320" s="14" t="n">
        <v>1.012525773195876</v>
      </c>
      <c r="M320" s="14" t="n">
        <v>1.012525773195876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197-2025-06-30</t>
        </is>
      </c>
    </row>
    <row r="321" hidden="1">
      <c r="A321" s="28" t="n">
        <v>197</v>
      </c>
      <c r="B321" s="5" t="inlineStr">
        <is>
          <t>Cumplimiento cronograma Mantenimiento de Equipos</t>
        </is>
      </c>
      <c r="C321" s="5" t="inlineStr">
        <is>
          <t>Gestión Infraestructura Física</t>
        </is>
      </c>
      <c r="D321" s="5" t="inlineStr">
        <is>
          <t>Semestral</t>
        </is>
      </c>
      <c r="E321" s="5" t="inlineStr">
        <is>
          <t>Positivo</t>
        </is>
      </c>
      <c r="F321" s="109" t="n">
        <v>46022</v>
      </c>
      <c r="G321" s="5" t="n">
        <v>2025</v>
      </c>
      <c r="H321" s="5" t="inlineStr">
        <is>
          <t>Diciembre</t>
        </is>
      </c>
      <c r="I321" s="6" t="inlineStr">
        <is>
          <t>2025-2</t>
        </is>
      </c>
      <c r="J321" s="5" t="n">
        <v>97</v>
      </c>
      <c r="K321" s="5" t="n">
        <v>102</v>
      </c>
      <c r="L321" s="74" t="n">
        <v>1.051546391752577</v>
      </c>
      <c r="M321" s="14" t="n">
        <v>1.051546391752577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197-2025-12-31</t>
        </is>
      </c>
    </row>
    <row r="322" hidden="1">
      <c r="A322" s="26" t="n">
        <v>197</v>
      </c>
      <c r="B322" s="5" t="inlineStr">
        <is>
          <t>Cumplimiento cronograma Mantenimiento de Equipos</t>
        </is>
      </c>
      <c r="C322" s="5" t="inlineStr">
        <is>
          <t>Gestión Infraestructura Física</t>
        </is>
      </c>
      <c r="D322" s="5" t="inlineStr">
        <is>
          <t>Semestral</t>
        </is>
      </c>
      <c r="E322" s="5" t="inlineStr">
        <is>
          <t>Positivo</t>
        </is>
      </c>
      <c r="F322" s="109" t="n">
        <v>46203</v>
      </c>
      <c r="G322" s="5" t="n">
        <v>2026</v>
      </c>
      <c r="H322" s="5" t="inlineStr">
        <is>
          <t>Junio</t>
        </is>
      </c>
      <c r="I322" s="6" t="inlineStr">
        <is>
          <t>2026-1</t>
        </is>
      </c>
      <c r="J322" s="5" t="n">
        <v>97</v>
      </c>
      <c r="K322" s="5" t="n">
        <v>100</v>
      </c>
      <c r="L322" s="74" t="n">
        <v>1.030927835051546</v>
      </c>
      <c r="M322" s="14" t="n">
        <v>1.030927835051546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197-2026-06-30</t>
        </is>
      </c>
    </row>
    <row r="323" hidden="1">
      <c r="A323" s="5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Semestral</t>
        </is>
      </c>
      <c r="E323" s="5" t="inlineStr">
        <is>
          <t>Positivo</t>
        </is>
      </c>
      <c r="F323" s="109" t="n">
        <v>45107</v>
      </c>
      <c r="G323" s="5" t="n">
        <v>2023</v>
      </c>
      <c r="H323" s="5" t="inlineStr">
        <is>
          <t>Junio</t>
        </is>
      </c>
      <c r="I323" s="6" t="inlineStr">
        <is>
          <t>2023-1</t>
        </is>
      </c>
      <c r="J323" s="5" t="n">
        <v>95</v>
      </c>
      <c r="K323" s="5" t="n">
        <v>87.666666666667</v>
      </c>
      <c r="L323" s="14" t="n">
        <v>0.9228070175438632</v>
      </c>
      <c r="M323" s="14" t="n">
        <v>0.9228070175438632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199-2023-06-30</t>
        </is>
      </c>
    </row>
    <row r="324" hidden="1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Semestral</t>
        </is>
      </c>
      <c r="E324" s="5" t="inlineStr">
        <is>
          <t>Positivo</t>
        </is>
      </c>
      <c r="F324" s="109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95</v>
      </c>
      <c r="K324" s="5" t="n">
        <v>87.67</v>
      </c>
      <c r="L324" s="14" t="n">
        <v>0.9228421052631579</v>
      </c>
      <c r="M324" s="14" t="n">
        <v>0.9228421052631579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199-2023-12-31</t>
        </is>
      </c>
    </row>
    <row r="325" hidden="1">
      <c r="A325" s="34" t="n">
        <v>199</v>
      </c>
      <c r="B325" s="5" t="inlineStr">
        <is>
          <t>Nivel de cumplimiento de eficacia las capacitaciones</t>
        </is>
      </c>
      <c r="C325" s="5" t="inlineStr">
        <is>
          <t>GESTIÓN Y DESARROLLO DEL TALENTO HUMANO</t>
        </is>
      </c>
      <c r="D325" s="5" t="inlineStr">
        <is>
          <t>Semestral</t>
        </is>
      </c>
      <c r="E325" s="5" t="inlineStr">
        <is>
          <t>Positivo</t>
        </is>
      </c>
      <c r="F325" s="109" t="n">
        <v>45473</v>
      </c>
      <c r="G325" s="5" t="n">
        <v>2024</v>
      </c>
      <c r="H325" s="5" t="inlineStr">
        <is>
          <t>Junio</t>
        </is>
      </c>
      <c r="I325" s="6" t="inlineStr">
        <is>
          <t>2024-1</t>
        </is>
      </c>
      <c r="J325" s="5" t="n">
        <v>70</v>
      </c>
      <c r="K325" s="5" t="n">
        <v>92.19</v>
      </c>
      <c r="L325" s="74" t="n">
        <v>1.3</v>
      </c>
      <c r="M325" s="14" t="n">
        <v>1.317</v>
      </c>
      <c r="N325" s="5" t="n"/>
      <c r="O325" s="5" t="n"/>
      <c r="P325" s="5" t="n">
        <v>0</v>
      </c>
      <c r="Q325" s="5" t="n">
        <v>0</v>
      </c>
      <c r="R325" s="5" t="inlineStr">
        <is>
          <t>199-2024-06-30</t>
        </is>
      </c>
    </row>
    <row r="326" hidden="1">
      <c r="A326" s="26" t="n">
        <v>199</v>
      </c>
      <c r="B326" s="5" t="inlineStr">
        <is>
          <t>Nivel de cumplimiento de eficacia las capacitaciones</t>
        </is>
      </c>
      <c r="C326" s="5" t="inlineStr">
        <is>
          <t>GESTIÓN Y DESARROLLO DEL TALENTO HUMANO</t>
        </is>
      </c>
      <c r="D326" s="5" t="inlineStr">
        <is>
          <t>Semestral</t>
        </is>
      </c>
      <c r="E326" s="5" t="inlineStr">
        <is>
          <t>Positivo</t>
        </is>
      </c>
      <c r="F326" s="109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70</v>
      </c>
      <c r="K326" s="5" t="n">
        <v>92.81</v>
      </c>
      <c r="L326" s="74" t="n">
        <v>1.3</v>
      </c>
      <c r="M326" s="14" t="n">
        <v>1.325857142857143</v>
      </c>
      <c r="N326" s="5" t="n"/>
      <c r="O326" s="5" t="n"/>
      <c r="P326" s="5" t="n">
        <v>0</v>
      </c>
      <c r="Q326" s="5" t="n">
        <v>0</v>
      </c>
      <c r="R326" s="5" t="inlineStr">
        <is>
          <t>199-2024-12-31</t>
        </is>
      </c>
    </row>
    <row r="327" hidden="1">
      <c r="A327" s="28" t="n">
        <v>199</v>
      </c>
      <c r="B327" s="5" t="inlineStr">
        <is>
          <t>Nivel de cumplimiento de eficacia las capacitaciones</t>
        </is>
      </c>
      <c r="C327" s="5" t="inlineStr">
        <is>
          <t>GESTIÓN Y DESARROLLO DEL TALENTO HUMANO</t>
        </is>
      </c>
      <c r="D327" s="5" t="inlineStr">
        <is>
          <t>Trimestral</t>
        </is>
      </c>
      <c r="E327" s="5" t="inlineStr">
        <is>
          <t>Positivo</t>
        </is>
      </c>
      <c r="F327" s="109" t="n">
        <v>45838</v>
      </c>
      <c r="G327" s="5" t="n">
        <v>2025</v>
      </c>
      <c r="H327" s="5" t="inlineStr">
        <is>
          <t>Junio</t>
        </is>
      </c>
      <c r="I327" s="6" t="inlineStr">
        <is>
          <t>2025-1</t>
        </is>
      </c>
      <c r="J327" s="5" t="n">
        <v>80</v>
      </c>
      <c r="K327" s="5" t="n">
        <v>92.09999999999999</v>
      </c>
      <c r="L327" s="74" t="n">
        <v>1.15125</v>
      </c>
      <c r="M327" s="14" t="n">
        <v>1.15125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199-2025-06-30</t>
        </is>
      </c>
    </row>
    <row r="328" hidden="1">
      <c r="A328" s="26" t="n">
        <v>199</v>
      </c>
      <c r="B328" s="5" t="inlineStr">
        <is>
          <t>Nivel de cumplimiento de eficacia las capacitaciones</t>
        </is>
      </c>
      <c r="C328" s="5" t="inlineStr">
        <is>
          <t>GESTIÓN Y DESARROLLO DEL TALENTO HUMANO</t>
        </is>
      </c>
      <c r="D328" s="5" t="inlineStr">
        <is>
          <t>Trimestral</t>
        </is>
      </c>
      <c r="E328" s="5" t="inlineStr">
        <is>
          <t>Positivo</t>
        </is>
      </c>
      <c r="F328" s="109" t="n">
        <v>46022</v>
      </c>
      <c r="G328" s="5" t="n">
        <v>2025</v>
      </c>
      <c r="H328" s="5" t="inlineStr">
        <is>
          <t>Diciembre</t>
        </is>
      </c>
      <c r="I328" s="6" t="inlineStr">
        <is>
          <t>2025-2</t>
        </is>
      </c>
      <c r="J328" s="5" t="n">
        <v>80</v>
      </c>
      <c r="K328" s="5" t="n">
        <v>92.89</v>
      </c>
      <c r="L328" s="74" t="n">
        <v>1.161125</v>
      </c>
      <c r="M328" s="14" t="n">
        <v>1.161125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199-2025-12-31</t>
        </is>
      </c>
    </row>
    <row r="329" hidden="1">
      <c r="A329" s="5" t="n">
        <v>200</v>
      </c>
      <c r="B329" s="5" t="inlineStr">
        <is>
          <t>Nivel de efectividad de las capacitaciones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09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70</v>
      </c>
      <c r="K329" s="5" t="n"/>
      <c r="L329" s="14" t="n"/>
      <c r="M329" s="14" t="n"/>
      <c r="N329" s="5" t="inlineStr">
        <is>
          <t>%</t>
        </is>
      </c>
      <c r="O329" s="5" t="inlineStr">
        <is>
          <t>No Aplica</t>
        </is>
      </c>
      <c r="P329" s="5" t="n">
        <v>0</v>
      </c>
      <c r="Q329" s="5" t="n">
        <v>1</v>
      </c>
      <c r="R329" s="5" t="inlineStr">
        <is>
          <t>200-2022-12-31</t>
        </is>
      </c>
      <c r="S329" t="inlineStr">
        <is>
          <t>No Aplica</t>
        </is>
      </c>
    </row>
    <row r="330" hidden="1">
      <c r="A330" s="5" t="n">
        <v>200</v>
      </c>
      <c r="B330" s="5" t="inlineStr">
        <is>
          <t>Nivel de efectividad de las capacitaciones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09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70</v>
      </c>
      <c r="K330" s="5" t="n">
        <v>90</v>
      </c>
      <c r="L330" s="14" t="n">
        <v>1.285714285714286</v>
      </c>
      <c r="M330" s="14" t="n">
        <v>1.285714285714286</v>
      </c>
      <c r="N330" s="5" t="inlineStr">
        <is>
          <t>Linea base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200-2023-12-31</t>
        </is>
      </c>
    </row>
    <row r="331" hidden="1">
      <c r="A331" s="34" t="n">
        <v>200</v>
      </c>
      <c r="B331" s="5" t="inlineStr">
        <is>
          <t>Nivel de efectividad de las capacitaciones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09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80</v>
      </c>
      <c r="K331" s="5" t="n">
        <v>87.40000000000001</v>
      </c>
      <c r="L331" s="74" t="n">
        <v>1.0925</v>
      </c>
      <c r="M331" s="14" t="n">
        <v>1.0925</v>
      </c>
      <c r="N331" s="5" t="n"/>
      <c r="O331" s="5" t="n"/>
      <c r="P331" s="5" t="n">
        <v>0</v>
      </c>
      <c r="Q331" s="5" t="n">
        <v>0</v>
      </c>
      <c r="R331" s="5" t="inlineStr">
        <is>
          <t>200-2024-12-31</t>
        </is>
      </c>
    </row>
    <row r="332" hidden="1">
      <c r="A332" s="26" t="n">
        <v>200</v>
      </c>
      <c r="B332" s="5" t="inlineStr">
        <is>
          <t>Nivel de efectividad de las capacitaciones</t>
        </is>
      </c>
      <c r="C332" s="5" t="inlineStr">
        <is>
          <t>GESTIÓN Y DESARROLLO DEL TALENTO HUMANO</t>
        </is>
      </c>
      <c r="D332" s="5" t="inlineStr">
        <is>
          <t>Anual</t>
        </is>
      </c>
      <c r="E332" s="5" t="inlineStr">
        <is>
          <t>Positivo</t>
        </is>
      </c>
      <c r="F332" s="109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87</v>
      </c>
      <c r="K332" s="5" t="n">
        <v>90.84999999999999</v>
      </c>
      <c r="L332" s="74" t="n">
        <v>1.044252873563218</v>
      </c>
      <c r="M332" s="14" t="n">
        <v>1.044252873563218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1</v>
      </c>
      <c r="R332" s="5" t="inlineStr">
        <is>
          <t>200-2025-12-31</t>
        </is>
      </c>
    </row>
    <row r="333" hidden="1">
      <c r="A333" s="28" t="n">
        <v>202</v>
      </c>
      <c r="B333" s="5" t="inlineStr">
        <is>
          <t>Great Place to Work</t>
        </is>
      </c>
      <c r="C333" s="5" t="inlineStr">
        <is>
          <t>GESTIÓN Y DESARROLLO DEL TALENTO HUMANO</t>
        </is>
      </c>
      <c r="D333" s="5" t="inlineStr">
        <is>
          <t>Anual</t>
        </is>
      </c>
      <c r="E333" s="5" t="inlineStr">
        <is>
          <t>Positivo</t>
        </is>
      </c>
      <c r="F333" s="109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66</v>
      </c>
      <c r="K333" s="5" t="n">
        <v>64.7</v>
      </c>
      <c r="L333" s="74" t="n">
        <v>0.9803030303030303</v>
      </c>
      <c r="M333" s="14" t="n">
        <v>0.9803030303030303</v>
      </c>
      <c r="N333" s="5" t="n"/>
      <c r="O333" s="5" t="n"/>
      <c r="P333" s="5" t="n">
        <v>1</v>
      </c>
      <c r="Q333" s="5" t="n">
        <v>1</v>
      </c>
      <c r="R333" s="5" t="inlineStr">
        <is>
          <t>202-2023-12-31</t>
        </is>
      </c>
    </row>
    <row r="334" hidden="1">
      <c r="A334" s="26" t="n">
        <v>202</v>
      </c>
      <c r="B334" s="5" t="inlineStr">
        <is>
          <t>Great Place to Work</t>
        </is>
      </c>
      <c r="C334" s="5" t="inlineStr">
        <is>
          <t>GESTIÓN Y DESARROLLO DEL TALENTO HUMANO</t>
        </is>
      </c>
      <c r="D334" s="5" t="inlineStr">
        <is>
          <t>Anual</t>
        </is>
      </c>
      <c r="E334" s="5" t="inlineStr">
        <is>
          <t>Positivo</t>
        </is>
      </c>
      <c r="F334" s="109" t="n">
        <v>45657</v>
      </c>
      <c r="G334" s="5" t="n">
        <v>2024</v>
      </c>
      <c r="H334" s="5" t="inlineStr">
        <is>
          <t>Diciembre</t>
        </is>
      </c>
      <c r="I334" s="6" t="inlineStr">
        <is>
          <t>2024-2</t>
        </is>
      </c>
      <c r="J334" s="5" t="n">
        <v>0</v>
      </c>
      <c r="K334" s="5" t="n"/>
      <c r="L334" s="74" t="n"/>
      <c r="M334" s="14" t="n"/>
      <c r="N334" s="5" t="inlineStr">
        <is>
          <t>ENT</t>
        </is>
      </c>
      <c r="O334" s="5" t="inlineStr">
        <is>
          <t>N/A</t>
        </is>
      </c>
      <c r="P334" s="5" t="n">
        <v>0</v>
      </c>
      <c r="Q334" s="5" t="n">
        <v>0</v>
      </c>
      <c r="R334" s="5" t="inlineStr">
        <is>
          <t>202-2024-12-31</t>
        </is>
      </c>
    </row>
    <row r="335" hidden="1">
      <c r="A335" s="5" t="n">
        <v>202</v>
      </c>
      <c r="B335" s="5" t="inlineStr">
        <is>
          <t>Great Place to Work</t>
        </is>
      </c>
      <c r="C335" s="5" t="inlineStr">
        <is>
          <t>GESTIÓN Y DESARROLLO DEL TALENTO HUMANO</t>
        </is>
      </c>
      <c r="D335" s="5" t="inlineStr">
        <is>
          <t>Anual</t>
        </is>
      </c>
      <c r="E335" s="5" t="inlineStr">
        <is>
          <t>Positivo</t>
        </is>
      </c>
      <c r="F335" s="109" t="n">
        <v>46022</v>
      </c>
      <c r="G335" s="5" t="n">
        <v>2025</v>
      </c>
      <c r="H335" s="5" t="inlineStr">
        <is>
          <t>Diciembre</t>
        </is>
      </c>
      <c r="I335" s="6" t="inlineStr">
        <is>
          <t>2025-2</t>
        </is>
      </c>
      <c r="J335" s="5" t="n">
        <v>68.7</v>
      </c>
      <c r="K335" s="5" t="n">
        <v>81</v>
      </c>
      <c r="L335" s="14" t="n">
        <v>1.179039301310044</v>
      </c>
      <c r="M335" s="14" t="n">
        <v>1.179039301310044</v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0</v>
      </c>
      <c r="R335" s="5" t="inlineStr">
        <is>
          <t>202-2025-12-31</t>
        </is>
      </c>
    </row>
    <row r="336" hidden="1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44742</v>
      </c>
      <c r="G336" s="5" t="n">
        <v>2022</v>
      </c>
      <c r="H336" s="5" t="inlineStr">
        <is>
          <t>Junio</t>
        </is>
      </c>
      <c r="I336" s="6" t="inlineStr">
        <is>
          <t>2022-1</t>
        </is>
      </c>
      <c r="J336" s="5" t="n">
        <v>113672</v>
      </c>
      <c r="K336" s="5" t="n">
        <v>119144</v>
      </c>
      <c r="L336" s="14" t="n">
        <v>1.048138503765219</v>
      </c>
      <c r="M336" s="14" t="n">
        <v>1.048138503765219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203-2022-06-30</t>
        </is>
      </c>
    </row>
    <row r="337" hidden="1">
      <c r="A337" s="26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09" t="n">
        <v>44926</v>
      </c>
      <c r="G337" s="5" t="n">
        <v>2022</v>
      </c>
      <c r="H337" s="5" t="inlineStr">
        <is>
          <t>Diciembre</t>
        </is>
      </c>
      <c r="I337" s="6" t="inlineStr">
        <is>
          <t>2022-2</t>
        </is>
      </c>
      <c r="J337" s="5" t="n">
        <v>110768</v>
      </c>
      <c r="K337" s="5" t="n">
        <v>121738</v>
      </c>
      <c r="L337" s="74" t="n">
        <v>1.099035822620251</v>
      </c>
      <c r="M337" s="14" t="n">
        <v>1.099035822620251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203-2022-12-31</t>
        </is>
      </c>
    </row>
    <row r="338" hidden="1">
      <c r="A338" s="5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9" t="n">
        <v>45107</v>
      </c>
      <c r="G338" s="5" t="n">
        <v>2023</v>
      </c>
      <c r="H338" s="5" t="inlineStr">
        <is>
          <t>Junio</t>
        </is>
      </c>
      <c r="I338" s="6" t="inlineStr">
        <is>
          <t>2023-1</t>
        </is>
      </c>
      <c r="J338" s="5" t="n">
        <v>95</v>
      </c>
      <c r="K338" s="5" t="n">
        <v>104.63235542785</v>
      </c>
      <c r="L338" s="14" t="n">
        <v>1.10139321503</v>
      </c>
      <c r="M338" s="14" t="n">
        <v>1.10139321503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203-2023-06-30</t>
        </is>
      </c>
    </row>
    <row r="339" hidden="1">
      <c r="A339" s="26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5" t="n">
        <v>95</v>
      </c>
      <c r="K339" s="5" t="n">
        <v>103.36740380481</v>
      </c>
      <c r="L339" s="14" t="n">
        <v>1.088077934787474</v>
      </c>
      <c r="M339" s="14" t="n">
        <v>1.088077934787474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203-2023-12-31</t>
        </is>
      </c>
    </row>
    <row r="340" hidden="1">
      <c r="A340" s="5" t="n">
        <v>203</v>
      </c>
      <c r="B340" s="5" t="inlineStr">
        <is>
          <t>Cumplimiento de Ingresos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09" t="n">
        <v>45473</v>
      </c>
      <c r="G340" s="5" t="n">
        <v>2024</v>
      </c>
      <c r="H340" s="5" t="inlineStr">
        <is>
          <t>Junio</t>
        </is>
      </c>
      <c r="I340" s="6" t="inlineStr">
        <is>
          <t>2024-1</t>
        </is>
      </c>
      <c r="J340" s="5" t="n">
        <v>95</v>
      </c>
      <c r="K340" s="5" t="n">
        <v>102.01</v>
      </c>
      <c r="L340" s="14" t="n">
        <v>1.073789473684211</v>
      </c>
      <c r="M340" s="14" t="n">
        <v>1.073789473684211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203-2024-06-30</t>
        </is>
      </c>
    </row>
    <row r="341" hidden="1">
      <c r="A341" s="34" t="n">
        <v>203</v>
      </c>
      <c r="B341" s="5" t="inlineStr">
        <is>
          <t>Cumplimiento de Ingresos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9" t="n">
        <v>45657</v>
      </c>
      <c r="G341" s="5" t="n">
        <v>2024</v>
      </c>
      <c r="H341" s="5" t="inlineStr">
        <is>
          <t>Diciembre</t>
        </is>
      </c>
      <c r="I341" s="6" t="inlineStr">
        <is>
          <t>2024-2</t>
        </is>
      </c>
      <c r="J341" s="5" t="n">
        <v>95</v>
      </c>
      <c r="K341" s="5" t="n">
        <v>102.84</v>
      </c>
      <c r="L341" s="74" t="n">
        <v>1.082526315789474</v>
      </c>
      <c r="M341" s="14" t="n">
        <v>1.082526315789474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203-2024-12-31</t>
        </is>
      </c>
    </row>
    <row r="342" hidden="1">
      <c r="A342" s="26" t="n">
        <v>203</v>
      </c>
      <c r="B342" s="5" t="inlineStr">
        <is>
          <t>Cumplimiento de Ingresos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09" t="n">
        <v>45838</v>
      </c>
      <c r="G342" s="5" t="n">
        <v>2025</v>
      </c>
      <c r="H342" s="5" t="inlineStr">
        <is>
          <t>Junio</t>
        </is>
      </c>
      <c r="I342" s="6" t="inlineStr">
        <is>
          <t>2025-1</t>
        </is>
      </c>
      <c r="J342" s="5" t="n">
        <v>95</v>
      </c>
      <c r="K342" s="5" t="n">
        <v>111.77</v>
      </c>
      <c r="L342" s="74" t="n">
        <v>1.176526315789474</v>
      </c>
      <c r="M342" s="14" t="n">
        <v>1.176526315789474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203-2025-06-30</t>
        </is>
      </c>
    </row>
    <row r="343" hidden="1">
      <c r="A343" s="28" t="n">
        <v>203</v>
      </c>
      <c r="B343" s="5" t="inlineStr">
        <is>
          <t>Cumplimiento de Ingresos</t>
        </is>
      </c>
      <c r="C343" s="5" t="inlineStr">
        <is>
          <t>Planeación Financiera</t>
        </is>
      </c>
      <c r="D343" s="5" t="inlineStr">
        <is>
          <t>Trimestral</t>
        </is>
      </c>
      <c r="E343" s="5" t="inlineStr">
        <is>
          <t>Positivo</t>
        </is>
      </c>
      <c r="F343" s="109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95</v>
      </c>
      <c r="K343" s="5" t="n">
        <v>111.33</v>
      </c>
      <c r="L343" s="74" t="n">
        <v>1.171894736842105</v>
      </c>
      <c r="M343" s="14" t="n">
        <v>1.171894736842105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203-2025-12-31</t>
        </is>
      </c>
    </row>
    <row r="344" hidden="1">
      <c r="A344" s="26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9" t="n">
        <v>44742</v>
      </c>
      <c r="G344" s="5" t="n">
        <v>2022</v>
      </c>
      <c r="H344" s="5" t="inlineStr">
        <is>
          <t>Junio</t>
        </is>
      </c>
      <c r="I344" s="6" t="inlineStr">
        <is>
          <t>2022-1</t>
        </is>
      </c>
      <c r="J344" s="5" t="n">
        <v>58804</v>
      </c>
      <c r="K344" s="5" t="n">
        <v>37101</v>
      </c>
      <c r="L344" s="74" t="n">
        <v>0.6309264675872389</v>
      </c>
      <c r="M344" s="14" t="n">
        <v>0.6309264675872389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204-2022-06-30</t>
        </is>
      </c>
    </row>
    <row r="345" hidden="1">
      <c r="A345" s="5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09" t="n">
        <v>44925</v>
      </c>
      <c r="G345" s="5" t="n">
        <v>2022</v>
      </c>
      <c r="H345" s="5" t="inlineStr">
        <is>
          <t>Diciembre</t>
        </is>
      </c>
      <c r="I345" s="6" t="inlineStr">
        <is>
          <t>2022-2</t>
        </is>
      </c>
      <c r="J345" s="5" t="n">
        <v>82987</v>
      </c>
      <c r="K345" s="5" t="n">
        <v>18386</v>
      </c>
      <c r="L345" s="14" t="n">
        <v>0.2215527733259426</v>
      </c>
      <c r="M345" s="14" t="n">
        <v>0.2215527733259426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204-2022-12-30</t>
        </is>
      </c>
    </row>
    <row r="346" hidden="1">
      <c r="A346" s="5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9" t="n">
        <v>45107</v>
      </c>
      <c r="G346" s="5" t="n">
        <v>2023</v>
      </c>
      <c r="H346" s="5" t="inlineStr">
        <is>
          <t>Junio</t>
        </is>
      </c>
      <c r="I346" s="6" t="inlineStr">
        <is>
          <t>2023-1</t>
        </is>
      </c>
      <c r="J346" s="5" t="n">
        <v>95</v>
      </c>
      <c r="K346" s="5" t="n">
        <v>194.75668793403</v>
      </c>
      <c r="L346" s="14" t="n">
        <v>1.3</v>
      </c>
      <c r="M346" s="14" t="n">
        <v>2.050070399305579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204-2023-06-30</t>
        </is>
      </c>
    </row>
    <row r="347" hidden="1">
      <c r="A347" s="26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9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95</v>
      </c>
      <c r="K347" s="5" t="n">
        <v>162.37</v>
      </c>
      <c r="L347" s="74" t="n">
        <v>1.3</v>
      </c>
      <c r="M347" s="14" t="n">
        <v>1.709157894736842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204-2023-12-31</t>
        </is>
      </c>
    </row>
    <row r="348" hidden="1">
      <c r="A348" s="26" t="n">
        <v>204</v>
      </c>
      <c r="B348" s="5" t="inlineStr">
        <is>
          <t>Caja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09" t="n">
        <v>45473</v>
      </c>
      <c r="G348" s="5" t="n">
        <v>2024</v>
      </c>
      <c r="H348" s="5" t="inlineStr">
        <is>
          <t>Junio</t>
        </is>
      </c>
      <c r="I348" s="6" t="inlineStr">
        <is>
          <t>2024-1</t>
        </is>
      </c>
      <c r="J348" s="5" t="n">
        <v>95</v>
      </c>
      <c r="K348" s="5" t="n">
        <v>133.55</v>
      </c>
      <c r="L348" s="74" t="n">
        <v>1.3</v>
      </c>
      <c r="M348" s="14" t="n">
        <v>1.405789473684211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204-2024-06-30</t>
        </is>
      </c>
    </row>
    <row r="349" hidden="1">
      <c r="A349" s="5" t="n">
        <v>204</v>
      </c>
      <c r="B349" s="5" t="inlineStr">
        <is>
          <t>Caja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09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95</v>
      </c>
      <c r="K349" s="5" t="n">
        <v>144.53</v>
      </c>
      <c r="L349" s="14" t="n">
        <v>1.3</v>
      </c>
      <c r="M349" s="14" t="n">
        <v>1.521368421052631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204-2024-12-31</t>
        </is>
      </c>
    </row>
    <row r="350" hidden="1">
      <c r="A350" s="5" t="n">
        <v>204</v>
      </c>
      <c r="B350" s="5" t="inlineStr">
        <is>
          <t>Caja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9" t="n">
        <v>45838</v>
      </c>
      <c r="G350" s="5" t="n">
        <v>2025</v>
      </c>
      <c r="H350" s="5" t="inlineStr">
        <is>
          <t>Junio</t>
        </is>
      </c>
      <c r="I350" s="6" t="inlineStr">
        <is>
          <t>2025-1</t>
        </is>
      </c>
      <c r="J350" s="5" t="n">
        <v>95</v>
      </c>
      <c r="K350" s="5" t="n">
        <v>86.89</v>
      </c>
      <c r="L350" s="14" t="n">
        <v>0.9146315789473685</v>
      </c>
      <c r="M350" s="14" t="n">
        <v>0.9146315789473685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204-2025-06-30</t>
        </is>
      </c>
    </row>
    <row r="351" hidden="1">
      <c r="A351" s="26" t="n">
        <v>204</v>
      </c>
      <c r="B351" s="5" t="inlineStr">
        <is>
          <t>Caja</t>
        </is>
      </c>
      <c r="C351" s="5" t="inlineStr">
        <is>
          <t>Planeación Financiera</t>
        </is>
      </c>
      <c r="D351" s="5" t="inlineStr">
        <is>
          <t>Trimestral</t>
        </is>
      </c>
      <c r="E351" s="5" t="inlineStr">
        <is>
          <t>Positivo</t>
        </is>
      </c>
      <c r="F351" s="109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95</v>
      </c>
      <c r="K351" s="5" t="n">
        <v>152.24</v>
      </c>
      <c r="L351" s="74" t="n">
        <v>1.3</v>
      </c>
      <c r="M351" s="14" t="n">
        <v>1.602526315789474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204-2025-12-31</t>
        </is>
      </c>
    </row>
    <row r="352" hidden="1">
      <c r="A352" s="26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09" t="n">
        <v>44925</v>
      </c>
      <c r="G352" s="5" t="n">
        <v>2022</v>
      </c>
      <c r="H352" s="5" t="inlineStr">
        <is>
          <t>Diciembre</t>
        </is>
      </c>
      <c r="I352" s="6" t="inlineStr">
        <is>
          <t>2022-2</t>
        </is>
      </c>
      <c r="J352" s="5" t="n">
        <v>2605</v>
      </c>
      <c r="K352" s="5" t="n">
        <v>2605</v>
      </c>
      <c r="L352" s="74" t="n">
        <v>1</v>
      </c>
      <c r="M352" s="14" t="n">
        <v>1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205-2022-12-30</t>
        </is>
      </c>
    </row>
    <row r="353" hidden="1">
      <c r="A353" s="5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09" t="n">
        <v>45107</v>
      </c>
      <c r="G353" s="5" t="n">
        <v>2023</v>
      </c>
      <c r="H353" s="5" t="inlineStr">
        <is>
          <t>Junio</t>
        </is>
      </c>
      <c r="I353" s="6" t="inlineStr">
        <is>
          <t>2023-1</t>
        </is>
      </c>
      <c r="J353" s="5" t="n">
        <v>95</v>
      </c>
      <c r="K353" s="5" t="n">
        <v>165.42728645151</v>
      </c>
      <c r="L353" s="14" t="n">
        <v>1.3</v>
      </c>
      <c r="M353" s="14" t="n">
        <v>1.741339857384316</v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205-2023-06-30</t>
        </is>
      </c>
    </row>
    <row r="354" hidden="1">
      <c r="A354" s="5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09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>
        <v>95</v>
      </c>
      <c r="K354" s="5" t="n">
        <v>426.51</v>
      </c>
      <c r="L354" s="14" t="n">
        <v>1.3</v>
      </c>
      <c r="M354" s="14" t="n">
        <v>4.489578947368421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205-2023-12-31</t>
        </is>
      </c>
    </row>
    <row r="355" hidden="1">
      <c r="A355" s="26" t="n">
        <v>205</v>
      </c>
      <c r="B355" s="5" t="inlineStr">
        <is>
          <t>Utilidad Neta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Positivo</t>
        </is>
      </c>
      <c r="F355" s="109" t="n">
        <v>45473</v>
      </c>
      <c r="G355" s="5" t="n">
        <v>2024</v>
      </c>
      <c r="H355" s="5" t="inlineStr">
        <is>
          <t>Junio</t>
        </is>
      </c>
      <c r="I355" s="6" t="inlineStr">
        <is>
          <t>2024-1</t>
        </is>
      </c>
      <c r="J355" s="5" t="n">
        <v>95</v>
      </c>
      <c r="K355" s="5" t="n">
        <v>215.07</v>
      </c>
      <c r="L355" s="74" t="n">
        <v>1.3</v>
      </c>
      <c r="M355" s="14" t="n">
        <v>2.263894736842105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205-2024-06-30</t>
        </is>
      </c>
    </row>
    <row r="356" hidden="1">
      <c r="A356" s="26" t="n">
        <v>205</v>
      </c>
      <c r="B356" s="5" t="inlineStr">
        <is>
          <t>Utilidad Neta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09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>
        <v>95</v>
      </c>
      <c r="K356" s="5" t="n">
        <v>184.72</v>
      </c>
      <c r="L356" s="74" t="n">
        <v>1.3</v>
      </c>
      <c r="M356" s="14" t="n">
        <v>1.944421052631579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205-2024-12-31</t>
        </is>
      </c>
    </row>
    <row r="357" hidden="1">
      <c r="A357" s="5" t="n">
        <v>205</v>
      </c>
      <c r="B357" s="5" t="inlineStr">
        <is>
          <t>Utilidad Neta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09" t="n">
        <v>45838</v>
      </c>
      <c r="G357" s="5" t="n">
        <v>2025</v>
      </c>
      <c r="H357" s="5" t="inlineStr">
        <is>
          <t>Junio</t>
        </is>
      </c>
      <c r="I357" s="6" t="inlineStr">
        <is>
          <t>2025-1</t>
        </is>
      </c>
      <c r="J357" s="5" t="n">
        <v>95</v>
      </c>
      <c r="K357" s="5" t="n">
        <v>186.31</v>
      </c>
      <c r="L357" s="14" t="n">
        <v>1.3</v>
      </c>
      <c r="M357" s="14" t="n">
        <v>1.961157894736842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205-2025-06-30</t>
        </is>
      </c>
    </row>
    <row r="358" hidden="1">
      <c r="A358" s="5" t="n">
        <v>205</v>
      </c>
      <c r="B358" s="5" t="inlineStr">
        <is>
          <t>Utilidad Neta</t>
        </is>
      </c>
      <c r="C358" s="5" t="inlineStr">
        <is>
          <t>Planeación Financiera</t>
        </is>
      </c>
      <c r="D358" s="5" t="inlineStr">
        <is>
          <t>Trimestral</t>
        </is>
      </c>
      <c r="E358" s="5" t="inlineStr">
        <is>
          <t>Positivo</t>
        </is>
      </c>
      <c r="F358" s="109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95</v>
      </c>
      <c r="K358" s="5" t="n">
        <v>123.05</v>
      </c>
      <c r="L358" s="14" t="n">
        <v>1.295263157894737</v>
      </c>
      <c r="M358" s="14" t="n">
        <v>1.295263157894737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205-2025-12-31</t>
        </is>
      </c>
    </row>
    <row r="359" hidden="1">
      <c r="A359" s="21" t="n">
        <v>206</v>
      </c>
      <c r="B359" s="5" t="inlineStr">
        <is>
          <t>Inversión en CAPEX de la utilidad anterior</t>
        </is>
      </c>
      <c r="C359" s="5" t="inlineStr">
        <is>
          <t>Planeación Financiera</t>
        </is>
      </c>
      <c r="D359" s="5" t="inlineStr">
        <is>
          <t>Semestral</t>
        </is>
      </c>
      <c r="E359" s="5" t="inlineStr">
        <is>
          <t>Positivo</t>
        </is>
      </c>
      <c r="F359" s="109" t="n">
        <v>45107</v>
      </c>
      <c r="G359" s="5" t="n">
        <v>2023</v>
      </c>
      <c r="H359" s="5" t="inlineStr">
        <is>
          <t>Junio</t>
        </is>
      </c>
      <c r="I359" s="6" t="inlineStr">
        <is>
          <t>2023-1</t>
        </is>
      </c>
      <c r="J359" s="5" t="n">
        <v>1</v>
      </c>
      <c r="K359" s="11" t="n">
        <v>1.2336951835584</v>
      </c>
      <c r="L359" s="74" t="n">
        <v>1.2336951835584</v>
      </c>
      <c r="M359" s="14" t="n">
        <v>1.2336951835584</v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206-2023-06-30</t>
        </is>
      </c>
    </row>
    <row r="360" hidden="1">
      <c r="A360" s="26" t="n">
        <v>206</v>
      </c>
      <c r="B360" s="5" t="inlineStr">
        <is>
          <t>Inversión en CAPEX de la utilidad anterior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Positivo</t>
        </is>
      </c>
      <c r="F360" s="109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</v>
      </c>
      <c r="K360" s="5" t="n">
        <v>4.606790289121734</v>
      </c>
      <c r="L360" s="74" t="n">
        <v>1.3</v>
      </c>
      <c r="M360" s="14" t="n">
        <v>4.606790289121734</v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206-2023-12-31</t>
        </is>
      </c>
    </row>
    <row r="361" hidden="1">
      <c r="A361" s="21" t="n">
        <v>206</v>
      </c>
      <c r="B361" s="5" t="inlineStr">
        <is>
          <t>Inversión en CAPEX de la utilidad anterior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Positivo</t>
        </is>
      </c>
      <c r="F361" s="109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</v>
      </c>
      <c r="K361" s="5" t="n">
        <v>1.37</v>
      </c>
      <c r="L361" s="14" t="n">
        <v>1.3</v>
      </c>
      <c r="M361" s="14" t="n">
        <v>1.37</v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206-2024-12-31</t>
        </is>
      </c>
    </row>
    <row r="362" hidden="1">
      <c r="A362" s="21" t="n">
        <v>206</v>
      </c>
      <c r="B362" s="5" t="inlineStr">
        <is>
          <t>Inversión en CAPEX de la utilidad anterior</t>
        </is>
      </c>
      <c r="C362" s="5" t="inlineStr">
        <is>
          <t>Planeación Financiera</t>
        </is>
      </c>
      <c r="D362" s="5" t="inlineStr">
        <is>
          <t>Anual</t>
        </is>
      </c>
      <c r="E362" s="5" t="inlineStr">
        <is>
          <t>Positivo</t>
        </is>
      </c>
      <c r="F362" s="109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</v>
      </c>
      <c r="K362" s="5" t="n">
        <v>2.14</v>
      </c>
      <c r="L362" s="14" t="n">
        <v>1.3</v>
      </c>
      <c r="M362" s="14" t="n">
        <v>2.14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2</v>
      </c>
      <c r="R362" s="5" t="inlineStr">
        <is>
          <t>206-2025-12-31</t>
        </is>
      </c>
    </row>
    <row r="363" hidden="1">
      <c r="A363" s="21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09" t="n">
        <v>45107</v>
      </c>
      <c r="G363" s="5" t="n">
        <v>2023</v>
      </c>
      <c r="H363" s="5" t="inlineStr">
        <is>
          <t>Junio</t>
        </is>
      </c>
      <c r="I363" s="6" t="inlineStr">
        <is>
          <t>2023-1</t>
        </is>
      </c>
      <c r="J363" s="5" t="n">
        <v>100</v>
      </c>
      <c r="K363" s="5" t="n">
        <v>101.19882903781</v>
      </c>
      <c r="L363" s="14" t="n">
        <v>0.9881537261922063</v>
      </c>
      <c r="M363" s="14" t="n">
        <v>0.9881537261922063</v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207-2023-06-30</t>
        </is>
      </c>
    </row>
    <row r="364" hidden="1">
      <c r="A364" s="21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Semestral</t>
        </is>
      </c>
      <c r="E364" s="5" t="inlineStr">
        <is>
          <t>Negativo</t>
        </is>
      </c>
      <c r="F364" s="109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103.6</v>
      </c>
      <c r="L364" s="14" t="n">
        <v>0.9652509652509653</v>
      </c>
      <c r="M364" s="14" t="n">
        <v>0.9652509652509653</v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207-2023-12-31</t>
        </is>
      </c>
    </row>
    <row r="365" hidden="1">
      <c r="A365" s="21" t="n">
        <v>207</v>
      </c>
      <c r="B365" s="5" t="inlineStr">
        <is>
          <t>Nivel de Cumplimiento Opex</t>
        </is>
      </c>
      <c r="C365" s="5" t="inlineStr">
        <is>
          <t>Planeación Financiera</t>
        </is>
      </c>
      <c r="D365" s="5" t="inlineStr">
        <is>
          <t>Semestral</t>
        </is>
      </c>
      <c r="E365" s="5" t="inlineStr">
        <is>
          <t>Negativo</t>
        </is>
      </c>
      <c r="F365" s="109" t="n">
        <v>45473</v>
      </c>
      <c r="G365" s="5" t="n">
        <v>2024</v>
      </c>
      <c r="H365" s="5" t="inlineStr">
        <is>
          <t>Junio</t>
        </is>
      </c>
      <c r="I365" s="6" t="inlineStr">
        <is>
          <t>2024-1</t>
        </is>
      </c>
      <c r="J365" s="5" t="n">
        <v>100</v>
      </c>
      <c r="K365" s="5" t="n">
        <v>101.79</v>
      </c>
      <c r="L365" s="14" t="n">
        <v>0.9824147755182238</v>
      </c>
      <c r="M365" s="14" t="n">
        <v>0.9824147755182238</v>
      </c>
      <c r="N365" s="5" t="inlineStr">
        <is>
          <t>$</t>
        </is>
      </c>
      <c r="O365" s="5" t="inlineStr">
        <is>
          <t>$</t>
        </is>
      </c>
      <c r="P365" s="5" t="n">
        <v>0</v>
      </c>
      <c r="Q365" s="5" t="n">
        <v>0</v>
      </c>
      <c r="R365" s="5" t="inlineStr">
        <is>
          <t>207-2024-06-30</t>
        </is>
      </c>
    </row>
    <row r="366" hidden="1">
      <c r="A366" s="5" t="n">
        <v>207</v>
      </c>
      <c r="B366" s="5" t="inlineStr">
        <is>
          <t>Nivel de Cumplimiento Opex</t>
        </is>
      </c>
      <c r="C366" s="5" t="inlineStr">
        <is>
          <t>Planeación Financiera</t>
        </is>
      </c>
      <c r="D366" s="5" t="inlineStr">
        <is>
          <t>Semestral</t>
        </is>
      </c>
      <c r="E366" s="5" t="inlineStr">
        <is>
          <t>Negativo</t>
        </is>
      </c>
      <c r="F366" s="109" t="n">
        <v>45657</v>
      </c>
      <c r="G366" s="15" t="n">
        <v>2024</v>
      </c>
      <c r="H366" s="6" t="inlineStr">
        <is>
          <t>Diciembre</t>
        </is>
      </c>
      <c r="I366" s="6" t="inlineStr">
        <is>
          <t>2024-2</t>
        </is>
      </c>
      <c r="J366" s="5" t="n">
        <v>100</v>
      </c>
      <c r="K366" s="7" t="n">
        <v>102.2</v>
      </c>
      <c r="L366" s="14" t="n">
        <v>0.9784735812133072</v>
      </c>
      <c r="M366" s="14" t="n">
        <v>0.9784735812133072</v>
      </c>
      <c r="N366" s="5" t="inlineStr">
        <is>
          <t>$</t>
        </is>
      </c>
      <c r="O366" s="5" t="inlineStr">
        <is>
          <t>$</t>
        </is>
      </c>
      <c r="P366" s="5" t="n">
        <v>0</v>
      </c>
      <c r="Q366" s="5" t="n">
        <v>0</v>
      </c>
      <c r="R366" s="5" t="inlineStr">
        <is>
          <t>207-2024-12-31</t>
        </is>
      </c>
    </row>
    <row r="367" hidden="1">
      <c r="A367" s="5" t="n">
        <v>207</v>
      </c>
      <c r="B367" s="5" t="inlineStr">
        <is>
          <t>Nivel de Cumplimiento Opex</t>
        </is>
      </c>
      <c r="C367" s="5" t="inlineStr">
        <is>
          <t>Planeación Financiera</t>
        </is>
      </c>
      <c r="D367" s="5" t="inlineStr">
        <is>
          <t>Semestral</t>
        </is>
      </c>
      <c r="E367" s="5" t="inlineStr">
        <is>
          <t>Negativo</t>
        </is>
      </c>
      <c r="F367" s="109" t="n">
        <v>45838</v>
      </c>
      <c r="G367" s="15" t="n">
        <v>2025</v>
      </c>
      <c r="H367" s="6" t="inlineStr">
        <is>
          <t>Junio</t>
        </is>
      </c>
      <c r="I367" s="6" t="inlineStr">
        <is>
          <t>2025-1</t>
        </is>
      </c>
      <c r="J367" s="5" t="n">
        <v>100</v>
      </c>
      <c r="K367" s="7" t="n">
        <v>110.9</v>
      </c>
      <c r="L367" s="14" t="n">
        <v>0.9017132551848511</v>
      </c>
      <c r="M367" s="14" t="n">
        <v>0.9017132551848511</v>
      </c>
      <c r="N367" s="5" t="inlineStr">
        <is>
          <t>$</t>
        </is>
      </c>
      <c r="O367" s="5" t="inlineStr">
        <is>
          <t>$</t>
        </is>
      </c>
      <c r="P367" s="5" t="n">
        <v>0</v>
      </c>
      <c r="Q367" s="5" t="n">
        <v>0</v>
      </c>
      <c r="R367" s="5" t="inlineStr">
        <is>
          <t>207-2025-06-30</t>
        </is>
      </c>
    </row>
    <row r="368" hidden="1">
      <c r="A368" s="26" t="n">
        <v>207</v>
      </c>
      <c r="B368" s="5" t="inlineStr">
        <is>
          <t>Nivel de Cumplimiento Opex</t>
        </is>
      </c>
      <c r="C368" s="5" t="inlineStr">
        <is>
          <t>Planeación Financiera</t>
        </is>
      </c>
      <c r="D368" s="5" t="inlineStr">
        <is>
          <t>Trimestral</t>
        </is>
      </c>
      <c r="E368" s="5" t="inlineStr">
        <is>
          <t>Negativo</t>
        </is>
      </c>
      <c r="F368" s="109" t="n">
        <v>46022</v>
      </c>
      <c r="G368" s="5" t="n">
        <v>2025</v>
      </c>
      <c r="H368" s="5" t="inlineStr">
        <is>
          <t>Diciembre</t>
        </is>
      </c>
      <c r="I368" s="6" t="inlineStr">
        <is>
          <t>2025-2</t>
        </is>
      </c>
      <c r="J368" s="5" t="n">
        <v>100</v>
      </c>
      <c r="K368" s="5" t="n">
        <v>110.62</v>
      </c>
      <c r="L368" s="14" t="n">
        <v>0.9039956608208281</v>
      </c>
      <c r="M368" s="14" t="n">
        <v>0.9039956608208281</v>
      </c>
      <c r="N368" s="5" t="inlineStr">
        <is>
          <t>$</t>
        </is>
      </c>
      <c r="O368" s="5" t="inlineStr">
        <is>
          <t>$</t>
        </is>
      </c>
      <c r="P368" s="5" t="n">
        <v>0</v>
      </c>
      <c r="Q368" s="5" t="n">
        <v>0</v>
      </c>
      <c r="R368" s="5" t="inlineStr">
        <is>
          <t>207-2025-12-31</t>
        </is>
      </c>
    </row>
    <row r="369" hidden="1">
      <c r="A369" s="26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09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1700</v>
      </c>
      <c r="K369" s="5" t="n">
        <v>0</v>
      </c>
      <c r="L369" s="14" t="n">
        <v>1</v>
      </c>
      <c r="M369" s="14" t="n">
        <v>1</v>
      </c>
      <c r="N369" s="5" t="inlineStr">
        <is>
          <t>m3</t>
        </is>
      </c>
      <c r="O369" s="5" t="inlineStr">
        <is>
          <t>m3</t>
        </is>
      </c>
      <c r="P369" s="5" t="n">
        <v>0</v>
      </c>
      <c r="Q369" s="5" t="n">
        <v>0</v>
      </c>
      <c r="R369" s="5" t="inlineStr">
        <is>
          <t>208-2022-06-30</t>
        </is>
      </c>
    </row>
    <row r="370" hidden="1">
      <c r="A370" s="26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09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1700</v>
      </c>
      <c r="K370" s="5" t="n">
        <v>0</v>
      </c>
      <c r="L370" s="14" t="n">
        <v>1</v>
      </c>
      <c r="M370" s="14" t="n">
        <v>1</v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208-2022-12-31</t>
        </is>
      </c>
    </row>
    <row r="371" hidden="1">
      <c r="A371" s="26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09" t="n">
        <v>45107</v>
      </c>
      <c r="G371" s="5" t="n">
        <v>2023</v>
      </c>
      <c r="H371" s="5" t="inlineStr">
        <is>
          <t>Junio</t>
        </is>
      </c>
      <c r="I371" s="6" t="inlineStr">
        <is>
          <t>2023-1</t>
        </is>
      </c>
      <c r="J371" s="5" t="n">
        <v>1700</v>
      </c>
      <c r="K371" s="5" t="n">
        <v>1093.216666666667</v>
      </c>
      <c r="L371" s="14" t="n">
        <v>1</v>
      </c>
      <c r="M371" s="14" t="n">
        <v>1.555043983351882</v>
      </c>
      <c r="N371" s="5" t="inlineStr">
        <is>
          <t>Linea base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208-2023-06-30</t>
        </is>
      </c>
    </row>
    <row r="372" hidden="1">
      <c r="A372" s="5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09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1700</v>
      </c>
      <c r="K372" s="5" t="n">
        <v>1363.4</v>
      </c>
      <c r="L372" s="14" t="n">
        <v>1</v>
      </c>
      <c r="M372" s="14" t="n">
        <v>1.246882793017456</v>
      </c>
      <c r="N372" s="5" t="inlineStr">
        <is>
          <t>Linea base</t>
        </is>
      </c>
      <c r="O372" s="5" t="inlineStr">
        <is>
          <t>ENT</t>
        </is>
      </c>
      <c r="P372" s="5" t="n">
        <v>0</v>
      </c>
      <c r="Q372" s="5" t="n">
        <v>0</v>
      </c>
      <c r="R372" s="5" t="inlineStr">
        <is>
          <t>208-2023-12-31</t>
        </is>
      </c>
    </row>
    <row r="373" hidden="1">
      <c r="A373" s="5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08" t="n">
        <v>45473</v>
      </c>
      <c r="G373" s="15" t="n">
        <v>2024</v>
      </c>
      <c r="H373" s="6" t="inlineStr">
        <is>
          <t>Junio</t>
        </is>
      </c>
      <c r="I373" s="27" t="inlineStr">
        <is>
          <t>2024-1</t>
        </is>
      </c>
      <c r="J373" s="5" t="n">
        <v>1700</v>
      </c>
      <c r="K373" s="5" t="n">
        <v>1407</v>
      </c>
      <c r="L373" s="14" t="n">
        <v>1</v>
      </c>
      <c r="M373" s="14" t="n">
        <v>1.208244491826581</v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208-2024-06-30</t>
        </is>
      </c>
    </row>
    <row r="374" hidden="1">
      <c r="A374" s="26" t="n">
        <v>208</v>
      </c>
      <c r="B374" s="5" t="inlineStr">
        <is>
          <t>Consumo de Agua m3 Mensual</t>
        </is>
      </c>
      <c r="C374" s="5" t="inlineStr">
        <is>
          <t>GESTIÓN AMBIENTAL</t>
        </is>
      </c>
      <c r="D374" s="5" t="inlineStr">
        <is>
          <t>Mensual</t>
        </is>
      </c>
      <c r="E374" s="5" t="inlineStr">
        <is>
          <t>Negativo</t>
        </is>
      </c>
      <c r="F374" s="109" t="n">
        <v>45657</v>
      </c>
      <c r="G374" s="5" t="n">
        <v>2024</v>
      </c>
      <c r="H374" s="5" t="inlineStr">
        <is>
          <t>Diciembre</t>
        </is>
      </c>
      <c r="I374" s="6" t="inlineStr">
        <is>
          <t>2024-2</t>
        </is>
      </c>
      <c r="J374" s="5" t="n">
        <v>1700</v>
      </c>
      <c r="K374" s="5" t="n">
        <v>1205.416666666667</v>
      </c>
      <c r="L374" s="14" t="n">
        <v>1</v>
      </c>
      <c r="M374" s="14" t="n">
        <v>1.410300725890079</v>
      </c>
      <c r="N374" s="5" t="inlineStr">
        <is>
          <t>m3</t>
        </is>
      </c>
      <c r="O374" s="5" t="inlineStr">
        <is>
          <t>m3</t>
        </is>
      </c>
      <c r="P374" s="5" t="n">
        <v>0</v>
      </c>
      <c r="Q374" s="5" t="n">
        <v>0</v>
      </c>
      <c r="R374" s="5" t="inlineStr">
        <is>
          <t>208-2024-12-31</t>
        </is>
      </c>
    </row>
    <row r="375" hidden="1">
      <c r="A375" s="5" t="n">
        <v>208</v>
      </c>
      <c r="B375" s="5" t="inlineStr">
        <is>
          <t>Consumo de Agua m3 Mensual</t>
        </is>
      </c>
      <c r="C375" s="5" t="inlineStr">
        <is>
          <t>GESTIÓN AMBIENTAL</t>
        </is>
      </c>
      <c r="D375" s="5" t="inlineStr">
        <is>
          <t>Mensual</t>
        </is>
      </c>
      <c r="E375" s="5" t="inlineStr">
        <is>
          <t>Negativo</t>
        </is>
      </c>
      <c r="F375" s="109" t="n">
        <v>45838</v>
      </c>
      <c r="G375" s="5" t="n">
        <v>2025</v>
      </c>
      <c r="H375" s="5" t="inlineStr">
        <is>
          <t>Junio</t>
        </is>
      </c>
      <c r="I375" s="6" t="inlineStr">
        <is>
          <t>2025-1</t>
        </is>
      </c>
      <c r="J375" s="5" t="n">
        <v>1700</v>
      </c>
      <c r="K375" s="5" t="n">
        <v>1225.416666666667</v>
      </c>
      <c r="L375" s="14" t="n">
        <v>1</v>
      </c>
      <c r="M375" s="14" t="n">
        <v>1.387283236994219</v>
      </c>
      <c r="N375" s="5" t="inlineStr">
        <is>
          <t>m3</t>
        </is>
      </c>
      <c r="O375" s="5" t="inlineStr">
        <is>
          <t>m3</t>
        </is>
      </c>
      <c r="P375" s="5" t="n">
        <v>0</v>
      </c>
      <c r="Q375" s="5" t="n">
        <v>0</v>
      </c>
      <c r="R375" s="5" t="inlineStr">
        <is>
          <t>208-2025-06-30</t>
        </is>
      </c>
    </row>
    <row r="376" hidden="1">
      <c r="A376" s="5" t="n">
        <v>208</v>
      </c>
      <c r="B376" s="5" t="inlineStr">
        <is>
          <t>Consumo de Agua m3 Mensual</t>
        </is>
      </c>
      <c r="C376" s="5" t="inlineStr">
        <is>
          <t>GESTIÓN AMBIENTAL</t>
        </is>
      </c>
      <c r="D376" s="5" t="inlineStr">
        <is>
          <t>Mensual</t>
        </is>
      </c>
      <c r="E376" s="5" t="inlineStr">
        <is>
          <t>Negativo</t>
        </is>
      </c>
      <c r="F376" s="109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1700</v>
      </c>
      <c r="K376" s="5" t="n">
        <v>1183.666666666667</v>
      </c>
      <c r="L376" s="14" t="n">
        <v>1</v>
      </c>
      <c r="M376" s="14" t="n">
        <v>1.436215150661785</v>
      </c>
      <c r="N376" s="5" t="inlineStr">
        <is>
          <t>m3</t>
        </is>
      </c>
      <c r="O376" s="5" t="inlineStr">
        <is>
          <t>m3</t>
        </is>
      </c>
      <c r="P376" s="5" t="n">
        <v>0</v>
      </c>
      <c r="Q376" s="5" t="n">
        <v>0</v>
      </c>
      <c r="R376" s="5" t="inlineStr">
        <is>
          <t>208-2025-12-31</t>
        </is>
      </c>
    </row>
    <row r="377" hidden="1">
      <c r="A377" s="26" t="n">
        <v>208</v>
      </c>
      <c r="B377" s="5" t="inlineStr">
        <is>
          <t>Consumo de Agua m3 Mensual</t>
        </is>
      </c>
      <c r="C377" s="5" t="inlineStr">
        <is>
          <t>GESTIÓN AMBIENTAL</t>
        </is>
      </c>
      <c r="D377" s="5" t="inlineStr">
        <is>
          <t>Mensual</t>
        </is>
      </c>
      <c r="E377" s="5" t="inlineStr">
        <is>
          <t>Negativo</t>
        </is>
      </c>
      <c r="F377" s="109" t="n">
        <v>46203</v>
      </c>
      <c r="G377" s="5" t="n">
        <v>2026</v>
      </c>
      <c r="H377" s="5" t="inlineStr">
        <is>
          <t>Junio</t>
        </is>
      </c>
      <c r="I377" s="6" t="inlineStr">
        <is>
          <t>2026-1</t>
        </is>
      </c>
      <c r="J377" s="5" t="n">
        <v>1</v>
      </c>
      <c r="K377" s="5" t="n">
        <v>1.3</v>
      </c>
      <c r="L377" s="74" t="n">
        <v>0.7692307692307692</v>
      </c>
      <c r="M377" s="14" t="n">
        <v>0.7692307692307692</v>
      </c>
      <c r="N377" s="5" t="inlineStr">
        <is>
          <t>m3</t>
        </is>
      </c>
      <c r="O377" s="5" t="inlineStr">
        <is>
          <t>m3</t>
        </is>
      </c>
      <c r="P377" s="5" t="n">
        <v>0</v>
      </c>
      <c r="Q377" s="5" t="n">
        <v>0</v>
      </c>
      <c r="R377" s="5" t="inlineStr">
        <is>
          <t>208-2026-06-30</t>
        </is>
      </c>
    </row>
    <row r="378" hidden="1">
      <c r="A378" s="5" t="n">
        <v>210</v>
      </c>
      <c r="B378" s="5" t="inlineStr">
        <is>
          <t>Aporte de los Procesos a los Objetivos de Desarrollo Sostenible</t>
        </is>
      </c>
      <c r="C378" s="5" t="inlineStr">
        <is>
          <t>GESTIÓN AMBIENTAL</t>
        </is>
      </c>
      <c r="D378" s="5" t="inlineStr">
        <is>
          <t>Anual</t>
        </is>
      </c>
      <c r="E378" s="5" t="inlineStr">
        <is>
          <t>Positivo</t>
        </is>
      </c>
      <c r="F378" s="109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0</v>
      </c>
      <c r="L378" s="14" t="n"/>
      <c r="M378" s="14" t="n"/>
      <c r="N378" s="5" t="n"/>
      <c r="O378" s="5" t="n"/>
      <c r="P378" s="5" t="n">
        <v>0</v>
      </c>
      <c r="Q378" s="5" t="n">
        <v>0</v>
      </c>
      <c r="R378" s="5" t="inlineStr">
        <is>
          <t>210-2023-12-31</t>
        </is>
      </c>
    </row>
    <row r="379" hidden="1">
      <c r="A379" s="5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Semestral</t>
        </is>
      </c>
      <c r="E379" s="5" t="inlineStr">
        <is>
          <t>Positivo</t>
        </is>
      </c>
      <c r="F379" s="109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90</v>
      </c>
      <c r="K379" s="5" t="n">
        <v>0</v>
      </c>
      <c r="L379" s="14" t="n">
        <v>0</v>
      </c>
      <c r="M379" s="14" t="n">
        <v>0</v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213-2022-06-30</t>
        </is>
      </c>
    </row>
    <row r="380" hidden="1">
      <c r="A380" s="26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Semestral</t>
        </is>
      </c>
      <c r="E380" s="5" t="inlineStr">
        <is>
          <t>Positivo</t>
        </is>
      </c>
      <c r="F380" s="109" t="n">
        <v>44926</v>
      </c>
      <c r="G380" s="5" t="n">
        <v>2022</v>
      </c>
      <c r="H380" s="5" t="inlineStr">
        <is>
          <t>Diciembre</t>
        </is>
      </c>
      <c r="I380" s="6" t="inlineStr">
        <is>
          <t>2022-2</t>
        </is>
      </c>
      <c r="J380" s="5" t="n">
        <v>90</v>
      </c>
      <c r="K380" s="5" t="n">
        <v>0</v>
      </c>
      <c r="L380" s="74" t="n">
        <v>0</v>
      </c>
      <c r="M380" s="14" t="n">
        <v>0</v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213-2022-12-31</t>
        </is>
      </c>
    </row>
    <row r="381" hidden="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08" t="n">
        <v>45016</v>
      </c>
      <c r="G381" s="15" t="n">
        <v>2023</v>
      </c>
      <c r="H381" s="6" t="inlineStr">
        <is>
          <t>Marzo</t>
        </is>
      </c>
      <c r="I381" s="27" t="inlineStr">
        <is>
          <t>2023-1</t>
        </is>
      </c>
      <c r="J381" s="5" t="n">
        <v>90</v>
      </c>
      <c r="K381" s="5" t="n">
        <v>100</v>
      </c>
      <c r="L381" s="14" t="n">
        <v>1.111111111111111</v>
      </c>
      <c r="M381" s="14" t="n">
        <v>1.111111111111111</v>
      </c>
      <c r="N381" s="5" t="n"/>
      <c r="O381" s="5" t="n"/>
      <c r="P381" s="5" t="n">
        <v>1</v>
      </c>
      <c r="Q381" s="5" t="n">
        <v>1</v>
      </c>
      <c r="R381" s="5" t="inlineStr">
        <is>
          <t>213-2023-03-31</t>
        </is>
      </c>
    </row>
    <row r="382" hidden="1">
      <c r="A382" s="26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09" t="n">
        <v>45107</v>
      </c>
      <c r="G382" s="5" t="n">
        <v>2023</v>
      </c>
      <c r="H382" s="5" t="inlineStr">
        <is>
          <t>Junio</t>
        </is>
      </c>
      <c r="I382" s="6" t="inlineStr">
        <is>
          <t>2023-1</t>
        </is>
      </c>
      <c r="J382" s="5" t="n">
        <v>90</v>
      </c>
      <c r="K382" s="5" t="n">
        <v>93.33</v>
      </c>
      <c r="L382" s="14" t="n">
        <v>1.037</v>
      </c>
      <c r="M382" s="14" t="n">
        <v>1.037</v>
      </c>
      <c r="N382" s="5" t="n"/>
      <c r="O382" s="5" t="n"/>
      <c r="P382" s="5" t="n">
        <v>1</v>
      </c>
      <c r="Q382" s="5" t="n">
        <v>1</v>
      </c>
      <c r="R382" s="5" t="inlineStr">
        <is>
          <t>213-2023-06-30</t>
        </is>
      </c>
    </row>
    <row r="383" hidden="1">
      <c r="A383" s="5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08" t="n">
        <v>45199</v>
      </c>
      <c r="G383" s="15" t="n">
        <v>2023</v>
      </c>
      <c r="H383" s="6" t="inlineStr">
        <is>
          <t>Septiembre</t>
        </is>
      </c>
      <c r="I383" s="27" t="inlineStr">
        <is>
          <t>2023-2</t>
        </is>
      </c>
      <c r="J383" s="5" t="n">
        <v>90</v>
      </c>
      <c r="K383" s="5" t="n">
        <v>86.40000000000001</v>
      </c>
      <c r="L383" s="14" t="n">
        <v>0.9600000000000001</v>
      </c>
      <c r="M383" s="14" t="n">
        <v>0.9600000000000001</v>
      </c>
      <c r="N383" s="5" t="n"/>
      <c r="O383" s="5" t="n"/>
      <c r="P383" s="5" t="n">
        <v>1</v>
      </c>
      <c r="Q383" s="5" t="n">
        <v>1</v>
      </c>
      <c r="R383" s="5" t="inlineStr">
        <is>
          <t>213-2023-09-30</t>
        </is>
      </c>
    </row>
    <row r="384" hidden="1">
      <c r="A384" s="26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Trimestral</t>
        </is>
      </c>
      <c r="E384" s="5" t="inlineStr">
        <is>
          <t>Positivo</t>
        </is>
      </c>
      <c r="F384" s="109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90</v>
      </c>
      <c r="K384" s="5" t="n">
        <v>100</v>
      </c>
      <c r="L384" s="14" t="n">
        <v>1.111111111111111</v>
      </c>
      <c r="M384" s="14" t="n">
        <v>1.111111111111111</v>
      </c>
      <c r="N384" s="5" t="n"/>
      <c r="O384" s="5" t="n"/>
      <c r="P384" s="5" t="n">
        <v>1</v>
      </c>
      <c r="Q384" s="5" t="n">
        <v>1</v>
      </c>
      <c r="R384" s="5" t="inlineStr">
        <is>
          <t>213-2023-12-31</t>
        </is>
      </c>
    </row>
    <row r="385" hidden="1">
      <c r="A385" s="26" t="n">
        <v>213</v>
      </c>
      <c r="B385" s="5" t="inlineStr">
        <is>
          <t>Cumplimiento del Plan Anual del Sistema de Gestión Ambiental</t>
        </is>
      </c>
      <c r="C385" s="5" t="inlineStr">
        <is>
          <t>GESTIÓN AMBIENTAL</t>
        </is>
      </c>
      <c r="D385" s="5" t="inlineStr">
        <is>
          <t>Trimestral</t>
        </is>
      </c>
      <c r="E385" s="5" t="inlineStr">
        <is>
          <t>Positivo</t>
        </is>
      </c>
      <c r="F385" s="109" t="n">
        <v>45473</v>
      </c>
      <c r="G385" s="5" t="n">
        <v>2024</v>
      </c>
      <c r="H385" s="5" t="inlineStr">
        <is>
          <t>Junio</t>
        </is>
      </c>
      <c r="I385" s="6" t="inlineStr">
        <is>
          <t>2024-1</t>
        </is>
      </c>
      <c r="J385" s="5" t="n">
        <v>90</v>
      </c>
      <c r="K385" s="5" t="n">
        <v>100</v>
      </c>
      <c r="L385" s="74" t="n">
        <v>1.111111111111111</v>
      </c>
      <c r="M385" s="14" t="n">
        <v>1.111111111111111</v>
      </c>
      <c r="N385" s="5" t="n"/>
      <c r="O385" s="5" t="n"/>
      <c r="P385" s="5" t="n">
        <v>0</v>
      </c>
      <c r="Q385" s="5" t="n">
        <v>0</v>
      </c>
      <c r="R385" s="5" t="inlineStr">
        <is>
          <t>213-2024-06-30</t>
        </is>
      </c>
    </row>
    <row r="386" hidden="1">
      <c r="A386" s="26" t="n">
        <v>213</v>
      </c>
      <c r="B386" s="5" t="inlineStr">
        <is>
          <t>Cumplimiento del Plan Anual del Sistema de Gestión Ambiental</t>
        </is>
      </c>
      <c r="C386" s="5" t="inlineStr">
        <is>
          <t>GESTIÓN AMBIENTAL</t>
        </is>
      </c>
      <c r="D386" s="5" t="inlineStr">
        <is>
          <t>Trimestral</t>
        </is>
      </c>
      <c r="E386" s="5" t="inlineStr">
        <is>
          <t>Positivo</t>
        </is>
      </c>
      <c r="F386" s="109" t="n">
        <v>45657</v>
      </c>
      <c r="G386" s="5" t="n">
        <v>2024</v>
      </c>
      <c r="H386" s="5" t="inlineStr">
        <is>
          <t>Diciembre</t>
        </is>
      </c>
      <c r="I386" s="6" t="inlineStr">
        <is>
          <t>2024-2</t>
        </is>
      </c>
      <c r="J386" s="5" t="n">
        <v>90</v>
      </c>
      <c r="K386" s="5" t="n">
        <v>100</v>
      </c>
      <c r="L386" s="74" t="n">
        <v>1.111111111111111</v>
      </c>
      <c r="M386" s="14" t="n">
        <v>1.111111111111111</v>
      </c>
      <c r="N386" s="5" t="n"/>
      <c r="O386" s="5" t="n"/>
      <c r="P386" s="5" t="n">
        <v>0</v>
      </c>
      <c r="Q386" s="5" t="n">
        <v>0</v>
      </c>
      <c r="R386" s="5" t="inlineStr">
        <is>
          <t>213-2024-12-31</t>
        </is>
      </c>
    </row>
    <row r="387" hidden="1">
      <c r="A387" s="5" t="n">
        <v>213</v>
      </c>
      <c r="B387" s="5" t="inlineStr">
        <is>
          <t>Cumplimiento del Plan Anual del Sistema de Gestión Ambiental</t>
        </is>
      </c>
      <c r="C387" s="5" t="inlineStr">
        <is>
          <t>GESTIÓN AMBIENTAL</t>
        </is>
      </c>
      <c r="D387" s="5" t="inlineStr">
        <is>
          <t>Semestral</t>
        </is>
      </c>
      <c r="E387" s="5" t="inlineStr">
        <is>
          <t>Positivo</t>
        </is>
      </c>
      <c r="F387" s="109" t="n">
        <v>45838</v>
      </c>
      <c r="G387" s="5" t="n">
        <v>2025</v>
      </c>
      <c r="H387" s="5" t="inlineStr">
        <is>
          <t>Junio</t>
        </is>
      </c>
      <c r="I387" s="6" t="inlineStr">
        <is>
          <t>2025-1</t>
        </is>
      </c>
      <c r="J387" s="5" t="n">
        <v>90</v>
      </c>
      <c r="K387" s="5" t="n">
        <v>94.63</v>
      </c>
      <c r="L387" s="14" t="n">
        <v>1.051444444444444</v>
      </c>
      <c r="M387" s="14" t="n">
        <v>1.051444444444444</v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213-2025-06-30</t>
        </is>
      </c>
    </row>
    <row r="388" hidden="1">
      <c r="A388" s="28" t="n">
        <v>213</v>
      </c>
      <c r="B388" s="5" t="inlineStr">
        <is>
          <t>Cumplimiento del Plan Anual del Sistema de Gestión Ambiental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09" t="n">
        <v>46022</v>
      </c>
      <c r="G388" s="5" t="n">
        <v>2025</v>
      </c>
      <c r="H388" s="5" t="inlineStr">
        <is>
          <t>Diciembre</t>
        </is>
      </c>
      <c r="I388" s="6" t="inlineStr">
        <is>
          <t>2025-2</t>
        </is>
      </c>
      <c r="J388" s="5" t="n">
        <v>90</v>
      </c>
      <c r="K388" s="5" t="n">
        <v>100</v>
      </c>
      <c r="L388" s="74" t="n">
        <v>1.111111111111111</v>
      </c>
      <c r="M388" s="14" t="n">
        <v>1.111111111111111</v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 t="inlineStr">
        <is>
          <t>213-2025-12-31</t>
        </is>
      </c>
    </row>
    <row r="389" hidden="1">
      <c r="A389" s="26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09" t="n">
        <v>44742</v>
      </c>
      <c r="G389" s="5" t="n">
        <v>2022</v>
      </c>
      <c r="H389" s="5" t="inlineStr">
        <is>
          <t>Junio</t>
        </is>
      </c>
      <c r="I389" s="6" t="inlineStr">
        <is>
          <t>2022-1</t>
        </is>
      </c>
      <c r="J389" s="5" t="n">
        <v>45000</v>
      </c>
      <c r="K389" s="5" t="n">
        <v>0</v>
      </c>
      <c r="L389" s="74" t="n">
        <v>1</v>
      </c>
      <c r="M389" s="14" t="n">
        <v>1</v>
      </c>
      <c r="N389" s="5" t="inlineStr">
        <is>
          <t>Kg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214-2022-06-30</t>
        </is>
      </c>
    </row>
    <row r="390" hidden="1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09" t="n">
        <v>44926</v>
      </c>
      <c r="G390" s="5" t="n">
        <v>2022</v>
      </c>
      <c r="H390" s="5" t="inlineStr">
        <is>
          <t>Diciembre</t>
        </is>
      </c>
      <c r="I390" s="6" t="inlineStr">
        <is>
          <t>2022-2</t>
        </is>
      </c>
      <c r="J390" s="5" t="n">
        <v>45000</v>
      </c>
      <c r="K390" s="5" t="n">
        <v>0</v>
      </c>
      <c r="L390" s="14" t="n">
        <v>1</v>
      </c>
      <c r="M390" s="14" t="n">
        <v>1</v>
      </c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214-2022-12-31</t>
        </is>
      </c>
    </row>
    <row r="391" hidden="1">
      <c r="A391" s="5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09" t="n">
        <v>45107</v>
      </c>
      <c r="G391" s="5" t="n">
        <v>2023</v>
      </c>
      <c r="H391" s="5" t="inlineStr">
        <is>
          <t>Junio</t>
        </is>
      </c>
      <c r="I391" s="6" t="inlineStr">
        <is>
          <t>2023-1</t>
        </is>
      </c>
      <c r="J391" s="5" t="n">
        <v>45000</v>
      </c>
      <c r="K391" s="5" t="n">
        <v>13653.25</v>
      </c>
      <c r="L391" s="14" t="n">
        <v>1.3</v>
      </c>
      <c r="M391" s="14" t="n">
        <v>3.295918554190394</v>
      </c>
      <c r="N391" s="5" t="inlineStr">
        <is>
          <t>Linea base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214-2023-06-30</t>
        </is>
      </c>
    </row>
    <row r="392" hidden="1">
      <c r="A392" s="5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09" t="n">
        <v>45291</v>
      </c>
      <c r="G392" s="15" t="n">
        <v>2023</v>
      </c>
      <c r="H392" s="6" t="inlineStr">
        <is>
          <t>Diciembre</t>
        </is>
      </c>
      <c r="I392" s="6" t="inlineStr">
        <is>
          <t>2023-2</t>
        </is>
      </c>
      <c r="J392" s="5" t="n">
        <v>45000</v>
      </c>
      <c r="K392" s="5" t="n">
        <v>31003.05</v>
      </c>
      <c r="L392" s="14" t="n">
        <v>1.3</v>
      </c>
      <c r="M392" s="14" t="n">
        <v>1.451470097296879</v>
      </c>
      <c r="N392" s="5" t="inlineStr">
        <is>
          <t>Linea base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214-2023-12-31</t>
        </is>
      </c>
    </row>
    <row r="393" hidden="1">
      <c r="A393" s="26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09" t="n">
        <v>45473</v>
      </c>
      <c r="G393" s="5" t="n">
        <v>2024</v>
      </c>
      <c r="H393" s="5" t="inlineStr">
        <is>
          <t>Junio</t>
        </is>
      </c>
      <c r="I393" s="6" t="inlineStr">
        <is>
          <t>2024-1</t>
        </is>
      </c>
      <c r="J393" s="5" t="n">
        <v>45000</v>
      </c>
      <c r="K393" s="5" t="n">
        <v>32812.91</v>
      </c>
      <c r="L393" s="14" t="n">
        <v>1.3</v>
      </c>
      <c r="M393" s="14" t="n">
        <v>1.37141143531616</v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214-2024-06-30</t>
        </is>
      </c>
    </row>
    <row r="394" hidden="1">
      <c r="A394" s="26" t="n">
        <v>214</v>
      </c>
      <c r="B394" s="5" t="inlineStr">
        <is>
          <t>Generación de Residuos Sólidos Mensual</t>
        </is>
      </c>
      <c r="C394" s="5" t="inlineStr">
        <is>
          <t>GESTIÓN AMBIENTAL</t>
        </is>
      </c>
      <c r="D394" s="5" t="inlineStr">
        <is>
          <t>Mensual</t>
        </is>
      </c>
      <c r="E394" s="5" t="inlineStr">
        <is>
          <t>Negativo</t>
        </is>
      </c>
      <c r="F394" s="109" t="n">
        <v>45657</v>
      </c>
      <c r="G394" s="5" t="n">
        <v>2024</v>
      </c>
      <c r="H394" s="5" t="inlineStr">
        <is>
          <t>Diciembre</t>
        </is>
      </c>
      <c r="I394" s="6" t="inlineStr">
        <is>
          <t>2024-2</t>
        </is>
      </c>
      <c r="J394" s="5" t="n">
        <v>45000</v>
      </c>
      <c r="K394" s="5" t="n">
        <v>0</v>
      </c>
      <c r="L394" s="14" t="n">
        <v>1</v>
      </c>
      <c r="M394" s="14" t="n">
        <v>1</v>
      </c>
      <c r="N394" s="5" t="inlineStr">
        <is>
          <t>Kg</t>
        </is>
      </c>
      <c r="O394" s="5" t="inlineStr">
        <is>
          <t>Kg</t>
        </is>
      </c>
      <c r="P394" s="5" t="n">
        <v>0</v>
      </c>
      <c r="Q394" s="5" t="n">
        <v>0</v>
      </c>
      <c r="R394" s="5" t="inlineStr">
        <is>
          <t>214-2024-12-31</t>
        </is>
      </c>
    </row>
    <row r="395" hidden="1">
      <c r="A395" s="26" t="n">
        <v>214</v>
      </c>
      <c r="B395" s="5" t="inlineStr">
        <is>
          <t>Generación de Residuos Sólidos Mensual</t>
        </is>
      </c>
      <c r="C395" s="5" t="inlineStr">
        <is>
          <t>GESTIÓN AMBIENTAL</t>
        </is>
      </c>
      <c r="D395" s="5" t="inlineStr">
        <is>
          <t>Mensual</t>
        </is>
      </c>
      <c r="E395" s="5" t="inlineStr">
        <is>
          <t>Negativo</t>
        </is>
      </c>
      <c r="F395" s="109" t="n">
        <v>45838</v>
      </c>
      <c r="G395" s="5" t="n">
        <v>2025</v>
      </c>
      <c r="H395" s="5" t="inlineStr">
        <is>
          <t>Junio</t>
        </is>
      </c>
      <c r="I395" s="6" t="inlineStr">
        <is>
          <t>2025-1</t>
        </is>
      </c>
      <c r="J395" s="5" t="n">
        <v>45000</v>
      </c>
      <c r="K395" s="5" t="n">
        <v>26991.16</v>
      </c>
      <c r="L395" s="14" t="n">
        <v>1.3</v>
      </c>
      <c r="M395" s="14" t="n">
        <v>1.667212524396877</v>
      </c>
      <c r="N395" s="5" t="inlineStr">
        <is>
          <t>Kg</t>
        </is>
      </c>
      <c r="O395" s="5" t="inlineStr">
        <is>
          <t>Kg</t>
        </is>
      </c>
      <c r="P395" s="5" t="n">
        <v>0</v>
      </c>
      <c r="Q395" s="5" t="n">
        <v>0</v>
      </c>
      <c r="R395" s="5" t="inlineStr">
        <is>
          <t>214-2025-06-30</t>
        </is>
      </c>
    </row>
    <row r="396" hidden="1">
      <c r="A396" s="26" t="n">
        <v>214</v>
      </c>
      <c r="B396" s="5" t="inlineStr">
        <is>
          <t>Generación de Residuos Sólidos Mensual</t>
        </is>
      </c>
      <c r="C396" s="5" t="inlineStr">
        <is>
          <t>GESTIÓN AMBIENTAL</t>
        </is>
      </c>
      <c r="D396" s="5" t="inlineStr">
        <is>
          <t>Mensual</t>
        </is>
      </c>
      <c r="E396" s="5" t="inlineStr">
        <is>
          <t>Negativo</t>
        </is>
      </c>
      <c r="F396" s="109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45000</v>
      </c>
      <c r="K396" s="5" t="n">
        <v>24331.41</v>
      </c>
      <c r="L396" s="14" t="n">
        <v>1.3</v>
      </c>
      <c r="M396" s="14" t="n">
        <v>1.849461251937311</v>
      </c>
      <c r="N396" s="5" t="inlineStr">
        <is>
          <t>Kg</t>
        </is>
      </c>
      <c r="O396" s="5" t="inlineStr">
        <is>
          <t>Kg</t>
        </is>
      </c>
      <c r="P396" s="5" t="n">
        <v>0</v>
      </c>
      <c r="Q396" s="5" t="n">
        <v>0</v>
      </c>
      <c r="R396" s="5" t="inlineStr">
        <is>
          <t>214-2025-12-31</t>
        </is>
      </c>
    </row>
    <row r="397" hidden="1">
      <c r="A397" s="26" t="n">
        <v>214</v>
      </c>
      <c r="B397" s="5" t="inlineStr">
        <is>
          <t>Generación de Residuos Sólidos Mensual</t>
        </is>
      </c>
      <c r="C397" s="5" t="inlineStr">
        <is>
          <t>GESTIÓN AMBIENTAL</t>
        </is>
      </c>
      <c r="D397" s="5" t="inlineStr">
        <is>
          <t>Mensual</t>
        </is>
      </c>
      <c r="E397" s="5" t="inlineStr">
        <is>
          <t>Negativo</t>
        </is>
      </c>
      <c r="F397" s="109" t="n">
        <v>46203</v>
      </c>
      <c r="G397" s="5" t="n">
        <v>2026</v>
      </c>
      <c r="H397" s="5" t="inlineStr">
        <is>
          <t>Junio</t>
        </is>
      </c>
      <c r="I397" s="6" t="inlineStr">
        <is>
          <t>2026-1</t>
        </is>
      </c>
      <c r="J397" s="5" t="n">
        <v>1</v>
      </c>
      <c r="K397" s="5" t="n">
        <v>1.3</v>
      </c>
      <c r="L397" s="74" t="n">
        <v>0.7692307692307692</v>
      </c>
      <c r="M397" s="14" t="n">
        <v>0.7692307692307692</v>
      </c>
      <c r="N397" s="5" t="inlineStr">
        <is>
          <t>Kg</t>
        </is>
      </c>
      <c r="O397" s="5" t="inlineStr">
        <is>
          <t>Kg</t>
        </is>
      </c>
      <c r="P397" s="5" t="n">
        <v>0</v>
      </c>
      <c r="Q397" s="5" t="n">
        <v>0</v>
      </c>
      <c r="R397" s="5" t="inlineStr">
        <is>
          <t>214-2026-06-30</t>
        </is>
      </c>
    </row>
    <row r="398" hidden="1">
      <c r="A398" s="26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Trimestral</t>
        </is>
      </c>
      <c r="E398" s="5" t="inlineStr">
        <is>
          <t>Positivo</t>
        </is>
      </c>
      <c r="F398" s="109" t="n">
        <v>44926</v>
      </c>
      <c r="G398" s="5" t="n">
        <v>2022</v>
      </c>
      <c r="H398" s="5" t="inlineStr">
        <is>
          <t>Diciembre</t>
        </is>
      </c>
      <c r="I398" s="6" t="inlineStr">
        <is>
          <t>2022-2</t>
        </is>
      </c>
      <c r="J398" s="5" t="n">
        <v>1</v>
      </c>
      <c r="K398" s="5" t="n">
        <v>-23.628691983122</v>
      </c>
      <c r="L398" s="74" t="n">
        <v>0</v>
      </c>
      <c r="M398" s="14" t="n">
        <v>0</v>
      </c>
      <c r="N398" s="5" t="inlineStr">
        <is>
          <t>%</t>
        </is>
      </c>
      <c r="O398" s="5" t="inlineStr">
        <is>
          <t>%</t>
        </is>
      </c>
      <c r="P398" s="5" t="n">
        <v>2</v>
      </c>
      <c r="Q398" s="5" t="n">
        <v>2</v>
      </c>
      <c r="R398" s="5" t="inlineStr">
        <is>
          <t>215-2022-12-31</t>
        </is>
      </c>
    </row>
    <row r="399" hidden="1">
      <c r="A399" s="5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Semestral</t>
        </is>
      </c>
      <c r="E399" s="5" t="inlineStr">
        <is>
          <t>Positivo</t>
        </is>
      </c>
      <c r="F399" s="109" t="n">
        <v>45107</v>
      </c>
      <c r="G399" s="5" t="n">
        <v>2023</v>
      </c>
      <c r="H399" s="5" t="inlineStr">
        <is>
          <t>Junio</t>
        </is>
      </c>
      <c r="I399" s="6" t="inlineStr">
        <is>
          <t>2023-1</t>
        </is>
      </c>
      <c r="J399" s="5" t="n">
        <v>1</v>
      </c>
      <c r="K399" s="5" t="n">
        <v>-47.67</v>
      </c>
      <c r="L399" s="14" t="n">
        <v>0</v>
      </c>
      <c r="M399" s="14" t="n">
        <v>0</v>
      </c>
      <c r="N399" s="5" t="n"/>
      <c r="O399" s="5" t="n"/>
      <c r="P399" s="5" t="n">
        <v>2</v>
      </c>
      <c r="Q399" s="5" t="n">
        <v>2</v>
      </c>
      <c r="R399" s="5" t="inlineStr">
        <is>
          <t>215-2023-06-30</t>
        </is>
      </c>
    </row>
    <row r="400" hidden="1">
      <c r="A400" s="5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Semestral</t>
        </is>
      </c>
      <c r="E400" s="5" t="inlineStr">
        <is>
          <t>Positivo</t>
        </is>
      </c>
      <c r="F400" s="109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1</v>
      </c>
      <c r="K400" s="5" t="n">
        <v>-124.72</v>
      </c>
      <c r="L400" s="14" t="n">
        <v>0</v>
      </c>
      <c r="M400" s="14" t="n">
        <v>0</v>
      </c>
      <c r="N400" s="5" t="n"/>
      <c r="O400" s="5" t="n"/>
      <c r="P400" s="5" t="n">
        <v>2</v>
      </c>
      <c r="Q400" s="5" t="n">
        <v>2</v>
      </c>
      <c r="R400" s="5" t="inlineStr">
        <is>
          <t>215-2023-12-31</t>
        </is>
      </c>
    </row>
    <row r="401" hidden="1">
      <c r="A401" s="26" t="n">
        <v>215</v>
      </c>
      <c r="B401" s="5" t="inlineStr">
        <is>
          <t>Disminución de la Generación de Residuos per Cápita</t>
        </is>
      </c>
      <c r="C401" s="5" t="inlineStr">
        <is>
          <t>GESTIÓN AMBIENTAL</t>
        </is>
      </c>
      <c r="D401" s="5" t="inlineStr">
        <is>
          <t>Semestral</t>
        </is>
      </c>
      <c r="E401" s="5" t="inlineStr">
        <is>
          <t>Positivo</t>
        </is>
      </c>
      <c r="F401" s="109" t="n">
        <v>45473</v>
      </c>
      <c r="G401" s="5" t="n">
        <v>2024</v>
      </c>
      <c r="H401" s="5" t="inlineStr">
        <is>
          <t>Junio</t>
        </is>
      </c>
      <c r="I401" s="6" t="inlineStr">
        <is>
          <t>2024-1</t>
        </is>
      </c>
      <c r="J401" s="5" t="n">
        <v>1</v>
      </c>
      <c r="K401" s="5" t="n">
        <v>8</v>
      </c>
      <c r="L401" s="74" t="n">
        <v>1.3</v>
      </c>
      <c r="M401" s="14" t="n">
        <v>8</v>
      </c>
      <c r="N401" s="5" t="n"/>
      <c r="O401" s="5" t="n"/>
      <c r="P401" s="5" t="n">
        <v>0</v>
      </c>
      <c r="Q401" s="5" t="n">
        <v>0</v>
      </c>
      <c r="R401" s="5" t="inlineStr">
        <is>
          <t>215-2024-06-30</t>
        </is>
      </c>
    </row>
    <row r="402" hidden="1">
      <c r="A402" s="5" t="n">
        <v>215</v>
      </c>
      <c r="B402" s="5" t="inlineStr">
        <is>
          <t>Disminución de la Generación de Residuos per Cápita</t>
        </is>
      </c>
      <c r="C402" s="5" t="inlineStr">
        <is>
          <t>GESTIÓN AMBIENTAL</t>
        </is>
      </c>
      <c r="D402" s="5" t="inlineStr">
        <is>
          <t>Semestral</t>
        </is>
      </c>
      <c r="E402" s="5" t="inlineStr">
        <is>
          <t>Positivo</t>
        </is>
      </c>
      <c r="F402" s="109" t="n">
        <v>45657</v>
      </c>
      <c r="G402" s="5" t="n">
        <v>2024</v>
      </c>
      <c r="H402" s="5" t="inlineStr">
        <is>
          <t>Diciembre</t>
        </is>
      </c>
      <c r="I402" s="6" t="inlineStr">
        <is>
          <t>2024-2</t>
        </is>
      </c>
      <c r="J402" s="5" t="n">
        <v>1</v>
      </c>
      <c r="K402" s="5" t="n">
        <v>-45.65</v>
      </c>
      <c r="L402" s="14" t="n">
        <v>0</v>
      </c>
      <c r="M402" s="14" t="n">
        <v>0</v>
      </c>
      <c r="N402" s="5" t="n"/>
      <c r="O402" s="5" t="n"/>
      <c r="P402" s="5" t="n">
        <v>0</v>
      </c>
      <c r="Q402" s="5" t="n">
        <v>0</v>
      </c>
      <c r="R402" s="5" t="inlineStr">
        <is>
          <t>215-2024-12-31</t>
        </is>
      </c>
    </row>
    <row r="403" hidden="1">
      <c r="A403" s="28" t="n">
        <v>215</v>
      </c>
      <c r="B403" s="5" t="inlineStr">
        <is>
          <t>Disminución de la Generación de Residuos per Cápita</t>
        </is>
      </c>
      <c r="C403" s="5" t="inlineStr">
        <is>
          <t>GESTIÓN AMBIENTAL</t>
        </is>
      </c>
      <c r="D403" s="5" t="inlineStr">
        <is>
          <t>Trimestral</t>
        </is>
      </c>
      <c r="E403" s="5" t="inlineStr">
        <is>
          <t>Positivo</t>
        </is>
      </c>
      <c r="F403" s="109" t="n">
        <v>45838</v>
      </c>
      <c r="G403" s="5" t="n">
        <v>2025</v>
      </c>
      <c r="H403" s="5" t="inlineStr">
        <is>
          <t>Junio</t>
        </is>
      </c>
      <c r="I403" s="6" t="inlineStr">
        <is>
          <t>2025-1</t>
        </is>
      </c>
      <c r="J403" s="5" t="n">
        <v>1</v>
      </c>
      <c r="K403" s="5" t="n">
        <v>-114.55</v>
      </c>
      <c r="L403" s="74" t="n">
        <v>0</v>
      </c>
      <c r="M403" s="14" t="n">
        <v>0</v>
      </c>
      <c r="N403" s="5" t="inlineStr">
        <is>
          <t>%</t>
        </is>
      </c>
      <c r="O403" s="5" t="inlineStr">
        <is>
          <t>%</t>
        </is>
      </c>
      <c r="P403" s="5" t="n">
        <v>2</v>
      </c>
      <c r="Q403" s="5" t="n">
        <v>2</v>
      </c>
      <c r="R403" s="5" t="inlineStr">
        <is>
          <t>215-2025-06-30</t>
        </is>
      </c>
    </row>
    <row r="404" hidden="1">
      <c r="A404" s="26" t="n">
        <v>215</v>
      </c>
      <c r="B404" s="5" t="inlineStr">
        <is>
          <t>Disminución de la Generación de Residuos per Cápita</t>
        </is>
      </c>
      <c r="C404" s="5" t="inlineStr">
        <is>
          <t>GESTIÓN AMBIENTAL</t>
        </is>
      </c>
      <c r="D404" s="5" t="inlineStr">
        <is>
          <t>Trimestral</t>
        </is>
      </c>
      <c r="E404" s="5" t="inlineStr">
        <is>
          <t>Positivo</t>
        </is>
      </c>
      <c r="F404" s="109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1</v>
      </c>
      <c r="K404" s="5" t="n">
        <v>-6.43</v>
      </c>
      <c r="L404" s="74" t="n">
        <v>0</v>
      </c>
      <c r="M404" s="14" t="n">
        <v>0</v>
      </c>
      <c r="N404" s="5" t="inlineStr">
        <is>
          <t>%</t>
        </is>
      </c>
      <c r="O404" s="5" t="inlineStr">
        <is>
          <t>%</t>
        </is>
      </c>
      <c r="P404" s="5" t="n">
        <v>2</v>
      </c>
      <c r="Q404" s="5" t="n">
        <v>2</v>
      </c>
      <c r="R404" s="5" t="inlineStr">
        <is>
          <t>215-2025-12-31</t>
        </is>
      </c>
    </row>
    <row r="405" hidden="1">
      <c r="A405" s="5" t="n">
        <v>216</v>
      </c>
      <c r="B405" s="5" t="inlineStr">
        <is>
          <t>Disposición Ambientalmente Adecuada de Residuos Peligrosos</t>
        </is>
      </c>
      <c r="C405" s="5" t="inlineStr">
        <is>
          <t>GESTIÓN AMBIENTAL</t>
        </is>
      </c>
      <c r="D405" s="5" t="inlineStr">
        <is>
          <t>Anual</t>
        </is>
      </c>
      <c r="E405" s="5" t="inlineStr">
        <is>
          <t>Positivo</t>
        </is>
      </c>
      <c r="F405" s="109" t="n">
        <v>44926</v>
      </c>
      <c r="G405" s="5" t="n">
        <v>2022</v>
      </c>
      <c r="H405" s="5" t="inlineStr">
        <is>
          <t>Diciembre</t>
        </is>
      </c>
      <c r="I405" s="6" t="inlineStr">
        <is>
          <t>2022-2</t>
        </is>
      </c>
      <c r="J405" s="5" t="n">
        <v>100</v>
      </c>
      <c r="K405" s="5" t="n">
        <v>0</v>
      </c>
      <c r="L405" s="14" t="n">
        <v>0</v>
      </c>
      <c r="M405" s="14" t="n">
        <v>0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216-2022-12-31</t>
        </is>
      </c>
    </row>
    <row r="406" hidden="1">
      <c r="A406" s="5" t="n">
        <v>216</v>
      </c>
      <c r="B406" s="5" t="inlineStr">
        <is>
          <t>Disposición Ambientalmente Adecuada de Residuos Peligrosos</t>
        </is>
      </c>
      <c r="C406" s="5" t="inlineStr">
        <is>
          <t>GESTIÓN AMBIENTAL</t>
        </is>
      </c>
      <c r="D406" s="5" t="inlineStr">
        <is>
          <t>Anual</t>
        </is>
      </c>
      <c r="E406" s="5" t="inlineStr">
        <is>
          <t>Positivo</t>
        </is>
      </c>
      <c r="F406" s="109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100</v>
      </c>
      <c r="K406" s="10" t="n">
        <v>100</v>
      </c>
      <c r="L406" s="14" t="n">
        <v>1</v>
      </c>
      <c r="M406" s="14" t="n">
        <v>1</v>
      </c>
      <c r="N406" s="5" t="n"/>
      <c r="O406" s="5" t="n"/>
      <c r="P406" s="5" t="n">
        <v>0</v>
      </c>
      <c r="Q406" s="5" t="n">
        <v>0</v>
      </c>
      <c r="R406" s="5" t="inlineStr">
        <is>
          <t>216-2023-12-31</t>
        </is>
      </c>
    </row>
    <row r="407" hidden="1">
      <c r="A407" s="28" t="n">
        <v>216</v>
      </c>
      <c r="B407" s="5" t="inlineStr">
        <is>
          <t>Disposición Ambientalmente Adecuada de Residuos Peligrosos</t>
        </is>
      </c>
      <c r="C407" s="5" t="inlineStr">
        <is>
          <t>GESTIÓN AMBIENTAL</t>
        </is>
      </c>
      <c r="D407" s="5" t="inlineStr">
        <is>
          <t>Anual</t>
        </is>
      </c>
      <c r="E407" s="5" t="inlineStr">
        <is>
          <t>Positivo</t>
        </is>
      </c>
      <c r="F407" s="109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100</v>
      </c>
      <c r="K407" s="5" t="n">
        <v>100</v>
      </c>
      <c r="L407" s="74" t="n">
        <v>1</v>
      </c>
      <c r="M407" s="14" t="n">
        <v>1</v>
      </c>
      <c r="N407" s="5" t="n"/>
      <c r="O407" s="5" t="n"/>
      <c r="P407" s="5" t="n">
        <v>0</v>
      </c>
      <c r="Q407" s="5" t="n">
        <v>0</v>
      </c>
      <c r="R407" s="5" t="inlineStr">
        <is>
          <t>216-2024-12-31</t>
        </is>
      </c>
    </row>
    <row r="408" hidden="1">
      <c r="A408" s="26" t="n">
        <v>216</v>
      </c>
      <c r="B408" s="5" t="inlineStr">
        <is>
          <t>Disposición Ambientalmente Adecuada de Residuos Peligrosos</t>
        </is>
      </c>
      <c r="C408" s="5" t="inlineStr">
        <is>
          <t>GESTIÓN AMBIENTAL</t>
        </is>
      </c>
      <c r="D408" s="5" t="inlineStr">
        <is>
          <t>Anual</t>
        </is>
      </c>
      <c r="E408" s="5" t="inlineStr">
        <is>
          <t>Positivo</t>
        </is>
      </c>
      <c r="F408" s="109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100</v>
      </c>
      <c r="K408" s="5" t="n">
        <v>100</v>
      </c>
      <c r="L408" s="74" t="n">
        <v>1</v>
      </c>
      <c r="M408" s="14" t="n">
        <v>1</v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216-2025-12-31</t>
        </is>
      </c>
    </row>
    <row r="409" hidden="1">
      <c r="A409" s="26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09" t="n">
        <v>44957</v>
      </c>
      <c r="G409" s="5" t="n">
        <v>2023</v>
      </c>
      <c r="H409" s="5" t="inlineStr">
        <is>
          <t>Enero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74" t="n">
        <v>1.3</v>
      </c>
      <c r="M409" s="14" t="n">
        <v>2.685376559644967</v>
      </c>
      <c r="N409" s="5" t="n"/>
      <c r="O409" s="5" t="n"/>
      <c r="P409" s="5" t="n">
        <v>0</v>
      </c>
      <c r="Q409" s="5" t="n">
        <v>0</v>
      </c>
      <c r="R409" s="5" t="inlineStr">
        <is>
          <t>217-2023-01-31</t>
        </is>
      </c>
    </row>
    <row r="410" hidden="1">
      <c r="A410" s="28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9" t="n">
        <v>44985</v>
      </c>
      <c r="G410" s="5" t="n">
        <v>2023</v>
      </c>
      <c r="H410" s="5" t="inlineStr">
        <is>
          <t>Febrero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74" t="n">
        <v>1.3</v>
      </c>
      <c r="M410" s="14" t="n">
        <v>2.685376559644967</v>
      </c>
      <c r="N410" s="5" t="n"/>
      <c r="O410" s="5" t="n"/>
      <c r="P410" s="5" t="n">
        <v>0</v>
      </c>
      <c r="Q410" s="5" t="n">
        <v>0</v>
      </c>
      <c r="R410" s="5" t="inlineStr">
        <is>
          <t>217-2023-02-28</t>
        </is>
      </c>
    </row>
    <row r="411" hidden="1">
      <c r="A411" s="26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9" t="n">
        <v>45016</v>
      </c>
      <c r="G411" s="5" t="n">
        <v>2023</v>
      </c>
      <c r="H411" s="5" t="inlineStr">
        <is>
          <t>Marzo</t>
        </is>
      </c>
      <c r="I411" s="6" t="inlineStr">
        <is>
          <t>2023-1</t>
        </is>
      </c>
      <c r="J411" s="5" t="n">
        <v>120</v>
      </c>
      <c r="K411" s="5" t="n">
        <v>322.245187157396</v>
      </c>
      <c r="L411" s="74" t="n">
        <v>1.3</v>
      </c>
      <c r="M411" s="14" t="n">
        <v>2.685376559644967</v>
      </c>
      <c r="N411" s="5" t="n"/>
      <c r="O411" s="5" t="n"/>
      <c r="P411" s="5" t="n">
        <v>0</v>
      </c>
      <c r="Q411" s="5" t="n">
        <v>0</v>
      </c>
      <c r="R411" s="5" t="inlineStr">
        <is>
          <t>217-2023-03-31</t>
        </is>
      </c>
    </row>
    <row r="412" hidden="1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9" t="n">
        <v>45046</v>
      </c>
      <c r="G412" s="5" t="n">
        <v>2023</v>
      </c>
      <c r="H412" s="5" t="inlineStr">
        <is>
          <t>Abril</t>
        </is>
      </c>
      <c r="I412" s="6" t="inlineStr">
        <is>
          <t>2023-1</t>
        </is>
      </c>
      <c r="J412" s="5" t="n">
        <v>120</v>
      </c>
      <c r="K412" s="5" t="n">
        <v>322.245187157396</v>
      </c>
      <c r="L412" s="14" t="n">
        <v>1.3</v>
      </c>
      <c r="M412" s="14" t="n">
        <v>2.685376559644967</v>
      </c>
      <c r="N412" s="5" t="n"/>
      <c r="O412" s="5" t="n"/>
      <c r="P412" s="5" t="n">
        <v>0</v>
      </c>
      <c r="Q412" s="5" t="n">
        <v>0</v>
      </c>
      <c r="R412" s="5" t="inlineStr">
        <is>
          <t>217-2023-04-30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9" t="n">
        <v>45077</v>
      </c>
      <c r="G413" s="5" t="n">
        <v>2023</v>
      </c>
      <c r="H413" s="5" t="inlineStr">
        <is>
          <t>Mayo</t>
        </is>
      </c>
      <c r="I413" s="6" t="inlineStr">
        <is>
          <t>2023-1</t>
        </is>
      </c>
      <c r="J413" s="5" t="n">
        <v>120</v>
      </c>
      <c r="K413" s="5" t="n">
        <v>322.245187157396</v>
      </c>
      <c r="L413" s="14" t="n">
        <v>1.3</v>
      </c>
      <c r="M413" s="14" t="n">
        <v>2.685376559644967</v>
      </c>
      <c r="N413" s="5" t="n"/>
      <c r="O413" s="5" t="n"/>
      <c r="P413" s="5" t="n">
        <v>0</v>
      </c>
      <c r="Q413" s="5" t="n">
        <v>0</v>
      </c>
      <c r="R413" s="5" t="inlineStr">
        <is>
          <t>217-2023-05-31</t>
        </is>
      </c>
    </row>
    <row r="414" hidden="1">
      <c r="A414" s="28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09" t="n">
        <v>45107</v>
      </c>
      <c r="G414" s="5" t="n">
        <v>2023</v>
      </c>
      <c r="H414" s="5" t="inlineStr">
        <is>
          <t>Junio</t>
        </is>
      </c>
      <c r="I414" s="6" t="inlineStr">
        <is>
          <t>2023-1</t>
        </is>
      </c>
      <c r="J414" s="5" t="n">
        <v>120</v>
      </c>
      <c r="K414" s="5" t="n">
        <v>322.245187157396</v>
      </c>
      <c r="L414" s="14" t="n">
        <v>1.3</v>
      </c>
      <c r="M414" s="14" t="n">
        <v>2.685376559644967</v>
      </c>
      <c r="N414" s="5" t="n"/>
      <c r="O414" s="5" t="n"/>
      <c r="P414" s="5" t="n">
        <v>0</v>
      </c>
      <c r="Q414" s="5" t="n">
        <v>0</v>
      </c>
      <c r="R414" s="5" t="inlineStr">
        <is>
          <t>217-2023-06-30</t>
        </is>
      </c>
    </row>
    <row r="415" hidden="1">
      <c r="A415" s="26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09" t="n">
        <v>45138</v>
      </c>
      <c r="G415" s="5" t="n">
        <v>2023</v>
      </c>
      <c r="H415" s="5" t="inlineStr">
        <is>
          <t>Julio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14" t="n">
        <v>1.089865129748911</v>
      </c>
      <c r="M415" s="14" t="n">
        <v>1.089865129748911</v>
      </c>
      <c r="N415" s="5" t="n"/>
      <c r="O415" s="5" t="n"/>
      <c r="P415" s="5" t="n">
        <v>0</v>
      </c>
      <c r="Q415" s="5" t="n">
        <v>0</v>
      </c>
      <c r="R415" s="5" t="inlineStr">
        <is>
          <t>217-2023-07-31</t>
        </is>
      </c>
    </row>
    <row r="416" hidden="1">
      <c r="A416" s="5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09" t="n">
        <v>45169</v>
      </c>
      <c r="G416" s="5" t="n">
        <v>2023</v>
      </c>
      <c r="H416" s="5" t="inlineStr">
        <is>
          <t>Agosto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14" t="n">
        <v>1.089865129748911</v>
      </c>
      <c r="M416" s="14" t="n">
        <v>1.089865129748911</v>
      </c>
      <c r="N416" s="5" t="n"/>
      <c r="O416" s="5" t="n"/>
      <c r="P416" s="5" t="n">
        <v>0</v>
      </c>
      <c r="Q416" s="5" t="n">
        <v>0</v>
      </c>
      <c r="R416" s="5" t="inlineStr">
        <is>
          <t>217-2023-08-31</t>
        </is>
      </c>
    </row>
    <row r="417" hidden="1">
      <c r="A417" s="5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09" t="n">
        <v>45199</v>
      </c>
      <c r="G417" s="5" t="n">
        <v>2023</v>
      </c>
      <c r="H417" s="5" t="inlineStr">
        <is>
          <t>Septiembre</t>
        </is>
      </c>
      <c r="I417" s="6" t="inlineStr">
        <is>
          <t>2023-2</t>
        </is>
      </c>
      <c r="J417" s="5" t="n">
        <v>120</v>
      </c>
      <c r="K417" s="5" t="n">
        <v>130.7838155698693</v>
      </c>
      <c r="L417" s="14" t="n">
        <v>1.089865129748911</v>
      </c>
      <c r="M417" s="14" t="n">
        <v>1.089865129748911</v>
      </c>
      <c r="N417" s="5" t="n"/>
      <c r="O417" s="5" t="n"/>
      <c r="P417" s="5" t="n">
        <v>0</v>
      </c>
      <c r="Q417" s="5" t="n">
        <v>0</v>
      </c>
      <c r="R417" s="5" t="inlineStr">
        <is>
          <t>217-2023-09-30</t>
        </is>
      </c>
    </row>
    <row r="418" hidden="1">
      <c r="A418" s="28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09" t="n">
        <v>45230</v>
      </c>
      <c r="G418" s="5" t="n">
        <v>2023</v>
      </c>
      <c r="H418" s="5" t="inlineStr">
        <is>
          <t>Octubre</t>
        </is>
      </c>
      <c r="I418" s="6" t="inlineStr">
        <is>
          <t>2023-2</t>
        </is>
      </c>
      <c r="J418" s="5" t="n">
        <v>120</v>
      </c>
      <c r="K418" s="5" t="n">
        <v>130.7838155698693</v>
      </c>
      <c r="L418" s="14" t="n">
        <v>1.089865129748911</v>
      </c>
      <c r="M418" s="14" t="n">
        <v>1.089865129748911</v>
      </c>
      <c r="N418" s="5" t="n"/>
      <c r="O418" s="5" t="n"/>
      <c r="P418" s="5" t="n">
        <v>0</v>
      </c>
      <c r="Q418" s="5" t="n">
        <v>0</v>
      </c>
      <c r="R418" s="5" t="inlineStr">
        <is>
          <t>217-2023-10-31</t>
        </is>
      </c>
    </row>
    <row r="419" hidden="1">
      <c r="A419" s="26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09" t="n">
        <v>45260</v>
      </c>
      <c r="G419" s="5" t="n">
        <v>2023</v>
      </c>
      <c r="H419" s="5" t="inlineStr">
        <is>
          <t>Noviembre</t>
        </is>
      </c>
      <c r="I419" s="6" t="inlineStr">
        <is>
          <t>2023-2</t>
        </is>
      </c>
      <c r="J419" s="5" t="n">
        <v>120</v>
      </c>
      <c r="K419" s="5" t="n">
        <v>130.7838155698693</v>
      </c>
      <c r="L419" s="14" t="n">
        <v>1.089865129748911</v>
      </c>
      <c r="M419" s="14" t="n">
        <v>1.089865129748911</v>
      </c>
      <c r="N419" s="5" t="n"/>
      <c r="O419" s="5" t="n"/>
      <c r="P419" s="5" t="n">
        <v>0</v>
      </c>
      <c r="Q419" s="5" t="n">
        <v>0</v>
      </c>
      <c r="R419" s="5" t="inlineStr">
        <is>
          <t>217-2023-11-30</t>
        </is>
      </c>
    </row>
    <row r="420" hidden="1">
      <c r="A420" s="5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09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>
        <v>120</v>
      </c>
      <c r="K420" s="5" t="n">
        <v>130.7838155698693</v>
      </c>
      <c r="L420" s="14" t="n">
        <v>1.089865129748911</v>
      </c>
      <c r="M420" s="14" t="n">
        <v>1.089865129748911</v>
      </c>
      <c r="N420" s="5" t="n"/>
      <c r="O420" s="5" t="n"/>
      <c r="P420" s="5" t="n">
        <v>0</v>
      </c>
      <c r="Q420" s="5" t="n">
        <v>0</v>
      </c>
      <c r="R420" s="5" t="inlineStr">
        <is>
          <t>217-2023-12-31</t>
        </is>
      </c>
    </row>
    <row r="421" hidden="1">
      <c r="A421" s="5" t="n">
        <v>217</v>
      </c>
      <c r="B421" s="5" t="inlineStr">
        <is>
          <t>Aprovechamiento de Residuos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Positivo</t>
        </is>
      </c>
      <c r="F421" s="109" t="n">
        <v>45473</v>
      </c>
      <c r="G421" s="5" t="n">
        <v>2024</v>
      </c>
      <c r="H421" s="5" t="inlineStr">
        <is>
          <t>Junio</t>
        </is>
      </c>
      <c r="I421" s="6" t="inlineStr">
        <is>
          <t>2024-1</t>
        </is>
      </c>
      <c r="J421" s="5" t="n">
        <v>120</v>
      </c>
      <c r="K421" s="5" t="n">
        <v>154.91</v>
      </c>
      <c r="L421" s="14" t="n">
        <v>1.290916666666667</v>
      </c>
      <c r="M421" s="14" t="n">
        <v>1.290916666666667</v>
      </c>
      <c r="N421" s="5" t="n"/>
      <c r="O421" s="5" t="n"/>
      <c r="P421" s="5" t="n">
        <v>0</v>
      </c>
      <c r="Q421" s="5" t="n">
        <v>0</v>
      </c>
      <c r="R421" s="5" t="inlineStr">
        <is>
          <t>217-2024-06-30</t>
        </is>
      </c>
    </row>
    <row r="422" hidden="1">
      <c r="A422" s="28" t="n">
        <v>217</v>
      </c>
      <c r="B422" s="5" t="inlineStr">
        <is>
          <t>Aprovechamiento de Residuos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Positivo</t>
        </is>
      </c>
      <c r="F422" s="109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120</v>
      </c>
      <c r="K422" s="5" t="n">
        <v>148.9927505108846</v>
      </c>
      <c r="L422" s="14" t="n">
        <v>1.241606254257372</v>
      </c>
      <c r="M422" s="14" t="n">
        <v>1.241606254257372</v>
      </c>
      <c r="N422" s="5" t="n"/>
      <c r="O422" s="5" t="n"/>
      <c r="P422" s="5" t="n">
        <v>0</v>
      </c>
      <c r="Q422" s="5" t="n">
        <v>0</v>
      </c>
      <c r="R422" s="5" t="inlineStr">
        <is>
          <t>217-2024-12-31</t>
        </is>
      </c>
    </row>
    <row r="423" hidden="1">
      <c r="A423" s="26" t="n">
        <v>217</v>
      </c>
      <c r="B423" s="5" t="inlineStr">
        <is>
          <t>Aprovechamiento de Residuos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Positivo</t>
        </is>
      </c>
      <c r="F423" s="109" t="n">
        <v>45838</v>
      </c>
      <c r="G423" s="5" t="n">
        <v>2025</v>
      </c>
      <c r="H423" s="5" t="inlineStr">
        <is>
          <t>Junio</t>
        </is>
      </c>
      <c r="I423" s="6" t="inlineStr">
        <is>
          <t>2025-1</t>
        </is>
      </c>
      <c r="J423" s="5" t="n">
        <v>120</v>
      </c>
      <c r="K423" s="5" t="n">
        <v>333.74</v>
      </c>
      <c r="L423" s="14" t="n">
        <v>1.3</v>
      </c>
      <c r="M423" s="14" t="n">
        <v>2.781166666666667</v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 t="inlineStr">
        <is>
          <t>217-2025-06-30</t>
        </is>
      </c>
    </row>
    <row r="424" hidden="1">
      <c r="A424" s="5" t="n">
        <v>217</v>
      </c>
      <c r="B424" s="5" t="inlineStr">
        <is>
          <t>Aprovechamiento de Residuos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Positivo</t>
        </is>
      </c>
      <c r="F424" s="109" t="n">
        <v>46022</v>
      </c>
      <c r="G424" s="5" t="n">
        <v>2025</v>
      </c>
      <c r="H424" s="5" t="inlineStr">
        <is>
          <t>Diciembre</t>
        </is>
      </c>
      <c r="I424" s="6" t="inlineStr">
        <is>
          <t>2025-2</t>
        </is>
      </c>
      <c r="J424" s="5" t="n">
        <v>120</v>
      </c>
      <c r="K424" s="5" t="n">
        <v>543.33</v>
      </c>
      <c r="L424" s="14" t="n">
        <v>1.3</v>
      </c>
      <c r="M424" s="14" t="n">
        <v>4.52775</v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 t="inlineStr">
        <is>
          <t>217-2025-12-31</t>
        </is>
      </c>
    </row>
    <row r="425" hidden="1">
      <c r="A425" s="26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09" t="n">
        <v>44742</v>
      </c>
      <c r="G425" s="5" t="n">
        <v>2022</v>
      </c>
      <c r="H425" s="5" t="inlineStr">
        <is>
          <t>Junio</t>
        </is>
      </c>
      <c r="I425" s="6" t="inlineStr">
        <is>
          <t>2022-1</t>
        </is>
      </c>
      <c r="J425" s="5" t="n">
        <v>1032000</v>
      </c>
      <c r="K425" s="5" t="n">
        <v>0</v>
      </c>
      <c r="L425" s="74" t="n">
        <v>1</v>
      </c>
      <c r="M425" s="14" t="n">
        <v>1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218-2022-06-30</t>
        </is>
      </c>
    </row>
    <row r="426" hidden="1">
      <c r="A426" s="26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09" t="n">
        <v>44926</v>
      </c>
      <c r="G426" s="5" t="n">
        <v>2022</v>
      </c>
      <c r="H426" s="5" t="inlineStr">
        <is>
          <t>Diciembre</t>
        </is>
      </c>
      <c r="I426" s="6" t="inlineStr">
        <is>
          <t>2022-2</t>
        </is>
      </c>
      <c r="J426" s="5" t="n">
        <v>1032000</v>
      </c>
      <c r="K426" s="5" t="n">
        <v>0</v>
      </c>
      <c r="L426" s="74" t="n">
        <v>1</v>
      </c>
      <c r="M426" s="14" t="n">
        <v>1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218-2022-12-31</t>
        </is>
      </c>
    </row>
    <row r="427" hidden="1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09" t="n">
        <v>44957</v>
      </c>
      <c r="G427" s="5" t="n">
        <v>2023</v>
      </c>
      <c r="H427" s="5" t="inlineStr">
        <is>
          <t>Enero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4" t="n">
        <v>1</v>
      </c>
      <c r="M427" s="14" t="n">
        <v>1.275575773211824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218-2023-01-31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9" t="n">
        <v>44985</v>
      </c>
      <c r="G428" s="5" t="n">
        <v>2023</v>
      </c>
      <c r="H428" s="5" t="inlineStr">
        <is>
          <t>Febrero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14" t="n">
        <v>1</v>
      </c>
      <c r="M428" s="14" t="n">
        <v>1.275575773211824</v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218-2023-02-28</t>
        </is>
      </c>
    </row>
    <row r="429" hidden="1">
      <c r="A429" s="28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9" t="n">
        <v>45016</v>
      </c>
      <c r="G429" s="5" t="n">
        <v>2023</v>
      </c>
      <c r="H429" s="5" t="inlineStr">
        <is>
          <t>Marzo</t>
        </is>
      </c>
      <c r="I429" s="6" t="inlineStr">
        <is>
          <t>2023-1</t>
        </is>
      </c>
      <c r="J429" s="5" t="n">
        <v>1032000</v>
      </c>
      <c r="K429" s="5" t="n">
        <v>809046.41</v>
      </c>
      <c r="L429" s="74" t="n">
        <v>1</v>
      </c>
      <c r="M429" s="14" t="n">
        <v>1.275575773211824</v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218-2023-03-31</t>
        </is>
      </c>
    </row>
    <row r="430" hidden="1">
      <c r="A430" s="26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9" t="n">
        <v>45046</v>
      </c>
      <c r="G430" s="5" t="n">
        <v>2023</v>
      </c>
      <c r="H430" s="5" t="inlineStr">
        <is>
          <t>Abril</t>
        </is>
      </c>
      <c r="I430" s="6" t="inlineStr">
        <is>
          <t>2023-1</t>
        </is>
      </c>
      <c r="J430" s="5" t="n">
        <v>1032000</v>
      </c>
      <c r="K430" s="5" t="n">
        <v>809046.41</v>
      </c>
      <c r="L430" s="74" t="n">
        <v>1</v>
      </c>
      <c r="M430" s="14" t="n">
        <v>1.275575773211824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218-2023-04-30</t>
        </is>
      </c>
    </row>
    <row r="431" hidden="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9" t="n">
        <v>45077</v>
      </c>
      <c r="G431" s="5" t="n">
        <v>2023</v>
      </c>
      <c r="H431" s="5" t="inlineStr">
        <is>
          <t>Mayo</t>
        </is>
      </c>
      <c r="I431" s="6" t="inlineStr">
        <is>
          <t>2023-1</t>
        </is>
      </c>
      <c r="J431" s="5" t="n">
        <v>1032000</v>
      </c>
      <c r="K431" s="5" t="n">
        <v>809046.41</v>
      </c>
      <c r="L431" s="14" t="n">
        <v>1</v>
      </c>
      <c r="M431" s="14" t="n">
        <v>1.275575773211824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218-2023-05-31</t>
        </is>
      </c>
    </row>
    <row r="432" hidden="1">
      <c r="A432" s="28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09" t="n">
        <v>45107</v>
      </c>
      <c r="G432" s="5" t="n">
        <v>2023</v>
      </c>
      <c r="H432" s="5" t="inlineStr">
        <is>
          <t>Junio</t>
        </is>
      </c>
      <c r="I432" s="6" t="inlineStr">
        <is>
          <t>2023-1</t>
        </is>
      </c>
      <c r="J432" s="5" t="n">
        <v>1032000</v>
      </c>
      <c r="K432" s="5" t="n">
        <v>809046.41</v>
      </c>
      <c r="L432" s="74" t="n">
        <v>1</v>
      </c>
      <c r="M432" s="14" t="n">
        <v>1.275575773211824</v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218-2023-06-30</t>
        </is>
      </c>
    </row>
    <row r="433" hidden="1">
      <c r="A433" s="26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09" t="n">
        <v>45138</v>
      </c>
      <c r="G433" s="5" t="n">
        <v>2023</v>
      </c>
      <c r="H433" s="5" t="inlineStr">
        <is>
          <t>Julio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74" t="n">
        <v>1</v>
      </c>
      <c r="M433" s="14" t="n">
        <v>1.297048127096439</v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218-2023-07-31</t>
        </is>
      </c>
    </row>
    <row r="434" hidden="1">
      <c r="A434" s="5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09" t="n">
        <v>45169</v>
      </c>
      <c r="G434" s="5" t="n">
        <v>2023</v>
      </c>
      <c r="H434" s="5" t="inlineStr">
        <is>
          <t>Agosto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14" t="n">
        <v>1</v>
      </c>
      <c r="M434" s="14" t="n">
        <v>1.297048127096439</v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218-2023-08-31</t>
        </is>
      </c>
    </row>
    <row r="435" hidden="1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09" t="n">
        <v>45199</v>
      </c>
      <c r="G435" s="5" t="n">
        <v>2023</v>
      </c>
      <c r="H435" s="5" t="inlineStr">
        <is>
          <t>Septiembre</t>
        </is>
      </c>
      <c r="I435" s="6" t="inlineStr">
        <is>
          <t>2023-2</t>
        </is>
      </c>
      <c r="J435" s="5" t="n">
        <v>1032000</v>
      </c>
      <c r="K435" s="5" t="n">
        <v>795652.8199999999</v>
      </c>
      <c r="L435" s="14" t="n">
        <v>1</v>
      </c>
      <c r="M435" s="14" t="n">
        <v>1.297048127096439</v>
      </c>
      <c r="N435" s="5" t="inlineStr">
        <is>
          <t>kWh</t>
        </is>
      </c>
      <c r="O435" s="5" t="inlineStr">
        <is>
          <t>kWh</t>
        </is>
      </c>
      <c r="P435" s="5" t="n">
        <v>0</v>
      </c>
      <c r="Q435" s="5" t="n">
        <v>0</v>
      </c>
      <c r="R435" s="5" t="inlineStr">
        <is>
          <t>218-2023-09-30</t>
        </is>
      </c>
    </row>
    <row r="436" hidden="1">
      <c r="A436" s="28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09" t="n">
        <v>45230</v>
      </c>
      <c r="G436" s="5" t="n">
        <v>2023</v>
      </c>
      <c r="H436" s="5" t="inlineStr">
        <is>
          <t>Octubre</t>
        </is>
      </c>
      <c r="I436" s="6" t="inlineStr">
        <is>
          <t>2023-2</t>
        </is>
      </c>
      <c r="J436" s="5" t="n">
        <v>1032000</v>
      </c>
      <c r="K436" s="5" t="n">
        <v>795652.8199999999</v>
      </c>
      <c r="L436" s="74" t="n">
        <v>1</v>
      </c>
      <c r="M436" s="14" t="n">
        <v>1.297048127096439</v>
      </c>
      <c r="N436" s="5" t="inlineStr">
        <is>
          <t>kWh</t>
        </is>
      </c>
      <c r="O436" s="5" t="inlineStr">
        <is>
          <t>kWh</t>
        </is>
      </c>
      <c r="P436" s="5" t="n">
        <v>0</v>
      </c>
      <c r="Q436" s="5" t="n">
        <v>0</v>
      </c>
      <c r="R436" s="5" t="inlineStr">
        <is>
          <t>218-2023-10-31</t>
        </is>
      </c>
    </row>
    <row r="437" hidden="1">
      <c r="A437" s="26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09" t="n">
        <v>45260</v>
      </c>
      <c r="G437" s="5" t="n">
        <v>2023</v>
      </c>
      <c r="H437" s="5" t="inlineStr">
        <is>
          <t>Noviembre</t>
        </is>
      </c>
      <c r="I437" s="6" t="inlineStr">
        <is>
          <t>2023-2</t>
        </is>
      </c>
      <c r="J437" s="5" t="n">
        <v>1032000</v>
      </c>
      <c r="K437" s="5" t="n">
        <v>795652.8199999999</v>
      </c>
      <c r="L437" s="74" t="n">
        <v>1</v>
      </c>
      <c r="M437" s="14" t="n">
        <v>1.297048127096439</v>
      </c>
      <c r="N437" s="5" t="inlineStr">
        <is>
          <t>kWh</t>
        </is>
      </c>
      <c r="O437" s="5" t="inlineStr">
        <is>
          <t>kWh</t>
        </is>
      </c>
      <c r="P437" s="5" t="n">
        <v>0</v>
      </c>
      <c r="Q437" s="5" t="n">
        <v>0</v>
      </c>
      <c r="R437" s="5" t="inlineStr">
        <is>
          <t>218-2023-11-30</t>
        </is>
      </c>
    </row>
    <row r="438" hidden="1">
      <c r="A438" s="5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09" t="n">
        <v>45291</v>
      </c>
      <c r="G438" s="5" t="n">
        <v>2023</v>
      </c>
      <c r="H438" s="5" t="inlineStr">
        <is>
          <t>Diciembre</t>
        </is>
      </c>
      <c r="I438" s="6" t="inlineStr">
        <is>
          <t>2023-2</t>
        </is>
      </c>
      <c r="J438" s="5" t="n">
        <v>1032000</v>
      </c>
      <c r="K438" s="5" t="n">
        <v>795652.8199999999</v>
      </c>
      <c r="L438" s="14" t="n">
        <v>1</v>
      </c>
      <c r="M438" s="14" t="n">
        <v>1.297048127096439</v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218-2023-12-31</t>
        </is>
      </c>
    </row>
    <row r="439" hidden="1">
      <c r="A439" s="5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09" t="n">
        <v>45473</v>
      </c>
      <c r="G439" s="5" t="n">
        <v>2024</v>
      </c>
      <c r="H439" s="5" t="inlineStr">
        <is>
          <t>Junio</t>
        </is>
      </c>
      <c r="I439" s="6" t="inlineStr">
        <is>
          <t>2024-1</t>
        </is>
      </c>
      <c r="J439" s="5" t="n">
        <v>1032000</v>
      </c>
      <c r="K439" s="5" t="n">
        <v>874910.97</v>
      </c>
      <c r="L439" s="14" t="n">
        <v>1</v>
      </c>
      <c r="M439" s="14" t="n">
        <v>1.179548588812414</v>
      </c>
      <c r="N439" s="5" t="n"/>
      <c r="O439" s="5" t="n"/>
      <c r="P439" s="5" t="n">
        <v>0</v>
      </c>
      <c r="Q439" s="5" t="n">
        <v>0</v>
      </c>
      <c r="R439" s="5" t="inlineStr">
        <is>
          <t>218-2024-06-30</t>
        </is>
      </c>
    </row>
    <row r="440" hidden="1">
      <c r="A440" s="26" t="n">
        <v>218</v>
      </c>
      <c r="B440" s="5" t="inlineStr">
        <is>
          <t>Consumo de Energía Eléctrica kWh Mensual</t>
        </is>
      </c>
      <c r="C440" s="5" t="inlineStr">
        <is>
          <t>GESTIÓN AMBIENTAL</t>
        </is>
      </c>
      <c r="D440" s="5" t="inlineStr">
        <is>
          <t>Mensual</t>
        </is>
      </c>
      <c r="E440" s="5" t="inlineStr">
        <is>
          <t>Negativo</t>
        </is>
      </c>
      <c r="F440" s="109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1032000</v>
      </c>
      <c r="K440" s="5" t="n">
        <v>849391.85</v>
      </c>
      <c r="L440" s="74" t="n">
        <v>1</v>
      </c>
      <c r="M440" s="14" t="n">
        <v>1.214986934475531</v>
      </c>
      <c r="N440" s="5" t="n"/>
      <c r="O440" s="5" t="n"/>
      <c r="P440" s="5" t="n">
        <v>0</v>
      </c>
      <c r="Q440" s="5" t="n">
        <v>0</v>
      </c>
      <c r="R440" s="5" t="inlineStr">
        <is>
          <t>218-2024-12-31</t>
        </is>
      </c>
    </row>
    <row r="441" hidden="1">
      <c r="A441" s="28" t="n">
        <v>218</v>
      </c>
      <c r="B441" s="5" t="inlineStr">
        <is>
          <t>Consumo de Energía Eléctrica kWh Mensual</t>
        </is>
      </c>
      <c r="C441" s="5" t="inlineStr">
        <is>
          <t>GESTIÓN AMBIENTAL</t>
        </is>
      </c>
      <c r="D441" s="5" t="inlineStr">
        <is>
          <t>Mensual</t>
        </is>
      </c>
      <c r="E441" s="5" t="inlineStr">
        <is>
          <t>Negativo</t>
        </is>
      </c>
      <c r="F441" s="109" t="n">
        <v>45838</v>
      </c>
      <c r="G441" s="5" t="n">
        <v>2025</v>
      </c>
      <c r="H441" s="5" t="inlineStr">
        <is>
          <t>Junio</t>
        </is>
      </c>
      <c r="I441" s="6" t="inlineStr">
        <is>
          <t>2025-1</t>
        </is>
      </c>
      <c r="J441" s="5" t="n">
        <v>1032000</v>
      </c>
      <c r="K441" s="5" t="n">
        <v>820561.26</v>
      </c>
      <c r="L441" s="74" t="n">
        <v>1</v>
      </c>
      <c r="M441" s="14" t="n">
        <v>1.257675752325914</v>
      </c>
      <c r="N441" s="5" t="inlineStr">
        <is>
          <t>kWh</t>
        </is>
      </c>
      <c r="O441" s="5" t="inlineStr">
        <is>
          <t>kWh</t>
        </is>
      </c>
      <c r="P441" s="5" t="n">
        <v>0</v>
      </c>
      <c r="Q441" s="5" t="n">
        <v>0</v>
      </c>
      <c r="R441" s="5" t="inlineStr">
        <is>
          <t>218-2025-06-30</t>
        </is>
      </c>
    </row>
    <row r="442" hidden="1">
      <c r="A442" s="26" t="n">
        <v>218</v>
      </c>
      <c r="B442" s="5" t="inlineStr">
        <is>
          <t>Consumo de Energía Eléctrica kWh Mensual</t>
        </is>
      </c>
      <c r="C442" s="5" t="inlineStr">
        <is>
          <t>GESTIÓN AMBIENTAL</t>
        </is>
      </c>
      <c r="D442" s="5" t="inlineStr">
        <is>
          <t>Mensual</t>
        </is>
      </c>
      <c r="E442" s="5" t="inlineStr">
        <is>
          <t>Negativo</t>
        </is>
      </c>
      <c r="F442" s="109" t="n">
        <v>46022</v>
      </c>
      <c r="G442" s="5" t="n">
        <v>2025</v>
      </c>
      <c r="H442" s="5" t="inlineStr">
        <is>
          <t>Diciembre</t>
        </is>
      </c>
      <c r="I442" s="6" t="inlineStr">
        <is>
          <t>2025-2</t>
        </is>
      </c>
      <c r="J442" s="5" t="n">
        <v>1032000</v>
      </c>
      <c r="K442" s="5" t="n">
        <v>841417.4</v>
      </c>
      <c r="L442" s="74" t="n">
        <v>1</v>
      </c>
      <c r="M442" s="14" t="n">
        <v>1.226501852707111</v>
      </c>
      <c r="N442" s="5" t="inlineStr">
        <is>
          <t>kWh</t>
        </is>
      </c>
      <c r="O442" s="5" t="inlineStr">
        <is>
          <t>kWh</t>
        </is>
      </c>
      <c r="P442" s="5" t="n">
        <v>0</v>
      </c>
      <c r="Q442" s="5" t="n">
        <v>0</v>
      </c>
      <c r="R442" s="5" t="inlineStr">
        <is>
          <t>218-2025-12-31</t>
        </is>
      </c>
    </row>
    <row r="443" hidden="1">
      <c r="A443" s="5" t="n">
        <v>218</v>
      </c>
      <c r="B443" s="5" t="inlineStr">
        <is>
          <t>Consumo de Energía Eléctrica kWh Mensual</t>
        </is>
      </c>
      <c r="C443" s="5" t="inlineStr">
        <is>
          <t>GESTIÓN AMBIENTAL</t>
        </is>
      </c>
      <c r="D443" s="5" t="inlineStr">
        <is>
          <t>Mensual</t>
        </is>
      </c>
      <c r="E443" s="5" t="inlineStr">
        <is>
          <t>Negativo</t>
        </is>
      </c>
      <c r="F443" s="109" t="n">
        <v>46203</v>
      </c>
      <c r="G443" s="5" t="n">
        <v>2026</v>
      </c>
      <c r="H443" s="5" t="inlineStr">
        <is>
          <t>Junio</t>
        </is>
      </c>
      <c r="I443" s="6" t="inlineStr">
        <is>
          <t>2026-1</t>
        </is>
      </c>
      <c r="J443" s="5" t="n">
        <v>1</v>
      </c>
      <c r="K443" s="5" t="n">
        <v>1.3</v>
      </c>
      <c r="L443" s="14" t="n">
        <v>0.7692307692307692</v>
      </c>
      <c r="M443" s="14" t="n">
        <v>0.7692307692307692</v>
      </c>
      <c r="N443" s="5" t="inlineStr">
        <is>
          <t>kWh</t>
        </is>
      </c>
      <c r="O443" s="5" t="inlineStr">
        <is>
          <t>kWh</t>
        </is>
      </c>
      <c r="P443" s="5" t="n">
        <v>0</v>
      </c>
      <c r="Q443" s="5" t="n">
        <v>0</v>
      </c>
      <c r="R443" s="5" t="inlineStr">
        <is>
          <t>218-2026-06-30</t>
        </is>
      </c>
    </row>
    <row r="444" hidden="1">
      <c r="A444" s="5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Trimestral</t>
        </is>
      </c>
      <c r="E444" s="5" t="inlineStr">
        <is>
          <t>Positivo</t>
        </is>
      </c>
      <c r="F444" s="109" t="n">
        <v>44742</v>
      </c>
      <c r="G444" s="5" t="n">
        <v>2022</v>
      </c>
      <c r="H444" s="5" t="inlineStr">
        <is>
          <t>Junio</t>
        </is>
      </c>
      <c r="I444" s="6" t="inlineStr">
        <is>
          <t>2022-1</t>
        </is>
      </c>
      <c r="J444" s="5" t="n">
        <v>1</v>
      </c>
      <c r="K444" s="5" t="n">
        <v>16.685183396325</v>
      </c>
      <c r="L444" s="14" t="n">
        <v>1.3</v>
      </c>
      <c r="M444" s="14" t="n">
        <v>16.685183396325</v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219-2022-06-30</t>
        </is>
      </c>
    </row>
    <row r="445" hidden="1">
      <c r="A445" s="28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109" t="n">
        <v>44926</v>
      </c>
      <c r="G445" s="5" t="n">
        <v>2022</v>
      </c>
      <c r="H445" s="5" t="inlineStr">
        <is>
          <t>Diciembre</t>
        </is>
      </c>
      <c r="I445" s="6" t="inlineStr">
        <is>
          <t>2022-2</t>
        </is>
      </c>
      <c r="J445" s="5" t="n">
        <v>1</v>
      </c>
      <c r="K445" s="5" t="n">
        <v>-68.789622683372</v>
      </c>
      <c r="L445" s="74" t="n">
        <v>0</v>
      </c>
      <c r="M445" s="14" t="n">
        <v>0</v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219-2022-12-31</t>
        </is>
      </c>
    </row>
    <row r="446" hidden="1">
      <c r="A446" s="26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Semestral</t>
        </is>
      </c>
      <c r="E446" s="5" t="inlineStr">
        <is>
          <t>Positivo</t>
        </is>
      </c>
      <c r="F446" s="109" t="n">
        <v>45107</v>
      </c>
      <c r="G446" s="5" t="n">
        <v>2023</v>
      </c>
      <c r="H446" s="5" t="inlineStr">
        <is>
          <t>Junio</t>
        </is>
      </c>
      <c r="I446" s="6" t="inlineStr">
        <is>
          <t>2023-1</t>
        </is>
      </c>
      <c r="J446" s="5" t="n">
        <v>1</v>
      </c>
      <c r="K446" s="5" t="n">
        <v>21.14703682627429</v>
      </c>
      <c r="L446" s="74" t="n">
        <v>1.3</v>
      </c>
      <c r="M446" s="14" t="n">
        <v>21.14703682627429</v>
      </c>
      <c r="N446" s="5" t="n"/>
      <c r="O446" s="5" t="n"/>
      <c r="P446" s="5" t="n">
        <v>0</v>
      </c>
      <c r="Q446" s="5" t="n">
        <v>0</v>
      </c>
      <c r="R446" s="5" t="inlineStr">
        <is>
          <t>219-2023-06-30</t>
        </is>
      </c>
    </row>
    <row r="447" hidden="1">
      <c r="A447" s="5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Semestral</t>
        </is>
      </c>
      <c r="E447" s="5" t="inlineStr">
        <is>
          <t>Positivo</t>
        </is>
      </c>
      <c r="F447" s="109" t="n">
        <v>45291</v>
      </c>
      <c r="G447" s="5" t="n">
        <v>2023</v>
      </c>
      <c r="H447" s="5" t="inlineStr">
        <is>
          <t>Diciembre</t>
        </is>
      </c>
      <c r="I447" s="6" t="inlineStr">
        <is>
          <t>2023-2</t>
        </is>
      </c>
      <c r="J447" s="5" t="n">
        <v>1</v>
      </c>
      <c r="K447" s="5" t="n">
        <v>-5.89</v>
      </c>
      <c r="L447" s="14" t="n">
        <v>0</v>
      </c>
      <c r="M447" s="14" t="n">
        <v>0</v>
      </c>
      <c r="N447" s="5" t="n"/>
      <c r="O447" s="5" t="n"/>
      <c r="P447" s="5" t="n">
        <v>0</v>
      </c>
      <c r="Q447" s="5" t="n">
        <v>0</v>
      </c>
      <c r="R447" s="5" t="inlineStr">
        <is>
          <t>219-2023-12-31</t>
        </is>
      </c>
    </row>
    <row r="448" hidden="1">
      <c r="A448" s="5" t="n">
        <v>219</v>
      </c>
      <c r="B448" s="5" t="inlineStr">
        <is>
          <t>Disminución del Consumo de Energía Eléctrica per Cápita</t>
        </is>
      </c>
      <c r="C448" s="5" t="inlineStr">
        <is>
          <t>GESTIÓN AMBIENTAL</t>
        </is>
      </c>
      <c r="D448" s="5" t="inlineStr">
        <is>
          <t>Semestral</t>
        </is>
      </c>
      <c r="E448" s="5" t="inlineStr">
        <is>
          <t>Positivo</t>
        </is>
      </c>
      <c r="F448" s="109" t="n">
        <v>45473</v>
      </c>
      <c r="G448" s="5" t="n">
        <v>2024</v>
      </c>
      <c r="H448" s="5" t="inlineStr">
        <is>
          <t>Junio</t>
        </is>
      </c>
      <c r="I448" s="6" t="inlineStr">
        <is>
          <t>2024-1</t>
        </is>
      </c>
      <c r="J448" s="5" t="n">
        <v>1</v>
      </c>
      <c r="K448" s="5" t="n">
        <v>11.94</v>
      </c>
      <c r="L448" s="14" t="n">
        <v>1.3</v>
      </c>
      <c r="M448" s="14" t="n">
        <v>11.94</v>
      </c>
      <c r="N448" s="5" t="n"/>
      <c r="O448" s="5" t="n"/>
      <c r="P448" s="5" t="n">
        <v>0</v>
      </c>
      <c r="Q448" s="5" t="n">
        <v>0</v>
      </c>
      <c r="R448" s="5" t="inlineStr">
        <is>
          <t>219-2024-06-30</t>
        </is>
      </c>
    </row>
    <row r="449" hidden="1">
      <c r="A449" s="28" t="n">
        <v>219</v>
      </c>
      <c r="B449" s="5" t="inlineStr">
        <is>
          <t>Disminución del Consumo de Energía Eléctrica per Cápita</t>
        </is>
      </c>
      <c r="C449" s="5" t="inlineStr">
        <is>
          <t>GESTIÓN AMBIENTAL</t>
        </is>
      </c>
      <c r="D449" s="5" t="inlineStr">
        <is>
          <t>Semestral</t>
        </is>
      </c>
      <c r="E449" s="5" t="inlineStr">
        <is>
          <t>Positivo</t>
        </is>
      </c>
      <c r="F449" s="109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1</v>
      </c>
      <c r="K449" s="5" t="n">
        <v>-12.53</v>
      </c>
      <c r="L449" s="74" t="n">
        <v>0</v>
      </c>
      <c r="M449" s="14" t="n">
        <v>0</v>
      </c>
      <c r="N449" s="5" t="n"/>
      <c r="O449" s="5" t="n"/>
      <c r="P449" s="5" t="n">
        <v>0</v>
      </c>
      <c r="Q449" s="5" t="n">
        <v>0</v>
      </c>
      <c r="R449" s="5" t="inlineStr">
        <is>
          <t>219-2024-12-31</t>
        </is>
      </c>
    </row>
    <row r="450" hidden="1">
      <c r="A450" s="26" t="n">
        <v>219</v>
      </c>
      <c r="B450" s="5" t="inlineStr">
        <is>
          <t>Disminución del Consumo de Energía Eléctrica per Cápita</t>
        </is>
      </c>
      <c r="C450" s="5" t="inlineStr">
        <is>
          <t>GESTIÓN AMBIENTAL</t>
        </is>
      </c>
      <c r="D450" s="5" t="inlineStr">
        <is>
          <t>Trimestral</t>
        </is>
      </c>
      <c r="E450" s="5" t="inlineStr">
        <is>
          <t>Positivo</t>
        </is>
      </c>
      <c r="F450" s="109" t="n">
        <v>45838</v>
      </c>
      <c r="G450" s="5" t="n">
        <v>2025</v>
      </c>
      <c r="H450" s="5" t="inlineStr">
        <is>
          <t>Junio</t>
        </is>
      </c>
      <c r="I450" s="6" t="inlineStr">
        <is>
          <t>2025-1</t>
        </is>
      </c>
      <c r="J450" s="5" t="n">
        <v>1</v>
      </c>
      <c r="K450" s="5" t="n">
        <v>18.43</v>
      </c>
      <c r="L450" s="74" t="n">
        <v>1.3</v>
      </c>
      <c r="M450" s="14" t="n">
        <v>18.43</v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219-2025-06-30</t>
        </is>
      </c>
    </row>
    <row r="451" hidden="1">
      <c r="A451" s="5" t="n">
        <v>219</v>
      </c>
      <c r="B451" s="5" t="inlineStr">
        <is>
          <t>Disminución del Consumo de Energía Eléctrica per Cápita</t>
        </is>
      </c>
      <c r="C451" s="5" t="inlineStr">
        <is>
          <t>GESTIÓN AMBIENTAL</t>
        </is>
      </c>
      <c r="D451" s="5" t="inlineStr">
        <is>
          <t>Trimestral</t>
        </is>
      </c>
      <c r="E451" s="5" t="inlineStr">
        <is>
          <t>Positivo</t>
        </is>
      </c>
      <c r="F451" s="109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1</v>
      </c>
      <c r="K451" s="5" t="n">
        <v>-18.28</v>
      </c>
      <c r="L451" s="14" t="n">
        <v>0</v>
      </c>
      <c r="M451" s="14" t="n">
        <v>0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219-2025-12-31</t>
        </is>
      </c>
    </row>
    <row r="452" hidden="1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Trimestral</t>
        </is>
      </c>
      <c r="E452" s="5" t="inlineStr">
        <is>
          <t>Positivo</t>
        </is>
      </c>
      <c r="F452" s="109" t="n">
        <v>44742</v>
      </c>
      <c r="G452" s="5" t="n">
        <v>2022</v>
      </c>
      <c r="H452" s="5" t="inlineStr">
        <is>
          <t>Junio</t>
        </is>
      </c>
      <c r="I452" s="6" t="inlineStr">
        <is>
          <t>2022-1</t>
        </is>
      </c>
      <c r="J452" s="5" t="n">
        <v>1</v>
      </c>
      <c r="K452" s="5" t="n">
        <v>-88.60356590106301</v>
      </c>
      <c r="L452" s="14" t="n">
        <v>0</v>
      </c>
      <c r="M452" s="14" t="n">
        <v>0</v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220-2022-06-30</t>
        </is>
      </c>
    </row>
    <row r="453" hidden="1">
      <c r="A453" s="28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Trimestral</t>
        </is>
      </c>
      <c r="E453" s="5" t="inlineStr">
        <is>
          <t>Positivo</t>
        </is>
      </c>
      <c r="F453" s="109" t="n">
        <v>44926</v>
      </c>
      <c r="G453" s="5" t="n">
        <v>2022</v>
      </c>
      <c r="H453" s="5" t="inlineStr">
        <is>
          <t>Diciembre</t>
        </is>
      </c>
      <c r="I453" s="6" t="inlineStr">
        <is>
          <t>2022-2</t>
        </is>
      </c>
      <c r="J453" s="5" t="n">
        <v>1</v>
      </c>
      <c r="K453" s="5" t="n">
        <v>-85.889409840455</v>
      </c>
      <c r="L453" s="74" t="n">
        <v>0</v>
      </c>
      <c r="M453" s="14" t="n">
        <v>0</v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220-2022-12-31</t>
        </is>
      </c>
    </row>
    <row r="454" hidden="1">
      <c r="A454" s="26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Semestral</t>
        </is>
      </c>
      <c r="E454" s="5" t="inlineStr">
        <is>
          <t>Positivo</t>
        </is>
      </c>
      <c r="F454" s="109" t="n">
        <v>45107</v>
      </c>
      <c r="G454" s="5" t="n">
        <v>2023</v>
      </c>
      <c r="H454" s="5" t="inlineStr">
        <is>
          <t>Junio</t>
        </is>
      </c>
      <c r="I454" s="6" t="inlineStr">
        <is>
          <t>2023-1</t>
        </is>
      </c>
      <c r="J454" s="5" t="n">
        <v>1</v>
      </c>
      <c r="K454" s="5" t="n">
        <v>40.67840779343521</v>
      </c>
      <c r="L454" s="74" t="n">
        <v>1.3</v>
      </c>
      <c r="M454" s="14" t="n">
        <v>40.67840779343521</v>
      </c>
      <c r="N454" s="5" t="n"/>
      <c r="O454" s="5" t="n"/>
      <c r="P454" s="5" t="n">
        <v>0</v>
      </c>
      <c r="Q454" s="5" t="n">
        <v>0</v>
      </c>
      <c r="R454" s="5" t="inlineStr">
        <is>
          <t>220-2023-06-30</t>
        </is>
      </c>
    </row>
    <row r="455" hidden="1">
      <c r="A455" s="5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Semestral</t>
        </is>
      </c>
      <c r="E455" s="5" t="inlineStr">
        <is>
          <t>Positivo</t>
        </is>
      </c>
      <c r="F455" s="109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>
        <v>1</v>
      </c>
      <c r="K455" s="5" t="n">
        <v>-38.58</v>
      </c>
      <c r="L455" s="14" t="n">
        <v>0</v>
      </c>
      <c r="M455" s="14" t="n">
        <v>0</v>
      </c>
      <c r="N455" s="5" t="n"/>
      <c r="O455" s="5" t="n"/>
      <c r="P455" s="5" t="n">
        <v>0</v>
      </c>
      <c r="Q455" s="5" t="n">
        <v>0</v>
      </c>
      <c r="R455" s="5" t="inlineStr">
        <is>
          <t>220-2023-12-31</t>
        </is>
      </c>
    </row>
    <row r="456" hidden="1">
      <c r="A456" s="5" t="n">
        <v>220</v>
      </c>
      <c r="B456" s="5" t="inlineStr">
        <is>
          <t>Disminución del Consumo de Agua per Cápita</t>
        </is>
      </c>
      <c r="C456" s="5" t="inlineStr">
        <is>
          <t>GESTIÓN AMBIENTAL</t>
        </is>
      </c>
      <c r="D456" s="5" t="inlineStr">
        <is>
          <t>Semestral</t>
        </is>
      </c>
      <c r="E456" s="5" t="inlineStr">
        <is>
          <t>Positivo</t>
        </is>
      </c>
      <c r="F456" s="109" t="n">
        <v>45473</v>
      </c>
      <c r="G456" s="5" t="n">
        <v>2024</v>
      </c>
      <c r="H456" s="5" t="inlineStr">
        <is>
          <t>Junio</t>
        </is>
      </c>
      <c r="I456" s="6" t="inlineStr">
        <is>
          <t>2024-1</t>
        </is>
      </c>
      <c r="J456" s="5" t="n">
        <v>1</v>
      </c>
      <c r="K456" s="5" t="n">
        <v>3.58</v>
      </c>
      <c r="L456" s="14" t="n">
        <v>1.3</v>
      </c>
      <c r="M456" s="14" t="n">
        <v>3.58</v>
      </c>
      <c r="N456" s="5" t="n"/>
      <c r="O456" s="5" t="n"/>
      <c r="P456" s="5" t="n">
        <v>0</v>
      </c>
      <c r="Q456" s="5" t="n">
        <v>0</v>
      </c>
      <c r="R456" s="5" t="inlineStr">
        <is>
          <t>220-2024-06-30</t>
        </is>
      </c>
    </row>
    <row r="457" hidden="1">
      <c r="A457" s="26" t="n">
        <v>220</v>
      </c>
      <c r="B457" s="5" t="inlineStr">
        <is>
          <t>Disminución del Consumo de Agua per Cápita</t>
        </is>
      </c>
      <c r="C457" s="5" t="inlineStr">
        <is>
          <t>GESTIÓN AMBIENTAL</t>
        </is>
      </c>
      <c r="D457" s="5" t="inlineStr">
        <is>
          <t>Semestral</t>
        </is>
      </c>
      <c r="E457" s="5" t="inlineStr">
        <is>
          <t>Positivo</t>
        </is>
      </c>
      <c r="F457" s="109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15" t="n">
        <v>13.05</v>
      </c>
      <c r="L457" s="14" t="n">
        <v>1.3</v>
      </c>
      <c r="M457" s="14" t="n">
        <v>13.05</v>
      </c>
      <c r="N457" s="5" t="n"/>
      <c r="O457" s="5" t="n"/>
      <c r="P457" s="5" t="n">
        <v>0</v>
      </c>
      <c r="Q457" s="5" t="n">
        <v>0</v>
      </c>
      <c r="R457" s="5" t="inlineStr">
        <is>
          <t>220-2024-12-31</t>
        </is>
      </c>
    </row>
    <row r="458" hidden="1">
      <c r="A458" s="5" t="n">
        <v>220</v>
      </c>
      <c r="B458" s="5" t="inlineStr">
        <is>
          <t>Disminución del Consumo de Agua per Cápita</t>
        </is>
      </c>
      <c r="C458" s="5" t="inlineStr">
        <is>
          <t>GESTIÓN AMBIENTAL</t>
        </is>
      </c>
      <c r="D458" s="5" t="inlineStr">
        <is>
          <t>Trimestral</t>
        </is>
      </c>
      <c r="E458" s="5" t="inlineStr">
        <is>
          <t>Positivo</t>
        </is>
      </c>
      <c r="F458" s="109" t="n">
        <v>45838</v>
      </c>
      <c r="G458" s="5" t="n">
        <v>2025</v>
      </c>
      <c r="H458" s="5" t="inlineStr">
        <is>
          <t>Junio</t>
        </is>
      </c>
      <c r="I458" s="6" t="inlineStr">
        <is>
          <t>2025-1</t>
        </is>
      </c>
      <c r="J458" s="5" t="n">
        <v>1</v>
      </c>
      <c r="K458" s="5" t="n">
        <v>33.98</v>
      </c>
      <c r="L458" s="14" t="n">
        <v>1.3</v>
      </c>
      <c r="M458" s="14" t="n">
        <v>33.98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220-2025-06-30</t>
        </is>
      </c>
    </row>
    <row r="459" hidden="1">
      <c r="A459" s="28" t="n">
        <v>220</v>
      </c>
      <c r="B459" s="5" t="inlineStr">
        <is>
          <t>Disminución del Consumo de Agua per Cápita</t>
        </is>
      </c>
      <c r="C459" s="5" t="inlineStr">
        <is>
          <t>GESTIÓN AMBIENTAL</t>
        </is>
      </c>
      <c r="D459" s="5" t="inlineStr">
        <is>
          <t>Trimestral</t>
        </is>
      </c>
      <c r="E459" s="5" t="inlineStr">
        <is>
          <t>Positivo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</v>
      </c>
      <c r="K459" s="5" t="n">
        <v>-10.18</v>
      </c>
      <c r="L459" s="74" t="n">
        <v>0</v>
      </c>
      <c r="M459" s="14" t="n">
        <v>0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220-2025-12-31</t>
        </is>
      </c>
    </row>
    <row r="460" hidden="1">
      <c r="A460" s="26" t="n">
        <v>221</v>
      </c>
      <c r="B460" s="5" t="inlineStr">
        <is>
          <t>Riesgo de la Calidad del Agua Potable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09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100</v>
      </c>
      <c r="K460" s="5" t="n">
        <v>0</v>
      </c>
      <c r="L460" s="74" t="n">
        <v>0</v>
      </c>
      <c r="M460" s="14" t="n">
        <v>0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221-2022-12-31</t>
        </is>
      </c>
    </row>
    <row r="461" hidden="1">
      <c r="A461" s="5" t="n">
        <v>221</v>
      </c>
      <c r="B461" s="5" t="inlineStr">
        <is>
          <t>Riesgo de la Calidad del Agua Potable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09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100</v>
      </c>
      <c r="K461" s="5" t="n">
        <v>100</v>
      </c>
      <c r="L461" s="14" t="n">
        <v>1</v>
      </c>
      <c r="M461" s="14" t="n">
        <v>1</v>
      </c>
      <c r="N461" s="5" t="n"/>
      <c r="O461" s="5" t="n"/>
      <c r="P461" s="5" t="n">
        <v>0</v>
      </c>
      <c r="Q461" s="5" t="n">
        <v>0</v>
      </c>
      <c r="R461" s="5" t="inlineStr">
        <is>
          <t>221-2023-12-31</t>
        </is>
      </c>
    </row>
    <row r="462" hidden="1">
      <c r="A462" s="5" t="n">
        <v>221</v>
      </c>
      <c r="B462" s="5" t="inlineStr">
        <is>
          <t>Riesgo de la Calidad del Agua Potable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09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100</v>
      </c>
      <c r="K462" s="5" t="n">
        <v>33.33</v>
      </c>
      <c r="L462" s="14" t="n">
        <v>0.3333</v>
      </c>
      <c r="M462" s="14" t="n">
        <v>0.3333</v>
      </c>
      <c r="N462" s="5" t="n"/>
      <c r="O462" s="5" t="n"/>
      <c r="P462" s="5" t="n">
        <v>0</v>
      </c>
      <c r="Q462" s="5" t="n">
        <v>0</v>
      </c>
      <c r="R462" s="5" t="inlineStr">
        <is>
          <t>221-2024-12-31</t>
        </is>
      </c>
    </row>
    <row r="463" hidden="1">
      <c r="A463" s="5" t="n">
        <v>221</v>
      </c>
      <c r="B463" s="5" t="inlineStr">
        <is>
          <t>Riesgo de la Calidad del Agua Potable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8" t="n">
        <v>46022</v>
      </c>
      <c r="G463" s="15" t="n">
        <v>2025</v>
      </c>
      <c r="H463" s="6" t="inlineStr">
        <is>
          <t>Diciembre</t>
        </is>
      </c>
      <c r="I463" s="27" t="inlineStr">
        <is>
          <t>2025-2</t>
        </is>
      </c>
      <c r="J463" s="5" t="n">
        <v>100</v>
      </c>
      <c r="K463" s="3" t="n">
        <v>27.5</v>
      </c>
      <c r="L463" s="14" t="n">
        <v>0.275</v>
      </c>
      <c r="M463" s="14" t="n">
        <v>0.275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221-2025-12-31</t>
        </is>
      </c>
    </row>
    <row r="464" hidden="1">
      <c r="A464" s="5" t="n">
        <v>222</v>
      </c>
      <c r="B464" s="5" t="inlineStr">
        <is>
          <t>Calidad de las Aguas Residuales Domesticas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09" t="n">
        <v>44926</v>
      </c>
      <c r="G464" s="5" t="n">
        <v>2022</v>
      </c>
      <c r="H464" s="5" t="inlineStr">
        <is>
          <t>Diciembre</t>
        </is>
      </c>
      <c r="I464" s="6" t="inlineStr">
        <is>
          <t>2022-2</t>
        </is>
      </c>
      <c r="J464" s="5" t="n">
        <v>90</v>
      </c>
      <c r="K464" s="3" t="n">
        <v>93.75</v>
      </c>
      <c r="L464" s="14" t="n">
        <v>1.041666666666667</v>
      </c>
      <c r="M464" s="14" t="n">
        <v>1.041666666666667</v>
      </c>
      <c r="N464" s="5" t="n"/>
      <c r="O464" s="5" t="n"/>
      <c r="P464" s="5" t="n">
        <v>0</v>
      </c>
      <c r="Q464" s="5" t="n">
        <v>0</v>
      </c>
      <c r="R464" s="5" t="inlineStr">
        <is>
          <t>222-2022-12-31</t>
        </is>
      </c>
    </row>
    <row r="465" hidden="1">
      <c r="A465" s="5" t="n">
        <v>222</v>
      </c>
      <c r="B465" s="5" t="inlineStr">
        <is>
          <t>Calidad de las Aguas Residuales Domesticas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09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16" t="n">
        <v>90</v>
      </c>
      <c r="K465" s="62" t="n">
        <v>68.75</v>
      </c>
      <c r="L465" s="14" t="n">
        <v>0.7638888888888888</v>
      </c>
      <c r="M465" s="14" t="n">
        <v>0.7638888888888888</v>
      </c>
      <c r="N465" s="5" t="n"/>
      <c r="O465" s="5" t="n"/>
      <c r="P465" s="5" t="n">
        <v>0</v>
      </c>
      <c r="Q465" s="5" t="n">
        <v>0</v>
      </c>
      <c r="R465" s="5" t="inlineStr">
        <is>
          <t>222-2023-12-31</t>
        </is>
      </c>
    </row>
    <row r="466" hidden="1">
      <c r="A466" s="5" t="n">
        <v>222</v>
      </c>
      <c r="B466" s="5" t="inlineStr">
        <is>
          <t>Calidad de las Aguas Residuales Domesticas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09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90</v>
      </c>
      <c r="K466" s="3" t="n">
        <v>68.75</v>
      </c>
      <c r="L466" s="14" t="n">
        <v>0.7638888888888888</v>
      </c>
      <c r="M466" s="14" t="n">
        <v>0.7638888888888888</v>
      </c>
      <c r="N466" s="5" t="n"/>
      <c r="O466" s="5" t="n"/>
      <c r="P466" s="5" t="n">
        <v>0</v>
      </c>
      <c r="Q466" s="5" t="n">
        <v>0</v>
      </c>
      <c r="R466" s="5" t="inlineStr">
        <is>
          <t>222-2024-12-31</t>
        </is>
      </c>
    </row>
    <row r="467" hidden="1">
      <c r="A467" s="26" t="n">
        <v>222</v>
      </c>
      <c r="B467" s="5" t="inlineStr">
        <is>
          <t>Calidad de las Aguas Residuales Domesticas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09" t="n">
        <v>46022</v>
      </c>
      <c r="G467" s="5" t="n">
        <v>2025</v>
      </c>
      <c r="H467" s="5" t="inlineStr">
        <is>
          <t>Diciembre</t>
        </is>
      </c>
      <c r="I467" s="6" t="inlineStr">
        <is>
          <t>2025-2</t>
        </is>
      </c>
      <c r="J467" s="5" t="n">
        <v>90</v>
      </c>
      <c r="K467" s="5" t="n">
        <v>68.75</v>
      </c>
      <c r="L467" s="74" t="n">
        <v>0.7638888888888888</v>
      </c>
      <c r="M467" s="14" t="n">
        <v>0.7638888888888888</v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222-2025-12-31</t>
        </is>
      </c>
    </row>
    <row r="468" hidden="1">
      <c r="A468" s="5" t="n">
        <v>223</v>
      </c>
      <c r="B468" s="5" t="inlineStr">
        <is>
          <t>Registro de Publicidad Exterior Visual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09" t="n">
        <v>44926</v>
      </c>
      <c r="G468" s="5" t="n">
        <v>2022</v>
      </c>
      <c r="H468" s="5" t="inlineStr">
        <is>
          <t>Diciembre</t>
        </is>
      </c>
      <c r="I468" s="6" t="inlineStr">
        <is>
          <t>2022-2</t>
        </is>
      </c>
      <c r="J468" s="5" t="n">
        <v>100</v>
      </c>
      <c r="K468" s="5" t="n">
        <v>0</v>
      </c>
      <c r="L468" s="14" t="n">
        <v>0</v>
      </c>
      <c r="M468" s="14" t="n">
        <v>0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223-2022-12-31</t>
        </is>
      </c>
    </row>
    <row r="469" hidden="1">
      <c r="A469" s="5" t="n">
        <v>223</v>
      </c>
      <c r="B469" s="5" t="inlineStr">
        <is>
          <t>Registro de Publicidad Exterior Visual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09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100</v>
      </c>
      <c r="K469" s="5" t="n">
        <v>100</v>
      </c>
      <c r="L469" s="14" t="n">
        <v>1</v>
      </c>
      <c r="M469" s="14" t="n">
        <v>1</v>
      </c>
      <c r="N469" s="5" t="n"/>
      <c r="O469" s="5" t="n"/>
      <c r="P469" s="5" t="n">
        <v>0</v>
      </c>
      <c r="Q469" s="5" t="n">
        <v>0</v>
      </c>
      <c r="R469" s="5" t="inlineStr">
        <is>
          <t>223-2023-12-31</t>
        </is>
      </c>
    </row>
    <row r="470" hidden="1">
      <c r="A470" s="5" t="n">
        <v>223</v>
      </c>
      <c r="B470" s="5" t="inlineStr">
        <is>
          <t>Registro de Publicidad Exterior Visual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08" t="n">
        <v>45657</v>
      </c>
      <c r="G470" s="15" t="n">
        <v>2024</v>
      </c>
      <c r="H470" s="6" t="inlineStr">
        <is>
          <t>Diciembre</t>
        </is>
      </c>
      <c r="I470" s="27" t="inlineStr">
        <is>
          <t>2024-2</t>
        </is>
      </c>
      <c r="J470" s="5" t="n">
        <v>100</v>
      </c>
      <c r="K470" s="5" t="n">
        <v>94.12</v>
      </c>
      <c r="L470" s="14" t="n">
        <v>0.9412</v>
      </c>
      <c r="M470" s="14" t="n">
        <v>0.9412</v>
      </c>
      <c r="N470" s="5" t="n"/>
      <c r="O470" s="5" t="n"/>
      <c r="P470" s="5" t="n">
        <v>0</v>
      </c>
      <c r="Q470" s="5" t="n">
        <v>0</v>
      </c>
      <c r="R470" s="5" t="inlineStr">
        <is>
          <t>223-2024-12-31</t>
        </is>
      </c>
    </row>
    <row r="471" hidden="1">
      <c r="A471" s="26" t="n">
        <v>223</v>
      </c>
      <c r="B471" s="5" t="inlineStr">
        <is>
          <t>Registro de Publicidad Exterior Visual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09" t="n">
        <v>46022</v>
      </c>
      <c r="G471" s="5" t="n">
        <v>2025</v>
      </c>
      <c r="H471" s="5" t="inlineStr">
        <is>
          <t>Diciembre</t>
        </is>
      </c>
      <c r="I471" s="6" t="inlineStr">
        <is>
          <t>2025-2</t>
        </is>
      </c>
      <c r="J471" s="5" t="n">
        <v>100</v>
      </c>
      <c r="K471" s="5" t="n">
        <v>91.67</v>
      </c>
      <c r="L471" s="14" t="n">
        <v>0.9167000000000001</v>
      </c>
      <c r="M471" s="14" t="n">
        <v>0.9167000000000001</v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223-2025-12-31</t>
        </is>
      </c>
    </row>
    <row r="472" hidden="1">
      <c r="A472" s="5" t="n">
        <v>224</v>
      </c>
      <c r="B472" s="5" t="inlineStr">
        <is>
          <t>Cumplimiento Nivel de Emisión de Ruido</t>
        </is>
      </c>
      <c r="C472" s="5" t="inlineStr">
        <is>
          <t>GESTIÓN AMBIENTAL</t>
        </is>
      </c>
      <c r="D472" s="5" t="inlineStr">
        <is>
          <t>Anual</t>
        </is>
      </c>
      <c r="E472" s="5" t="inlineStr">
        <is>
          <t>Positivo</t>
        </is>
      </c>
      <c r="F472" s="108" t="n">
        <v>44926</v>
      </c>
      <c r="G472" s="15" t="n">
        <v>2022</v>
      </c>
      <c r="H472" s="6" t="inlineStr">
        <is>
          <t>Diciembre</t>
        </is>
      </c>
      <c r="I472" s="6" t="inlineStr">
        <is>
          <t>2022-2</t>
        </is>
      </c>
      <c r="J472" s="5" t="n">
        <v>100</v>
      </c>
      <c r="K472" s="5" t="n">
        <v>71.42857142857143</v>
      </c>
      <c r="L472" s="14" t="n">
        <v>0.7142857142857143</v>
      </c>
      <c r="M472" s="14" t="n">
        <v>0.7142857142857143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224-2022-12-31</t>
        </is>
      </c>
    </row>
    <row r="473" hidden="1">
      <c r="A473" s="5" t="n">
        <v>224</v>
      </c>
      <c r="B473" s="5" t="inlineStr">
        <is>
          <t>Cumplimiento Nivel de Emisión de Ruido</t>
        </is>
      </c>
      <c r="C473" s="5" t="inlineStr">
        <is>
          <t>GESTIÓN AMBIENTAL</t>
        </is>
      </c>
      <c r="D473" s="5" t="inlineStr">
        <is>
          <t>Anual</t>
        </is>
      </c>
      <c r="E473" s="5" t="inlineStr">
        <is>
          <t>Positivo</t>
        </is>
      </c>
      <c r="F473" s="109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100</v>
      </c>
      <c r="K473" s="5" t="n">
        <v>40</v>
      </c>
      <c r="L473" s="14" t="n">
        <v>0.4</v>
      </c>
      <c r="M473" s="14" t="n">
        <v>0.4</v>
      </c>
      <c r="N473" s="5" t="n"/>
      <c r="O473" s="5" t="n"/>
      <c r="P473" s="5" t="n">
        <v>0</v>
      </c>
      <c r="Q473" s="5" t="n">
        <v>0</v>
      </c>
      <c r="R473" s="5" t="inlineStr">
        <is>
          <t>224-2023-12-31</t>
        </is>
      </c>
    </row>
    <row r="474" hidden="1">
      <c r="A474" s="28" t="n">
        <v>224</v>
      </c>
      <c r="B474" s="5" t="inlineStr">
        <is>
          <t>Cumplimiento Nivel de Emisión de Ruido</t>
        </is>
      </c>
      <c r="C474" s="5" t="inlineStr">
        <is>
          <t>GESTIÓN AMBIENTAL</t>
        </is>
      </c>
      <c r="D474" s="5" t="inlineStr">
        <is>
          <t>Anual</t>
        </is>
      </c>
      <c r="E474" s="5" t="inlineStr">
        <is>
          <t>Positivo</t>
        </is>
      </c>
      <c r="F474" s="109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100</v>
      </c>
      <c r="K474" s="5" t="n">
        <v>100</v>
      </c>
      <c r="L474" s="14" t="n">
        <v>1</v>
      </c>
      <c r="M474" s="14" t="n">
        <v>1</v>
      </c>
      <c r="N474" s="5" t="n"/>
      <c r="O474" s="5" t="n"/>
      <c r="P474" s="5" t="n">
        <v>0</v>
      </c>
      <c r="Q474" s="5" t="n">
        <v>0</v>
      </c>
      <c r="R474" s="5" t="inlineStr">
        <is>
          <t>224-2024-12-31</t>
        </is>
      </c>
    </row>
    <row r="475" hidden="1">
      <c r="A475" s="26" t="n">
        <v>224</v>
      </c>
      <c r="B475" s="5" t="inlineStr">
        <is>
          <t>Cumplimiento Nivel de Emisión de Ruido</t>
        </is>
      </c>
      <c r="C475" s="5" t="inlineStr">
        <is>
          <t>GESTIÓN AMBIENTAL</t>
        </is>
      </c>
      <c r="D475" s="5" t="inlineStr">
        <is>
          <t>Anual</t>
        </is>
      </c>
      <c r="E475" s="5" t="inlineStr">
        <is>
          <t>Positivo</t>
        </is>
      </c>
      <c r="F475" s="109" t="n">
        <v>46022</v>
      </c>
      <c r="G475" s="5" t="n">
        <v>2025</v>
      </c>
      <c r="H475" s="5" t="inlineStr">
        <is>
          <t>Diciembre</t>
        </is>
      </c>
      <c r="I475" s="6" t="inlineStr">
        <is>
          <t>2025-2</t>
        </is>
      </c>
      <c r="J475" s="5" t="n">
        <v>100</v>
      </c>
      <c r="K475" s="5" t="n">
        <v>100</v>
      </c>
      <c r="L475" s="14" t="n">
        <v>1</v>
      </c>
      <c r="M475" s="14" t="n">
        <v>1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224-2025-12-31</t>
        </is>
      </c>
    </row>
    <row r="476" hidden="1">
      <c r="A476" s="26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08" t="n">
        <v>44742</v>
      </c>
      <c r="G476" s="5" t="n">
        <v>2022</v>
      </c>
      <c r="H476" s="5" t="inlineStr">
        <is>
          <t>Junio</t>
        </is>
      </c>
      <c r="I476" s="6" t="inlineStr">
        <is>
          <t>2022-1</t>
        </is>
      </c>
      <c r="J476" s="5" t="n">
        <v>1</v>
      </c>
      <c r="K476" s="5" t="n">
        <v>0</v>
      </c>
      <c r="L476" s="14" t="n">
        <v>0</v>
      </c>
      <c r="M476" s="14" t="n">
        <v>0</v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225-2022-06-30</t>
        </is>
      </c>
    </row>
    <row r="477" hidden="1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09" t="n">
        <v>44926</v>
      </c>
      <c r="G477" s="5" t="n">
        <v>2022</v>
      </c>
      <c r="H477" s="5" t="inlineStr">
        <is>
          <t>Diciembre</t>
        </is>
      </c>
      <c r="I477" s="6" t="inlineStr">
        <is>
          <t>2022-2</t>
        </is>
      </c>
      <c r="J477" s="5" t="n">
        <v>1</v>
      </c>
      <c r="K477" s="5" t="n">
        <v>0</v>
      </c>
      <c r="L477" s="14" t="n">
        <v>0</v>
      </c>
      <c r="M477" s="14" t="n">
        <v>0</v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225-2022-12-31</t>
        </is>
      </c>
    </row>
    <row r="478" hidden="1">
      <c r="A478" s="28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09" t="n">
        <v>44957</v>
      </c>
      <c r="G478" s="5" t="n">
        <v>2023</v>
      </c>
      <c r="H478" s="5" t="inlineStr">
        <is>
          <t>Enero</t>
        </is>
      </c>
      <c r="I478" s="6" t="inlineStr">
        <is>
          <t>2023-1</t>
        </is>
      </c>
      <c r="J478" s="5" t="n">
        <v>1</v>
      </c>
      <c r="K478" s="5" t="n">
        <v>21</v>
      </c>
      <c r="L478" s="74" t="n">
        <v>1.3</v>
      </c>
      <c r="M478" s="14" t="n">
        <v>21</v>
      </c>
      <c r="N478" s="5" t="n"/>
      <c r="O478" s="5" t="n"/>
      <c r="P478" s="5" t="n">
        <v>0</v>
      </c>
      <c r="Q478" s="5" t="n">
        <v>0</v>
      </c>
      <c r="R478" s="5" t="inlineStr">
        <is>
          <t>225-2023-01-31</t>
        </is>
      </c>
    </row>
    <row r="479" hidden="1">
      <c r="A479" s="26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9" t="n">
        <v>44985</v>
      </c>
      <c r="G479" s="5" t="n">
        <v>2023</v>
      </c>
      <c r="H479" s="5" t="inlineStr">
        <is>
          <t>Febrero</t>
        </is>
      </c>
      <c r="I479" s="6" t="inlineStr">
        <is>
          <t>2023-1</t>
        </is>
      </c>
      <c r="J479" s="5" t="n">
        <v>1</v>
      </c>
      <c r="K479" s="5" t="n">
        <v>21</v>
      </c>
      <c r="L479" s="74" t="n">
        <v>1.3</v>
      </c>
      <c r="M479" s="14" t="n">
        <v>21</v>
      </c>
      <c r="N479" s="5" t="n"/>
      <c r="O479" s="5" t="n"/>
      <c r="P479" s="5" t="n">
        <v>0</v>
      </c>
      <c r="Q479" s="5" t="n">
        <v>0</v>
      </c>
      <c r="R479" s="5" t="inlineStr">
        <is>
          <t>225-2023-02-28</t>
        </is>
      </c>
    </row>
    <row r="480" hidden="1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9" t="n">
        <v>45016</v>
      </c>
      <c r="G480" s="5" t="n">
        <v>2023</v>
      </c>
      <c r="H480" s="5" t="inlineStr">
        <is>
          <t>Marzo</t>
        </is>
      </c>
      <c r="I480" s="6" t="inlineStr">
        <is>
          <t>2023-1</t>
        </is>
      </c>
      <c r="J480" s="5" t="n">
        <v>1</v>
      </c>
      <c r="K480" s="5" t="n">
        <v>21</v>
      </c>
      <c r="L480" s="14" t="n">
        <v>1.3</v>
      </c>
      <c r="M480" s="14" t="n">
        <v>21</v>
      </c>
      <c r="N480" s="5" t="n"/>
      <c r="O480" s="5" t="n"/>
      <c r="P480" s="5" t="n">
        <v>0</v>
      </c>
      <c r="Q480" s="5" t="n">
        <v>0</v>
      </c>
      <c r="R480" s="5" t="inlineStr">
        <is>
          <t>225-2023-03-31</t>
        </is>
      </c>
    </row>
    <row r="481" hidden="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9" t="n">
        <v>45046</v>
      </c>
      <c r="G481" s="5" t="n">
        <v>2023</v>
      </c>
      <c r="H481" s="5" t="inlineStr">
        <is>
          <t>Abril</t>
        </is>
      </c>
      <c r="I481" s="6" t="inlineStr">
        <is>
          <t>2023-1</t>
        </is>
      </c>
      <c r="J481" s="5" t="n">
        <v>1</v>
      </c>
      <c r="K481" s="5" t="n">
        <v>21</v>
      </c>
      <c r="L481" s="14" t="n">
        <v>1.3</v>
      </c>
      <c r="M481" s="14" t="n">
        <v>21</v>
      </c>
      <c r="N481" s="5" t="n"/>
      <c r="O481" s="5" t="n"/>
      <c r="P481" s="5" t="n">
        <v>0</v>
      </c>
      <c r="Q481" s="5" t="n">
        <v>0</v>
      </c>
      <c r="R481" s="5" t="inlineStr">
        <is>
          <t>225-2023-04-30</t>
        </is>
      </c>
    </row>
    <row r="482" hidden="1">
      <c r="A482" s="28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09" t="n">
        <v>45077</v>
      </c>
      <c r="G482" s="5" t="n">
        <v>2023</v>
      </c>
      <c r="H482" s="5" t="inlineStr">
        <is>
          <t>Mayo</t>
        </is>
      </c>
      <c r="I482" s="6" t="inlineStr">
        <is>
          <t>2023-1</t>
        </is>
      </c>
      <c r="J482" s="5" t="n">
        <v>1</v>
      </c>
      <c r="K482" s="5" t="n">
        <v>21</v>
      </c>
      <c r="L482" s="74" t="n">
        <v>1.3</v>
      </c>
      <c r="M482" s="14" t="n">
        <v>21</v>
      </c>
      <c r="N482" s="5" t="n"/>
      <c r="O482" s="5" t="n"/>
      <c r="P482" s="5" t="n">
        <v>0</v>
      </c>
      <c r="Q482" s="5" t="n">
        <v>0</v>
      </c>
      <c r="R482" s="5" t="inlineStr">
        <is>
          <t>225-2023-05-31</t>
        </is>
      </c>
    </row>
    <row r="483" hidden="1">
      <c r="A483" s="26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09" t="n">
        <v>45107</v>
      </c>
      <c r="G483" s="5" t="n">
        <v>2023</v>
      </c>
      <c r="H483" s="5" t="inlineStr">
        <is>
          <t>Junio</t>
        </is>
      </c>
      <c r="I483" s="6" t="inlineStr">
        <is>
          <t>2023-1</t>
        </is>
      </c>
      <c r="J483" s="5" t="n">
        <v>1</v>
      </c>
      <c r="K483" s="5" t="n">
        <v>21</v>
      </c>
      <c r="L483" s="74" t="n">
        <v>1.3</v>
      </c>
      <c r="M483" s="14" t="n">
        <v>21</v>
      </c>
      <c r="N483" s="5" t="n"/>
      <c r="O483" s="5" t="n"/>
      <c r="P483" s="5" t="n">
        <v>0</v>
      </c>
      <c r="Q483" s="5" t="n">
        <v>0</v>
      </c>
      <c r="R483" s="5" t="inlineStr">
        <is>
          <t>225-2023-06-30</t>
        </is>
      </c>
    </row>
    <row r="484" hidden="1">
      <c r="A484" s="28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09" t="n">
        <v>45138</v>
      </c>
      <c r="G484" s="5" t="n">
        <v>2023</v>
      </c>
      <c r="H484" s="5" t="inlineStr">
        <is>
          <t>Julio</t>
        </is>
      </c>
      <c r="I484" s="6" t="inlineStr">
        <is>
          <t>2023-2</t>
        </is>
      </c>
      <c r="J484" s="5" t="n">
        <v>1</v>
      </c>
      <c r="K484" s="5" t="n">
        <v>19.83333333333333</v>
      </c>
      <c r="L484" s="74" t="n">
        <v>1.3</v>
      </c>
      <c r="M484" s="14" t="n">
        <v>19.83333333333333</v>
      </c>
      <c r="N484" s="5" t="n"/>
      <c r="O484" s="5" t="n"/>
      <c r="P484" s="5" t="n">
        <v>0</v>
      </c>
      <c r="Q484" s="5" t="n">
        <v>0</v>
      </c>
      <c r="R484" s="5" t="inlineStr">
        <is>
          <t>225-2023-07-31</t>
        </is>
      </c>
    </row>
    <row r="485" hidden="1">
      <c r="A485" s="26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09" t="n">
        <v>45169</v>
      </c>
      <c r="G485" s="5" t="n">
        <v>2023</v>
      </c>
      <c r="H485" s="5" t="inlineStr">
        <is>
          <t>Agosto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74" t="n">
        <v>1.3</v>
      </c>
      <c r="M485" s="14" t="n">
        <v>19.83333333333333</v>
      </c>
      <c r="N485" s="5" t="n"/>
      <c r="O485" s="5" t="n"/>
      <c r="P485" s="5" t="n">
        <v>0</v>
      </c>
      <c r="Q485" s="5" t="n">
        <v>0</v>
      </c>
      <c r="R485" s="5" t="inlineStr">
        <is>
          <t>225-2023-08-31</t>
        </is>
      </c>
    </row>
    <row r="486" hidden="1">
      <c r="A486" s="28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09" t="n">
        <v>45199</v>
      </c>
      <c r="G486" s="5" t="n">
        <v>2023</v>
      </c>
      <c r="H486" s="5" t="inlineStr">
        <is>
          <t>Septiembre</t>
        </is>
      </c>
      <c r="I486" s="6" t="inlineStr">
        <is>
          <t>2023-2</t>
        </is>
      </c>
      <c r="J486" s="5" t="n">
        <v>1</v>
      </c>
      <c r="K486" s="5" t="n">
        <v>19.83333333333333</v>
      </c>
      <c r="L486" s="74" t="n">
        <v>1.3</v>
      </c>
      <c r="M486" s="14" t="n">
        <v>19.83333333333333</v>
      </c>
      <c r="N486" s="5" t="n"/>
      <c r="O486" s="5" t="n"/>
      <c r="P486" s="5" t="n">
        <v>0</v>
      </c>
      <c r="Q486" s="5" t="n">
        <v>0</v>
      </c>
      <c r="R486" s="5" t="inlineStr">
        <is>
          <t>225-2023-09-30</t>
        </is>
      </c>
    </row>
    <row r="487" hidden="1">
      <c r="A487" s="26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09" t="n">
        <v>45230</v>
      </c>
      <c r="G487" s="5" t="n">
        <v>2023</v>
      </c>
      <c r="H487" s="5" t="inlineStr">
        <is>
          <t>Octubre</t>
        </is>
      </c>
      <c r="I487" s="6" t="inlineStr">
        <is>
          <t>2023-2</t>
        </is>
      </c>
      <c r="J487" s="5" t="n">
        <v>1</v>
      </c>
      <c r="K487" s="5" t="n">
        <v>19.83333333333333</v>
      </c>
      <c r="L487" s="74" t="n">
        <v>1.3</v>
      </c>
      <c r="M487" s="14" t="n">
        <v>19.83333333333333</v>
      </c>
      <c r="N487" s="5" t="n"/>
      <c r="O487" s="5" t="n"/>
      <c r="P487" s="5" t="n">
        <v>0</v>
      </c>
      <c r="Q487" s="5" t="n">
        <v>0</v>
      </c>
      <c r="R487" s="5" t="inlineStr">
        <is>
          <t>225-2023-10-31</t>
        </is>
      </c>
    </row>
    <row r="488" hidden="1">
      <c r="A488" s="28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09" t="n">
        <v>45260</v>
      </c>
      <c r="G488" s="5" t="n">
        <v>2023</v>
      </c>
      <c r="H488" s="5" t="inlineStr">
        <is>
          <t>Noviembre</t>
        </is>
      </c>
      <c r="I488" s="6" t="inlineStr">
        <is>
          <t>2023-2</t>
        </is>
      </c>
      <c r="J488" s="11" t="n">
        <v>1</v>
      </c>
      <c r="K488" s="5" t="n">
        <v>19.83333333333333</v>
      </c>
      <c r="L488" s="74" t="n">
        <v>1.3</v>
      </c>
      <c r="M488" s="14" t="n">
        <v>19.83333333333333</v>
      </c>
      <c r="N488" s="11" t="n"/>
      <c r="O488" s="11" t="n"/>
      <c r="P488" s="5" t="n">
        <v>0</v>
      </c>
      <c r="Q488" s="5" t="n">
        <v>0</v>
      </c>
      <c r="R488" s="5" t="inlineStr">
        <is>
          <t>225-2023-11-30</t>
        </is>
      </c>
    </row>
    <row r="489" hidden="1">
      <c r="A489" s="26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09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11" t="n">
        <v>1</v>
      </c>
      <c r="K489" s="5" t="n">
        <v>19.83333333333333</v>
      </c>
      <c r="L489" s="74" t="n">
        <v>1.3</v>
      </c>
      <c r="M489" s="14" t="n">
        <v>19.83333333333333</v>
      </c>
      <c r="N489" s="11" t="n"/>
      <c r="O489" s="11" t="n"/>
      <c r="P489" s="5" t="n">
        <v>0</v>
      </c>
      <c r="Q489" s="5" t="n">
        <v>0</v>
      </c>
      <c r="R489" s="5" t="inlineStr">
        <is>
          <t>225-2023-12-31</t>
        </is>
      </c>
    </row>
    <row r="490" hidden="1">
      <c r="A490" s="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109" t="n">
        <v>45473</v>
      </c>
      <c r="G490" s="5" t="n">
        <v>2024</v>
      </c>
      <c r="H490" s="5" t="inlineStr">
        <is>
          <t>Junio</t>
        </is>
      </c>
      <c r="I490" s="6" t="inlineStr">
        <is>
          <t>2024-1</t>
        </is>
      </c>
      <c r="J490" s="5" t="n">
        <v>1</v>
      </c>
      <c r="K490" s="5" t="n">
        <v>20.5</v>
      </c>
      <c r="L490" s="14" t="n">
        <v>1.3</v>
      </c>
      <c r="M490" s="14" t="n">
        <v>20.5</v>
      </c>
      <c r="N490" s="11" t="n"/>
      <c r="O490" s="11" t="n"/>
      <c r="P490" s="5" t="n">
        <v>0</v>
      </c>
      <c r="Q490" s="5" t="n">
        <v>0</v>
      </c>
      <c r="R490" s="5" t="inlineStr">
        <is>
          <t>225-2024-06-30</t>
        </is>
      </c>
    </row>
    <row r="491" hidden="1">
      <c r="A491" s="5" t="n">
        <v>225</v>
      </c>
      <c r="B491" s="5" t="inlineStr">
        <is>
          <t>Acciones para el Cuidado y Mantenimiento de las Especies de Flora y el Suelo de las Áreas Naturales</t>
        </is>
      </c>
      <c r="C491" s="5" t="inlineStr">
        <is>
          <t>GESTIÓN AMBIENTAL</t>
        </is>
      </c>
      <c r="D491" s="5" t="inlineStr">
        <is>
          <t>Mensual</t>
        </is>
      </c>
      <c r="E491" s="5" t="inlineStr">
        <is>
          <t>Positivo</t>
        </is>
      </c>
      <c r="F491" s="109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</v>
      </c>
      <c r="K491" s="5" t="n">
        <v>20.5</v>
      </c>
      <c r="L491" s="14" t="n">
        <v>1.3</v>
      </c>
      <c r="M491" s="14" t="n">
        <v>20.5</v>
      </c>
      <c r="N491" s="11" t="n"/>
      <c r="O491" s="11" t="n"/>
      <c r="P491" s="5" t="n">
        <v>0</v>
      </c>
      <c r="Q491" s="5" t="n">
        <v>0</v>
      </c>
      <c r="R491" s="5" t="inlineStr">
        <is>
          <t>225-2024-12-31</t>
        </is>
      </c>
    </row>
    <row r="492" hidden="1">
      <c r="A492" s="28" t="n">
        <v>225</v>
      </c>
      <c r="B492" s="5" t="inlineStr">
        <is>
          <t>Acciones para el Cuidado y Mantenimiento de las Especies de Flora y el Suelo de las Áreas Naturales</t>
        </is>
      </c>
      <c r="C492" s="5" t="inlineStr">
        <is>
          <t>GESTIÓN AMBIENTAL</t>
        </is>
      </c>
      <c r="D492" s="5" t="inlineStr">
        <is>
          <t>Mensual</t>
        </is>
      </c>
      <c r="E492" s="5" t="inlineStr">
        <is>
          <t>Positivo</t>
        </is>
      </c>
      <c r="F492" s="109" t="n">
        <v>45838</v>
      </c>
      <c r="G492" s="5" t="n">
        <v>2025</v>
      </c>
      <c r="H492" s="5" t="inlineStr">
        <is>
          <t>Junio</t>
        </is>
      </c>
      <c r="I492" s="6" t="inlineStr">
        <is>
          <t>2025-1</t>
        </is>
      </c>
      <c r="J492" s="5" t="n">
        <v>1</v>
      </c>
      <c r="K492" s="5" t="n">
        <v>23.83333333333333</v>
      </c>
      <c r="L492" s="74" t="n">
        <v>1.3</v>
      </c>
      <c r="M492" s="14" t="n">
        <v>23.83333333333333</v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225-2025-06-30</t>
        </is>
      </c>
    </row>
    <row r="493" hidden="1">
      <c r="A493" s="26" t="n">
        <v>225</v>
      </c>
      <c r="B493" s="5" t="inlineStr">
        <is>
          <t>Acciones para el Cuidado y Mantenimiento de las Especies de Flora y el Suelo de las Áreas Naturales</t>
        </is>
      </c>
      <c r="C493" s="5" t="inlineStr">
        <is>
          <t>GESTIÓN AMBIENTAL</t>
        </is>
      </c>
      <c r="D493" s="5" t="inlineStr">
        <is>
          <t>Mensual</t>
        </is>
      </c>
      <c r="E493" s="5" t="inlineStr">
        <is>
          <t>Positivo</t>
        </is>
      </c>
      <c r="F493" s="109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1</v>
      </c>
      <c r="K493" s="5" t="n">
        <v>15</v>
      </c>
      <c r="L493" s="74" t="n">
        <v>1.3</v>
      </c>
      <c r="M493" s="14" t="n">
        <v>15</v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225-2025-12-31</t>
        </is>
      </c>
    </row>
    <row r="494" hidden="1">
      <c r="A494" s="5" t="n">
        <v>225</v>
      </c>
      <c r="B494" s="5" t="inlineStr">
        <is>
          <t>Acciones para el Cuidado y Mantenimiento de las Especies de Flora y el Suelo de las Áreas Naturales</t>
        </is>
      </c>
      <c r="C494" s="5" t="inlineStr">
        <is>
          <t>GESTIÓN AMBIENTAL</t>
        </is>
      </c>
      <c r="D494" s="5" t="inlineStr">
        <is>
          <t>Mensual</t>
        </is>
      </c>
      <c r="E494" s="5" t="inlineStr">
        <is>
          <t>Positivo</t>
        </is>
      </c>
      <c r="F494" s="109" t="n">
        <v>46203</v>
      </c>
      <c r="G494" s="5" t="n">
        <v>2026</v>
      </c>
      <c r="H494" s="5" t="inlineStr">
        <is>
          <t>Junio</t>
        </is>
      </c>
      <c r="I494" s="6" t="inlineStr">
        <is>
          <t>2026-1</t>
        </is>
      </c>
      <c r="J494" s="5" t="n">
        <v>1</v>
      </c>
      <c r="K494" s="5" t="n">
        <v>25</v>
      </c>
      <c r="L494" s="14" t="n">
        <v>1.3</v>
      </c>
      <c r="M494" s="14" t="n">
        <v>25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225-2026-06-30</t>
        </is>
      </c>
    </row>
    <row r="495" hidden="1">
      <c r="A495" s="5" t="n">
        <v>226</v>
      </c>
      <c r="B495" s="5" t="inlineStr">
        <is>
          <t>Generación de Gases de Efecto Invernadero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Positivo</t>
        </is>
      </c>
      <c r="F495" s="109" t="n">
        <v>44926</v>
      </c>
      <c r="G495" s="5" t="n">
        <v>2022</v>
      </c>
      <c r="H495" s="5" t="inlineStr">
        <is>
          <t>Diciembre</t>
        </is>
      </c>
      <c r="I495" s="6" t="inlineStr">
        <is>
          <t>2022-2</t>
        </is>
      </c>
      <c r="J495" s="5" t="n">
        <v>2</v>
      </c>
      <c r="K495" s="5" t="n">
        <v>476.4899959564209</v>
      </c>
      <c r="L495" s="14" t="n">
        <v>1.3</v>
      </c>
      <c r="M495" s="14" t="n">
        <v>238.2449979782104</v>
      </c>
      <c r="N495" s="5" t="inlineStr">
        <is>
          <t>tCO2e</t>
        </is>
      </c>
      <c r="O495" s="5" t="inlineStr">
        <is>
          <t>tCO2e</t>
        </is>
      </c>
      <c r="P495" s="5" t="n">
        <v>0</v>
      </c>
      <c r="Q495" s="5" t="n">
        <v>0</v>
      </c>
      <c r="R495" s="5" t="inlineStr">
        <is>
          <t>226-2022-12-31</t>
        </is>
      </c>
    </row>
    <row r="496" hidden="1">
      <c r="A496" s="28" t="n">
        <v>226</v>
      </c>
      <c r="B496" s="5" t="inlineStr">
        <is>
          <t>Generación de Gases de Efecto Invernadero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Positivo</t>
        </is>
      </c>
      <c r="F496" s="109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2</v>
      </c>
      <c r="K496" s="5" t="n">
        <v>622.6900000000001</v>
      </c>
      <c r="L496" s="74" t="n">
        <v>1.3</v>
      </c>
      <c r="M496" s="14" t="n">
        <v>311.345</v>
      </c>
      <c r="N496" s="5" t="n"/>
      <c r="O496" s="5" t="n"/>
      <c r="P496" s="5" t="n">
        <v>0</v>
      </c>
      <c r="Q496" s="5" t="n">
        <v>0</v>
      </c>
      <c r="R496" s="5" t="inlineStr">
        <is>
          <t>226-2023-12-31</t>
        </is>
      </c>
    </row>
    <row r="497" hidden="1">
      <c r="A497" s="26" t="n">
        <v>226</v>
      </c>
      <c r="B497" s="5" t="inlineStr">
        <is>
          <t>Generación de Gases de Efecto Invernadero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Positivo</t>
        </is>
      </c>
      <c r="F497" s="109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2</v>
      </c>
      <c r="K497" s="5" t="n">
        <v>3531.11</v>
      </c>
      <c r="L497" s="74" t="n">
        <v>1.3</v>
      </c>
      <c r="M497" s="14" t="n">
        <v>1765.555</v>
      </c>
      <c r="N497" s="5" t="n"/>
      <c r="O497" s="5" t="n"/>
      <c r="P497" s="5" t="n">
        <v>0</v>
      </c>
      <c r="Q497" s="5" t="n">
        <v>0</v>
      </c>
      <c r="R497" s="5" t="inlineStr">
        <is>
          <t>226-2024-12-31</t>
        </is>
      </c>
    </row>
    <row r="498" hidden="1">
      <c r="A498" s="28" t="n">
        <v>226</v>
      </c>
      <c r="B498" s="5" t="inlineStr">
        <is>
          <t>Generación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09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2</v>
      </c>
      <c r="K498" s="5" t="n"/>
      <c r="L498" s="74" t="n"/>
      <c r="M498" s="14" t="n"/>
      <c r="N498" s="5" t="inlineStr">
        <is>
          <t>%</t>
        </is>
      </c>
      <c r="O498" s="5" t="inlineStr">
        <is>
          <t>No Aplica</t>
        </is>
      </c>
      <c r="P498" s="5" t="n">
        <v>0</v>
      </c>
      <c r="Q498" s="5" t="n">
        <v>0</v>
      </c>
      <c r="R498" s="5" t="inlineStr">
        <is>
          <t>226-2025-12-31</t>
        </is>
      </c>
      <c r="S498" t="inlineStr">
        <is>
          <t>No Aplica</t>
        </is>
      </c>
    </row>
    <row r="499" hidden="1">
      <c r="A499" s="26" t="n">
        <v>227</v>
      </c>
      <c r="B499" s="5" t="inlineStr">
        <is>
          <t>Generación de  Gases de Efecto Invernadero per Cápita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Negativo</t>
        </is>
      </c>
      <c r="F499" s="109" t="n">
        <v>44926</v>
      </c>
      <c r="G499" s="5" t="n">
        <v>2022</v>
      </c>
      <c r="H499" s="5" t="inlineStr">
        <is>
          <t>Diciembre</t>
        </is>
      </c>
      <c r="I499" s="6" t="inlineStr">
        <is>
          <t>2022-2</t>
        </is>
      </c>
      <c r="J499" s="5" t="n">
        <v>0.3</v>
      </c>
      <c r="K499" s="5" t="n">
        <v>0.01</v>
      </c>
      <c r="L499" s="74" t="n">
        <v>1.3</v>
      </c>
      <c r="M499" s="14" t="n">
        <v>30</v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0</v>
      </c>
      <c r="R499" s="5" t="inlineStr">
        <is>
          <t>227-2022-12-31</t>
        </is>
      </c>
    </row>
    <row r="500" hidden="1">
      <c r="A500" s="5" t="n">
        <v>227</v>
      </c>
      <c r="B500" s="5" t="inlineStr">
        <is>
          <t>Generación de  Gases de Efecto Invernadero per Cápita</t>
        </is>
      </c>
      <c r="C500" s="5" t="inlineStr">
        <is>
          <t>GESTIÓN AMBIENTAL</t>
        </is>
      </c>
      <c r="D500" s="5" t="inlineStr">
        <is>
          <t>Anual</t>
        </is>
      </c>
      <c r="E500" s="5" t="inlineStr">
        <is>
          <t>Negativo</t>
        </is>
      </c>
      <c r="F500" s="109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0.3</v>
      </c>
      <c r="K500" s="5" t="n">
        <v>0.01</v>
      </c>
      <c r="L500" s="14" t="n">
        <v>1.3</v>
      </c>
      <c r="M500" s="14" t="n">
        <v>30</v>
      </c>
      <c r="N500" s="5" t="n"/>
      <c r="O500" s="5" t="n"/>
      <c r="P500" s="5" t="n">
        <v>0</v>
      </c>
      <c r="Q500" s="5" t="n">
        <v>0</v>
      </c>
      <c r="R500" s="5" t="inlineStr">
        <is>
          <t>227-2023-12-31</t>
        </is>
      </c>
    </row>
    <row r="501" hidden="1">
      <c r="A501" s="5" t="n">
        <v>227</v>
      </c>
      <c r="B501" s="5" t="inlineStr">
        <is>
          <t>Generación de  Gases de Efecto Invernadero per Cápita</t>
        </is>
      </c>
      <c r="C501" s="5" t="inlineStr">
        <is>
          <t>GESTIÓN AMBIENTAL</t>
        </is>
      </c>
      <c r="D501" s="5" t="inlineStr">
        <is>
          <t>Anual</t>
        </is>
      </c>
      <c r="E501" s="5" t="inlineStr">
        <is>
          <t>Negativo</t>
        </is>
      </c>
      <c r="F501" s="109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0.3</v>
      </c>
      <c r="K501" s="5" t="n">
        <v>3531.11</v>
      </c>
      <c r="L501" s="14" t="n">
        <v>8.495912050318455e-05</v>
      </c>
      <c r="M501" s="14" t="n">
        <v>8.495912050318455e-05</v>
      </c>
      <c r="N501" s="5" t="n"/>
      <c r="O501" s="5" t="n"/>
      <c r="P501" s="5" t="n">
        <v>0</v>
      </c>
      <c r="Q501" s="5" t="n">
        <v>0</v>
      </c>
      <c r="R501" s="5" t="inlineStr">
        <is>
          <t>227-2024-12-31</t>
        </is>
      </c>
    </row>
    <row r="502" hidden="1">
      <c r="A502" s="28" t="n">
        <v>228</v>
      </c>
      <c r="B502" s="5" t="inlineStr">
        <is>
          <t>Compensación de Gases de Efecto Invernadero</t>
        </is>
      </c>
      <c r="C502" s="5" t="inlineStr">
        <is>
          <t>GESTIÓN AMBIENTAL</t>
        </is>
      </c>
      <c r="D502" s="5" t="inlineStr">
        <is>
          <t>Anual</t>
        </is>
      </c>
      <c r="E502" s="5" t="inlineStr">
        <is>
          <t>Positivo</t>
        </is>
      </c>
      <c r="F502" s="109" t="n">
        <v>44926</v>
      </c>
      <c r="G502" s="5" t="n">
        <v>2022</v>
      </c>
      <c r="H502" s="5" t="inlineStr">
        <is>
          <t>Diciembre</t>
        </is>
      </c>
      <c r="I502" s="6" t="inlineStr">
        <is>
          <t>2022-2</t>
        </is>
      </c>
      <c r="J502" s="5" t="n">
        <v>100</v>
      </c>
      <c r="K502" s="5" t="n">
        <v>100.1070326764465</v>
      </c>
      <c r="L502" s="74" t="n">
        <v>1.001070326764465</v>
      </c>
      <c r="M502" s="14" t="n">
        <v>1.001070326764465</v>
      </c>
      <c r="N502" s="5" t="n"/>
      <c r="O502" s="5" t="n"/>
      <c r="P502" s="5" t="n">
        <v>1</v>
      </c>
      <c r="Q502" s="5" t="n">
        <v>1</v>
      </c>
      <c r="R502" s="5" t="inlineStr">
        <is>
          <t>228-2022-12-31</t>
        </is>
      </c>
    </row>
    <row r="503" hidden="1">
      <c r="A503" s="26" t="n">
        <v>228</v>
      </c>
      <c r="B503" s="5" t="inlineStr">
        <is>
          <t>Compensación de Gases de Efecto Invernadero</t>
        </is>
      </c>
      <c r="C503" s="5" t="inlineStr">
        <is>
          <t>GESTIÓN AMBIENTAL</t>
        </is>
      </c>
      <c r="D503" s="5" t="inlineStr">
        <is>
          <t>Anual</t>
        </is>
      </c>
      <c r="E503" s="5" t="inlineStr">
        <is>
          <t>Positivo</t>
        </is>
      </c>
      <c r="F503" s="109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100</v>
      </c>
      <c r="K503" s="5" t="n">
        <v>100</v>
      </c>
      <c r="L503" s="74" t="n">
        <v>1</v>
      </c>
      <c r="M503" s="14" t="n">
        <v>1</v>
      </c>
      <c r="N503" s="5" t="inlineStr">
        <is>
          <t>tCO2e</t>
        </is>
      </c>
      <c r="O503" s="5" t="inlineStr">
        <is>
          <t>tCO2e</t>
        </is>
      </c>
      <c r="P503" s="5" t="n">
        <v>1</v>
      </c>
      <c r="Q503" s="5" t="n">
        <v>1</v>
      </c>
      <c r="R503" s="5" t="inlineStr">
        <is>
          <t>228-2023-12-31</t>
        </is>
      </c>
    </row>
    <row r="504" hidden="1">
      <c r="A504" s="5" t="n">
        <v>228</v>
      </c>
      <c r="B504" s="5" t="inlineStr">
        <is>
          <t>Compensación de Gases de Efecto Invernadero</t>
        </is>
      </c>
      <c r="C504" s="5" t="inlineStr">
        <is>
          <t>GESTIÓN AMBIENTAL</t>
        </is>
      </c>
      <c r="D504" s="5" t="inlineStr">
        <is>
          <t>Anual</t>
        </is>
      </c>
      <c r="E504" s="5" t="inlineStr">
        <is>
          <t>Positivo</t>
        </is>
      </c>
      <c r="F504" s="109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100</v>
      </c>
      <c r="K504" s="5" t="n">
        <v>3531.11</v>
      </c>
      <c r="L504" s="14" t="n">
        <v>1.3</v>
      </c>
      <c r="M504" s="14" t="n">
        <v>35.3111</v>
      </c>
      <c r="N504" s="5" t="n"/>
      <c r="O504" s="5" t="n"/>
      <c r="P504" s="5" t="n">
        <v>0</v>
      </c>
      <c r="Q504" s="5" t="n">
        <v>0</v>
      </c>
      <c r="R504" s="5" t="inlineStr">
        <is>
          <t>228-2024-12-31</t>
        </is>
      </c>
    </row>
    <row r="505" hidden="1">
      <c r="A505" s="5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09" t="n">
        <v>45107</v>
      </c>
      <c r="G505" s="5" t="n">
        <v>2023</v>
      </c>
      <c r="H505" s="5" t="inlineStr">
        <is>
          <t>Junio</t>
        </is>
      </c>
      <c r="I505" s="6" t="inlineStr">
        <is>
          <t>2023-1</t>
        </is>
      </c>
      <c r="J505" s="5" t="n">
        <v>90</v>
      </c>
      <c r="K505" s="5" t="n">
        <v>100</v>
      </c>
      <c r="L505" s="14" t="n">
        <v>1.111111111111111</v>
      </c>
      <c r="M505" s="14" t="n">
        <v>1.111111111111111</v>
      </c>
      <c r="N505" s="5" t="n"/>
      <c r="O505" s="5" t="n"/>
      <c r="P505" s="5" t="n">
        <v>0</v>
      </c>
      <c r="Q505" s="5" t="n">
        <v>0</v>
      </c>
      <c r="R505" s="5" t="inlineStr">
        <is>
          <t>230-2023-06-30</t>
        </is>
      </c>
    </row>
    <row r="506" hidden="1">
      <c r="A506" s="28" t="n">
        <v>230</v>
      </c>
      <c r="B506" s="5" t="inlineStr">
        <is>
          <t>Ejecución de Eventos de Formación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09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90</v>
      </c>
      <c r="K506" s="5" t="n">
        <v>100</v>
      </c>
      <c r="L506" s="74" t="n">
        <v>1.111111111111111</v>
      </c>
      <c r="M506" s="14" t="n">
        <v>1.111111111111111</v>
      </c>
      <c r="N506" s="5" t="n"/>
      <c r="O506" s="5" t="n"/>
      <c r="P506" s="5" t="n">
        <v>0</v>
      </c>
      <c r="Q506" s="5" t="n">
        <v>0</v>
      </c>
      <c r="R506" s="5" t="inlineStr">
        <is>
          <t>230-2023-12-31</t>
        </is>
      </c>
    </row>
    <row r="507" hidden="1">
      <c r="A507" s="26" t="n">
        <v>230</v>
      </c>
      <c r="B507" s="5" t="inlineStr">
        <is>
          <t>Ejecución de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09" t="n">
        <v>45473</v>
      </c>
      <c r="G507" s="5" t="n">
        <v>2024</v>
      </c>
      <c r="H507" s="5" t="inlineStr">
        <is>
          <t>Junio</t>
        </is>
      </c>
      <c r="I507" s="6" t="inlineStr">
        <is>
          <t>2024-1</t>
        </is>
      </c>
      <c r="J507" s="5" t="n">
        <v>90</v>
      </c>
      <c r="K507" s="5" t="n">
        <v>100</v>
      </c>
      <c r="L507" s="74" t="n">
        <v>1.111111111111111</v>
      </c>
      <c r="M507" s="14" t="n">
        <v>1.111111111111111</v>
      </c>
      <c r="N507" s="5" t="n"/>
      <c r="O507" s="5" t="n"/>
      <c r="P507" s="5" t="n">
        <v>0</v>
      </c>
      <c r="Q507" s="5" t="n">
        <v>0</v>
      </c>
      <c r="R507" s="5" t="inlineStr">
        <is>
          <t>230-2024-06-30</t>
        </is>
      </c>
    </row>
    <row r="508" hidden="1">
      <c r="A508" s="5" t="n">
        <v>230</v>
      </c>
      <c r="B508" s="5" t="inlineStr">
        <is>
          <t>Ejecución de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09" t="n">
        <v>45657</v>
      </c>
      <c r="G508" s="5" t="n">
        <v>2024</v>
      </c>
      <c r="H508" s="5" t="inlineStr">
        <is>
          <t>Diciembre</t>
        </is>
      </c>
      <c r="I508" s="6" t="inlineStr">
        <is>
          <t>2024-2</t>
        </is>
      </c>
      <c r="J508" s="5" t="n">
        <v>90</v>
      </c>
      <c r="K508" s="5" t="n">
        <v>100</v>
      </c>
      <c r="L508" s="14" t="n">
        <v>1.111111111111111</v>
      </c>
      <c r="M508" s="14" t="n">
        <v>1.111111111111111</v>
      </c>
      <c r="N508" s="5" t="n"/>
      <c r="O508" s="5" t="n"/>
      <c r="P508" s="5" t="n">
        <v>0</v>
      </c>
      <c r="Q508" s="5" t="n">
        <v>0</v>
      </c>
      <c r="R508" s="5" t="inlineStr">
        <is>
          <t>230-2024-12-31</t>
        </is>
      </c>
    </row>
    <row r="509" hidden="1">
      <c r="A509" s="5" t="n">
        <v>230</v>
      </c>
      <c r="B509" s="5" t="inlineStr">
        <is>
          <t>Ejecución de Eventos de Formación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09" t="n">
        <v>45838</v>
      </c>
      <c r="G509" s="5" t="n">
        <v>2025</v>
      </c>
      <c r="H509" s="5" t="inlineStr">
        <is>
          <t>Junio</t>
        </is>
      </c>
      <c r="I509" s="6" t="inlineStr">
        <is>
          <t>2025-1</t>
        </is>
      </c>
      <c r="J509" s="5" t="n">
        <v>90</v>
      </c>
      <c r="K509" s="5" t="n">
        <v>96.77</v>
      </c>
      <c r="L509" s="14" t="n">
        <v>1.075222222222222</v>
      </c>
      <c r="M509" s="14" t="n">
        <v>1.075222222222222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230-2025-06-30</t>
        </is>
      </c>
    </row>
    <row r="510" hidden="1">
      <c r="A510" s="34" t="n">
        <v>230</v>
      </c>
      <c r="B510" s="5" t="inlineStr">
        <is>
          <t>Ejecución de Eventos de Formación en Materia Ambiental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09" t="n">
        <v>46022</v>
      </c>
      <c r="G510" s="5" t="n">
        <v>2025</v>
      </c>
      <c r="H510" s="5" t="inlineStr">
        <is>
          <t>Diciembre</t>
        </is>
      </c>
      <c r="I510" s="6" t="inlineStr">
        <is>
          <t>2025-2</t>
        </is>
      </c>
      <c r="J510" s="5" t="n">
        <v>90</v>
      </c>
      <c r="K510" s="5" t="n">
        <v>96.72</v>
      </c>
      <c r="L510" s="74" t="n">
        <v>1.074666666666667</v>
      </c>
      <c r="M510" s="14" t="n">
        <v>1.074666666666667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230-2025-12-31</t>
        </is>
      </c>
    </row>
    <row r="511" hidden="1">
      <c r="A511" s="26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109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35</v>
      </c>
      <c r="K511" s="5" t="n">
        <v>40.58</v>
      </c>
      <c r="L511" s="74" t="n">
        <v>1.159428571428571</v>
      </c>
      <c r="M511" s="14" t="n">
        <v>1.159428571428571</v>
      </c>
      <c r="N511" s="5" t="n"/>
      <c r="O511" s="5" t="n"/>
      <c r="P511" s="5" t="n">
        <v>0</v>
      </c>
      <c r="Q511" s="5" t="n">
        <v>0</v>
      </c>
      <c r="R511" s="5" t="inlineStr">
        <is>
          <t>231-2023-06-30</t>
        </is>
      </c>
    </row>
    <row r="512" hidden="1">
      <c r="A512" s="28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109" t="n">
        <v>45291</v>
      </c>
      <c r="G512" s="5" t="n">
        <v>2023</v>
      </c>
      <c r="H512" s="5" t="inlineStr">
        <is>
          <t>Diciembre</t>
        </is>
      </c>
      <c r="I512" s="6" t="inlineStr">
        <is>
          <t>2023-2</t>
        </is>
      </c>
      <c r="J512" s="5" t="n">
        <v>35</v>
      </c>
      <c r="K512" s="5" t="n">
        <v>96.44</v>
      </c>
      <c r="L512" s="74" t="n">
        <v>1.3</v>
      </c>
      <c r="M512" s="14" t="n">
        <v>2.755428571428571</v>
      </c>
      <c r="N512" s="5" t="n"/>
      <c r="O512" s="5" t="n"/>
      <c r="P512" s="5" t="n">
        <v>0</v>
      </c>
      <c r="Q512" s="5" t="n">
        <v>0</v>
      </c>
      <c r="R512" s="5" t="inlineStr">
        <is>
          <t>231-2023-12-31</t>
        </is>
      </c>
    </row>
    <row r="513" hidden="1">
      <c r="A513" s="26" t="n">
        <v>231</v>
      </c>
      <c r="B513" s="5" t="inlineStr">
        <is>
          <t>Asistencia Eventos de Formación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109" t="n">
        <v>45473</v>
      </c>
      <c r="G513" s="5" t="n">
        <v>2024</v>
      </c>
      <c r="H513" s="5" t="inlineStr">
        <is>
          <t>Junio</t>
        </is>
      </c>
      <c r="I513" s="6" t="inlineStr">
        <is>
          <t>2024-1</t>
        </is>
      </c>
      <c r="J513" s="5" t="n">
        <v>35</v>
      </c>
      <c r="K513" s="5" t="n">
        <v>96.75</v>
      </c>
      <c r="L513" s="74" t="n">
        <v>1.3</v>
      </c>
      <c r="M513" s="14" t="n">
        <v>2.764285714285714</v>
      </c>
      <c r="N513" s="5" t="n"/>
      <c r="O513" s="5" t="n"/>
      <c r="P513" s="5" t="n">
        <v>0</v>
      </c>
      <c r="Q513" s="5" t="n">
        <v>0</v>
      </c>
      <c r="R513" s="5" t="inlineStr">
        <is>
          <t>231-2024-06-30</t>
        </is>
      </c>
    </row>
    <row r="514" hidden="1">
      <c r="A514" s="5" t="n">
        <v>231</v>
      </c>
      <c r="B514" s="5" t="inlineStr">
        <is>
          <t>Asistencia Eventos de Formación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09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35</v>
      </c>
      <c r="K514" s="5" t="n">
        <v>104.19</v>
      </c>
      <c r="L514" s="14" t="n">
        <v>1.3</v>
      </c>
      <c r="M514" s="14" t="n">
        <v>2.976857142857143</v>
      </c>
      <c r="N514" s="5" t="n"/>
      <c r="O514" s="5" t="n"/>
      <c r="P514" s="5" t="n">
        <v>0</v>
      </c>
      <c r="Q514" s="5" t="n">
        <v>0</v>
      </c>
      <c r="R514" s="5" t="inlineStr">
        <is>
          <t>231-2024-12-31</t>
        </is>
      </c>
    </row>
    <row r="515" hidden="1">
      <c r="A515" s="5" t="n">
        <v>231</v>
      </c>
      <c r="B515" s="5" t="inlineStr">
        <is>
          <t>Asistencia Eventos de Formación en Materia Ambiental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109" t="n">
        <v>45838</v>
      </c>
      <c r="G515" s="5" t="n">
        <v>2025</v>
      </c>
      <c r="H515" s="5" t="inlineStr">
        <is>
          <t>Junio</t>
        </is>
      </c>
      <c r="I515" s="6" t="inlineStr">
        <is>
          <t>2025-1</t>
        </is>
      </c>
      <c r="J515" s="5" t="n">
        <v>35</v>
      </c>
      <c r="K515" s="5" t="n">
        <v>570.89</v>
      </c>
      <c r="L515" s="14" t="n">
        <v>1.3</v>
      </c>
      <c r="M515" s="14" t="n">
        <v>16.31114285714286</v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231-2025-06-30</t>
        </is>
      </c>
    </row>
    <row r="516" hidden="1">
      <c r="A516" s="5" t="n">
        <v>231</v>
      </c>
      <c r="B516" s="5" t="inlineStr">
        <is>
          <t>Asistencia Eventos de Formación en Materia Ambiental</t>
        </is>
      </c>
      <c r="C516" s="5" t="inlineStr">
        <is>
          <t>GESTIÓN AMBIENTAL</t>
        </is>
      </c>
      <c r="D516" s="5" t="inlineStr">
        <is>
          <t>Trimestral</t>
        </is>
      </c>
      <c r="E516" s="5" t="inlineStr">
        <is>
          <t>Positivo</t>
        </is>
      </c>
      <c r="F516" s="109" t="n">
        <v>46022</v>
      </c>
      <c r="G516" s="15" t="n">
        <v>2025</v>
      </c>
      <c r="H516" s="6" t="inlineStr">
        <is>
          <t>Diciembre</t>
        </is>
      </c>
      <c r="I516" s="6" t="inlineStr">
        <is>
          <t>2025-2</t>
        </is>
      </c>
      <c r="J516" s="5" t="n">
        <v>35</v>
      </c>
      <c r="K516" s="5" t="n">
        <v>7277.98</v>
      </c>
      <c r="L516" s="74" t="n">
        <v>1.3</v>
      </c>
      <c r="M516" s="14" t="n">
        <v>207.9422857142857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231-2025-12-31</t>
        </is>
      </c>
    </row>
    <row r="517" hidden="1">
      <c r="A517" s="26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Semestral</t>
        </is>
      </c>
      <c r="E517" s="5" t="inlineStr">
        <is>
          <t>Positivo</t>
        </is>
      </c>
      <c r="F517" s="109" t="n">
        <v>45107</v>
      </c>
      <c r="G517" s="5" t="n">
        <v>2023</v>
      </c>
      <c r="H517" s="5" t="inlineStr">
        <is>
          <t>Junio</t>
        </is>
      </c>
      <c r="I517" s="6" t="inlineStr">
        <is>
          <t>2023-1</t>
        </is>
      </c>
      <c r="J517" s="5" t="n">
        <v>90</v>
      </c>
      <c r="K517" s="5" t="n">
        <v>100</v>
      </c>
      <c r="L517" s="74" t="n">
        <v>1.111111111111111</v>
      </c>
      <c r="M517" s="14" t="n">
        <v>1.111111111111111</v>
      </c>
      <c r="N517" s="5" t="n"/>
      <c r="O517" s="5" t="n"/>
      <c r="P517" s="5" t="n">
        <v>0</v>
      </c>
      <c r="Q517" s="5" t="n">
        <v>0</v>
      </c>
      <c r="R517" s="5" t="inlineStr">
        <is>
          <t>232-2023-06-30</t>
        </is>
      </c>
    </row>
    <row r="518" hidden="1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Semestral</t>
        </is>
      </c>
      <c r="E518" s="5" t="inlineStr">
        <is>
          <t>Positivo</t>
        </is>
      </c>
      <c r="F518" s="109" t="n">
        <v>45291</v>
      </c>
      <c r="G518" s="15" t="n">
        <v>2023</v>
      </c>
      <c r="H518" s="6" t="inlineStr">
        <is>
          <t>Diciembre</t>
        </is>
      </c>
      <c r="I518" s="6" t="inlineStr">
        <is>
          <t>2023-2</t>
        </is>
      </c>
      <c r="J518" s="5" t="n">
        <v>90</v>
      </c>
      <c r="K518" s="5" t="n">
        <v>91.3</v>
      </c>
      <c r="L518" s="74" t="n">
        <v>1.014444444444444</v>
      </c>
      <c r="M518" s="14" t="n">
        <v>1.014444444444444</v>
      </c>
      <c r="N518" s="5" t="n"/>
      <c r="O518" s="5" t="n"/>
      <c r="P518" s="5" t="n">
        <v>0</v>
      </c>
      <c r="Q518" s="5" t="n">
        <v>0</v>
      </c>
      <c r="R518" s="5" t="inlineStr">
        <is>
          <t>232-2023-12-31</t>
        </is>
      </c>
    </row>
    <row r="519" hidden="1">
      <c r="A519" s="5" t="n">
        <v>232</v>
      </c>
      <c r="B519" s="5" t="inlineStr">
        <is>
          <t>Ejecución de las Comunicaciones en Materia Ambiental</t>
        </is>
      </c>
      <c r="C519" s="5" t="inlineStr">
        <is>
          <t>GESTIÓN AMBIENTAL</t>
        </is>
      </c>
      <c r="D519" s="5" t="inlineStr">
        <is>
          <t>Semestral</t>
        </is>
      </c>
      <c r="E519" s="5" t="inlineStr">
        <is>
          <t>Positivo</t>
        </is>
      </c>
      <c r="F519" s="109" t="n">
        <v>45473</v>
      </c>
      <c r="G519" s="15" t="n">
        <v>2024</v>
      </c>
      <c r="H519" s="6" t="inlineStr">
        <is>
          <t>Junio</t>
        </is>
      </c>
      <c r="I519" s="6" t="inlineStr">
        <is>
          <t>2024-1</t>
        </is>
      </c>
      <c r="J519" s="5" t="n">
        <v>90</v>
      </c>
      <c r="K519" s="5" t="n">
        <v>95.45</v>
      </c>
      <c r="L519" s="74" t="n">
        <v>1.060555555555556</v>
      </c>
      <c r="M519" s="14" t="n">
        <v>1.060555555555556</v>
      </c>
      <c r="N519" s="5" t="n"/>
      <c r="O519" s="5" t="n"/>
      <c r="P519" s="5" t="n">
        <v>0</v>
      </c>
      <c r="Q519" s="5" t="n">
        <v>0</v>
      </c>
      <c r="R519" s="5" t="inlineStr">
        <is>
          <t>232-2024-06-30</t>
        </is>
      </c>
    </row>
    <row r="520" hidden="1">
      <c r="A520" s="5" t="n">
        <v>232</v>
      </c>
      <c r="B520" s="5" t="inlineStr">
        <is>
          <t>Ejecución de las Comunicaciones en Materia Ambiental</t>
        </is>
      </c>
      <c r="C520" s="5" t="inlineStr">
        <is>
          <t>GESTIÓN AMBIENTAL</t>
        </is>
      </c>
      <c r="D520" s="5" t="inlineStr">
        <is>
          <t>Semestral</t>
        </is>
      </c>
      <c r="E520" s="5" t="inlineStr">
        <is>
          <t>Positivo</t>
        </is>
      </c>
      <c r="F520" s="109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90</v>
      </c>
      <c r="K520" s="5" t="n">
        <v>100</v>
      </c>
      <c r="L520" s="14" t="n">
        <v>1.111111111111111</v>
      </c>
      <c r="M520" s="14" t="n">
        <v>1.111111111111111</v>
      </c>
      <c r="N520" s="5" t="n"/>
      <c r="O520" s="5" t="n"/>
      <c r="P520" s="5" t="n">
        <v>0</v>
      </c>
      <c r="Q520" s="5" t="n">
        <v>0</v>
      </c>
      <c r="R520" s="5" t="inlineStr">
        <is>
          <t>232-2024-12-31</t>
        </is>
      </c>
    </row>
    <row r="521" hidden="1">
      <c r="A521" s="5" t="n">
        <v>232</v>
      </c>
      <c r="B521" s="5" t="inlineStr">
        <is>
          <t>Ejecución de las Comunicaciones en Materia Ambiental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09" t="n">
        <v>45838</v>
      </c>
      <c r="G521" s="5" t="n">
        <v>2025</v>
      </c>
      <c r="H521" s="5" t="inlineStr">
        <is>
          <t>Junio</t>
        </is>
      </c>
      <c r="I521" s="6" t="inlineStr">
        <is>
          <t>2025-1</t>
        </is>
      </c>
      <c r="J521" s="5" t="n">
        <v>90</v>
      </c>
      <c r="K521" s="5" t="n">
        <v>85.70999999999999</v>
      </c>
      <c r="L521" s="14" t="n">
        <v>0.9523333333333333</v>
      </c>
      <c r="M521" s="14" t="n">
        <v>0.9523333333333333</v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 t="inlineStr">
        <is>
          <t>232-2025-06-30</t>
        </is>
      </c>
    </row>
    <row r="522" hidden="1">
      <c r="A522" s="28" t="n">
        <v>232</v>
      </c>
      <c r="B522" s="5" t="inlineStr">
        <is>
          <t>Ejecución de las Comunicaciones en Materia Ambiental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09" t="n">
        <v>46022</v>
      </c>
      <c r="G522" s="5" t="n">
        <v>2025</v>
      </c>
      <c r="H522" s="5" t="inlineStr">
        <is>
          <t>Diciembre</t>
        </is>
      </c>
      <c r="I522" s="6" t="inlineStr">
        <is>
          <t>2025-2</t>
        </is>
      </c>
      <c r="J522" s="5" t="n">
        <v>90</v>
      </c>
      <c r="K522" s="5" t="n">
        <v>80.84999999999999</v>
      </c>
      <c r="L522" s="74" t="n">
        <v>0.8983333333333333</v>
      </c>
      <c r="M522" s="14" t="n">
        <v>0.8983333333333333</v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 t="inlineStr">
        <is>
          <t>232-2025-12-31</t>
        </is>
      </c>
    </row>
    <row r="523" hidden="1">
      <c r="A523" s="26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109" t="n">
        <v>45016</v>
      </c>
      <c r="G523" s="5" t="n">
        <v>2023</v>
      </c>
      <c r="H523" s="5" t="inlineStr">
        <is>
          <t>Marzo</t>
        </is>
      </c>
      <c r="I523" s="6" t="inlineStr">
        <is>
          <t>2023-1</t>
        </is>
      </c>
      <c r="J523" s="5" t="n">
        <v>20</v>
      </c>
      <c r="K523" s="5" t="n">
        <v>45.98682434455237</v>
      </c>
      <c r="L523" s="74" t="n">
        <v>1.3</v>
      </c>
      <c r="M523" s="14" t="n">
        <v>2.299341217227618</v>
      </c>
      <c r="N523" s="5" t="n"/>
      <c r="O523" s="5" t="n"/>
      <c r="P523" s="5" t="n">
        <v>0</v>
      </c>
      <c r="Q523" s="5" t="n">
        <v>0</v>
      </c>
      <c r="R523" s="5" t="inlineStr">
        <is>
          <t>233-2023-03-31</t>
        </is>
      </c>
    </row>
    <row r="524" hidden="1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109" t="n">
        <v>45107</v>
      </c>
      <c r="G524" s="5" t="n">
        <v>2023</v>
      </c>
      <c r="H524" s="5" t="inlineStr">
        <is>
          <t>Junio</t>
        </is>
      </c>
      <c r="I524" s="6" t="inlineStr">
        <is>
          <t>2023-1</t>
        </is>
      </c>
      <c r="J524" s="5" t="n">
        <v>20</v>
      </c>
      <c r="K524" s="5" t="n">
        <v>45.98682434455237</v>
      </c>
      <c r="L524" s="14" t="n">
        <v>1.3</v>
      </c>
      <c r="M524" s="14" t="n">
        <v>2.299341217227618</v>
      </c>
      <c r="N524" s="5" t="n"/>
      <c r="O524" s="5" t="n"/>
      <c r="P524" s="5" t="n">
        <v>0</v>
      </c>
      <c r="Q524" s="5" t="n">
        <v>0</v>
      </c>
      <c r="R524" s="5" t="inlineStr">
        <is>
          <t>233-2023-06-30</t>
        </is>
      </c>
    </row>
    <row r="525" hidden="1">
      <c r="A525" s="5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109" t="n">
        <v>45199</v>
      </c>
      <c r="G525" s="5" t="n">
        <v>2023</v>
      </c>
      <c r="H525" s="5" t="inlineStr">
        <is>
          <t>Septiembre</t>
        </is>
      </c>
      <c r="I525" s="6" t="inlineStr">
        <is>
          <t>2023-2</t>
        </is>
      </c>
      <c r="J525" s="5" t="n">
        <v>20</v>
      </c>
      <c r="K525" s="5" t="n">
        <v>18.51932731582877</v>
      </c>
      <c r="L525" s="14" t="n">
        <v>0.9259663657914385</v>
      </c>
      <c r="M525" s="14" t="n">
        <v>0.9259663657914385</v>
      </c>
      <c r="N525" s="5" t="n"/>
      <c r="O525" s="5" t="n"/>
      <c r="P525" s="5" t="n">
        <v>0</v>
      </c>
      <c r="Q525" s="5" t="n">
        <v>0</v>
      </c>
      <c r="R525" s="5" t="inlineStr">
        <is>
          <t>233-2023-09-30</t>
        </is>
      </c>
    </row>
    <row r="526" hidden="1">
      <c r="A526" s="28" t="n">
        <v>233</v>
      </c>
      <c r="B526" s="5" t="inlineStr">
        <is>
          <t>Impacto de las Comunicaciones Correo Electrónico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09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20</v>
      </c>
      <c r="K526" s="5" t="n">
        <v>18.51932731582877</v>
      </c>
      <c r="L526" s="14" t="n">
        <v>0.9259663657914385</v>
      </c>
      <c r="M526" s="14" t="n">
        <v>0.9259663657914385</v>
      </c>
      <c r="N526" s="5" t="n"/>
      <c r="O526" s="5" t="n"/>
      <c r="P526" s="5" t="n">
        <v>0</v>
      </c>
      <c r="Q526" s="5" t="n">
        <v>0</v>
      </c>
      <c r="R526" s="5" t="inlineStr">
        <is>
          <t>233-2023-12-31</t>
        </is>
      </c>
    </row>
    <row r="527" hidden="1">
      <c r="A527" s="26" t="n">
        <v>233</v>
      </c>
      <c r="B527" s="5" t="inlineStr">
        <is>
          <t>Impacto de las Comunicaciones Correo Electrónico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09" t="n">
        <v>45473</v>
      </c>
      <c r="G527" s="5" t="n">
        <v>2024</v>
      </c>
      <c r="H527" s="5" t="inlineStr">
        <is>
          <t>Junio</t>
        </is>
      </c>
      <c r="I527" s="6" t="inlineStr">
        <is>
          <t>2024-1</t>
        </is>
      </c>
      <c r="J527" s="5" t="n">
        <v>20</v>
      </c>
      <c r="K527" s="5" t="n">
        <v>33.45861575395625</v>
      </c>
      <c r="L527" s="14" t="n">
        <v>1.3</v>
      </c>
      <c r="M527" s="14" t="n">
        <v>1.672930787697813</v>
      </c>
      <c r="N527" s="5" t="n"/>
      <c r="O527" s="5" t="n"/>
      <c r="P527" s="5" t="n">
        <v>0</v>
      </c>
      <c r="Q527" s="5" t="n">
        <v>0</v>
      </c>
      <c r="R527" s="5" t="inlineStr">
        <is>
          <t>233-2024-06-30</t>
        </is>
      </c>
    </row>
    <row r="528" hidden="1">
      <c r="A528" s="5" t="n">
        <v>233</v>
      </c>
      <c r="B528" s="5" t="inlineStr">
        <is>
          <t>Impacto de las Comunicaciones Correo Electrónico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09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20</v>
      </c>
      <c r="K528" s="5" t="n">
        <v>31.82123655913979</v>
      </c>
      <c r="L528" s="14" t="n">
        <v>1.3</v>
      </c>
      <c r="M528" s="14" t="n">
        <v>1.591061827956989</v>
      </c>
      <c r="N528" s="5" t="n"/>
      <c r="O528" s="5" t="n"/>
      <c r="P528" s="5" t="n">
        <v>0</v>
      </c>
      <c r="Q528" s="5" t="n">
        <v>0</v>
      </c>
      <c r="R528" s="5" t="inlineStr">
        <is>
          <t>233-2024-12-31</t>
        </is>
      </c>
    </row>
    <row r="529" hidden="1">
      <c r="A529" s="5" t="n">
        <v>233</v>
      </c>
      <c r="B529" s="5" t="inlineStr">
        <is>
          <t>Impacto de las Comunicaciones Correo Electrónico</t>
        </is>
      </c>
      <c r="C529" s="5" t="inlineStr">
        <is>
          <t>GESTIÓN AMBIENTAL</t>
        </is>
      </c>
      <c r="D529" s="5" t="inlineStr">
        <is>
          <t>Semestral</t>
        </is>
      </c>
      <c r="E529" s="5" t="inlineStr">
        <is>
          <t>Positivo</t>
        </is>
      </c>
      <c r="F529" s="109" t="n">
        <v>45838</v>
      </c>
      <c r="G529" s="5" t="n">
        <v>2025</v>
      </c>
      <c r="H529" s="5" t="inlineStr">
        <is>
          <t>Junio</t>
        </is>
      </c>
      <c r="I529" s="6" t="inlineStr">
        <is>
          <t>2025-1</t>
        </is>
      </c>
      <c r="J529" s="5" t="n">
        <v>20</v>
      </c>
      <c r="K529" s="5" t="n">
        <v>22.315</v>
      </c>
      <c r="L529" s="14" t="n">
        <v>1.11575</v>
      </c>
      <c r="M529" s="14" t="n">
        <v>1.11575</v>
      </c>
      <c r="N529" s="5" t="inlineStr">
        <is>
          <t>%</t>
        </is>
      </c>
      <c r="O529" s="5" t="inlineStr">
        <is>
          <t>%</t>
        </is>
      </c>
      <c r="P529" s="5" t="n">
        <v>0</v>
      </c>
      <c r="Q529" s="5" t="n">
        <v>0</v>
      </c>
      <c r="R529" s="5" t="inlineStr">
        <is>
          <t>233-2025-06-30</t>
        </is>
      </c>
    </row>
    <row r="530" hidden="1">
      <c r="A530" s="28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9" t="n">
        <v>45016</v>
      </c>
      <c r="G530" s="5" t="n">
        <v>2023</v>
      </c>
      <c r="H530" s="5" t="inlineStr">
        <is>
          <t>Marzo</t>
        </is>
      </c>
      <c r="I530" s="6" t="inlineStr">
        <is>
          <t>2023-1</t>
        </is>
      </c>
      <c r="J530" s="5" t="n">
        <v>4000</v>
      </c>
      <c r="K530" s="5" t="n">
        <v>5267.875</v>
      </c>
      <c r="L530" s="74" t="n">
        <v>1.3</v>
      </c>
      <c r="M530" s="14" t="n">
        <v>1.31696875</v>
      </c>
      <c r="N530" s="5" t="n"/>
      <c r="O530" s="5" t="n"/>
      <c r="P530" s="5" t="n">
        <v>0</v>
      </c>
      <c r="Q530" s="5" t="n">
        <v>0</v>
      </c>
      <c r="R530" s="5" t="inlineStr">
        <is>
          <t>234-2023-03-31</t>
        </is>
      </c>
    </row>
    <row r="531" hidden="1">
      <c r="A531" s="26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09" t="n">
        <v>45107</v>
      </c>
      <c r="G531" s="5" t="n">
        <v>2023</v>
      </c>
      <c r="H531" s="5" t="inlineStr">
        <is>
          <t>Junio</t>
        </is>
      </c>
      <c r="I531" s="6" t="inlineStr">
        <is>
          <t>2023-1</t>
        </is>
      </c>
      <c r="J531" s="5" t="n">
        <v>4000</v>
      </c>
      <c r="K531" s="5" t="n">
        <v>5267.875</v>
      </c>
      <c r="L531" s="74" t="n">
        <v>1.3</v>
      </c>
      <c r="M531" s="14" t="n">
        <v>1.31696875</v>
      </c>
      <c r="N531" s="5" t="n"/>
      <c r="O531" s="5" t="n"/>
      <c r="P531" s="5" t="n">
        <v>0</v>
      </c>
      <c r="Q531" s="5" t="n">
        <v>0</v>
      </c>
      <c r="R531" s="5" t="inlineStr">
        <is>
          <t>234-2023-06-30</t>
        </is>
      </c>
    </row>
    <row r="532" hidden="1">
      <c r="A532" s="5" t="n">
        <v>234</v>
      </c>
      <c r="B532" s="5" t="inlineStr">
        <is>
          <t>Impacto de las Comunicaciones en Materia Ambiental a Través de Redes Sociales - Instagram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09" t="n">
        <v>45199</v>
      </c>
      <c r="G532" s="5" t="n">
        <v>2023</v>
      </c>
      <c r="H532" s="5" t="inlineStr">
        <is>
          <t>Septiembre</t>
        </is>
      </c>
      <c r="I532" s="6" t="inlineStr">
        <is>
          <t>2023-2</t>
        </is>
      </c>
      <c r="J532" s="5" t="n">
        <v>4000</v>
      </c>
      <c r="K532" s="5" t="n">
        <v>8303.625</v>
      </c>
      <c r="L532" s="14" t="n">
        <v>1.3</v>
      </c>
      <c r="M532" s="14" t="n">
        <v>2.07590625</v>
      </c>
      <c r="N532" s="5" t="n"/>
      <c r="O532" s="5" t="n"/>
      <c r="P532" s="5" t="n">
        <v>0</v>
      </c>
      <c r="Q532" s="5" t="n">
        <v>0</v>
      </c>
      <c r="R532" s="5" t="inlineStr">
        <is>
          <t>234-2023-09-30</t>
        </is>
      </c>
    </row>
    <row r="533" hidden="1">
      <c r="A533" s="5" t="n">
        <v>234</v>
      </c>
      <c r="B533" s="5" t="inlineStr">
        <is>
          <t>Impacto de las Comunicaciones en Materia Ambiental a Través de Redes Sociales - Instagram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09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4000</v>
      </c>
      <c r="K533" s="5" t="n">
        <v>8303.625</v>
      </c>
      <c r="L533" s="14" t="n">
        <v>1.3</v>
      </c>
      <c r="M533" s="14" t="n">
        <v>2.07590625</v>
      </c>
      <c r="N533" s="5" t="n"/>
      <c r="O533" s="5" t="n"/>
      <c r="P533" s="5" t="n">
        <v>0</v>
      </c>
      <c r="Q533" s="5" t="n">
        <v>0</v>
      </c>
      <c r="R533" s="5" t="inlineStr">
        <is>
          <t>234-2023-12-31</t>
        </is>
      </c>
    </row>
    <row r="534" hidden="1">
      <c r="A534" s="28" t="n">
        <v>234</v>
      </c>
      <c r="B534" s="5" t="inlineStr">
        <is>
          <t>Impacto de las Comunicaciones en Materia Ambiental a Través de Redes Sociales - Instagram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09" t="n">
        <v>45473</v>
      </c>
      <c r="G534" s="5" t="n">
        <v>2024</v>
      </c>
      <c r="H534" s="5" t="inlineStr">
        <is>
          <t>Junio</t>
        </is>
      </c>
      <c r="I534" s="6" t="inlineStr">
        <is>
          <t>2024-1</t>
        </is>
      </c>
      <c r="J534" s="5" t="n">
        <v>4000</v>
      </c>
      <c r="K534" s="5" t="n">
        <v>4343.791666666666</v>
      </c>
      <c r="L534" s="14" t="n">
        <v>1.085947916666667</v>
      </c>
      <c r="M534" s="14" t="n">
        <v>1.085947916666667</v>
      </c>
      <c r="N534" s="5" t="n"/>
      <c r="O534" s="5" t="n"/>
      <c r="P534" s="5" t="n">
        <v>0</v>
      </c>
      <c r="Q534" s="5" t="n">
        <v>0</v>
      </c>
      <c r="R534" s="5" t="inlineStr">
        <is>
          <t>234-2024-06-30</t>
        </is>
      </c>
    </row>
    <row r="535" hidden="1">
      <c r="A535" s="26" t="n">
        <v>234</v>
      </c>
      <c r="B535" s="5" t="inlineStr">
        <is>
          <t>Impacto de las Comunicaciones en Materia Ambiental a Través de Redes Sociales - Instagram</t>
        </is>
      </c>
      <c r="C535" s="5" t="inlineStr">
        <is>
          <t>GESTIÓN AMBIENTAL</t>
        </is>
      </c>
      <c r="D535" s="5" t="inlineStr">
        <is>
          <t>Trimestral</t>
        </is>
      </c>
      <c r="E535" s="5" t="inlineStr">
        <is>
          <t>Positivo</t>
        </is>
      </c>
      <c r="F535" s="109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4000</v>
      </c>
      <c r="K535" s="5" t="n">
        <v>4218</v>
      </c>
      <c r="L535" s="14" t="n">
        <v>1.0545</v>
      </c>
      <c r="M535" s="14" t="n">
        <v>1.0545</v>
      </c>
      <c r="N535" s="5" t="n"/>
      <c r="O535" s="5" t="n"/>
      <c r="P535" s="5" t="n">
        <v>0</v>
      </c>
      <c r="Q535" s="5" t="n">
        <v>0</v>
      </c>
      <c r="R535" s="5" t="inlineStr">
        <is>
          <t>234-2024-12-31</t>
        </is>
      </c>
    </row>
    <row r="536" hidden="1">
      <c r="A536" s="5" t="n">
        <v>234</v>
      </c>
      <c r="B536" s="5" t="inlineStr">
        <is>
          <t>Impacto de las Comunicaciones en Materia Ambiental a Través de Redes Sociales - Instagram</t>
        </is>
      </c>
      <c r="C536" s="5" t="inlineStr">
        <is>
          <t>GESTIÓN AMBIENTAL</t>
        </is>
      </c>
      <c r="D536" s="5" t="inlineStr">
        <is>
          <t>Semestral</t>
        </is>
      </c>
      <c r="E536" s="5" t="inlineStr">
        <is>
          <t>Positivo</t>
        </is>
      </c>
      <c r="F536" s="109" t="n">
        <v>45838</v>
      </c>
      <c r="G536" s="5" t="n">
        <v>2025</v>
      </c>
      <c r="H536" s="5" t="inlineStr">
        <is>
          <t>Junio</t>
        </is>
      </c>
      <c r="I536" s="6" t="inlineStr">
        <is>
          <t>2025-1</t>
        </is>
      </c>
      <c r="J536" s="5" t="n">
        <v>4000</v>
      </c>
      <c r="K536" s="5" t="n">
        <v>10577.25</v>
      </c>
      <c r="L536" s="14" t="n">
        <v>1.3</v>
      </c>
      <c r="M536" s="14" t="n">
        <v>2.6443125</v>
      </c>
      <c r="N536" s="5" t="inlineStr">
        <is>
          <t>ENT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234-2025-06-30</t>
        </is>
      </c>
    </row>
    <row r="537" hidden="1">
      <c r="A537" s="5" t="n">
        <v>235</v>
      </c>
      <c r="B537" s="5" t="inlineStr">
        <is>
          <t>Cumplimiento de Requisitos Legales Ambientales Aplicables</t>
        </is>
      </c>
      <c r="C537" s="5" t="inlineStr">
        <is>
          <t>GESTIÓN AMBIENTAL</t>
        </is>
      </c>
      <c r="D537" s="5" t="inlineStr">
        <is>
          <t>Anual</t>
        </is>
      </c>
      <c r="E537" s="5" t="inlineStr">
        <is>
          <t>Positivo</t>
        </is>
      </c>
      <c r="F537" s="109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100</v>
      </c>
      <c r="K537" s="5" t="n">
        <v>81.65289256198299</v>
      </c>
      <c r="L537" s="14" t="n">
        <v>0.8165289256198299</v>
      </c>
      <c r="M537" s="14" t="n">
        <v>0.8165289256198299</v>
      </c>
      <c r="N537" s="5" t="n"/>
      <c r="O537" s="5" t="n"/>
      <c r="P537" s="5" t="n">
        <v>0</v>
      </c>
      <c r="Q537" s="5" t="n">
        <v>0</v>
      </c>
      <c r="R537" s="5" t="inlineStr">
        <is>
          <t>235-2023-12-31</t>
        </is>
      </c>
    </row>
    <row r="538" hidden="1">
      <c r="A538" s="28" t="n">
        <v>235</v>
      </c>
      <c r="B538" s="5" t="inlineStr">
        <is>
          <t>Cumplimiento de Requisitos Legales Ambientales Aplicables</t>
        </is>
      </c>
      <c r="C538" s="5" t="inlineStr">
        <is>
          <t>GESTIÓN AMBIENTAL</t>
        </is>
      </c>
      <c r="D538" s="5" t="inlineStr">
        <is>
          <t>Anual</t>
        </is>
      </c>
      <c r="E538" s="5" t="inlineStr">
        <is>
          <t>Positivo</t>
        </is>
      </c>
      <c r="F538" s="109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92.012779552716</v>
      </c>
      <c r="L538" s="74" t="n">
        <v>0.92012779552716</v>
      </c>
      <c r="M538" s="14" t="n">
        <v>0.92012779552716</v>
      </c>
      <c r="N538" s="5" t="n"/>
      <c r="O538" s="5" t="n"/>
      <c r="P538" s="5" t="n">
        <v>0</v>
      </c>
      <c r="Q538" s="5" t="n">
        <v>0</v>
      </c>
      <c r="R538" s="5" t="inlineStr">
        <is>
          <t>235-2024-12-31</t>
        </is>
      </c>
    </row>
    <row r="539" hidden="1">
      <c r="A539" s="26" t="n">
        <v>236</v>
      </c>
      <c r="B539" s="5" t="inlineStr">
        <is>
          <t>Actos Administrativos o Decisiones Judiciales Ambientales</t>
        </is>
      </c>
      <c r="C539" s="5" t="inlineStr">
        <is>
          <t>GESTIÓN AMBIENTAL</t>
        </is>
      </c>
      <c r="D539" s="5" t="inlineStr">
        <is>
          <t>Anual</t>
        </is>
      </c>
      <c r="E539" s="5" t="inlineStr">
        <is>
          <t>Negativo</t>
        </is>
      </c>
      <c r="F539" s="109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0</v>
      </c>
      <c r="K539" s="5" t="n">
        <v>0</v>
      </c>
      <c r="L539" s="74" t="n">
        <v>1</v>
      </c>
      <c r="M539" s="14" t="n">
        <v>1</v>
      </c>
      <c r="N539" s="5" t="n"/>
      <c r="O539" s="5" t="n"/>
      <c r="P539" s="5" t="n">
        <v>0</v>
      </c>
      <c r="Q539" s="5" t="n">
        <v>0</v>
      </c>
      <c r="R539" s="5" t="inlineStr">
        <is>
          <t>236-2023-12-31</t>
        </is>
      </c>
    </row>
    <row r="540" hidden="1">
      <c r="A540" s="26" t="n">
        <v>236</v>
      </c>
      <c r="B540" s="5" t="inlineStr">
        <is>
          <t>Actos Administrativos o Decisiones Judiciales Ambientales</t>
        </is>
      </c>
      <c r="C540" s="5" t="inlineStr">
        <is>
          <t>GESTIÓN AMBIENTAL</t>
        </is>
      </c>
      <c r="D540" s="5" t="inlineStr">
        <is>
          <t>Anual</t>
        </is>
      </c>
      <c r="E540" s="5" t="inlineStr">
        <is>
          <t>Negativo</t>
        </is>
      </c>
      <c r="F540" s="109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0</v>
      </c>
      <c r="K540" s="5" t="n">
        <v>0</v>
      </c>
      <c r="L540" s="74" t="n">
        <v>1</v>
      </c>
      <c r="M540" s="14" t="n">
        <v>1</v>
      </c>
      <c r="N540" s="5" t="n"/>
      <c r="O540" s="5" t="n"/>
      <c r="P540" s="5" t="n">
        <v>0</v>
      </c>
      <c r="Q540" s="5" t="n">
        <v>0</v>
      </c>
      <c r="R540" s="5" t="inlineStr">
        <is>
          <t>236-2024-12-31</t>
        </is>
      </c>
    </row>
    <row r="541" hidden="1">
      <c r="A541" s="5" t="n">
        <v>236</v>
      </c>
      <c r="B541" s="5" t="inlineStr">
        <is>
          <t>Actos Administrativos o Decisiones Judiciales Ambientales</t>
        </is>
      </c>
      <c r="C541" s="5" t="inlineStr">
        <is>
          <t>GESTIÓN AMBIENTAL</t>
        </is>
      </c>
      <c r="D541" s="5" t="inlineStr">
        <is>
          <t>Anual</t>
        </is>
      </c>
      <c r="E541" s="5" t="inlineStr">
        <is>
          <t>Negativo</t>
        </is>
      </c>
      <c r="F541" s="109" t="n">
        <v>46022</v>
      </c>
      <c r="G541" s="5" t="n">
        <v>2025</v>
      </c>
      <c r="H541" s="5" t="inlineStr">
        <is>
          <t>Diciembre</t>
        </is>
      </c>
      <c r="I541" s="6" t="inlineStr">
        <is>
          <t>2025-2</t>
        </is>
      </c>
      <c r="J541" s="5" t="n">
        <v>0</v>
      </c>
      <c r="K541" s="5" t="n">
        <v>0</v>
      </c>
      <c r="L541" s="14" t="n">
        <v>1</v>
      </c>
      <c r="M541" s="14" t="n">
        <v>1</v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 t="inlineStr">
        <is>
          <t>236-2025-12-31</t>
        </is>
      </c>
    </row>
    <row r="542" hidden="1">
      <c r="A542" s="26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109" t="n">
        <v>45016</v>
      </c>
      <c r="G542" s="5" t="n">
        <v>2023</v>
      </c>
      <c r="H542" s="5" t="inlineStr">
        <is>
          <t>Marzo</t>
        </is>
      </c>
      <c r="I542" s="6" t="inlineStr">
        <is>
          <t>2023-1</t>
        </is>
      </c>
      <c r="J542" s="5" t="n">
        <v>90</v>
      </c>
      <c r="K542" s="5" t="n">
        <v>95.43650793650795</v>
      </c>
      <c r="L542" s="14" t="n">
        <v>1.060405643738977</v>
      </c>
      <c r="M542" s="14" t="n">
        <v>1.060405643738977</v>
      </c>
      <c r="N542" s="5" t="n"/>
      <c r="O542" s="5" t="n"/>
      <c r="P542" s="5" t="n">
        <v>0</v>
      </c>
      <c r="Q542" s="5" t="n">
        <v>0</v>
      </c>
      <c r="R542" s="5" t="inlineStr">
        <is>
          <t>238-2023-03-31</t>
        </is>
      </c>
    </row>
    <row r="543" hidden="1">
      <c r="A543" s="34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Trimestral</t>
        </is>
      </c>
      <c r="E543" s="5" t="inlineStr">
        <is>
          <t>Positivo</t>
        </is>
      </c>
      <c r="F543" s="109" t="n">
        <v>45107</v>
      </c>
      <c r="G543" s="5" t="n">
        <v>2023</v>
      </c>
      <c r="H543" s="5" t="inlineStr">
        <is>
          <t>Junio</t>
        </is>
      </c>
      <c r="I543" s="6" t="inlineStr">
        <is>
          <t>2023-1</t>
        </is>
      </c>
      <c r="J543" s="5" t="n">
        <v>90</v>
      </c>
      <c r="K543" s="5" t="n">
        <v>95.43650793650795</v>
      </c>
      <c r="L543" s="74" t="n">
        <v>1.060405643738977</v>
      </c>
      <c r="M543" s="14" t="n">
        <v>1.060405643738977</v>
      </c>
      <c r="N543" s="5" t="n"/>
      <c r="O543" s="5" t="n"/>
      <c r="P543" s="5" t="n">
        <v>0</v>
      </c>
      <c r="Q543" s="5" t="n">
        <v>0</v>
      </c>
      <c r="R543" s="5" t="inlineStr">
        <is>
          <t>238-2023-06-30</t>
        </is>
      </c>
    </row>
    <row r="544" hidden="1">
      <c r="A544" s="26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Trimestral</t>
        </is>
      </c>
      <c r="E544" s="5" t="inlineStr">
        <is>
          <t>Positivo</t>
        </is>
      </c>
      <c r="F544" s="109" t="n">
        <v>45199</v>
      </c>
      <c r="G544" s="5" t="n">
        <v>2023</v>
      </c>
      <c r="H544" s="5" t="inlineStr">
        <is>
          <t>Septiembre</t>
        </is>
      </c>
      <c r="I544" s="6" t="inlineStr">
        <is>
          <t>2023-2</t>
        </is>
      </c>
      <c r="J544" s="5" t="n">
        <v>90</v>
      </c>
      <c r="K544" s="5" t="n">
        <v>79.60526315789474</v>
      </c>
      <c r="L544" s="74" t="n">
        <v>0.8845029239766082</v>
      </c>
      <c r="M544" s="14" t="n">
        <v>0.8845029239766082</v>
      </c>
      <c r="N544" s="5" t="n"/>
      <c r="O544" s="5" t="n"/>
      <c r="P544" s="5" t="n">
        <v>0</v>
      </c>
      <c r="Q544" s="5" t="n">
        <v>0</v>
      </c>
      <c r="R544" s="5" t="inlineStr">
        <is>
          <t>238-2023-09-30</t>
        </is>
      </c>
    </row>
    <row r="545" hidden="1">
      <c r="A545" s="28" t="n">
        <v>238</v>
      </c>
      <c r="B545" s="5" t="inlineStr">
        <is>
          <t>Cumplimiento de la Protección del Medio Ambiente</t>
        </is>
      </c>
      <c r="C545" s="5" t="inlineStr">
        <is>
          <t>GESTIÓN AMBIENTAL</t>
        </is>
      </c>
      <c r="D545" s="5" t="inlineStr">
        <is>
          <t>Trimestral</t>
        </is>
      </c>
      <c r="E545" s="5" t="inlineStr">
        <is>
          <t>Positivo</t>
        </is>
      </c>
      <c r="F545" s="109" t="n">
        <v>45291</v>
      </c>
      <c r="G545" s="5" t="n">
        <v>2023</v>
      </c>
      <c r="H545" s="5" t="inlineStr">
        <is>
          <t>Diciembre</t>
        </is>
      </c>
      <c r="I545" s="6" t="inlineStr">
        <is>
          <t>2023-2</t>
        </is>
      </c>
      <c r="J545" s="5" t="n">
        <v>90</v>
      </c>
      <c r="K545" s="5" t="n">
        <v>79.60526315789474</v>
      </c>
      <c r="L545" s="74" t="n">
        <v>0.8845029239766082</v>
      </c>
      <c r="M545" s="14" t="n">
        <v>0.8845029239766082</v>
      </c>
      <c r="N545" s="5" t="n"/>
      <c r="O545" s="5" t="n"/>
      <c r="P545" s="5" t="n">
        <v>0</v>
      </c>
      <c r="Q545" s="5" t="n">
        <v>0</v>
      </c>
      <c r="R545" s="5" t="inlineStr">
        <is>
          <t>238-2023-12-31</t>
        </is>
      </c>
    </row>
    <row r="546" hidden="1">
      <c r="A546" s="26" t="n">
        <v>238</v>
      </c>
      <c r="B546" s="5" t="inlineStr">
        <is>
          <t>Cumplimiento de la Protección del Medio Ambiente</t>
        </is>
      </c>
      <c r="C546" s="5" t="inlineStr">
        <is>
          <t>GESTIÓN AMBIENTAL</t>
        </is>
      </c>
      <c r="D546" s="5" t="inlineStr">
        <is>
          <t>Trimestral</t>
        </is>
      </c>
      <c r="E546" s="5" t="inlineStr">
        <is>
          <t>Positivo</t>
        </is>
      </c>
      <c r="F546" s="109" t="n">
        <v>45473</v>
      </c>
      <c r="G546" s="5" t="n">
        <v>2024</v>
      </c>
      <c r="H546" s="5" t="inlineStr">
        <is>
          <t>Junio</t>
        </is>
      </c>
      <c r="I546" s="6" t="inlineStr">
        <is>
          <t>2024-1</t>
        </is>
      </c>
      <c r="J546" s="5" t="n">
        <v>90</v>
      </c>
      <c r="K546" s="5" t="n">
        <v>77.1577380952381</v>
      </c>
      <c r="L546" s="74" t="n">
        <v>0.8573082010582012</v>
      </c>
      <c r="M546" s="14" t="n">
        <v>0.8573082010582012</v>
      </c>
      <c r="N546" s="5" t="n"/>
      <c r="O546" s="5" t="n"/>
      <c r="P546" s="5" t="n">
        <v>0</v>
      </c>
      <c r="Q546" s="5" t="n">
        <v>0</v>
      </c>
      <c r="R546" s="5" t="inlineStr">
        <is>
          <t>238-2024-06-30</t>
        </is>
      </c>
    </row>
    <row r="547" hidden="1">
      <c r="A547" s="5" t="n">
        <v>238</v>
      </c>
      <c r="B547" s="5" t="inlineStr">
        <is>
          <t>Cumplimiento de la Protección del Medio Ambiente</t>
        </is>
      </c>
      <c r="C547" s="5" t="inlineStr">
        <is>
          <t>GESTIÓN AMBIENTAL</t>
        </is>
      </c>
      <c r="D547" s="5" t="inlineStr">
        <is>
          <t>Trimestral</t>
        </is>
      </c>
      <c r="E547" s="5" t="inlineStr">
        <is>
          <t>Positivo</t>
        </is>
      </c>
      <c r="F547" s="109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90</v>
      </c>
      <c r="K547" s="5" t="n">
        <v>82.10526315789474</v>
      </c>
      <c r="L547" s="14" t="n">
        <v>0.912280701754386</v>
      </c>
      <c r="M547" s="14" t="n">
        <v>0.912280701754386</v>
      </c>
      <c r="N547" s="5" t="n"/>
      <c r="O547" s="5" t="n"/>
      <c r="P547" s="5" t="n">
        <v>0</v>
      </c>
      <c r="Q547" s="5" t="n">
        <v>0</v>
      </c>
      <c r="R547" s="5" t="inlineStr">
        <is>
          <t>238-2024-12-31</t>
        </is>
      </c>
    </row>
    <row r="548" hidden="1">
      <c r="A548" s="34" t="n">
        <v>238</v>
      </c>
      <c r="B548" s="5" t="inlineStr">
        <is>
          <t>Cumplimiento de la Protección del Medio Ambiente</t>
        </is>
      </c>
      <c r="C548" s="5" t="inlineStr">
        <is>
          <t>GESTIÓN AMBIENTAL</t>
        </is>
      </c>
      <c r="D548" s="5" t="inlineStr">
        <is>
          <t>Semestral</t>
        </is>
      </c>
      <c r="E548" s="5" t="inlineStr">
        <is>
          <t>Positivo</t>
        </is>
      </c>
      <c r="F548" s="109" t="n">
        <v>45838</v>
      </c>
      <c r="G548" s="5" t="n">
        <v>2025</v>
      </c>
      <c r="H548" s="5" t="inlineStr">
        <is>
          <t>Junio</t>
        </is>
      </c>
      <c r="I548" s="6" t="inlineStr">
        <is>
          <t>2025-1</t>
        </is>
      </c>
      <c r="J548" s="5" t="n">
        <v>90</v>
      </c>
      <c r="K548" s="5" t="n">
        <v>92.80000000000001</v>
      </c>
      <c r="L548" s="74" t="n">
        <v>1.031111111111111</v>
      </c>
      <c r="M548" s="14" t="n">
        <v>1.031111111111111</v>
      </c>
      <c r="N548" s="5" t="inlineStr">
        <is>
          <t>Sin Reporte</t>
        </is>
      </c>
      <c r="O548" s="5" t="inlineStr">
        <is>
          <t>Sin Reporte</t>
        </is>
      </c>
      <c r="P548" s="5" t="n">
        <v>0</v>
      </c>
      <c r="Q548" s="5" t="n">
        <v>0</v>
      </c>
      <c r="R548" s="5" t="inlineStr">
        <is>
          <t>238-2025-06-30</t>
        </is>
      </c>
    </row>
    <row r="549" hidden="1">
      <c r="A549" s="26" t="n">
        <v>238</v>
      </c>
      <c r="B549" s="5" t="inlineStr">
        <is>
          <t>Cumplimiento de la Protección del Medio Ambiente</t>
        </is>
      </c>
      <c r="C549" s="5" t="inlineStr">
        <is>
          <t>GESTIÓN AMBIENTAL</t>
        </is>
      </c>
      <c r="D549" s="5" t="inlineStr">
        <is>
          <t>Semestral</t>
        </is>
      </c>
      <c r="E549" s="5" t="inlineStr">
        <is>
          <t>Positivo</t>
        </is>
      </c>
      <c r="F549" s="109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90</v>
      </c>
      <c r="K549" s="5" t="n">
        <v>68</v>
      </c>
      <c r="L549" s="74" t="n">
        <v>0.7555555555555555</v>
      </c>
      <c r="M549" s="14" t="n">
        <v>0.7555555555555555</v>
      </c>
      <c r="N549" s="5" t="inlineStr">
        <is>
          <t>Sin Reporte</t>
        </is>
      </c>
      <c r="O549" s="5" t="inlineStr">
        <is>
          <t>Sin Reporte</t>
        </is>
      </c>
      <c r="P549" s="5" t="n">
        <v>0</v>
      </c>
      <c r="Q549" s="5" t="n">
        <v>0</v>
      </c>
      <c r="R549" s="5" t="inlineStr">
        <is>
          <t>238-2025-12-31</t>
        </is>
      </c>
    </row>
    <row r="550" hidden="1">
      <c r="A550" s="28" t="n">
        <v>239</v>
      </c>
      <c r="B550" s="5" t="inlineStr">
        <is>
          <t>Portafolio de Proyectos - Metrica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09" t="n">
        <v>44742</v>
      </c>
      <c r="G550" s="5" t="n">
        <v>2022</v>
      </c>
      <c r="H550" s="5" t="inlineStr">
        <is>
          <t>Junio</t>
        </is>
      </c>
      <c r="I550" s="6" t="inlineStr">
        <is>
          <t>2022-1</t>
        </is>
      </c>
      <c r="J550" s="5" t="n"/>
      <c r="K550" s="5" t="n">
        <v>0</v>
      </c>
      <c r="L550" s="74" t="n"/>
      <c r="M550" s="14" t="n"/>
      <c r="N550" s="5" t="inlineStr">
        <is>
          <t>Metrica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239-2022-06-30</t>
        </is>
      </c>
      <c r="S550" t="inlineStr">
        <is>
          <t>Metrica</t>
        </is>
      </c>
    </row>
    <row r="551" hidden="1">
      <c r="A551" s="26" t="n">
        <v>239</v>
      </c>
      <c r="B551" s="5" t="inlineStr">
        <is>
          <t>Portafolio de Proyectos - Metrica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09" t="n">
        <v>44926</v>
      </c>
      <c r="G551" s="5" t="n">
        <v>2022</v>
      </c>
      <c r="H551" s="5" t="inlineStr">
        <is>
          <t>Diciembre</t>
        </is>
      </c>
      <c r="I551" s="6" t="inlineStr">
        <is>
          <t>2022-2</t>
        </is>
      </c>
      <c r="J551" s="5" t="n"/>
      <c r="K551" s="5" t="n">
        <v>0</v>
      </c>
      <c r="L551" s="74" t="n"/>
      <c r="M551" s="14" t="n"/>
      <c r="N551" s="5" t="inlineStr">
        <is>
          <t>Metrica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239-2022-12-31</t>
        </is>
      </c>
      <c r="S551" t="inlineStr">
        <is>
          <t>Metrica</t>
        </is>
      </c>
    </row>
    <row r="552" hidden="1">
      <c r="A552" s="5" t="n">
        <v>239</v>
      </c>
      <c r="B552" s="5" t="inlineStr">
        <is>
          <t>Portafolio de Proyectos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09" t="n">
        <v>45107</v>
      </c>
      <c r="G552" s="5" t="n">
        <v>2023</v>
      </c>
      <c r="H552" s="5" t="inlineStr">
        <is>
          <t>Junio</t>
        </is>
      </c>
      <c r="I552" s="6" t="inlineStr">
        <is>
          <t>2023-1</t>
        </is>
      </c>
      <c r="J552" s="5" t="n"/>
      <c r="K552" s="5" t="n">
        <v>19</v>
      </c>
      <c r="L552" s="14" t="n"/>
      <c r="M552" s="14" t="n"/>
      <c r="N552" s="5" t="inlineStr">
        <is>
          <t>Metrica</t>
        </is>
      </c>
      <c r="O552" s="5" t="n"/>
      <c r="P552" s="5" t="n">
        <v>0</v>
      </c>
      <c r="Q552" s="5" t="n">
        <v>0</v>
      </c>
      <c r="R552" s="5" t="inlineStr">
        <is>
          <t>239-2023-06-30</t>
        </is>
      </c>
    </row>
    <row r="553" hidden="1">
      <c r="A553" s="5" t="n">
        <v>239</v>
      </c>
      <c r="B553" s="5" t="inlineStr">
        <is>
          <t>Portafolio de Proyectos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09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/>
      <c r="K553" s="5" t="n">
        <v>0</v>
      </c>
      <c r="L553" s="14" t="n"/>
      <c r="M553" s="14" t="n"/>
      <c r="N553" s="5" t="inlineStr">
        <is>
          <t>Metrica</t>
        </is>
      </c>
      <c r="O553" s="5" t="n"/>
      <c r="P553" s="5" t="n">
        <v>0</v>
      </c>
      <c r="Q553" s="5" t="n">
        <v>0</v>
      </c>
      <c r="R553" s="5" t="inlineStr">
        <is>
          <t>239-2023-12-31</t>
        </is>
      </c>
    </row>
    <row r="554" hidden="1">
      <c r="A554" s="28" t="n">
        <v>239</v>
      </c>
      <c r="B554" s="5" t="inlineStr">
        <is>
          <t>Portafolio de Proyectos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09" t="n">
        <v>45473</v>
      </c>
      <c r="G554" s="5" t="n">
        <v>2024</v>
      </c>
      <c r="H554" s="5" t="inlineStr">
        <is>
          <t>Junio</t>
        </is>
      </c>
      <c r="I554" s="6" t="inlineStr">
        <is>
          <t>2024-1</t>
        </is>
      </c>
      <c r="J554" s="5" t="n"/>
      <c r="K554" s="5" t="n">
        <v>29</v>
      </c>
      <c r="L554" s="74" t="n"/>
      <c r="M554" s="14" t="n"/>
      <c r="N554" s="5" t="inlineStr">
        <is>
          <t>Metrica</t>
        </is>
      </c>
      <c r="O554" s="5" t="n"/>
      <c r="P554" s="5" t="n">
        <v>0</v>
      </c>
      <c r="Q554" s="5" t="n">
        <v>0</v>
      </c>
      <c r="R554" s="5" t="inlineStr">
        <is>
          <t>239-2024-06-30</t>
        </is>
      </c>
    </row>
    <row r="555" hidden="1">
      <c r="A555" s="26" t="n">
        <v>239</v>
      </c>
      <c r="B555" s="5" t="inlineStr">
        <is>
          <t>Portafolio de Proyectos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09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/>
      <c r="K555" s="5" t="n">
        <v>0</v>
      </c>
      <c r="L555" s="74" t="n"/>
      <c r="M555" s="14" t="n"/>
      <c r="N555" s="5" t="inlineStr">
        <is>
          <t>Metrica</t>
        </is>
      </c>
      <c r="O555" s="5" t="n"/>
      <c r="P555" s="5" t="n">
        <v>0</v>
      </c>
      <c r="Q555" s="5" t="n">
        <v>0</v>
      </c>
      <c r="R555" s="5" t="inlineStr">
        <is>
          <t>239-2024-12-31</t>
        </is>
      </c>
    </row>
    <row r="556" hidden="1">
      <c r="A556" s="5" t="n">
        <v>239</v>
      </c>
      <c r="B556" s="5" t="inlineStr">
        <is>
          <t>Portafolio de Proyectos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09" t="n">
        <v>45838</v>
      </c>
      <c r="G556" s="5" t="n">
        <v>2025</v>
      </c>
      <c r="H556" s="5" t="inlineStr">
        <is>
          <t>Junio</t>
        </is>
      </c>
      <c r="I556" s="6" t="inlineStr">
        <is>
          <t>2025-1</t>
        </is>
      </c>
      <c r="J556" s="5" t="n"/>
      <c r="K556" s="5" t="n">
        <v>41</v>
      </c>
      <c r="L556" s="14" t="n"/>
      <c r="M556" s="14" t="n"/>
      <c r="N556" s="5" t="inlineStr">
        <is>
          <t>Metrica</t>
        </is>
      </c>
      <c r="O556" s="5" t="n"/>
      <c r="P556" s="5" t="n">
        <v>0</v>
      </c>
      <c r="Q556" s="5" t="n">
        <v>0</v>
      </c>
      <c r="R556" s="5" t="inlineStr">
        <is>
          <t>239-2025-06-30</t>
        </is>
      </c>
    </row>
    <row r="557" hidden="1">
      <c r="A557" s="28" t="n">
        <v>239</v>
      </c>
      <c r="B557" s="5" t="inlineStr">
        <is>
          <t>Portafolio de Proyectos - Metrica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09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/>
      <c r="K557" s="5" t="n">
        <v>44</v>
      </c>
      <c r="L557" s="74" t="n"/>
      <c r="M557" s="14" t="n"/>
      <c r="N557" s="5" t="inlineStr">
        <is>
          <t>Metrica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239-2025-12-31</t>
        </is>
      </c>
      <c r="S557" t="inlineStr">
        <is>
          <t>Metrica</t>
        </is>
      </c>
    </row>
    <row r="558" hidden="1">
      <c r="A558" s="26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Trimestral</t>
        </is>
      </c>
      <c r="E558" s="5" t="inlineStr">
        <is>
          <t>Positivo</t>
        </is>
      </c>
      <c r="F558" s="109" t="n">
        <v>45107</v>
      </c>
      <c r="G558" s="5" t="n">
        <v>2023</v>
      </c>
      <c r="H558" s="5" t="inlineStr">
        <is>
          <t>Junio</t>
        </is>
      </c>
      <c r="I558" s="6" t="inlineStr">
        <is>
          <t>2023-1</t>
        </is>
      </c>
      <c r="J558" s="5" t="n">
        <v>100</v>
      </c>
      <c r="K558" s="5" t="n">
        <v>50</v>
      </c>
      <c r="L558" s="74" t="n">
        <v>0.5</v>
      </c>
      <c r="M558" s="14" t="n">
        <v>0.5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240-2023-06-30</t>
        </is>
      </c>
    </row>
    <row r="559" hidden="1">
      <c r="A559" s="5" t="n">
        <v>240</v>
      </c>
      <c r="B559" s="5" t="inlineStr">
        <is>
          <t>Cumplimiento de Gestión De Proyectos Cerrados</t>
        </is>
      </c>
      <c r="C559" s="5" t="inlineStr">
        <is>
          <t>Gestión de Proyectos</t>
        </is>
      </c>
      <c r="D559" s="5" t="inlineStr">
        <is>
          <t>Trimestral</t>
        </is>
      </c>
      <c r="E559" s="5" t="inlineStr">
        <is>
          <t>Positivo</t>
        </is>
      </c>
      <c r="F559" s="109" t="n">
        <v>45291</v>
      </c>
      <c r="G559" s="5" t="n">
        <v>2023</v>
      </c>
      <c r="H559" s="5" t="inlineStr">
        <is>
          <t>Diciembre</t>
        </is>
      </c>
      <c r="I559" s="6" t="inlineStr">
        <is>
          <t>2023-2</t>
        </is>
      </c>
      <c r="J559" s="5" t="n">
        <v>100</v>
      </c>
      <c r="K559" s="5" t="n">
        <v>80</v>
      </c>
      <c r="L559" s="14" t="n">
        <v>0.8</v>
      </c>
      <c r="M559" s="14" t="n">
        <v>0.8</v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240-2023-12-31</t>
        </is>
      </c>
    </row>
    <row r="560" hidden="1">
      <c r="A560" s="5" t="n">
        <v>240</v>
      </c>
      <c r="B560" s="5" t="inlineStr">
        <is>
          <t>Cumplimiento de Gestión De Proyectos Cerrados</t>
        </is>
      </c>
      <c r="C560" s="5" t="inlineStr">
        <is>
          <t>Gestión de Proyectos</t>
        </is>
      </c>
      <c r="D560" s="5" t="inlineStr">
        <is>
          <t>Trimestral</t>
        </is>
      </c>
      <c r="E560" s="5" t="inlineStr">
        <is>
          <t>Positivo</t>
        </is>
      </c>
      <c r="F560" s="109" t="n">
        <v>45473</v>
      </c>
      <c r="G560" s="5" t="n">
        <v>2024</v>
      </c>
      <c r="H560" s="5" t="inlineStr">
        <is>
          <t>Junio</t>
        </is>
      </c>
      <c r="I560" s="6" t="inlineStr">
        <is>
          <t>2024-1</t>
        </is>
      </c>
      <c r="J560" s="5" t="n">
        <v>100</v>
      </c>
      <c r="K560" s="5" t="n">
        <v>95.83333333333333</v>
      </c>
      <c r="L560" s="14" t="n">
        <v>0.9583333333333333</v>
      </c>
      <c r="M560" s="14" t="n">
        <v>0.9583333333333333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240-2024-06-30</t>
        </is>
      </c>
    </row>
    <row r="561" hidden="1">
      <c r="A561" s="28" t="n">
        <v>240</v>
      </c>
      <c r="B561" s="5" t="inlineStr">
        <is>
          <t>Cumplimiento de Gestión De Proyectos Cerrados</t>
        </is>
      </c>
      <c r="C561" s="5" t="inlineStr">
        <is>
          <t>Gestión de Proyectos</t>
        </is>
      </c>
      <c r="D561" s="5" t="inlineStr">
        <is>
          <t>Trimestral</t>
        </is>
      </c>
      <c r="E561" s="5" t="inlineStr">
        <is>
          <t>Positivo</t>
        </is>
      </c>
      <c r="F561" s="109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>
        <v>100</v>
      </c>
      <c r="K561" s="5" t="n">
        <v>100</v>
      </c>
      <c r="L561" s="14" t="n">
        <v>1</v>
      </c>
      <c r="M561" s="14" t="n">
        <v>1</v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240-2024-12-31</t>
        </is>
      </c>
    </row>
    <row r="562" hidden="1">
      <c r="A562" s="26" t="n">
        <v>240</v>
      </c>
      <c r="B562" s="5" t="inlineStr">
        <is>
          <t>Cumplimiento de Gestión De Proyectos Cerrados</t>
        </is>
      </c>
      <c r="C562" s="5" t="inlineStr">
        <is>
          <t>Gestión de Proyectos</t>
        </is>
      </c>
      <c r="D562" s="5" t="inlineStr">
        <is>
          <t>Trimestral</t>
        </is>
      </c>
      <c r="E562" s="5" t="inlineStr">
        <is>
          <t>Positivo</t>
        </is>
      </c>
      <c r="F562" s="109" t="n">
        <v>45838</v>
      </c>
      <c r="G562" s="5" t="n">
        <v>2025</v>
      </c>
      <c r="H562" s="5" t="inlineStr">
        <is>
          <t>Junio</t>
        </is>
      </c>
      <c r="I562" s="6" t="inlineStr">
        <is>
          <t>2025-1</t>
        </is>
      </c>
      <c r="J562" s="5" t="n">
        <v>100</v>
      </c>
      <c r="K562" s="5" t="n">
        <v>100</v>
      </c>
      <c r="L562" s="14" t="n">
        <v>1</v>
      </c>
      <c r="M562" s="14" t="n">
        <v>1</v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240-2025-06-30</t>
        </is>
      </c>
    </row>
    <row r="563" hidden="1">
      <c r="A563" s="5" t="n">
        <v>240</v>
      </c>
      <c r="B563" s="5" t="inlineStr">
        <is>
          <t>Cumplimiento de Gestión De Proyectos Cerrados</t>
        </is>
      </c>
      <c r="C563" s="5" t="inlineStr">
        <is>
          <t>Gestión de Proyectos</t>
        </is>
      </c>
      <c r="D563" s="5" t="inlineStr">
        <is>
          <t>Semestral</t>
        </is>
      </c>
      <c r="E563" s="5" t="inlineStr">
        <is>
          <t>Positivo</t>
        </is>
      </c>
      <c r="F563" s="109" t="n">
        <v>46022</v>
      </c>
      <c r="G563" s="5" t="n">
        <v>2025</v>
      </c>
      <c r="H563" s="5" t="inlineStr">
        <is>
          <t>Diciembre</t>
        </is>
      </c>
      <c r="I563" s="6" t="inlineStr">
        <is>
          <t>2025-2</t>
        </is>
      </c>
      <c r="J563" s="5" t="n">
        <v>100</v>
      </c>
      <c r="K563" s="5" t="n">
        <v>100</v>
      </c>
      <c r="L563" s="14" t="n">
        <v>1</v>
      </c>
      <c r="M563" s="14" t="n">
        <v>1</v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240-2025-12-31</t>
        </is>
      </c>
    </row>
    <row r="564" hidden="1">
      <c r="A564" s="5" t="n">
        <v>240</v>
      </c>
      <c r="B564" s="5" t="inlineStr">
        <is>
          <t>Cumplimiento de Gestión De Proyectos Cerrados</t>
        </is>
      </c>
      <c r="C564" s="5" t="inlineStr">
        <is>
          <t>Gestión de Proyectos</t>
        </is>
      </c>
      <c r="D564" s="5" t="inlineStr">
        <is>
          <t>Semestral</t>
        </is>
      </c>
      <c r="E564" s="5" t="inlineStr">
        <is>
          <t>Positivo</t>
        </is>
      </c>
      <c r="F564" s="109" t="n">
        <v>46203</v>
      </c>
      <c r="G564" s="5" t="n">
        <v>2026</v>
      </c>
      <c r="H564" s="5" t="inlineStr">
        <is>
          <t>Junio</t>
        </is>
      </c>
      <c r="I564" s="6" t="inlineStr">
        <is>
          <t>2026-1</t>
        </is>
      </c>
      <c r="J564" s="5" t="n">
        <v>100</v>
      </c>
      <c r="K564" s="10" t="n">
        <v>100</v>
      </c>
      <c r="L564" s="14" t="n">
        <v>1</v>
      </c>
      <c r="M564" s="14" t="n">
        <v>1</v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240-2026-06-30</t>
        </is>
      </c>
    </row>
    <row r="565" hidden="1">
      <c r="A565" s="26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109" t="n">
        <v>45107</v>
      </c>
      <c r="G565" s="5" t="n">
        <v>2023</v>
      </c>
      <c r="H565" s="5" t="inlineStr">
        <is>
          <t>Junio</t>
        </is>
      </c>
      <c r="I565" s="6" t="inlineStr">
        <is>
          <t>2023-1</t>
        </is>
      </c>
      <c r="J565" s="5" t="n">
        <v>80</v>
      </c>
      <c r="K565" s="5" t="n">
        <v>94.19191919191917</v>
      </c>
      <c r="L565" s="74" t="n">
        <v>1.17739898989899</v>
      </c>
      <c r="M565" s="14" t="n">
        <v>1.17739898989899</v>
      </c>
      <c r="N565" s="5" t="n"/>
      <c r="O565" s="5" t="n"/>
      <c r="P565" s="5" t="n">
        <v>0</v>
      </c>
      <c r="Q565" s="5" t="n">
        <v>0</v>
      </c>
      <c r="R565" s="5" t="inlineStr">
        <is>
          <t>241-2023-06-30</t>
        </is>
      </c>
    </row>
    <row r="566" hidden="1">
      <c r="A566" s="5" t="n">
        <v>241</v>
      </c>
      <c r="B566" s="5" t="inlineStr">
        <is>
          <t>Cumplimiento de gestión de proyectos fase inicio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109" t="n">
        <v>45291</v>
      </c>
      <c r="G566" s="5" t="n">
        <v>2023</v>
      </c>
      <c r="H566" s="5" t="inlineStr">
        <is>
          <t>Diciembre</t>
        </is>
      </c>
      <c r="I566" s="6" t="inlineStr">
        <is>
          <t>2023-2</t>
        </is>
      </c>
      <c r="J566" s="5" t="n">
        <v>80</v>
      </c>
      <c r="K566" s="5" t="n">
        <v>90.90666666666668</v>
      </c>
      <c r="L566" s="14" t="n">
        <v>1.136333333333333</v>
      </c>
      <c r="M566" s="14" t="n">
        <v>1.136333333333333</v>
      </c>
      <c r="N566" s="5" t="n"/>
      <c r="O566" s="5" t="n"/>
      <c r="P566" s="5" t="n">
        <v>0</v>
      </c>
      <c r="Q566" s="5" t="n">
        <v>0</v>
      </c>
      <c r="R566" s="5" t="inlineStr">
        <is>
          <t>241-2023-12-31</t>
        </is>
      </c>
    </row>
    <row r="567" hidden="1">
      <c r="A567" s="26" t="n">
        <v>241</v>
      </c>
      <c r="B567" s="5" t="inlineStr">
        <is>
          <t>Cumplimiento de gestión de proyectos fase inicio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109" t="n">
        <v>45473</v>
      </c>
      <c r="G567" s="5" t="n">
        <v>2024</v>
      </c>
      <c r="H567" s="5" t="inlineStr">
        <is>
          <t>Junio</t>
        </is>
      </c>
      <c r="I567" s="6" t="inlineStr">
        <is>
          <t>2024-1</t>
        </is>
      </c>
      <c r="J567" s="5" t="n">
        <v>80</v>
      </c>
      <c r="K567" s="5" t="n">
        <v>88.53775853775853</v>
      </c>
      <c r="L567" s="74" t="n">
        <v>1.106721981721982</v>
      </c>
      <c r="M567" s="14" t="n">
        <v>1.106721981721982</v>
      </c>
      <c r="N567" s="5" t="n"/>
      <c r="O567" s="5" t="n"/>
      <c r="P567" s="5" t="n">
        <v>0</v>
      </c>
      <c r="Q567" s="5" t="n">
        <v>0</v>
      </c>
      <c r="R567" s="5" t="inlineStr">
        <is>
          <t>241-2024-06-30</t>
        </is>
      </c>
    </row>
    <row r="568" hidden="1">
      <c r="A568" s="28" t="n">
        <v>241</v>
      </c>
      <c r="B568" s="5" t="inlineStr">
        <is>
          <t>Cumplimiento de gestión de proyectos fase inicio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Positivo</t>
        </is>
      </c>
      <c r="F568" s="109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80</v>
      </c>
      <c r="K568" s="5" t="n">
        <v>89.34065934065934</v>
      </c>
      <c r="L568" s="74" t="n">
        <v>1.116758241758242</v>
      </c>
      <c r="M568" s="14" t="n">
        <v>1.116758241758242</v>
      </c>
      <c r="N568" s="5" t="n"/>
      <c r="O568" s="5" t="n"/>
      <c r="P568" s="5" t="n">
        <v>0</v>
      </c>
      <c r="Q568" s="5" t="n">
        <v>0</v>
      </c>
      <c r="R568" s="5" t="inlineStr">
        <is>
          <t>241-2024-12-31</t>
        </is>
      </c>
    </row>
    <row r="569" hidden="1">
      <c r="A569" s="26" t="n">
        <v>241</v>
      </c>
      <c r="B569" s="5" t="inlineStr">
        <is>
          <t>Cumplimiento de gestión de proyectos fase inicio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Positivo</t>
        </is>
      </c>
      <c r="F569" s="109" t="n">
        <v>45838</v>
      </c>
      <c r="G569" s="5" t="n">
        <v>2025</v>
      </c>
      <c r="H569" s="5" t="inlineStr">
        <is>
          <t>Junio</t>
        </is>
      </c>
      <c r="I569" s="6" t="inlineStr">
        <is>
          <t>2025-1</t>
        </is>
      </c>
      <c r="J569" s="5" t="n">
        <v>80</v>
      </c>
      <c r="K569" s="5" t="n">
        <v>100</v>
      </c>
      <c r="L569" s="74" t="n">
        <v>1.25</v>
      </c>
      <c r="M569" s="14" t="n">
        <v>1.25</v>
      </c>
      <c r="N569" s="5" t="n"/>
      <c r="O569" s="5" t="n"/>
      <c r="P569" s="5" t="n">
        <v>0</v>
      </c>
      <c r="Q569" s="5" t="n">
        <v>0</v>
      </c>
      <c r="R569" s="5" t="inlineStr">
        <is>
          <t>241-2025-06-30</t>
        </is>
      </c>
    </row>
    <row r="570" hidden="1">
      <c r="A570" s="5" t="n">
        <v>241</v>
      </c>
      <c r="B570" s="5" t="inlineStr">
        <is>
          <t>Cumplimiento de gestión de proyectos fase inicio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Positivo</t>
        </is>
      </c>
      <c r="F570" s="109" t="n">
        <v>46022</v>
      </c>
      <c r="G570" s="5" t="n">
        <v>2025</v>
      </c>
      <c r="H570" s="5" t="inlineStr">
        <is>
          <t>Diciembre</t>
        </is>
      </c>
      <c r="I570" s="6" t="inlineStr">
        <is>
          <t>2025-2</t>
        </is>
      </c>
      <c r="J570" s="5" t="n">
        <v>80</v>
      </c>
      <c r="K570" s="5" t="n">
        <v>98.61166666666666</v>
      </c>
      <c r="L570" s="14" t="n">
        <v>1.232645833333333</v>
      </c>
      <c r="M570" s="14" t="n">
        <v>1.232645833333333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241-2025-12-31</t>
        </is>
      </c>
    </row>
    <row r="571" hidden="1">
      <c r="A571" s="5" t="n">
        <v>241</v>
      </c>
      <c r="B571" s="5" t="inlineStr">
        <is>
          <t>Cumplimiento de gestión de proyectos fase inicio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Positivo</t>
        </is>
      </c>
      <c r="F571" s="109" t="n">
        <v>46203</v>
      </c>
      <c r="G571" s="5" t="n">
        <v>2026</v>
      </c>
      <c r="H571" s="5" t="inlineStr">
        <is>
          <t>Junio</t>
        </is>
      </c>
      <c r="I571" s="6" t="inlineStr">
        <is>
          <t>2026-1</t>
        </is>
      </c>
      <c r="J571" s="5" t="n">
        <v>80</v>
      </c>
      <c r="K571" s="5" t="n">
        <v>95.22749999999999</v>
      </c>
      <c r="L571" s="14" t="n">
        <v>1.19034375</v>
      </c>
      <c r="M571" s="14" t="n">
        <v>1.19034375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241-2026-06-30</t>
        </is>
      </c>
    </row>
    <row r="572" hidden="1">
      <c r="A572" s="28" t="n">
        <v>242</v>
      </c>
      <c r="B572" s="5" t="inlineStr">
        <is>
          <t>Cumplimiento a cronograma de proyectos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Positivo</t>
        </is>
      </c>
      <c r="F572" s="109" t="n">
        <v>45107</v>
      </c>
      <c r="G572" s="5" t="n">
        <v>2023</v>
      </c>
      <c r="H572" s="5" t="inlineStr">
        <is>
          <t>Junio</t>
        </is>
      </c>
      <c r="I572" s="6" t="inlineStr">
        <is>
          <t>2023-1</t>
        </is>
      </c>
      <c r="J572" s="5" t="n">
        <v>90</v>
      </c>
      <c r="K572" s="5" t="n">
        <v>97.68000000000001</v>
      </c>
      <c r="L572" s="74" t="n">
        <v>1.085333333333333</v>
      </c>
      <c r="M572" s="14" t="n">
        <v>1.085333333333333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242-2023-06-30</t>
        </is>
      </c>
    </row>
    <row r="573" hidden="1">
      <c r="A573" s="26" t="n">
        <v>242</v>
      </c>
      <c r="B573" s="5" t="inlineStr">
        <is>
          <t>Cumplimiento a cronograma de proyectos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Positivo</t>
        </is>
      </c>
      <c r="F573" s="109" t="n">
        <v>45291</v>
      </c>
      <c r="G573" s="5" t="n">
        <v>2023</v>
      </c>
      <c r="H573" s="5" t="inlineStr">
        <is>
          <t>Diciembre</t>
        </is>
      </c>
      <c r="I573" s="6" t="inlineStr">
        <is>
          <t>2023-2</t>
        </is>
      </c>
      <c r="J573" s="5" t="n">
        <v>90</v>
      </c>
      <c r="K573" s="5" t="n">
        <v>95.44</v>
      </c>
      <c r="L573" s="74" t="n">
        <v>1.060444444444445</v>
      </c>
      <c r="M573" s="14" t="n">
        <v>1.060444444444445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242-2023-12-31</t>
        </is>
      </c>
    </row>
    <row r="574" hidden="1">
      <c r="A574" s="5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109" t="n">
        <v>44957</v>
      </c>
      <c r="G574" s="5" t="n">
        <v>2023</v>
      </c>
      <c r="H574" s="5" t="inlineStr">
        <is>
          <t>Enero</t>
        </is>
      </c>
      <c r="I574" s="6" t="inlineStr">
        <is>
          <t>2023-1</t>
        </is>
      </c>
      <c r="J574" s="5" t="n">
        <v>0</v>
      </c>
      <c r="K574" s="5" t="n">
        <v>0</v>
      </c>
      <c r="L574" s="14" t="n">
        <v>1</v>
      </c>
      <c r="M574" s="14" t="n">
        <v>1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243-2023-01-31</t>
        </is>
      </c>
    </row>
    <row r="575" hidden="1">
      <c r="A575" s="5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109" t="n">
        <v>44985</v>
      </c>
      <c r="G575" s="5" t="n">
        <v>2023</v>
      </c>
      <c r="H575" s="5" t="inlineStr">
        <is>
          <t>Febrero</t>
        </is>
      </c>
      <c r="I575" s="6" t="inlineStr">
        <is>
          <t>2023-1</t>
        </is>
      </c>
      <c r="J575" s="5" t="n">
        <v>0</v>
      </c>
      <c r="K575" s="5" t="n">
        <v>0</v>
      </c>
      <c r="L575" s="14" t="n">
        <v>1</v>
      </c>
      <c r="M575" s="14" t="n">
        <v>1</v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243-2023-02-28</t>
        </is>
      </c>
    </row>
    <row r="576" hidden="1">
      <c r="A576" s="28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109" t="n">
        <v>45016</v>
      </c>
      <c r="G576" s="5" t="n">
        <v>2023</v>
      </c>
      <c r="H576" s="5" t="inlineStr">
        <is>
          <t>Marzo</t>
        </is>
      </c>
      <c r="I576" s="6" t="inlineStr">
        <is>
          <t>2023-1</t>
        </is>
      </c>
      <c r="J576" s="5" t="n">
        <v>0</v>
      </c>
      <c r="K576" s="3" t="n">
        <v>0</v>
      </c>
      <c r="L576" s="74" t="n">
        <v>1</v>
      </c>
      <c r="M576" s="14" t="n">
        <v>1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243-2023-03-31</t>
        </is>
      </c>
    </row>
    <row r="577" hidden="1">
      <c r="A577" s="26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109" t="n">
        <v>45046</v>
      </c>
      <c r="G577" s="5" t="n">
        <v>2023</v>
      </c>
      <c r="H577" s="5" t="inlineStr">
        <is>
          <t>Abril</t>
        </is>
      </c>
      <c r="I577" s="6" t="inlineStr">
        <is>
          <t>2023-1</t>
        </is>
      </c>
      <c r="J577" s="5" t="n">
        <v>0</v>
      </c>
      <c r="K577" s="3" t="n">
        <v>0</v>
      </c>
      <c r="L577" s="74" t="n">
        <v>1</v>
      </c>
      <c r="M577" s="14" t="n">
        <v>1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243-2023-04-30</t>
        </is>
      </c>
    </row>
    <row r="578" hidden="1">
      <c r="A578" s="5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109" t="n">
        <v>45077</v>
      </c>
      <c r="G578" s="5" t="n">
        <v>2023</v>
      </c>
      <c r="H578" s="5" t="inlineStr">
        <is>
          <t>Mayo</t>
        </is>
      </c>
      <c r="I578" s="6" t="inlineStr">
        <is>
          <t>2023-1</t>
        </is>
      </c>
      <c r="J578" s="5" t="n">
        <v>0</v>
      </c>
      <c r="K578" s="5" t="n">
        <v>0</v>
      </c>
      <c r="L578" s="14" t="n">
        <v>1</v>
      </c>
      <c r="M578" s="14" t="n">
        <v>1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243-2023-05-31</t>
        </is>
      </c>
    </row>
    <row r="579" hidden="1">
      <c r="A579" s="5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109" t="n">
        <v>45107</v>
      </c>
      <c r="G579" s="5" t="n">
        <v>2023</v>
      </c>
      <c r="H579" s="5" t="inlineStr">
        <is>
          <t>Junio</t>
        </is>
      </c>
      <c r="I579" s="6" t="inlineStr">
        <is>
          <t>2023-1</t>
        </is>
      </c>
      <c r="J579" s="5" t="n">
        <v>0</v>
      </c>
      <c r="K579" s="5" t="n">
        <v>8.33333333333333</v>
      </c>
      <c r="L579" s="14" t="n"/>
      <c r="M579" s="14" t="n"/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243-2023-06-30</t>
        </is>
      </c>
    </row>
    <row r="580" hidden="1">
      <c r="A580" s="28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09" t="n">
        <v>45138</v>
      </c>
      <c r="G580" s="5" t="n">
        <v>2023</v>
      </c>
      <c r="H580" s="5" t="inlineStr">
        <is>
          <t>Julio</t>
        </is>
      </c>
      <c r="I580" s="6" t="inlineStr">
        <is>
          <t>2023-2</t>
        </is>
      </c>
      <c r="J580" s="5" t="n">
        <v>0</v>
      </c>
      <c r="K580" s="3" t="n">
        <v>16.666666666667</v>
      </c>
      <c r="L580" s="74" t="n"/>
      <c r="M580" s="14" t="n"/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243-2023-07-31</t>
        </is>
      </c>
    </row>
    <row r="581" hidden="1">
      <c r="A581" s="26" t="n">
        <v>243</v>
      </c>
      <c r="B581" s="5" t="inlineStr">
        <is>
          <t>Cumplimiento de gestión de proyectos control de cambios</t>
        </is>
      </c>
      <c r="C581" s="5" t="inlineStr">
        <is>
          <t>Gestión de Proyectos</t>
        </is>
      </c>
      <c r="D581" s="5" t="inlineStr">
        <is>
          <t>Mensual</t>
        </is>
      </c>
      <c r="E581" s="5" t="inlineStr">
        <is>
          <t>Negativo</t>
        </is>
      </c>
      <c r="F581" s="109" t="n">
        <v>45169</v>
      </c>
      <c r="G581" s="5" t="n">
        <v>2023</v>
      </c>
      <c r="H581" s="5" t="inlineStr">
        <is>
          <t>Agosto</t>
        </is>
      </c>
      <c r="I581" s="6" t="inlineStr">
        <is>
          <t>2023-2</t>
        </is>
      </c>
      <c r="J581" s="5" t="n">
        <v>0</v>
      </c>
      <c r="K581" s="3" t="n">
        <v>9.09</v>
      </c>
      <c r="L581" s="74" t="n"/>
      <c r="M581" s="14" t="n"/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243-2023-08-31</t>
        </is>
      </c>
    </row>
    <row r="582" hidden="1">
      <c r="A582" s="5" t="n">
        <v>243</v>
      </c>
      <c r="B582" s="5" t="inlineStr">
        <is>
          <t>Cumplimiento de gestión de proyectos control de cambios</t>
        </is>
      </c>
      <c r="C582" s="5" t="inlineStr">
        <is>
          <t>Gestión de Proyectos</t>
        </is>
      </c>
      <c r="D582" s="5" t="inlineStr">
        <is>
          <t>Mensual</t>
        </is>
      </c>
      <c r="E582" s="5" t="inlineStr">
        <is>
          <t>Negativo</t>
        </is>
      </c>
      <c r="F582" s="109" t="n">
        <v>45199</v>
      </c>
      <c r="G582" s="5" t="n">
        <v>2023</v>
      </c>
      <c r="H582" s="5" t="inlineStr">
        <is>
          <t>Septiembre</t>
        </is>
      </c>
      <c r="I582" s="6" t="inlineStr">
        <is>
          <t>2023-2</t>
        </is>
      </c>
      <c r="J582" s="5" t="n">
        <v>0</v>
      </c>
      <c r="K582" s="5" t="n">
        <v>0</v>
      </c>
      <c r="L582" s="14" t="n">
        <v>1</v>
      </c>
      <c r="M582" s="14" t="n">
        <v>1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243-2023-09-30</t>
        </is>
      </c>
    </row>
    <row r="583" hidden="1">
      <c r="A583" s="5" t="n">
        <v>243</v>
      </c>
      <c r="B583" s="5" t="inlineStr">
        <is>
          <t>Cumplimiento de gestión de proyectos control de cambios</t>
        </is>
      </c>
      <c r="C583" s="5" t="inlineStr">
        <is>
          <t>Gestión de Proyectos</t>
        </is>
      </c>
      <c r="D583" s="5" t="inlineStr">
        <is>
          <t>Mensual</t>
        </is>
      </c>
      <c r="E583" s="5" t="inlineStr">
        <is>
          <t>Negativo</t>
        </is>
      </c>
      <c r="F583" s="109" t="n">
        <v>45230</v>
      </c>
      <c r="G583" s="5" t="n">
        <v>2023</v>
      </c>
      <c r="H583" s="5" t="inlineStr">
        <is>
          <t>Octubre</t>
        </is>
      </c>
      <c r="I583" s="6" t="inlineStr">
        <is>
          <t>2023-2</t>
        </is>
      </c>
      <c r="J583" s="5" t="n">
        <v>0</v>
      </c>
      <c r="K583" s="5" t="n">
        <v>11.11</v>
      </c>
      <c r="L583" s="14" t="n"/>
      <c r="M583" s="14" t="n"/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243-2023-10-31</t>
        </is>
      </c>
    </row>
    <row r="584" hidden="1">
      <c r="A584" s="28" t="n">
        <v>243</v>
      </c>
      <c r="B584" s="5" t="inlineStr">
        <is>
          <t>Cumplimiento de gestión de proyectos control de cambios</t>
        </is>
      </c>
      <c r="C584" s="5" t="inlineStr">
        <is>
          <t>Gestión de Proyectos</t>
        </is>
      </c>
      <c r="D584" s="5" t="inlineStr">
        <is>
          <t>Mensual</t>
        </is>
      </c>
      <c r="E584" s="5" t="inlineStr">
        <is>
          <t>Negativo</t>
        </is>
      </c>
      <c r="F584" s="109" t="n">
        <v>45260</v>
      </c>
      <c r="G584" s="5" t="n">
        <v>2023</v>
      </c>
      <c r="H584" s="5" t="inlineStr">
        <is>
          <t>Noviembre</t>
        </is>
      </c>
      <c r="I584" s="6" t="inlineStr">
        <is>
          <t>2023-2</t>
        </is>
      </c>
      <c r="J584" s="5" t="n">
        <v>0</v>
      </c>
      <c r="K584" s="5" t="n">
        <v>0</v>
      </c>
      <c r="L584" s="74" t="n">
        <v>1</v>
      </c>
      <c r="M584" s="14" t="n">
        <v>1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243-2023-11-30</t>
        </is>
      </c>
    </row>
    <row r="585" hidden="1">
      <c r="A585" s="26" t="n">
        <v>243</v>
      </c>
      <c r="B585" s="5" t="inlineStr">
        <is>
          <t>Cumplimiento de gestión de proyectos control de cambios</t>
        </is>
      </c>
      <c r="C585" s="5" t="inlineStr">
        <is>
          <t>Gestión de Proyectos</t>
        </is>
      </c>
      <c r="D585" s="5" t="inlineStr">
        <is>
          <t>Mensual</t>
        </is>
      </c>
      <c r="E585" s="5" t="inlineStr">
        <is>
          <t>Negativo</t>
        </is>
      </c>
      <c r="F585" s="109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0</v>
      </c>
      <c r="K585" s="5" t="n">
        <v>14.29</v>
      </c>
      <c r="L585" s="74" t="n"/>
      <c r="M585" s="14" t="n"/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243-2023-12-31</t>
        </is>
      </c>
    </row>
    <row r="586" hidden="1">
      <c r="A586" s="5" t="n">
        <v>244</v>
      </c>
      <c r="B586" s="5" t="inlineStr">
        <is>
          <t>GreenMetric - Nacional</t>
        </is>
      </c>
      <c r="C586" s="5" t="inlineStr">
        <is>
          <t>GESTIÓN AMBIENTAL</t>
        </is>
      </c>
      <c r="D586" s="5" t="inlineStr">
        <is>
          <t>Anual</t>
        </is>
      </c>
      <c r="E586" s="5" t="inlineStr">
        <is>
          <t>Negativo</t>
        </is>
      </c>
      <c r="F586" s="109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25</v>
      </c>
      <c r="K586" s="5" t="n">
        <v>24</v>
      </c>
      <c r="L586" s="14" t="n">
        <v>1.041666666666667</v>
      </c>
      <c r="M586" s="14" t="n">
        <v>1.041666666666667</v>
      </c>
      <c r="N586" s="5" t="n"/>
      <c r="O586" s="5" t="n"/>
      <c r="P586" s="5" t="n">
        <v>0</v>
      </c>
      <c r="Q586" s="5" t="n">
        <v>0</v>
      </c>
      <c r="R586" s="5" t="inlineStr">
        <is>
          <t>244-2023-12-31</t>
        </is>
      </c>
    </row>
    <row r="587" hidden="1">
      <c r="A587" s="5" t="n">
        <v>244</v>
      </c>
      <c r="B587" s="5" t="inlineStr">
        <is>
          <t>GreenMetric - Nacional</t>
        </is>
      </c>
      <c r="C587" s="5" t="inlineStr">
        <is>
          <t>GESTIÓN AMBIENTAL</t>
        </is>
      </c>
      <c r="D587" s="5" t="inlineStr">
        <is>
          <t>Anual</t>
        </is>
      </c>
      <c r="E587" s="5" t="inlineStr">
        <is>
          <t>Negativo</t>
        </is>
      </c>
      <c r="F587" s="109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25</v>
      </c>
      <c r="K587" s="5" t="n">
        <v>25</v>
      </c>
      <c r="L587" s="14" t="n">
        <v>1</v>
      </c>
      <c r="M587" s="14" t="n">
        <v>1</v>
      </c>
      <c r="N587" s="5" t="n"/>
      <c r="O587" s="5" t="n"/>
      <c r="P587" s="5" t="n">
        <v>0</v>
      </c>
      <c r="Q587" s="5" t="n">
        <v>0</v>
      </c>
      <c r="R587" s="5" t="inlineStr">
        <is>
          <t>244-2024-12-31</t>
        </is>
      </c>
    </row>
    <row r="588" hidden="1">
      <c r="A588" s="28" t="n">
        <v>244</v>
      </c>
      <c r="B588" s="5" t="inlineStr">
        <is>
          <t>GreenMetric - Nacional</t>
        </is>
      </c>
      <c r="C588" s="5" t="inlineStr">
        <is>
          <t>GESTIÓN AMBIENTAL</t>
        </is>
      </c>
      <c r="D588" s="5" t="inlineStr">
        <is>
          <t>Anual</t>
        </is>
      </c>
      <c r="E588" s="5" t="inlineStr">
        <is>
          <t>Negativo</t>
        </is>
      </c>
      <c r="F588" s="109" t="n">
        <v>46022</v>
      </c>
      <c r="G588" s="5" t="n">
        <v>2025</v>
      </c>
      <c r="H588" s="5" t="inlineStr">
        <is>
          <t>Diciembre</t>
        </is>
      </c>
      <c r="I588" s="6" t="inlineStr">
        <is>
          <t>2025-2</t>
        </is>
      </c>
      <c r="J588" s="5" t="n">
        <v>25</v>
      </c>
      <c r="K588" s="5" t="n">
        <v>13</v>
      </c>
      <c r="L588" s="74" t="n">
        <v>1.3</v>
      </c>
      <c r="M588" s="14" t="n">
        <v>1.923076923076923</v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 t="inlineStr">
        <is>
          <t>244-2025-12-31</t>
        </is>
      </c>
    </row>
    <row r="589" hidden="1">
      <c r="A589" s="26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109" t="n">
        <v>45107</v>
      </c>
      <c r="G589" s="5" t="n">
        <v>2023</v>
      </c>
      <c r="H589" s="5" t="inlineStr">
        <is>
          <t>Junio</t>
        </is>
      </c>
      <c r="I589" s="6" t="inlineStr">
        <is>
          <t>2023-1</t>
        </is>
      </c>
      <c r="J589" s="5" t="n">
        <v>87</v>
      </c>
      <c r="K589" s="5" t="n">
        <v>97.84</v>
      </c>
      <c r="L589" s="74" t="n">
        <v>1.124597701149425</v>
      </c>
      <c r="M589" s="14" t="n">
        <v>1.124597701149425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245-2023-06-30</t>
        </is>
      </c>
    </row>
    <row r="590" hidden="1">
      <c r="A590" s="5" t="n">
        <v>245</v>
      </c>
      <c r="B590" s="5" t="inlineStr">
        <is>
          <t>Permanencia Intersemestral</t>
        </is>
      </c>
      <c r="C590" s="5" t="inlineStr">
        <is>
          <t>Permanencia</t>
        </is>
      </c>
      <c r="D590" s="5" t="inlineStr">
        <is>
          <t>Semestral</t>
        </is>
      </c>
      <c r="E590" s="5" t="inlineStr">
        <is>
          <t>Positivo</t>
        </is>
      </c>
      <c r="F590" s="109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87</v>
      </c>
      <c r="K590" s="5" t="n">
        <v>98.14</v>
      </c>
      <c r="L590" s="14" t="n">
        <v>1.128045977011494</v>
      </c>
      <c r="M590" s="14" t="n">
        <v>1.128045977011494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245-2023-12-31</t>
        </is>
      </c>
    </row>
    <row r="591" hidden="1">
      <c r="A591" s="5" t="n">
        <v>245</v>
      </c>
      <c r="B591" s="5" t="inlineStr">
        <is>
          <t>Permanencia Intersemestral</t>
        </is>
      </c>
      <c r="C591" s="5" t="inlineStr">
        <is>
          <t>Permanencia</t>
        </is>
      </c>
      <c r="D591" s="5" t="inlineStr">
        <is>
          <t>Semestral</t>
        </is>
      </c>
      <c r="E591" s="5" t="inlineStr">
        <is>
          <t>Positivo</t>
        </is>
      </c>
      <c r="F591" s="109" t="n">
        <v>45473</v>
      </c>
      <c r="G591" s="5" t="n">
        <v>2024</v>
      </c>
      <c r="H591" s="5" t="inlineStr">
        <is>
          <t>Junio</t>
        </is>
      </c>
      <c r="I591" s="6" t="inlineStr">
        <is>
          <t>2024-1</t>
        </is>
      </c>
      <c r="J591" s="5" t="n">
        <v>100</v>
      </c>
      <c r="K591" s="5" t="n">
        <v>100.15</v>
      </c>
      <c r="L591" s="14" t="n">
        <v>1.0015</v>
      </c>
      <c r="M591" s="14" t="n">
        <v>1.0015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245-2024-06-30</t>
        </is>
      </c>
    </row>
    <row r="592" hidden="1">
      <c r="A592" s="28" t="n">
        <v>245</v>
      </c>
      <c r="B592" s="5" t="inlineStr">
        <is>
          <t>Permanencia Intersemestral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109" t="n">
        <v>45657</v>
      </c>
      <c r="G592" s="5" t="n">
        <v>2024</v>
      </c>
      <c r="H592" s="5" t="inlineStr">
        <is>
          <t>Diciembre</t>
        </is>
      </c>
      <c r="I592" s="6" t="inlineStr">
        <is>
          <t>2024-2</t>
        </is>
      </c>
      <c r="J592" s="5" t="n">
        <v>100</v>
      </c>
      <c r="K592" s="5" t="n">
        <v>100.22</v>
      </c>
      <c r="L592" s="74" t="n">
        <v>1.0022</v>
      </c>
      <c r="M592" s="14" t="n">
        <v>1.0022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245-2024-12-31</t>
        </is>
      </c>
    </row>
    <row r="593" hidden="1">
      <c r="A593" s="26" t="n">
        <v>245</v>
      </c>
      <c r="B593" s="5" t="inlineStr">
        <is>
          <t>Permanencia Intersemestral</t>
        </is>
      </c>
      <c r="C593" s="5" t="inlineStr">
        <is>
          <t>Permanencia</t>
        </is>
      </c>
      <c r="D593" s="5" t="inlineStr">
        <is>
          <t>Semestral</t>
        </is>
      </c>
      <c r="E593" s="5" t="inlineStr">
        <is>
          <t>Positivo</t>
        </is>
      </c>
      <c r="F593" s="109" t="n">
        <v>45838</v>
      </c>
      <c r="G593" s="5" t="n">
        <v>2025</v>
      </c>
      <c r="H593" s="5" t="inlineStr">
        <is>
          <t>Junio</t>
        </is>
      </c>
      <c r="I593" s="6" t="inlineStr">
        <is>
          <t>2025-1</t>
        </is>
      </c>
      <c r="J593" s="5" t="n">
        <v>100</v>
      </c>
      <c r="K593" s="5" t="n">
        <v>100.93</v>
      </c>
      <c r="L593" s="74" t="n">
        <v>1.0093</v>
      </c>
      <c r="M593" s="14" t="n">
        <v>1.0093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245-2025-06-30</t>
        </is>
      </c>
    </row>
    <row r="594" hidden="1">
      <c r="A594" s="5" t="n">
        <v>245</v>
      </c>
      <c r="B594" s="5" t="inlineStr">
        <is>
          <t>Permanencia Intersemestral</t>
        </is>
      </c>
      <c r="C594" s="5" t="inlineStr">
        <is>
          <t>Permanencia</t>
        </is>
      </c>
      <c r="D594" s="5" t="inlineStr">
        <is>
          <t>Semestral</t>
        </is>
      </c>
      <c r="E594" s="5" t="inlineStr">
        <is>
          <t>Positivo</t>
        </is>
      </c>
      <c r="F594" s="109" t="n">
        <v>46022</v>
      </c>
      <c r="G594" s="5" t="n">
        <v>2025</v>
      </c>
      <c r="H594" s="5" t="inlineStr">
        <is>
          <t>Diciembre</t>
        </is>
      </c>
      <c r="I594" s="6" t="inlineStr">
        <is>
          <t>2025-2</t>
        </is>
      </c>
      <c r="J594" s="5" t="n">
        <v>100</v>
      </c>
      <c r="K594" s="5" t="n">
        <v>100.12</v>
      </c>
      <c r="L594" s="14" t="n">
        <v>1.0012</v>
      </c>
      <c r="M594" s="14" t="n">
        <v>1.0012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245-2025-12-31</t>
        </is>
      </c>
    </row>
    <row r="595" hidden="1">
      <c r="A595" s="5" t="n">
        <v>246</v>
      </c>
      <c r="B595" s="5" t="inlineStr">
        <is>
          <t>Satisfacción del proceso de grados</t>
        </is>
      </c>
      <c r="C595" s="5" t="inlineStr">
        <is>
          <t>Registro y Control</t>
        </is>
      </c>
      <c r="D595" s="5" t="inlineStr">
        <is>
          <t>Semestral</t>
        </is>
      </c>
      <c r="E595" s="5" t="inlineStr">
        <is>
          <t>Positivo</t>
        </is>
      </c>
      <c r="F595" s="109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>
        <v>85</v>
      </c>
      <c r="K595" s="5" t="n">
        <v>61.4</v>
      </c>
      <c r="L595" s="14" t="n">
        <v>0.7223529411764705</v>
      </c>
      <c r="M595" s="14" t="n">
        <v>0.7223529411764705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246-2023-12-31</t>
        </is>
      </c>
    </row>
    <row r="596" hidden="1">
      <c r="A596" s="28" t="n">
        <v>246</v>
      </c>
      <c r="B596" s="5" t="inlineStr">
        <is>
          <t>Satisfacción del proceso de grados presencial</t>
        </is>
      </c>
      <c r="C596" s="5" t="inlineStr">
        <is>
          <t>Registro y Control</t>
        </is>
      </c>
      <c r="D596" s="5" t="inlineStr">
        <is>
          <t>Semestral</t>
        </is>
      </c>
      <c r="E596" s="5" t="inlineStr">
        <is>
          <t>Positivo</t>
        </is>
      </c>
      <c r="F596" s="109" t="n">
        <v>45473</v>
      </c>
      <c r="G596" s="5" t="n">
        <v>2024</v>
      </c>
      <c r="H596" s="5" t="inlineStr">
        <is>
          <t>Junio</t>
        </is>
      </c>
      <c r="I596" s="6" t="inlineStr">
        <is>
          <t>2024-1</t>
        </is>
      </c>
      <c r="J596" s="5" t="n">
        <v>67.5</v>
      </c>
      <c r="K596" s="5" t="n">
        <v>92.5</v>
      </c>
      <c r="L596" s="74" t="n">
        <v>1.3</v>
      </c>
      <c r="M596" s="14" t="n">
        <v>1.37037037037037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246-2024-06-30</t>
        </is>
      </c>
    </row>
    <row r="597" hidden="1">
      <c r="A597" s="26" t="n">
        <v>246</v>
      </c>
      <c r="B597" s="5" t="inlineStr">
        <is>
          <t>Satisfacción del proceso de grados presencial</t>
        </is>
      </c>
      <c r="C597" s="5" t="inlineStr">
        <is>
          <t>Registro y Control</t>
        </is>
      </c>
      <c r="D597" s="5" t="inlineStr">
        <is>
          <t>Semestral</t>
        </is>
      </c>
      <c r="E597" s="5" t="inlineStr">
        <is>
          <t>Positivo</t>
        </is>
      </c>
      <c r="F597" s="109" t="n">
        <v>45657</v>
      </c>
      <c r="G597" s="5" t="n">
        <v>2024</v>
      </c>
      <c r="H597" s="5" t="inlineStr">
        <is>
          <t>Diciembre</t>
        </is>
      </c>
      <c r="I597" s="6" t="inlineStr">
        <is>
          <t>2024-2</t>
        </is>
      </c>
      <c r="J597" s="5" t="n">
        <v>67.5</v>
      </c>
      <c r="K597" s="5" t="n">
        <v>94.40000000000001</v>
      </c>
      <c r="L597" s="74" t="n">
        <v>1.3</v>
      </c>
      <c r="M597" s="14" t="n">
        <v>1.398518518518518</v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246-2024-12-31</t>
        </is>
      </c>
    </row>
    <row r="598" hidden="1">
      <c r="A598" s="5" t="n">
        <v>246</v>
      </c>
      <c r="B598" s="5" t="inlineStr">
        <is>
          <t>Satisfacción del proceso de grados presencial</t>
        </is>
      </c>
      <c r="C598" s="5" t="inlineStr">
        <is>
          <t>Registro y Control</t>
        </is>
      </c>
      <c r="D598" s="5" t="inlineStr">
        <is>
          <t>Semestral</t>
        </is>
      </c>
      <c r="E598" s="5" t="inlineStr">
        <is>
          <t>Positivo</t>
        </is>
      </c>
      <c r="F598" s="109" t="n">
        <v>45838</v>
      </c>
      <c r="G598" s="5" t="n">
        <v>2025</v>
      </c>
      <c r="H598" s="5" t="inlineStr">
        <is>
          <t>Junio</t>
        </is>
      </c>
      <c r="I598" s="6" t="inlineStr">
        <is>
          <t>2025-1</t>
        </is>
      </c>
      <c r="J598" s="5" t="n">
        <v>90</v>
      </c>
      <c r="K598" s="9" t="n">
        <v>90.09999999999999</v>
      </c>
      <c r="L598" s="14" t="n">
        <v>1.001111111111111</v>
      </c>
      <c r="M598" s="14" t="n">
        <v>1.001111111111111</v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246-2025-06-30</t>
        </is>
      </c>
    </row>
    <row r="599" hidden="1">
      <c r="A599" s="5" t="n">
        <v>246</v>
      </c>
      <c r="B599" s="5" t="inlineStr">
        <is>
          <t>Satisfacción del proceso de grados presencial</t>
        </is>
      </c>
      <c r="C599" s="5" t="inlineStr">
        <is>
          <t>Registro y Control</t>
        </is>
      </c>
      <c r="D599" s="5" t="inlineStr">
        <is>
          <t>Trimestral</t>
        </is>
      </c>
      <c r="E599" s="5" t="inlineStr">
        <is>
          <t>Positivo</t>
        </is>
      </c>
      <c r="F599" s="109" t="n">
        <v>46022</v>
      </c>
      <c r="G599" s="5" t="n">
        <v>2025</v>
      </c>
      <c r="H599" s="5" t="inlineStr">
        <is>
          <t>Diciembre</t>
        </is>
      </c>
      <c r="I599" s="6" t="inlineStr">
        <is>
          <t>2025-2</t>
        </is>
      </c>
      <c r="J599" s="5" t="n">
        <v>90</v>
      </c>
      <c r="K599" s="9" t="n">
        <v>92.7</v>
      </c>
      <c r="L599" s="14" t="n">
        <v>1.03</v>
      </c>
      <c r="M599" s="14" t="n">
        <v>1.03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246-2025-12-31</t>
        </is>
      </c>
    </row>
    <row r="600" hidden="1">
      <c r="A600" s="28" t="n">
        <v>247</v>
      </c>
      <c r="B600" s="5" t="inlineStr">
        <is>
          <t>Solicitud de certificados</t>
        </is>
      </c>
      <c r="C600" s="5" t="inlineStr">
        <is>
          <t>Registro y Control</t>
        </is>
      </c>
      <c r="D600" s="5" t="inlineStr">
        <is>
          <t>Mensual</t>
        </is>
      </c>
      <c r="E600" s="5" t="inlineStr">
        <is>
          <t>Positivo</t>
        </is>
      </c>
      <c r="F600" s="109" t="n">
        <v>45107</v>
      </c>
      <c r="G600" s="5" t="n">
        <v>2023</v>
      </c>
      <c r="H600" s="5" t="inlineStr">
        <is>
          <t>Junio</t>
        </is>
      </c>
      <c r="I600" s="6" t="inlineStr">
        <is>
          <t>2023-1</t>
        </is>
      </c>
      <c r="J600" s="5" t="n">
        <v>0</v>
      </c>
      <c r="K600" s="5" t="n">
        <v>70.54000000000001</v>
      </c>
      <c r="L600" s="74" t="n"/>
      <c r="M600" s="14" t="n"/>
      <c r="N600" s="5" t="n"/>
      <c r="O600" s="5" t="n"/>
      <c r="P600" s="5" t="n">
        <v>1</v>
      </c>
      <c r="Q600" s="5" t="n">
        <v>1</v>
      </c>
      <c r="R600" s="5" t="inlineStr">
        <is>
          <t>247-2023-06-30</t>
        </is>
      </c>
    </row>
    <row r="601" hidden="1">
      <c r="A601" s="26" t="n">
        <v>247</v>
      </c>
      <c r="B601" s="5" t="inlineStr">
        <is>
          <t>Solicitud de certificados</t>
        </is>
      </c>
      <c r="C601" s="5" t="inlineStr">
        <is>
          <t>Registro y Control</t>
        </is>
      </c>
      <c r="D601" s="5" t="inlineStr">
        <is>
          <t>Mensual</t>
        </is>
      </c>
      <c r="E601" s="5" t="inlineStr">
        <is>
          <t>Positivo</t>
        </is>
      </c>
      <c r="F601" s="109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0</v>
      </c>
      <c r="K601" s="5" t="n">
        <v>69.08</v>
      </c>
      <c r="L601" s="74" t="n"/>
      <c r="M601" s="14" t="n"/>
      <c r="N601" s="5" t="n"/>
      <c r="O601" s="5" t="n"/>
      <c r="P601" s="5" t="n">
        <v>1</v>
      </c>
      <c r="Q601" s="5" t="n">
        <v>1</v>
      </c>
      <c r="R601" s="5" t="inlineStr">
        <is>
          <t>247-2023-12-31</t>
        </is>
      </c>
    </row>
    <row r="602" hidden="1">
      <c r="A602" s="5" t="n">
        <v>248</v>
      </c>
      <c r="B602" s="5" t="inlineStr">
        <is>
          <t>Programas con reforzamiento curricular</t>
        </is>
      </c>
      <c r="C602" s="5" t="inlineStr">
        <is>
          <t>Gestión, Evaluación e Innovación Curricular</t>
        </is>
      </c>
      <c r="D602" s="5" t="inlineStr">
        <is>
          <t>Semestral</t>
        </is>
      </c>
      <c r="E602" s="5" t="inlineStr">
        <is>
          <t>Positivo</t>
        </is>
      </c>
      <c r="F602" s="109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27</v>
      </c>
      <c r="K602" s="5" t="n">
        <v>27</v>
      </c>
      <c r="L602" s="14" t="n">
        <v>1</v>
      </c>
      <c r="M602" s="14" t="n">
        <v>1</v>
      </c>
      <c r="N602" s="5" t="n"/>
      <c r="O602" s="5" t="n"/>
      <c r="P602" s="5" t="n">
        <v>0</v>
      </c>
      <c r="Q602" s="5" t="n">
        <v>0</v>
      </c>
      <c r="R602" s="5" t="inlineStr">
        <is>
          <t>248-2023-06-30</t>
        </is>
      </c>
    </row>
    <row r="603" hidden="1">
      <c r="A603" s="5" t="n">
        <v>248</v>
      </c>
      <c r="B603" s="5" t="inlineStr">
        <is>
          <t>Programas con reforzamiento curricular</t>
        </is>
      </c>
      <c r="C603" s="5" t="inlineStr">
        <is>
          <t>Gestión, Evaluación e Innovación Curricular</t>
        </is>
      </c>
      <c r="D603" s="5" t="inlineStr">
        <is>
          <t>Semestral</t>
        </is>
      </c>
      <c r="E603" s="5" t="inlineStr">
        <is>
          <t>Positivo</t>
        </is>
      </c>
      <c r="F603" s="109" t="n">
        <v>45291</v>
      </c>
      <c r="G603" s="5" t="n">
        <v>2023</v>
      </c>
      <c r="H603" s="5" t="inlineStr">
        <is>
          <t>Diciembre</t>
        </is>
      </c>
      <c r="I603" s="6" t="inlineStr">
        <is>
          <t>2023-2</t>
        </is>
      </c>
      <c r="J603" s="5" t="n">
        <v>17</v>
      </c>
      <c r="K603" s="5" t="n">
        <v>17</v>
      </c>
      <c r="L603" s="14" t="n">
        <v>1</v>
      </c>
      <c r="M603" s="14" t="n">
        <v>1</v>
      </c>
      <c r="N603" s="5" t="n"/>
      <c r="O603" s="5" t="n"/>
      <c r="P603" s="5" t="n">
        <v>0</v>
      </c>
      <c r="Q603" s="5" t="n">
        <v>0</v>
      </c>
      <c r="R603" s="5" t="inlineStr">
        <is>
          <t>248-2023-12-31</t>
        </is>
      </c>
    </row>
    <row r="604" hidden="1">
      <c r="A604" s="28" t="n">
        <v>249</v>
      </c>
      <c r="B604" s="5" t="inlineStr">
        <is>
          <t>Programas con matriz de resultado de aprendizaje</t>
        </is>
      </c>
      <c r="C604" s="5" t="inlineStr">
        <is>
          <t>Gestión, Evaluación e Innovación Curricular</t>
        </is>
      </c>
      <c r="D604" s="5" t="inlineStr">
        <is>
          <t>Semestral</t>
        </is>
      </c>
      <c r="E604" s="5" t="inlineStr">
        <is>
          <t>Positivo</t>
        </is>
      </c>
      <c r="F604" s="109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72</v>
      </c>
      <c r="K604" s="5" t="n">
        <v>72</v>
      </c>
      <c r="L604" s="74" t="n">
        <v>1</v>
      </c>
      <c r="M604" s="14" t="n">
        <v>1</v>
      </c>
      <c r="N604" s="5" t="n"/>
      <c r="O604" s="5" t="n"/>
      <c r="P604" s="5" t="n">
        <v>0</v>
      </c>
      <c r="Q604" s="5" t="n">
        <v>0</v>
      </c>
      <c r="R604" s="5" t="inlineStr">
        <is>
          <t>249-2023-06-30</t>
        </is>
      </c>
    </row>
    <row r="605" hidden="1">
      <c r="A605" s="26" t="n">
        <v>249</v>
      </c>
      <c r="B605" s="5" t="inlineStr">
        <is>
          <t>Programas con matriz de resultado de aprendizaje</t>
        </is>
      </c>
      <c r="C605" s="5" t="inlineStr">
        <is>
          <t>Gestión, Evaluación e Innovación Curricular</t>
        </is>
      </c>
      <c r="D605" s="5" t="inlineStr">
        <is>
          <t>Semestral</t>
        </is>
      </c>
      <c r="E605" s="5" t="inlineStr">
        <is>
          <t>Positivo</t>
        </is>
      </c>
      <c r="F605" s="109" t="n">
        <v>45291</v>
      </c>
      <c r="G605" s="5" t="n">
        <v>2023</v>
      </c>
      <c r="H605" s="5" t="inlineStr">
        <is>
          <t>Diciembre</t>
        </is>
      </c>
      <c r="I605" s="6" t="inlineStr">
        <is>
          <t>2023-2</t>
        </is>
      </c>
      <c r="J605" s="5" t="n">
        <v>26</v>
      </c>
      <c r="K605" s="5" t="n">
        <v>26</v>
      </c>
      <c r="L605" s="74" t="n">
        <v>1</v>
      </c>
      <c r="M605" s="14" t="n">
        <v>1</v>
      </c>
      <c r="N605" s="5" t="n"/>
      <c r="O605" s="5" t="n"/>
      <c r="P605" s="5" t="n">
        <v>0</v>
      </c>
      <c r="Q605" s="5" t="n">
        <v>0</v>
      </c>
      <c r="R605" s="5" t="inlineStr">
        <is>
          <t>249-2023-12-31</t>
        </is>
      </c>
    </row>
    <row r="606" hidden="1">
      <c r="A606" s="5" t="n">
        <v>251</v>
      </c>
      <c r="B606" s="5" t="inlineStr">
        <is>
          <t>Subprocesos Con CMI Estructurado</t>
        </is>
      </c>
      <c r="C606" s="5" t="inlineStr">
        <is>
          <t>Desempeño Institucional</t>
        </is>
      </c>
      <c r="D606" s="5" t="inlineStr">
        <is>
          <t>Trimestral</t>
        </is>
      </c>
      <c r="E606" s="5" t="inlineStr">
        <is>
          <t>Positivo</t>
        </is>
      </c>
      <c r="F606" s="109" t="n">
        <v>45107</v>
      </c>
      <c r="G606" s="5" t="n">
        <v>2023</v>
      </c>
      <c r="H606" s="5" t="inlineStr">
        <is>
          <t>Junio</t>
        </is>
      </c>
      <c r="I606" s="6" t="inlineStr">
        <is>
          <t>2023-1</t>
        </is>
      </c>
      <c r="J606" s="5" t="n">
        <v>100</v>
      </c>
      <c r="K606" s="5" t="n">
        <v>93.87755102040816</v>
      </c>
      <c r="L606" s="14" t="n">
        <v>0.9387755102040817</v>
      </c>
      <c r="M606" s="14" t="n">
        <v>0.9387755102040817</v>
      </c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0</v>
      </c>
      <c r="R606" s="5" t="inlineStr">
        <is>
          <t>251-2023-06-30</t>
        </is>
      </c>
    </row>
    <row r="607" hidden="1">
      <c r="A607" s="5" t="n">
        <v>251</v>
      </c>
      <c r="B607" s="5" t="inlineStr">
        <is>
          <t>Subprocesos Con CMI Estructurado</t>
        </is>
      </c>
      <c r="C607" s="5" t="inlineStr">
        <is>
          <t>Desempeño Institucional</t>
        </is>
      </c>
      <c r="D607" s="5" t="inlineStr">
        <is>
          <t>Trimestral</t>
        </is>
      </c>
      <c r="E607" s="5" t="inlineStr">
        <is>
          <t>Positivo</t>
        </is>
      </c>
      <c r="F607" s="109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100</v>
      </c>
      <c r="K607" s="5" t="n">
        <v>100</v>
      </c>
      <c r="L607" s="14" t="n">
        <v>1</v>
      </c>
      <c r="M607" s="14" t="n">
        <v>1</v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251-2023-12-31</t>
        </is>
      </c>
    </row>
    <row r="608" hidden="1">
      <c r="A608" s="28" t="n">
        <v>251</v>
      </c>
      <c r="B608" s="5" t="inlineStr">
        <is>
          <t>Subprocesos Con CMI Estructurado</t>
        </is>
      </c>
      <c r="C608" s="5" t="inlineStr">
        <is>
          <t>Desempeño Institucional</t>
        </is>
      </c>
      <c r="D608" s="5" t="inlineStr">
        <is>
          <t>Trimestral</t>
        </is>
      </c>
      <c r="E608" s="5" t="inlineStr">
        <is>
          <t>Positivo</t>
        </is>
      </c>
      <c r="F608" s="109" t="n">
        <v>45473</v>
      </c>
      <c r="G608" s="5" t="n">
        <v>2024</v>
      </c>
      <c r="H608" s="5" t="inlineStr">
        <is>
          <t>Junio</t>
        </is>
      </c>
      <c r="I608" s="6" t="inlineStr">
        <is>
          <t>2024-1</t>
        </is>
      </c>
      <c r="J608" s="5" t="n">
        <v>100</v>
      </c>
      <c r="K608" s="5" t="n">
        <v>92.45283018867924</v>
      </c>
      <c r="L608" s="74" t="n">
        <v>0.9245283018867925</v>
      </c>
      <c r="M608" s="14" t="n">
        <v>0.9245283018867925</v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251-2024-06-30</t>
        </is>
      </c>
    </row>
    <row r="609" hidden="1">
      <c r="A609" s="26" t="n">
        <v>251</v>
      </c>
      <c r="B609" s="5" t="inlineStr">
        <is>
          <t>Subprocesos Con CMI Estructurado</t>
        </is>
      </c>
      <c r="C609" s="5" t="inlineStr">
        <is>
          <t>Desempeño Institucional</t>
        </is>
      </c>
      <c r="D609" s="5" t="inlineStr">
        <is>
          <t>Trimestral</t>
        </is>
      </c>
      <c r="E609" s="5" t="inlineStr">
        <is>
          <t>Positivo</t>
        </is>
      </c>
      <c r="F609" s="109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100</v>
      </c>
      <c r="K609" s="5" t="n">
        <v>96.22641509433964</v>
      </c>
      <c r="L609" s="74" t="n">
        <v>0.9622641509433965</v>
      </c>
      <c r="M609" s="14" t="n">
        <v>0.9622641509433965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251-2024-12-31</t>
        </is>
      </c>
    </row>
    <row r="610" hidden="1">
      <c r="A610" s="26" t="n">
        <v>251</v>
      </c>
      <c r="B610" s="5" t="inlineStr">
        <is>
          <t>Subprocesos Con CMI Estructurado</t>
        </is>
      </c>
      <c r="C610" s="5" t="inlineStr">
        <is>
          <t>Desempeño Institucional</t>
        </is>
      </c>
      <c r="D610" s="5" t="inlineStr">
        <is>
          <t>Trimestral</t>
        </is>
      </c>
      <c r="E610" s="5" t="inlineStr">
        <is>
          <t>Positivo</t>
        </is>
      </c>
      <c r="F610" s="109" t="n">
        <v>45838</v>
      </c>
      <c r="G610" s="5" t="n">
        <v>2025</v>
      </c>
      <c r="H610" s="5" t="inlineStr">
        <is>
          <t>Junio</t>
        </is>
      </c>
      <c r="I610" s="6" t="inlineStr">
        <is>
          <t>2025-1</t>
        </is>
      </c>
      <c r="J610" s="5" t="n">
        <v>100</v>
      </c>
      <c r="K610" s="5" t="n">
        <v>82.34999999999999</v>
      </c>
      <c r="L610" s="74" t="n">
        <v>0.8234999999999999</v>
      </c>
      <c r="M610" s="14" t="n">
        <v>0.8234999999999999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251-2025-06-30</t>
        </is>
      </c>
    </row>
    <row r="611" hidden="1">
      <c r="A611" s="5" t="n">
        <v>251</v>
      </c>
      <c r="B611" s="5" t="inlineStr">
        <is>
          <t>Subprocesos Con indicadores definidos</t>
        </is>
      </c>
      <c r="C611" s="5" t="inlineStr">
        <is>
          <t>Desempeño Institucional</t>
        </is>
      </c>
      <c r="D611" s="5" t="inlineStr">
        <is>
          <t>Semestral</t>
        </is>
      </c>
      <c r="E611" s="5" t="inlineStr">
        <is>
          <t>Positivo</t>
        </is>
      </c>
      <c r="F611" s="109" t="n">
        <v>46022</v>
      </c>
      <c r="G611" s="5" t="n">
        <v>2025</v>
      </c>
      <c r="H611" s="5" t="inlineStr">
        <is>
          <t>Diciembre</t>
        </is>
      </c>
      <c r="I611" s="6" t="inlineStr">
        <is>
          <t>2025-2</t>
        </is>
      </c>
      <c r="J611" s="5" t="n">
        <v>100</v>
      </c>
      <c r="K611" s="5" t="n">
        <v>100</v>
      </c>
      <c r="L611" s="14" t="n">
        <v>1</v>
      </c>
      <c r="M611" s="14" t="n">
        <v>1</v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251-2025-12-31</t>
        </is>
      </c>
    </row>
    <row r="612" hidden="1">
      <c r="A612" s="28" t="n">
        <v>252</v>
      </c>
      <c r="B612" s="5" t="inlineStr">
        <is>
          <t>Permanencia intersemestral ingresantes</t>
        </is>
      </c>
      <c r="C612" s="5" t="inlineStr">
        <is>
          <t>Permanencia</t>
        </is>
      </c>
      <c r="D612" s="5" t="inlineStr">
        <is>
          <t>Semestral</t>
        </is>
      </c>
      <c r="E612" s="5" t="inlineStr">
        <is>
          <t>Positivo</t>
        </is>
      </c>
      <c r="F612" s="109" t="n">
        <v>45107</v>
      </c>
      <c r="G612" s="5" t="n">
        <v>2023</v>
      </c>
      <c r="H612" s="5" t="inlineStr">
        <is>
          <t>Junio</t>
        </is>
      </c>
      <c r="I612" s="6" t="inlineStr">
        <is>
          <t>2023-1</t>
        </is>
      </c>
      <c r="J612" s="5" t="n">
        <v>68</v>
      </c>
      <c r="K612" s="5" t="n">
        <v>98.81</v>
      </c>
      <c r="L612" s="74" t="n">
        <v>1.3</v>
      </c>
      <c r="M612" s="14" t="n">
        <v>1.453088235294118</v>
      </c>
      <c r="N612" s="5" t="inlineStr">
        <is>
          <t>%</t>
        </is>
      </c>
      <c r="O612" s="5" t="inlineStr">
        <is>
          <t>%</t>
        </is>
      </c>
      <c r="P612" s="5" t="n">
        <v>2</v>
      </c>
      <c r="Q612" s="5" t="n">
        <v>2</v>
      </c>
      <c r="R612" s="5" t="inlineStr">
        <is>
          <t>252-2023-06-30</t>
        </is>
      </c>
    </row>
    <row r="613" hidden="1">
      <c r="A613" s="26" t="n">
        <v>252</v>
      </c>
      <c r="B613" s="5" t="inlineStr">
        <is>
          <t>Permanencia intersemestral ingresantes</t>
        </is>
      </c>
      <c r="C613" s="5" t="inlineStr">
        <is>
          <t>Permanencia</t>
        </is>
      </c>
      <c r="D613" s="5" t="inlineStr">
        <is>
          <t>Semestral</t>
        </is>
      </c>
      <c r="E613" s="5" t="inlineStr">
        <is>
          <t>Positivo</t>
        </is>
      </c>
      <c r="F613" s="109" t="n">
        <v>45291</v>
      </c>
      <c r="G613" s="5" t="n">
        <v>2023</v>
      </c>
      <c r="H613" s="5" t="inlineStr">
        <is>
          <t>Diciembre</t>
        </is>
      </c>
      <c r="I613" s="6" t="inlineStr">
        <is>
          <t>2023-2</t>
        </is>
      </c>
      <c r="J613" s="5" t="n">
        <v>68</v>
      </c>
      <c r="K613" s="5" t="n">
        <v>109.91</v>
      </c>
      <c r="L613" s="74" t="n">
        <v>1.3</v>
      </c>
      <c r="M613" s="14" t="n">
        <v>1.616323529411765</v>
      </c>
      <c r="N613" s="5" t="inlineStr">
        <is>
          <t>%</t>
        </is>
      </c>
      <c r="O613" s="5" t="inlineStr">
        <is>
          <t>%</t>
        </is>
      </c>
      <c r="P613" s="5" t="n">
        <v>2</v>
      </c>
      <c r="Q613" s="5" t="n">
        <v>2</v>
      </c>
      <c r="R613" s="5" t="inlineStr">
        <is>
          <t>252-2023-12-31</t>
        </is>
      </c>
    </row>
    <row r="614" hidden="1">
      <c r="A614" s="5" t="n">
        <v>252</v>
      </c>
      <c r="B614" s="5" t="inlineStr">
        <is>
          <t>Permanencia intersemestral ingresantes</t>
        </is>
      </c>
      <c r="C614" s="5" t="inlineStr">
        <is>
          <t>Permanencia</t>
        </is>
      </c>
      <c r="D614" s="5" t="inlineStr">
        <is>
          <t>Semestral</t>
        </is>
      </c>
      <c r="E614" s="5" t="inlineStr">
        <is>
          <t>Positivo</t>
        </is>
      </c>
      <c r="F614" s="109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68.5</v>
      </c>
      <c r="K614" s="5" t="n">
        <v>104.47</v>
      </c>
      <c r="L614" s="14" t="n">
        <v>1.3</v>
      </c>
      <c r="M614" s="14" t="n">
        <v>1.525109489051095</v>
      </c>
      <c r="N614" s="5" t="inlineStr">
        <is>
          <t>%</t>
        </is>
      </c>
      <c r="O614" s="5" t="inlineStr">
        <is>
          <t>%</t>
        </is>
      </c>
      <c r="P614" s="5" t="n">
        <v>0</v>
      </c>
      <c r="Q614" s="5" t="n">
        <v>0</v>
      </c>
      <c r="R614" s="5" t="inlineStr">
        <is>
          <t>252-2024-06-30</t>
        </is>
      </c>
    </row>
    <row r="615" hidden="1">
      <c r="A615" s="28" t="n">
        <v>252</v>
      </c>
      <c r="B615" s="5" t="inlineStr">
        <is>
          <t>Permanencia intersemestral ingresantes</t>
        </is>
      </c>
      <c r="C615" s="5" t="inlineStr">
        <is>
          <t>Permanencia</t>
        </is>
      </c>
      <c r="D615" s="5" t="inlineStr">
        <is>
          <t>Semestral</t>
        </is>
      </c>
      <c r="E615" s="5" t="inlineStr">
        <is>
          <t>Positivo</t>
        </is>
      </c>
      <c r="F615" s="109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72.90000000000001</v>
      </c>
      <c r="K615" s="5" t="n">
        <v>99.48999999999999</v>
      </c>
      <c r="L615" s="74" t="n">
        <v>1.3</v>
      </c>
      <c r="M615" s="14" t="n">
        <v>1.36474622770919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252-2024-12-31</t>
        </is>
      </c>
    </row>
    <row r="616" hidden="1">
      <c r="A616" s="26" t="n">
        <v>252</v>
      </c>
      <c r="B616" s="5" t="inlineStr">
        <is>
          <t>Permanencia intersemestral ingresantes</t>
        </is>
      </c>
      <c r="C616" s="5" t="inlineStr">
        <is>
          <t>Permanencia</t>
        </is>
      </c>
      <c r="D616" s="5" t="inlineStr">
        <is>
          <t>Semestral</t>
        </is>
      </c>
      <c r="E616" s="5" t="inlineStr">
        <is>
          <t>Positivo</t>
        </is>
      </c>
      <c r="F616" s="109" t="n">
        <v>45838</v>
      </c>
      <c r="G616" s="5" t="n">
        <v>2025</v>
      </c>
      <c r="H616" s="5" t="inlineStr">
        <is>
          <t>Junio</t>
        </is>
      </c>
      <c r="I616" s="6" t="inlineStr">
        <is>
          <t>2025-1</t>
        </is>
      </c>
      <c r="J616" s="5" t="n">
        <v>100</v>
      </c>
      <c r="K616" s="5" t="n">
        <v>99.58</v>
      </c>
      <c r="L616" s="74" t="n">
        <v>0.9958</v>
      </c>
      <c r="M616" s="14" t="n">
        <v>0.9958</v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0</v>
      </c>
      <c r="R616" s="5" t="inlineStr">
        <is>
          <t>252-2025-06-30</t>
        </is>
      </c>
    </row>
    <row r="617" hidden="1">
      <c r="A617" s="5" t="n">
        <v>252</v>
      </c>
      <c r="B617" s="5" t="inlineStr">
        <is>
          <t>Tasa de Permanencia Intersemestral de Estudiantes Ingresantes</t>
        </is>
      </c>
      <c r="C617" s="5" t="inlineStr">
        <is>
          <t>Permanencia</t>
        </is>
      </c>
      <c r="D617" s="5" t="inlineStr">
        <is>
          <t>Trimestral</t>
        </is>
      </c>
      <c r="E617" s="5" t="inlineStr">
        <is>
          <t>Positivo</t>
        </is>
      </c>
      <c r="F617" s="109" t="n">
        <v>46022</v>
      </c>
      <c r="G617" s="5" t="n">
        <v>2025</v>
      </c>
      <c r="H617" s="5" t="inlineStr">
        <is>
          <t>Diciembre</t>
        </is>
      </c>
      <c r="I617" s="6" t="inlineStr">
        <is>
          <t>2025-2</t>
        </is>
      </c>
      <c r="J617" s="5" t="n">
        <v>100</v>
      </c>
      <c r="K617" s="5" t="n">
        <v>104.31</v>
      </c>
      <c r="L617" s="14" t="n">
        <v>1.0431</v>
      </c>
      <c r="M617" s="14" t="n">
        <v>1.0431</v>
      </c>
      <c r="N617" s="5" t="inlineStr">
        <is>
          <t>%</t>
        </is>
      </c>
      <c r="O617" s="5" t="inlineStr">
        <is>
          <t>%</t>
        </is>
      </c>
      <c r="P617" s="5" t="n">
        <v>1</v>
      </c>
      <c r="Q617" s="5" t="n">
        <v>1</v>
      </c>
      <c r="R617" s="5" t="inlineStr">
        <is>
          <t>252-2025-12-31</t>
        </is>
      </c>
    </row>
    <row r="618" hidden="1">
      <c r="A618" s="5" t="n">
        <v>253</v>
      </c>
      <c r="B618" s="5" t="inlineStr">
        <is>
          <t>Oportunidad en la entrega de informes de auditoria</t>
        </is>
      </c>
      <c r="C618" s="5" t="inlineStr">
        <is>
          <t>AUDITORÍA INTERNA</t>
        </is>
      </c>
      <c r="D618" s="5" t="inlineStr">
        <is>
          <t>Bimestral</t>
        </is>
      </c>
      <c r="E618" s="5" t="inlineStr">
        <is>
          <t>Negativo</t>
        </is>
      </c>
      <c r="F618" s="109" t="n">
        <v>45046</v>
      </c>
      <c r="G618" s="5" t="n">
        <v>2023</v>
      </c>
      <c r="H618" s="5" t="inlineStr">
        <is>
          <t>Abril</t>
        </is>
      </c>
      <c r="I618" s="6" t="inlineStr">
        <is>
          <t>2023-1</t>
        </is>
      </c>
      <c r="J618" s="5" t="n">
        <v>8</v>
      </c>
      <c r="K618" s="5" t="n">
        <v>8</v>
      </c>
      <c r="L618" s="14" t="n">
        <v>1</v>
      </c>
      <c r="M618" s="14" t="n">
        <v>1</v>
      </c>
      <c r="N618" s="5" t="inlineStr">
        <is>
          <t>Días</t>
        </is>
      </c>
      <c r="O618" s="5" t="inlineStr">
        <is>
          <t>Días</t>
        </is>
      </c>
      <c r="P618" s="5" t="n">
        <v>0</v>
      </c>
      <c r="Q618" s="5" t="n">
        <v>0</v>
      </c>
      <c r="R618" s="5" t="inlineStr">
        <is>
          <t>253-2023-04-30</t>
        </is>
      </c>
    </row>
    <row r="619" hidden="1">
      <c r="A619" s="28" t="n">
        <v>253</v>
      </c>
      <c r="B619" s="5" t="inlineStr">
        <is>
          <t>Oportunidad en la entrega de informes de auditoria</t>
        </is>
      </c>
      <c r="C619" s="5" t="inlineStr">
        <is>
          <t>AUDITORÍA INTERNA</t>
        </is>
      </c>
      <c r="D619" s="5" t="inlineStr">
        <is>
          <t>Bimestral</t>
        </is>
      </c>
      <c r="E619" s="5" t="inlineStr">
        <is>
          <t>Negativo</t>
        </is>
      </c>
      <c r="F619" s="109" t="n">
        <v>45107</v>
      </c>
      <c r="G619" s="5" t="n">
        <v>2023</v>
      </c>
      <c r="H619" s="5" t="inlineStr">
        <is>
          <t>Junio</t>
        </is>
      </c>
      <c r="I619" s="6" t="inlineStr">
        <is>
          <t>2023-1</t>
        </is>
      </c>
      <c r="J619" s="5" t="n">
        <v>8</v>
      </c>
      <c r="K619" s="5" t="n">
        <v>4.5</v>
      </c>
      <c r="L619" s="74" t="n">
        <v>1.3</v>
      </c>
      <c r="M619" s="14" t="n">
        <v>1.777777777777778</v>
      </c>
      <c r="N619" s="5" t="inlineStr">
        <is>
          <t>Días</t>
        </is>
      </c>
      <c r="O619" s="5" t="inlineStr">
        <is>
          <t>Días</t>
        </is>
      </c>
      <c r="P619" s="5" t="n">
        <v>0</v>
      </c>
      <c r="Q619" s="5" t="n">
        <v>0</v>
      </c>
      <c r="R619" s="5" t="inlineStr">
        <is>
          <t>253-2023-06-30</t>
        </is>
      </c>
    </row>
    <row r="620" hidden="1">
      <c r="A620" s="26" t="n">
        <v>253</v>
      </c>
      <c r="B620" s="5" t="inlineStr">
        <is>
          <t>Oportunidad en la entrega de informes de auditoria</t>
        </is>
      </c>
      <c r="C620" s="5" t="inlineStr">
        <is>
          <t>AUDITORÍA INTERNA</t>
        </is>
      </c>
      <c r="D620" s="5" t="inlineStr">
        <is>
          <t>Bimestral</t>
        </is>
      </c>
      <c r="E620" s="5" t="inlineStr">
        <is>
          <t>Negativo</t>
        </is>
      </c>
      <c r="F620" s="109" t="n">
        <v>45169</v>
      </c>
      <c r="G620" s="5" t="n">
        <v>2023</v>
      </c>
      <c r="H620" s="5" t="inlineStr">
        <is>
          <t>Agosto</t>
        </is>
      </c>
      <c r="I620" s="6" t="inlineStr">
        <is>
          <t>2023-2</t>
        </is>
      </c>
      <c r="J620" s="5" t="n">
        <v>8</v>
      </c>
      <c r="K620" s="5" t="n">
        <v>4.5</v>
      </c>
      <c r="L620" s="74" t="n">
        <v>1.3</v>
      </c>
      <c r="M620" s="14" t="n">
        <v>1.777777777777778</v>
      </c>
      <c r="N620" s="5" t="inlineStr">
        <is>
          <t>Días</t>
        </is>
      </c>
      <c r="O620" s="5" t="inlineStr">
        <is>
          <t>Días</t>
        </is>
      </c>
      <c r="P620" s="5" t="n">
        <v>0</v>
      </c>
      <c r="Q620" s="5" t="n">
        <v>0</v>
      </c>
      <c r="R620" s="5" t="inlineStr">
        <is>
          <t>253-2023-08-31</t>
        </is>
      </c>
    </row>
    <row r="621" hidden="1">
      <c r="A621" s="5" t="n">
        <v>253</v>
      </c>
      <c r="B621" s="5" t="inlineStr">
        <is>
          <t>Oportunidad en la entrega de informes de auditoria</t>
        </is>
      </c>
      <c r="C621" s="5" t="inlineStr">
        <is>
          <t>AUDITORÍA INTERNA</t>
        </is>
      </c>
      <c r="D621" s="5" t="inlineStr">
        <is>
          <t>Bimestral</t>
        </is>
      </c>
      <c r="E621" s="5" t="inlineStr">
        <is>
          <t>Negativo</t>
        </is>
      </c>
      <c r="F621" s="109" t="n">
        <v>45230</v>
      </c>
      <c r="G621" s="5" t="n">
        <v>2023</v>
      </c>
      <c r="H621" s="5" t="inlineStr">
        <is>
          <t>Octubre</t>
        </is>
      </c>
      <c r="I621" s="6" t="inlineStr">
        <is>
          <t>2023-2</t>
        </is>
      </c>
      <c r="J621" s="5" t="n">
        <v>8</v>
      </c>
      <c r="K621" s="5" t="n">
        <v>5.8</v>
      </c>
      <c r="L621" s="14" t="n">
        <v>1.3</v>
      </c>
      <c r="M621" s="14" t="n">
        <v>1.379310344827586</v>
      </c>
      <c r="N621" s="5" t="inlineStr">
        <is>
          <t>Días</t>
        </is>
      </c>
      <c r="O621" s="5" t="inlineStr">
        <is>
          <t>Días</t>
        </is>
      </c>
      <c r="P621" s="5" t="n">
        <v>0</v>
      </c>
      <c r="Q621" s="5" t="n">
        <v>0</v>
      </c>
      <c r="R621" s="5" t="inlineStr">
        <is>
          <t>253-2023-10-31</t>
        </is>
      </c>
    </row>
    <row r="622" hidden="1">
      <c r="A622" s="5" t="n">
        <v>253</v>
      </c>
      <c r="B622" s="5" t="inlineStr">
        <is>
          <t>Oportunidad en la entrega de informes de auditoria</t>
        </is>
      </c>
      <c r="C622" s="5" t="inlineStr">
        <is>
          <t>AUDITORÍA INTERNA</t>
        </is>
      </c>
      <c r="D622" s="5" t="inlineStr">
        <is>
          <t>Bimestral</t>
        </is>
      </c>
      <c r="E622" s="5" t="inlineStr">
        <is>
          <t>Negativo</t>
        </is>
      </c>
      <c r="F622" s="109" t="n">
        <v>45291</v>
      </c>
      <c r="G622" s="5" t="n">
        <v>2023</v>
      </c>
      <c r="H622" s="5" t="inlineStr">
        <is>
          <t>Diciembre</t>
        </is>
      </c>
      <c r="I622" s="6" t="inlineStr">
        <is>
          <t>2023-2</t>
        </is>
      </c>
      <c r="J622" s="5" t="n">
        <v>8</v>
      </c>
      <c r="K622" s="5" t="n">
        <v>5</v>
      </c>
      <c r="L622" s="14" t="n">
        <v>1.3</v>
      </c>
      <c r="M622" s="14" t="n">
        <v>1.6</v>
      </c>
      <c r="N622" s="5" t="inlineStr">
        <is>
          <t>Días</t>
        </is>
      </c>
      <c r="O622" s="5" t="inlineStr">
        <is>
          <t>Días</t>
        </is>
      </c>
      <c r="P622" s="5" t="n">
        <v>0</v>
      </c>
      <c r="Q622" s="5" t="n">
        <v>0</v>
      </c>
      <c r="R622" s="5" t="inlineStr">
        <is>
          <t>253-2023-12-31</t>
        </is>
      </c>
    </row>
    <row r="623" hidden="1">
      <c r="A623" s="28" t="n">
        <v>254</v>
      </c>
      <c r="B623" s="5" t="inlineStr">
        <is>
          <t>Áreas con reportes de plan de retos</t>
        </is>
      </c>
      <c r="C623" s="5" t="inlineStr">
        <is>
          <t>Planeación Estratégica</t>
        </is>
      </c>
      <c r="D623" s="5" t="inlineStr">
        <is>
          <t>Trimestral</t>
        </is>
      </c>
      <c r="E623" s="5" t="inlineStr">
        <is>
          <t>Positivo</t>
        </is>
      </c>
      <c r="F623" s="109" t="n">
        <v>45107</v>
      </c>
      <c r="G623" s="5" t="n">
        <v>2023</v>
      </c>
      <c r="H623" s="5" t="inlineStr">
        <is>
          <t>Junio</t>
        </is>
      </c>
      <c r="I623" s="6" t="inlineStr">
        <is>
          <t>2023-1</t>
        </is>
      </c>
      <c r="J623" s="5" t="n">
        <v>100</v>
      </c>
      <c r="K623" s="5" t="n">
        <v>100</v>
      </c>
      <c r="L623" s="14" t="n">
        <v>1</v>
      </c>
      <c r="M623" s="14" t="n">
        <v>1</v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254-2023-06-30</t>
        </is>
      </c>
    </row>
    <row r="624" hidden="1">
      <c r="A624" s="26" t="n">
        <v>254</v>
      </c>
      <c r="B624" s="5" t="inlineStr">
        <is>
          <t>Áreas con reportes de plan de retos</t>
        </is>
      </c>
      <c r="C624" s="5" t="inlineStr">
        <is>
          <t>Planeación Estratégica</t>
        </is>
      </c>
      <c r="D624" s="5" t="inlineStr">
        <is>
          <t>Trimestral</t>
        </is>
      </c>
      <c r="E624" s="5" t="inlineStr">
        <is>
          <t>Positivo</t>
        </is>
      </c>
      <c r="F624" s="109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100</v>
      </c>
      <c r="K624" s="5" t="n">
        <v>100</v>
      </c>
      <c r="L624" s="74" t="n">
        <v>1</v>
      </c>
      <c r="M624" s="14" t="n">
        <v>1</v>
      </c>
      <c r="N624" s="5" t="inlineStr">
        <is>
          <t>ENT</t>
        </is>
      </c>
      <c r="O624" s="5" t="inlineStr">
        <is>
          <t>ENT</t>
        </is>
      </c>
      <c r="P624" s="5" t="n">
        <v>0</v>
      </c>
      <c r="Q624" s="5" t="n">
        <v>0</v>
      </c>
      <c r="R624" s="5" t="inlineStr">
        <is>
          <t>254-2023-12-31</t>
        </is>
      </c>
    </row>
    <row r="625" hidden="1">
      <c r="A625" s="5" t="n">
        <v>254</v>
      </c>
      <c r="B625" s="5" t="inlineStr">
        <is>
          <t>Áreas con reportes de plan de retos</t>
        </is>
      </c>
      <c r="C625" s="5" t="inlineStr">
        <is>
          <t>Planeación Estratégica</t>
        </is>
      </c>
      <c r="D625" s="5" t="inlineStr">
        <is>
          <t>Trimestral</t>
        </is>
      </c>
      <c r="E625" s="5" t="inlineStr">
        <is>
          <t>Positivo</t>
        </is>
      </c>
      <c r="F625" s="109" t="n">
        <v>45473</v>
      </c>
      <c r="G625" s="5" t="n">
        <v>2024</v>
      </c>
      <c r="H625" s="5" t="inlineStr">
        <is>
          <t>Junio</t>
        </is>
      </c>
      <c r="I625" s="6" t="inlineStr">
        <is>
          <t>2024-1</t>
        </is>
      </c>
      <c r="J625" s="5" t="n">
        <v>100</v>
      </c>
      <c r="K625" s="5" t="n">
        <v>100</v>
      </c>
      <c r="L625" s="14" t="n">
        <v>1</v>
      </c>
      <c r="M625" s="14" t="n">
        <v>1</v>
      </c>
      <c r="N625" s="5" t="inlineStr">
        <is>
          <t>ENT</t>
        </is>
      </c>
      <c r="O625" s="5" t="inlineStr">
        <is>
          <t>ENT</t>
        </is>
      </c>
      <c r="P625" s="5" t="n">
        <v>0</v>
      </c>
      <c r="Q625" s="5" t="n">
        <v>0</v>
      </c>
      <c r="R625" s="5" t="inlineStr">
        <is>
          <t>254-2024-06-30</t>
        </is>
      </c>
    </row>
    <row r="626" hidden="1">
      <c r="A626" s="5" t="n">
        <v>254</v>
      </c>
      <c r="B626" s="5" t="inlineStr">
        <is>
          <t>Áreas con reportes de plan de retos</t>
        </is>
      </c>
      <c r="C626" s="5" t="inlineStr">
        <is>
          <t>Planeación Estratégica</t>
        </is>
      </c>
      <c r="D626" s="5" t="inlineStr">
        <is>
          <t>Trimestral</t>
        </is>
      </c>
      <c r="E626" s="5" t="inlineStr">
        <is>
          <t>Positivo</t>
        </is>
      </c>
      <c r="F626" s="109" t="n">
        <v>45657</v>
      </c>
      <c r="G626" s="5" t="n">
        <v>2024</v>
      </c>
      <c r="H626" s="5" t="inlineStr">
        <is>
          <t>Diciembre</t>
        </is>
      </c>
      <c r="I626" s="6" t="inlineStr">
        <is>
          <t>2024-2</t>
        </is>
      </c>
      <c r="J626" s="5" t="n">
        <v>100</v>
      </c>
      <c r="K626" s="5" t="n">
        <v>100</v>
      </c>
      <c r="L626" s="14" t="n">
        <v>1</v>
      </c>
      <c r="M626" s="14" t="n">
        <v>1</v>
      </c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254-2024-12-31</t>
        </is>
      </c>
    </row>
    <row r="627" hidden="1">
      <c r="A627" s="5" t="n">
        <v>254</v>
      </c>
      <c r="B627" s="5" t="inlineStr">
        <is>
          <t>Áreas con reportes de plan de retos</t>
        </is>
      </c>
      <c r="C627" s="5" t="inlineStr">
        <is>
          <t>Planeación Estratégica</t>
        </is>
      </c>
      <c r="D627" s="5" t="inlineStr">
        <is>
          <t>Trimestral</t>
        </is>
      </c>
      <c r="E627" s="5" t="inlineStr">
        <is>
          <t>Positivo</t>
        </is>
      </c>
      <c r="F627" s="108" t="n">
        <v>45838</v>
      </c>
      <c r="G627" s="15" t="n">
        <v>2025</v>
      </c>
      <c r="H627" s="6" t="inlineStr">
        <is>
          <t>Junio</t>
        </is>
      </c>
      <c r="I627" s="27" t="inlineStr">
        <is>
          <t>2025-1</t>
        </is>
      </c>
      <c r="J627" s="5" t="n">
        <v>100</v>
      </c>
      <c r="K627" s="5" t="n">
        <v>100</v>
      </c>
      <c r="L627" s="14" t="n">
        <v>1</v>
      </c>
      <c r="M627" s="14" t="n">
        <v>1</v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254-2025-06-30</t>
        </is>
      </c>
    </row>
    <row r="628" hidden="1">
      <c r="A628" s="26" t="n">
        <v>254</v>
      </c>
      <c r="B628" s="5" t="inlineStr">
        <is>
          <t>Áreas con reportes de plan de retos</t>
        </is>
      </c>
      <c r="C628" s="5" t="inlineStr">
        <is>
          <t>Planeación Estratégica</t>
        </is>
      </c>
      <c r="D628" s="5" t="inlineStr">
        <is>
          <t>Semestral</t>
        </is>
      </c>
      <c r="E628" s="5" t="inlineStr">
        <is>
          <t>Positivo</t>
        </is>
      </c>
      <c r="F628" s="109" t="n">
        <v>46022</v>
      </c>
      <c r="G628" s="5" t="n">
        <v>2025</v>
      </c>
      <c r="H628" s="5" t="inlineStr">
        <is>
          <t>Diciembre</t>
        </is>
      </c>
      <c r="I628" s="6" t="inlineStr">
        <is>
          <t>2025-2</t>
        </is>
      </c>
      <c r="J628" s="5" t="n">
        <v>100</v>
      </c>
      <c r="K628" s="5" t="n">
        <v>100</v>
      </c>
      <c r="L628" s="14" t="n">
        <v>1</v>
      </c>
      <c r="M628" s="14" t="n">
        <v>1</v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254-2025-12-31</t>
        </is>
      </c>
    </row>
    <row r="629" hidden="1">
      <c r="A629" s="26" t="n">
        <v>255</v>
      </c>
      <c r="B629" s="5" t="inlineStr">
        <is>
          <t>Informe anual de variación de índice H</t>
        </is>
      </c>
      <c r="C629" s="5" t="inlineStr">
        <is>
          <t>Editorial y Publicaciones</t>
        </is>
      </c>
      <c r="D629" s="5" t="inlineStr">
        <is>
          <t>Anual</t>
        </is>
      </c>
      <c r="E629" s="5" t="inlineStr">
        <is>
          <t>Positivo</t>
        </is>
      </c>
      <c r="F629" s="108" t="n">
        <v>45291</v>
      </c>
      <c r="G629" s="5" t="n">
        <v>2023</v>
      </c>
      <c r="H629" s="5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18</v>
      </c>
      <c r="L629" s="14" t="n">
        <v>0.18</v>
      </c>
      <c r="M629" s="14" t="n">
        <v>0.18</v>
      </c>
      <c r="N629" s="5" t="n"/>
      <c r="O629" s="5" t="n"/>
      <c r="P629" s="5" t="n">
        <v>0</v>
      </c>
      <c r="Q629" s="5" t="n">
        <v>0</v>
      </c>
      <c r="R629" s="5" t="inlineStr">
        <is>
          <t>255-2023-12-31</t>
        </is>
      </c>
    </row>
    <row r="630" hidden="1">
      <c r="A630" s="26" t="n">
        <v>255</v>
      </c>
      <c r="B630" s="5" t="inlineStr">
        <is>
          <t>Informe anual de variación de índice H</t>
        </is>
      </c>
      <c r="C630" s="5" t="inlineStr">
        <is>
          <t>Editorial y Publicaciones</t>
        </is>
      </c>
      <c r="D630" s="5" t="inlineStr">
        <is>
          <t>Anual</t>
        </is>
      </c>
      <c r="E630" s="5" t="inlineStr">
        <is>
          <t>Positivo</t>
        </is>
      </c>
      <c r="F630" s="108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100</v>
      </c>
      <c r="K630" s="5" t="n">
        <v>15</v>
      </c>
      <c r="L630" s="14" t="n">
        <v>0.15</v>
      </c>
      <c r="M630" s="14" t="n">
        <v>0.15</v>
      </c>
      <c r="N630" s="5" t="n"/>
      <c r="O630" s="5" t="n"/>
      <c r="P630" s="5" t="n">
        <v>0</v>
      </c>
      <c r="Q630" s="5" t="n">
        <v>0</v>
      </c>
      <c r="R630" s="5" t="inlineStr">
        <is>
          <t>255-2024-12-31</t>
        </is>
      </c>
    </row>
    <row r="631" hidden="1">
      <c r="A631" s="28" t="n">
        <v>255</v>
      </c>
      <c r="B631" s="5" t="inlineStr">
        <is>
          <t>Informe anual de índice H</t>
        </is>
      </c>
      <c r="C631" s="5" t="inlineStr">
        <is>
          <t>Editorial y Publicaciones</t>
        </is>
      </c>
      <c r="D631" s="5" t="inlineStr">
        <is>
          <t>Anual</t>
        </is>
      </c>
      <c r="E631" s="5" t="inlineStr">
        <is>
          <t>Positivo</t>
        </is>
      </c>
      <c r="F631" s="109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/>
      <c r="K631" s="5" t="n">
        <v>17.5</v>
      </c>
      <c r="L631" s="74" t="n"/>
      <c r="M631" s="14" t="n"/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255-2025-12-31</t>
        </is>
      </c>
    </row>
    <row r="632" hidden="1">
      <c r="A632" s="26" t="n">
        <v>256</v>
      </c>
      <c r="B632" s="5" t="inlineStr">
        <is>
          <t>Publicaciones editadas por la editorial</t>
        </is>
      </c>
      <c r="C632" s="5" t="inlineStr">
        <is>
          <t>Editorial y Publicaciones</t>
        </is>
      </c>
      <c r="D632" s="5" t="inlineStr">
        <is>
          <t>Semestral</t>
        </is>
      </c>
      <c r="E632" s="5" t="inlineStr">
        <is>
          <t>Positivo</t>
        </is>
      </c>
      <c r="F632" s="109" t="n">
        <v>45107</v>
      </c>
      <c r="G632" s="5" t="n">
        <v>2023</v>
      </c>
      <c r="H632" s="5" t="inlineStr">
        <is>
          <t>Junio</t>
        </is>
      </c>
      <c r="I632" s="6" t="inlineStr">
        <is>
          <t>2023-1</t>
        </is>
      </c>
      <c r="J632" s="5" t="n">
        <v>100</v>
      </c>
      <c r="K632" s="5" t="n">
        <v>123.52941176471</v>
      </c>
      <c r="L632" s="74" t="n">
        <v>1.2352941176471</v>
      </c>
      <c r="M632" s="14" t="n">
        <v>1.2352941176471</v>
      </c>
      <c r="N632" s="5" t="inlineStr">
        <is>
          <t>ENT</t>
        </is>
      </c>
      <c r="O632" s="5" t="inlineStr">
        <is>
          <t>ENT</t>
        </is>
      </c>
      <c r="P632" s="5" t="n">
        <v>0</v>
      </c>
      <c r="Q632" s="5" t="n">
        <v>0</v>
      </c>
      <c r="R632" s="5" t="inlineStr">
        <is>
          <t>256-2023-06-30</t>
        </is>
      </c>
    </row>
    <row r="633" hidden="1">
      <c r="A633" s="5" t="n">
        <v>256</v>
      </c>
      <c r="B633" s="5" t="inlineStr">
        <is>
          <t>Publicaciones editadas por la editorial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109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100</v>
      </c>
      <c r="K633" s="5" t="n">
        <v>123.53</v>
      </c>
      <c r="L633" s="14" t="n">
        <v>1.2353</v>
      </c>
      <c r="M633" s="14" t="n">
        <v>1.2353</v>
      </c>
      <c r="N633" s="5" t="inlineStr">
        <is>
          <t>ENT</t>
        </is>
      </c>
      <c r="O633" s="5" t="inlineStr">
        <is>
          <t>ENT</t>
        </is>
      </c>
      <c r="P633" s="5" t="n">
        <v>0</v>
      </c>
      <c r="Q633" s="5" t="n">
        <v>0</v>
      </c>
      <c r="R633" s="5" t="inlineStr">
        <is>
          <t>256-2023-12-31</t>
        </is>
      </c>
    </row>
    <row r="634" hidden="1">
      <c r="A634" s="5" t="n">
        <v>256</v>
      </c>
      <c r="B634" s="5" t="inlineStr">
        <is>
          <t>Publicaciones editadas por la editorial</t>
        </is>
      </c>
      <c r="C634" s="5" t="inlineStr">
        <is>
          <t>Editorial y Publicaciones</t>
        </is>
      </c>
      <c r="D634" s="5" t="inlineStr">
        <is>
          <t>Semestral</t>
        </is>
      </c>
      <c r="E634" s="5" t="inlineStr">
        <is>
          <t>Positivo</t>
        </is>
      </c>
      <c r="F634" s="109" t="n">
        <v>45473</v>
      </c>
      <c r="G634" s="5" t="n">
        <v>2024</v>
      </c>
      <c r="H634" s="5" t="inlineStr">
        <is>
          <t>Junio</t>
        </is>
      </c>
      <c r="I634" s="6" t="inlineStr">
        <is>
          <t>2024-1</t>
        </is>
      </c>
      <c r="J634" s="5" t="n">
        <v>100</v>
      </c>
      <c r="K634" s="5" t="n">
        <v>117.65</v>
      </c>
      <c r="L634" s="14" t="n">
        <v>1.1765</v>
      </c>
      <c r="M634" s="14" t="n">
        <v>1.1765</v>
      </c>
      <c r="N634" s="5" t="inlineStr">
        <is>
          <t>ENT</t>
        </is>
      </c>
      <c r="O634" s="5" t="inlineStr">
        <is>
          <t>ENT</t>
        </is>
      </c>
      <c r="P634" s="5" t="n">
        <v>0</v>
      </c>
      <c r="Q634" s="5" t="n">
        <v>0</v>
      </c>
      <c r="R634" s="5" t="inlineStr">
        <is>
          <t>256-2024-06-30</t>
        </is>
      </c>
    </row>
    <row r="635" hidden="1">
      <c r="A635" s="5" t="n">
        <v>256</v>
      </c>
      <c r="B635" s="5" t="inlineStr">
        <is>
          <t>Publicaciones editadas por la editorial</t>
        </is>
      </c>
      <c r="C635" s="5" t="inlineStr">
        <is>
          <t>Editorial y Publicaciones</t>
        </is>
      </c>
      <c r="D635" s="5" t="inlineStr">
        <is>
          <t>Semestral</t>
        </is>
      </c>
      <c r="E635" s="5" t="inlineStr">
        <is>
          <t>Positivo</t>
        </is>
      </c>
      <c r="F635" s="108" t="n">
        <v>45657</v>
      </c>
      <c r="G635" s="15" t="n">
        <v>2024</v>
      </c>
      <c r="H635" s="6" t="inlineStr">
        <is>
          <t>Diciembre</t>
        </is>
      </c>
      <c r="I635" s="27" t="inlineStr">
        <is>
          <t>2024-2</t>
        </is>
      </c>
      <c r="J635" s="5" t="n">
        <v>100</v>
      </c>
      <c r="K635" s="5" t="n">
        <v>152.94</v>
      </c>
      <c r="L635" s="14" t="n">
        <v>1.3</v>
      </c>
      <c r="M635" s="14" t="n">
        <v>1.5294</v>
      </c>
      <c r="N635" s="5" t="inlineStr">
        <is>
          <t>ENT</t>
        </is>
      </c>
      <c r="O635" s="5" t="inlineStr">
        <is>
          <t>ENT</t>
        </is>
      </c>
      <c r="P635" s="5" t="n">
        <v>0</v>
      </c>
      <c r="Q635" s="5" t="n">
        <v>0</v>
      </c>
      <c r="R635" s="5" t="inlineStr">
        <is>
          <t>256-2024-12-31</t>
        </is>
      </c>
    </row>
    <row r="636" hidden="1">
      <c r="A636" s="26" t="n">
        <v>256</v>
      </c>
      <c r="B636" s="5" t="inlineStr">
        <is>
          <t>Publicaciones editadas por la editorial</t>
        </is>
      </c>
      <c r="C636" s="5" t="inlineStr">
        <is>
          <t>Editorial y Publicaciones</t>
        </is>
      </c>
      <c r="D636" s="5" t="inlineStr">
        <is>
          <t>Semestral</t>
        </is>
      </c>
      <c r="E636" s="5" t="inlineStr">
        <is>
          <t>Positivo</t>
        </is>
      </c>
      <c r="F636" s="109" t="n">
        <v>45838</v>
      </c>
      <c r="G636" s="5" t="n">
        <v>2025</v>
      </c>
      <c r="H636" s="5" t="inlineStr">
        <is>
          <t>Junio</t>
        </is>
      </c>
      <c r="I636" s="6" t="inlineStr">
        <is>
          <t>2025-1</t>
        </is>
      </c>
      <c r="J636" s="5" t="n">
        <v>100</v>
      </c>
      <c r="K636" s="5" t="n">
        <v>100</v>
      </c>
      <c r="L636" s="14" t="n">
        <v>1</v>
      </c>
      <c r="M636" s="14" t="n">
        <v>1</v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 t="inlineStr">
        <is>
          <t>256-2025-06-30</t>
        </is>
      </c>
    </row>
    <row r="637" hidden="1">
      <c r="A637" s="5" t="n">
        <v>256</v>
      </c>
      <c r="B637" s="5" t="inlineStr">
        <is>
          <t>Publicaciones editadas por la editorial</t>
        </is>
      </c>
      <c r="C637" s="5" t="inlineStr">
        <is>
          <t>Editorial y Publicaciones</t>
        </is>
      </c>
      <c r="D637" s="5" t="inlineStr">
        <is>
          <t>Trimestral</t>
        </is>
      </c>
      <c r="E637" s="5" t="inlineStr">
        <is>
          <t>Positivo</t>
        </is>
      </c>
      <c r="F637" s="109" t="n">
        <v>46022</v>
      </c>
      <c r="G637" s="5" t="n">
        <v>2025</v>
      </c>
      <c r="H637" s="5" t="inlineStr">
        <is>
          <t>Diciembre</t>
        </is>
      </c>
      <c r="I637" s="6" t="inlineStr">
        <is>
          <t>2025-2</t>
        </is>
      </c>
      <c r="J637" s="5" t="n">
        <v>100</v>
      </c>
      <c r="K637" s="10" t="n">
        <v>170.59</v>
      </c>
      <c r="L637" s="14" t="n">
        <v>1.3</v>
      </c>
      <c r="M637" s="14" t="n">
        <v>1.7059</v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256-2025-12-31</t>
        </is>
      </c>
    </row>
    <row r="638" hidden="1">
      <c r="A638" s="5" t="n">
        <v>257</v>
      </c>
      <c r="B638" s="5" t="inlineStr">
        <is>
          <t>N de publicaciones aprobadas en convocatorias</t>
        </is>
      </c>
      <c r="C638" s="5" t="inlineStr">
        <is>
          <t>Editorial y Publicaciones</t>
        </is>
      </c>
      <c r="D638" s="5" t="inlineStr">
        <is>
          <t>Semestral</t>
        </is>
      </c>
      <c r="E638" s="5" t="inlineStr">
        <is>
          <t>Positivo</t>
        </is>
      </c>
      <c r="F638" s="109" t="n">
        <v>45107</v>
      </c>
      <c r="G638" s="5" t="n">
        <v>2023</v>
      </c>
      <c r="H638" s="5" t="inlineStr">
        <is>
          <t>Junio</t>
        </is>
      </c>
      <c r="I638" s="6" t="inlineStr">
        <is>
          <t>2023-1</t>
        </is>
      </c>
      <c r="J638" s="5" t="n">
        <v>18</v>
      </c>
      <c r="K638" s="10" t="n">
        <v>15</v>
      </c>
      <c r="L638" s="14" t="n">
        <v>0.8333333333333334</v>
      </c>
      <c r="M638" s="14" t="n">
        <v>0.8333333333333334</v>
      </c>
      <c r="N638" s="5" t="n"/>
      <c r="O638" s="5" t="n"/>
      <c r="P638" s="5" t="n">
        <v>0</v>
      </c>
      <c r="Q638" s="5" t="n">
        <v>0</v>
      </c>
      <c r="R638" s="5" t="inlineStr">
        <is>
          <t>257-2023-06-30</t>
        </is>
      </c>
    </row>
    <row r="639" hidden="1">
      <c r="A639" s="26" t="n">
        <v>257</v>
      </c>
      <c r="B639" s="5" t="inlineStr">
        <is>
          <t>N de publicaciones aprobadas en convocatorias</t>
        </is>
      </c>
      <c r="C639" s="5" t="inlineStr">
        <is>
          <t>Editorial y Publicaciones</t>
        </is>
      </c>
      <c r="D639" s="5" t="inlineStr">
        <is>
          <t>Semestral</t>
        </is>
      </c>
      <c r="E639" s="5" t="inlineStr">
        <is>
          <t>Positivo</t>
        </is>
      </c>
      <c r="F639" s="109" t="n">
        <v>45291</v>
      </c>
      <c r="G639" s="5" t="n">
        <v>2023</v>
      </c>
      <c r="H639" s="5" t="inlineStr">
        <is>
          <t>Diciembre</t>
        </is>
      </c>
      <c r="I639" s="6" t="inlineStr">
        <is>
          <t>2023-2</t>
        </is>
      </c>
      <c r="J639" s="5" t="n">
        <v>24</v>
      </c>
      <c r="K639" s="5" t="n">
        <v>24</v>
      </c>
      <c r="L639" s="74" t="n">
        <v>1</v>
      </c>
      <c r="M639" s="14" t="n">
        <v>1</v>
      </c>
      <c r="N639" s="5" t="n"/>
      <c r="O639" s="5" t="n"/>
      <c r="P639" s="5" t="n">
        <v>0</v>
      </c>
      <c r="Q639" s="5" t="n">
        <v>0</v>
      </c>
      <c r="R639" s="5" t="inlineStr">
        <is>
          <t>257-2023-12-31</t>
        </is>
      </c>
    </row>
    <row r="640" hidden="1">
      <c r="A640" s="5" t="n">
        <v>259</v>
      </c>
      <c r="B640" s="5" t="inlineStr">
        <is>
          <t>Subprocesos con indicadores reportados oportunamente</t>
        </is>
      </c>
      <c r="C640" s="5" t="inlineStr">
        <is>
          <t>Desempeño Institucional</t>
        </is>
      </c>
      <c r="D640" s="5" t="inlineStr">
        <is>
          <t>Trimestral</t>
        </is>
      </c>
      <c r="E640" s="5" t="inlineStr">
        <is>
          <t>Positivo</t>
        </is>
      </c>
      <c r="F640" s="109" t="n">
        <v>45107</v>
      </c>
      <c r="G640" s="5" t="n">
        <v>2023</v>
      </c>
      <c r="H640" s="5" t="inlineStr">
        <is>
          <t>Junio</t>
        </is>
      </c>
      <c r="I640" s="6" t="inlineStr">
        <is>
          <t>2023-1</t>
        </is>
      </c>
      <c r="J640" s="5" t="n">
        <v>100</v>
      </c>
      <c r="K640" s="5" t="n">
        <v>60.526315789474</v>
      </c>
      <c r="L640" s="14" t="n">
        <v>0.6052631578947399</v>
      </c>
      <c r="M640" s="14" t="n">
        <v>0.6052631578947399</v>
      </c>
      <c r="N640" s="5" t="inlineStr">
        <is>
          <t>%</t>
        </is>
      </c>
      <c r="O640" s="5" t="inlineStr">
        <is>
          <t>%</t>
        </is>
      </c>
      <c r="P640" s="5" t="n">
        <v>0</v>
      </c>
      <c r="Q640" s="5" t="n">
        <v>0</v>
      </c>
      <c r="R640" s="5" t="inlineStr">
        <is>
          <t>259-2023-06-30</t>
        </is>
      </c>
    </row>
    <row r="641" hidden="1">
      <c r="A641" s="28" t="n">
        <v>259</v>
      </c>
      <c r="B641" s="5" t="inlineStr">
        <is>
          <t>Subprocesos con indicadores reportados oportunamente</t>
        </is>
      </c>
      <c r="C641" s="5" t="inlineStr">
        <is>
          <t>Desempeño Institucional</t>
        </is>
      </c>
      <c r="D641" s="5" t="inlineStr">
        <is>
          <t>Trimestral</t>
        </is>
      </c>
      <c r="E641" s="5" t="inlineStr">
        <is>
          <t>Positivo</t>
        </is>
      </c>
      <c r="F641" s="109" t="n">
        <v>45199</v>
      </c>
      <c r="G641" s="5" t="n">
        <v>2023</v>
      </c>
      <c r="H641" s="5" t="inlineStr">
        <is>
          <t>Septiembre</t>
        </is>
      </c>
      <c r="I641" s="6" t="inlineStr">
        <is>
          <t>2023-2</t>
        </is>
      </c>
      <c r="J641" s="5" t="n">
        <v>100</v>
      </c>
      <c r="K641" s="5" t="n">
        <v>68.75</v>
      </c>
      <c r="L641" s="74" t="n">
        <v>0.6875</v>
      </c>
      <c r="M641" s="14" t="n">
        <v>0.6875</v>
      </c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 t="inlineStr">
        <is>
          <t>259-2023-09-30</t>
        </is>
      </c>
    </row>
    <row r="642" hidden="1">
      <c r="A642" s="26" t="n">
        <v>259</v>
      </c>
      <c r="B642" s="5" t="inlineStr">
        <is>
          <t>Subprocesos con indicadores reportados oportunamente</t>
        </is>
      </c>
      <c r="C642" s="5" t="inlineStr">
        <is>
          <t>Desempeño Institucional</t>
        </is>
      </c>
      <c r="D642" s="5" t="inlineStr">
        <is>
          <t>Trimestral</t>
        </is>
      </c>
      <c r="E642" s="5" t="inlineStr">
        <is>
          <t>Positivo</t>
        </is>
      </c>
      <c r="F642" s="109" t="n">
        <v>45291</v>
      </c>
      <c r="G642" s="5" t="n">
        <v>2023</v>
      </c>
      <c r="H642" s="5" t="inlineStr">
        <is>
          <t>Diciembre</t>
        </is>
      </c>
      <c r="I642" s="6" t="inlineStr">
        <is>
          <t>2023-2</t>
        </is>
      </c>
      <c r="J642" s="5" t="n">
        <v>100</v>
      </c>
      <c r="K642" s="5" t="n">
        <v>70</v>
      </c>
      <c r="L642" s="74" t="n">
        <v>0.7</v>
      </c>
      <c r="M642" s="14" t="n">
        <v>0.7</v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259-2023-12-31</t>
        </is>
      </c>
    </row>
    <row r="643" hidden="1">
      <c r="A643" s="5" t="n">
        <v>259</v>
      </c>
      <c r="B643" s="5" t="inlineStr">
        <is>
          <t>Subprocesos con indicadores reportados oportunamente</t>
        </is>
      </c>
      <c r="C643" s="5" t="inlineStr">
        <is>
          <t>Desempeño Institucional</t>
        </is>
      </c>
      <c r="D643" s="5" t="inlineStr">
        <is>
          <t>Trimestral</t>
        </is>
      </c>
      <c r="E643" s="5" t="inlineStr">
        <is>
          <t>Positivo</t>
        </is>
      </c>
      <c r="F643" s="109" t="n">
        <v>45473</v>
      </c>
      <c r="G643" s="5" t="n">
        <v>2024</v>
      </c>
      <c r="H643" s="5" t="inlineStr">
        <is>
          <t>Junio</t>
        </is>
      </c>
      <c r="I643" s="6" t="inlineStr">
        <is>
          <t>2024-1</t>
        </is>
      </c>
      <c r="J643" s="5" t="n">
        <v>90</v>
      </c>
      <c r="K643" s="10" t="n">
        <v>34.69</v>
      </c>
      <c r="L643" s="14" t="n">
        <v>0.3854444444444444</v>
      </c>
      <c r="M643" s="14" t="n">
        <v>0.3854444444444444</v>
      </c>
      <c r="N643" s="5" t="n"/>
      <c r="O643" s="5" t="n"/>
      <c r="P643" s="5" t="n">
        <v>0</v>
      </c>
      <c r="Q643" s="5" t="n">
        <v>0</v>
      </c>
      <c r="R643" s="5" t="inlineStr">
        <is>
          <t>259-2024-06-30</t>
        </is>
      </c>
    </row>
    <row r="644" hidden="1">
      <c r="A644" s="5" t="n">
        <v>259</v>
      </c>
      <c r="B644" s="5" t="inlineStr">
        <is>
          <t>Subprocesos con indicadores reportados oportunamente</t>
        </is>
      </c>
      <c r="C644" s="5" t="inlineStr">
        <is>
          <t>Desempeño Institucional</t>
        </is>
      </c>
      <c r="D644" s="5" t="inlineStr">
        <is>
          <t>Trimestral</t>
        </is>
      </c>
      <c r="E644" s="5" t="inlineStr">
        <is>
          <t>Positivo</t>
        </is>
      </c>
      <c r="F644" s="109" t="n">
        <v>45657</v>
      </c>
      <c r="G644" s="5" t="n">
        <v>2024</v>
      </c>
      <c r="H644" s="5" t="inlineStr">
        <is>
          <t>Diciembre</t>
        </is>
      </c>
      <c r="I644" s="6" t="inlineStr">
        <is>
          <t>2024-2</t>
        </is>
      </c>
      <c r="J644" s="5" t="n">
        <v>90</v>
      </c>
      <c r="K644" s="5" t="n">
        <v>78.43000000000001</v>
      </c>
      <c r="L644" s="14" t="n">
        <v>0.8714444444444445</v>
      </c>
      <c r="M644" s="14" t="n">
        <v>0.8714444444444445</v>
      </c>
      <c r="N644" s="5" t="n"/>
      <c r="O644" s="5" t="n"/>
      <c r="P644" s="5" t="n">
        <v>0</v>
      </c>
      <c r="Q644" s="5" t="n">
        <v>0</v>
      </c>
      <c r="R644" s="5" t="inlineStr">
        <is>
          <t>259-2024-12-31</t>
        </is>
      </c>
    </row>
    <row r="645" hidden="1">
      <c r="A645" s="26" t="n">
        <v>260</v>
      </c>
      <c r="B645" s="5" t="inlineStr">
        <is>
          <t>CES- Costumer Effort Score del proceso de Rematrícula</t>
        </is>
      </c>
      <c r="C645" s="5" t="inlineStr">
        <is>
          <t>Rematrícula</t>
        </is>
      </c>
      <c r="D645" s="5" t="inlineStr">
        <is>
          <t>Semestral</t>
        </is>
      </c>
      <c r="E645" s="5" t="inlineStr">
        <is>
          <t>Negativo</t>
        </is>
      </c>
      <c r="F645" s="109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3</v>
      </c>
      <c r="K645" s="5" t="n">
        <v>2.8</v>
      </c>
      <c r="L645" s="74" t="n">
        <v>1.071428571428571</v>
      </c>
      <c r="M645" s="14" t="n">
        <v>1.071428571428571</v>
      </c>
      <c r="N645" s="5" t="inlineStr">
        <is>
          <t>DEC</t>
        </is>
      </c>
      <c r="O645" s="5" t="inlineStr">
        <is>
          <t>DEC</t>
        </is>
      </c>
      <c r="P645" s="5" t="n">
        <v>0</v>
      </c>
      <c r="Q645" s="5" t="n">
        <v>1</v>
      </c>
      <c r="R645" s="5" t="inlineStr">
        <is>
          <t>260-2023-06-30</t>
        </is>
      </c>
    </row>
    <row r="646" hidden="1">
      <c r="A646" s="5" t="n">
        <v>260</v>
      </c>
      <c r="B646" s="5" t="inlineStr">
        <is>
          <t>CES- Costumer Effort Score del proceso de Rematrícula</t>
        </is>
      </c>
      <c r="C646" s="5" t="inlineStr">
        <is>
          <t>Rematrícula</t>
        </is>
      </c>
      <c r="D646" s="5" t="inlineStr">
        <is>
          <t>Semestral</t>
        </is>
      </c>
      <c r="E646" s="5" t="inlineStr">
        <is>
          <t>Negativo</t>
        </is>
      </c>
      <c r="F646" s="109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3</v>
      </c>
      <c r="K646" s="5" t="n">
        <v>2.9</v>
      </c>
      <c r="L646" s="14" t="n">
        <v>1.03448275862069</v>
      </c>
      <c r="M646" s="14" t="n">
        <v>1.03448275862069</v>
      </c>
      <c r="N646" s="5" t="inlineStr">
        <is>
          <t>DEC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260-2023-12-31</t>
        </is>
      </c>
    </row>
    <row r="647" hidden="1">
      <c r="A647" s="26" t="n">
        <v>260</v>
      </c>
      <c r="B647" s="5" t="inlineStr">
        <is>
          <t>CES- Costumer Effort Score del proceso de Rematrícula</t>
        </is>
      </c>
      <c r="C647" s="5" t="inlineStr">
        <is>
          <t>Rematrícula</t>
        </is>
      </c>
      <c r="D647" s="5" t="inlineStr">
        <is>
          <t>Semestral</t>
        </is>
      </c>
      <c r="E647" s="5" t="inlineStr">
        <is>
          <t>Negativo</t>
        </is>
      </c>
      <c r="F647" s="109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2.8</v>
      </c>
      <c r="K647" s="5" t="n">
        <v>2.51</v>
      </c>
      <c r="L647" s="74" t="n">
        <v>1.115537848605578</v>
      </c>
      <c r="M647" s="14" t="n">
        <v>1.115537848605578</v>
      </c>
      <c r="N647" s="5" t="inlineStr">
        <is>
          <t>DEC</t>
        </is>
      </c>
      <c r="O647" s="5" t="inlineStr">
        <is>
          <t>DEC</t>
        </is>
      </c>
      <c r="P647" s="5" t="n">
        <v>1</v>
      </c>
      <c r="Q647" s="5" t="n">
        <v>1</v>
      </c>
      <c r="R647" s="5" t="inlineStr">
        <is>
          <t>260-2024-06-30</t>
        </is>
      </c>
    </row>
    <row r="648" hidden="1">
      <c r="A648" s="5" t="n">
        <v>260</v>
      </c>
      <c r="B648" s="5" t="inlineStr">
        <is>
          <t>CES- Costumer Effort Score del proceso de Rematrícula</t>
        </is>
      </c>
      <c r="C648" s="5" t="inlineStr">
        <is>
          <t>Rematrícula</t>
        </is>
      </c>
      <c r="D648" s="5" t="inlineStr">
        <is>
          <t>Semestral</t>
        </is>
      </c>
      <c r="E648" s="5" t="inlineStr">
        <is>
          <t>Negativo</t>
        </is>
      </c>
      <c r="F648" s="109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2.8</v>
      </c>
      <c r="K648" s="5" t="n">
        <v>2.1</v>
      </c>
      <c r="L648" s="14" t="n">
        <v>1.3</v>
      </c>
      <c r="M648" s="14" t="n">
        <v>1.333333333333333</v>
      </c>
      <c r="N648" s="5" t="inlineStr">
        <is>
          <t>DEC</t>
        </is>
      </c>
      <c r="O648" s="5" t="inlineStr">
        <is>
          <t>DEC</t>
        </is>
      </c>
      <c r="P648" s="5" t="n">
        <v>1</v>
      </c>
      <c r="Q648" s="5" t="n">
        <v>1</v>
      </c>
      <c r="R648" s="5" t="inlineStr">
        <is>
          <t>260-2024-12-31</t>
        </is>
      </c>
    </row>
    <row r="649" hidden="1">
      <c r="A649" s="26" t="n">
        <v>260</v>
      </c>
      <c r="B649" s="5" t="inlineStr">
        <is>
          <t>CES- Costumer Effort Score del proceso de Rematrícula</t>
        </is>
      </c>
      <c r="C649" s="5" t="inlineStr">
        <is>
          <t>Rematrícula</t>
        </is>
      </c>
      <c r="D649" s="5" t="inlineStr">
        <is>
          <t>Semestral</t>
        </is>
      </c>
      <c r="E649" s="5" t="inlineStr">
        <is>
          <t>Negativo</t>
        </is>
      </c>
      <c r="F649" s="109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2.2</v>
      </c>
      <c r="K649" s="5" t="n">
        <v>1.9</v>
      </c>
      <c r="L649" s="14" t="n">
        <v>1.157894736842105</v>
      </c>
      <c r="M649" s="14" t="n">
        <v>1.157894736842105</v>
      </c>
      <c r="N649" s="5" t="inlineStr">
        <is>
          <t>DEC</t>
        </is>
      </c>
      <c r="O649" s="5" t="inlineStr">
        <is>
          <t>DEC</t>
        </is>
      </c>
      <c r="P649" s="5" t="n">
        <v>1</v>
      </c>
      <c r="Q649" s="5" t="n">
        <v>1</v>
      </c>
      <c r="R649" s="5" t="inlineStr">
        <is>
          <t>260-2025-06-30</t>
        </is>
      </c>
    </row>
    <row r="650" hidden="1">
      <c r="A650" s="26" t="n">
        <v>260</v>
      </c>
      <c r="B650" s="5" t="inlineStr">
        <is>
          <t>CES- Costumer Effort Score del proceso de Rematrícula</t>
        </is>
      </c>
      <c r="C650" s="5" t="inlineStr">
        <is>
          <t>Rematrícula</t>
        </is>
      </c>
      <c r="D650" s="5" t="inlineStr">
        <is>
          <t>Trimestral</t>
        </is>
      </c>
      <c r="E650" s="5" t="inlineStr">
        <is>
          <t>Negativo</t>
        </is>
      </c>
      <c r="F650" s="109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2.1</v>
      </c>
      <c r="K650" s="5" t="n">
        <v>1.9</v>
      </c>
      <c r="L650" s="14" t="n">
        <v>1.105263157894737</v>
      </c>
      <c r="M650" s="14" t="n">
        <v>1.105263157894737</v>
      </c>
      <c r="N650" s="5" t="inlineStr">
        <is>
          <t>DEC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260-2025-12-31</t>
        </is>
      </c>
    </row>
    <row r="651" hidden="1">
      <c r="A651" s="5" t="n">
        <v>261</v>
      </c>
      <c r="B651" s="5" t="inlineStr">
        <is>
          <t>CES- Costumer Effort Score del proceso de Saber Pro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Negativo</t>
        </is>
      </c>
      <c r="F651" s="108" t="n">
        <v>45107</v>
      </c>
      <c r="G651" s="15" t="n">
        <v>2023</v>
      </c>
      <c r="H651" s="6" t="inlineStr">
        <is>
          <t>Junio</t>
        </is>
      </c>
      <c r="I651" s="27" t="inlineStr">
        <is>
          <t>2023-1</t>
        </is>
      </c>
      <c r="J651" s="5" t="n">
        <v>3</v>
      </c>
      <c r="K651" s="5" t="n">
        <v>1.98</v>
      </c>
      <c r="L651" s="14" t="n">
        <v>1.3</v>
      </c>
      <c r="M651" s="14" t="n">
        <v>1.515151515151515</v>
      </c>
      <c r="N651" s="5" t="inlineStr">
        <is>
          <t>ENT</t>
        </is>
      </c>
      <c r="O651" s="5" t="inlineStr">
        <is>
          <t>DEC</t>
        </is>
      </c>
      <c r="P651" s="5" t="n">
        <v>0</v>
      </c>
      <c r="Q651" s="5" t="n">
        <v>1</v>
      </c>
      <c r="R651" s="5" t="inlineStr">
        <is>
          <t>261-2023-06-30</t>
        </is>
      </c>
    </row>
    <row r="652" hidden="1">
      <c r="A652" s="26" t="n">
        <v>261</v>
      </c>
      <c r="B652" s="5" t="inlineStr">
        <is>
          <t>CES- Costumer Effort Score del proceso de Saber Pro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Negativo</t>
        </is>
      </c>
      <c r="F652" s="109" t="n">
        <v>45291</v>
      </c>
      <c r="G652" s="5" t="n">
        <v>2023</v>
      </c>
      <c r="H652" s="5" t="inlineStr">
        <is>
          <t>Diciembre</t>
        </is>
      </c>
      <c r="I652" s="6" t="inlineStr">
        <is>
          <t>2023-2</t>
        </is>
      </c>
      <c r="J652" s="5" t="n">
        <v>3</v>
      </c>
      <c r="K652" s="5" t="n">
        <v>2.06</v>
      </c>
      <c r="L652" s="14" t="n">
        <v>1.3</v>
      </c>
      <c r="M652" s="14" t="n">
        <v>1.456310679611651</v>
      </c>
      <c r="N652" s="5" t="inlineStr">
        <is>
          <t>ENT</t>
        </is>
      </c>
      <c r="O652" s="5" t="inlineStr">
        <is>
          <t>DEC</t>
        </is>
      </c>
      <c r="P652" s="5" t="n">
        <v>0</v>
      </c>
      <c r="Q652" s="5" t="n">
        <v>1</v>
      </c>
      <c r="R652" s="5" t="inlineStr">
        <is>
          <t>261-2023-12-31</t>
        </is>
      </c>
    </row>
    <row r="653" hidden="1">
      <c r="A653" s="5" t="n">
        <v>261</v>
      </c>
      <c r="B653" s="5" t="inlineStr">
        <is>
          <t>CES- Costumer Effort Score del proceso de Saber Pro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Negativo</t>
        </is>
      </c>
      <c r="F653" s="109" t="n">
        <v>45473</v>
      </c>
      <c r="G653" s="5" t="n">
        <v>2024</v>
      </c>
      <c r="H653" s="5" t="inlineStr">
        <is>
          <t>Junio</t>
        </is>
      </c>
      <c r="I653" s="6" t="inlineStr">
        <is>
          <t>2024-1</t>
        </is>
      </c>
      <c r="J653" s="5" t="n">
        <v>3</v>
      </c>
      <c r="K653" s="10" t="n">
        <v>2.2</v>
      </c>
      <c r="L653" s="14" t="n">
        <v>1.3</v>
      </c>
      <c r="M653" s="14" t="n">
        <v>1.363636363636364</v>
      </c>
      <c r="N653" s="5" t="inlineStr">
        <is>
          <t>ENT</t>
        </is>
      </c>
      <c r="O653" s="5" t="inlineStr">
        <is>
          <t>DEC</t>
        </is>
      </c>
      <c r="P653" s="5" t="n">
        <v>0</v>
      </c>
      <c r="Q653" s="5" t="n">
        <v>1</v>
      </c>
      <c r="R653" s="5" t="inlineStr">
        <is>
          <t>261-2024-06-30</t>
        </is>
      </c>
    </row>
    <row r="654" hidden="1">
      <c r="A654" s="5" t="n">
        <v>261</v>
      </c>
      <c r="B654" s="5" t="inlineStr">
        <is>
          <t>CES- Costumer Effort Score del proceso de Saber Pro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Negativo</t>
        </is>
      </c>
      <c r="F654" s="109" t="n">
        <v>45657</v>
      </c>
      <c r="G654" s="5" t="n">
        <v>2024</v>
      </c>
      <c r="H654" s="5" t="inlineStr">
        <is>
          <t>Diciembre</t>
        </is>
      </c>
      <c r="I654" s="6" t="inlineStr">
        <is>
          <t>2024-2</t>
        </is>
      </c>
      <c r="J654" s="5" t="n">
        <v>3</v>
      </c>
      <c r="K654" s="5" t="n">
        <v>2.2</v>
      </c>
      <c r="L654" s="14" t="n">
        <v>1.3</v>
      </c>
      <c r="M654" s="14" t="n">
        <v>1.363636363636364</v>
      </c>
      <c r="N654" s="5" t="inlineStr">
        <is>
          <t>ENT</t>
        </is>
      </c>
      <c r="O654" s="5" t="inlineStr">
        <is>
          <t>DEC</t>
        </is>
      </c>
      <c r="P654" s="5" t="n">
        <v>0</v>
      </c>
      <c r="Q654" s="5" t="n">
        <v>1</v>
      </c>
      <c r="R654" s="5" t="inlineStr">
        <is>
          <t>261-2024-12-31</t>
        </is>
      </c>
    </row>
    <row r="655" hidden="1">
      <c r="A655" s="26" t="n">
        <v>261</v>
      </c>
      <c r="B655" s="5" t="inlineStr">
        <is>
          <t>CES- Costumer Effort Score del proceso de Saber Pro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Negativo</t>
        </is>
      </c>
      <c r="F655" s="109" t="n">
        <v>45838</v>
      </c>
      <c r="G655" s="5" t="n">
        <v>2025</v>
      </c>
      <c r="H655" s="5" t="inlineStr">
        <is>
          <t>Junio</t>
        </is>
      </c>
      <c r="I655" s="6" t="inlineStr">
        <is>
          <t>2025-1</t>
        </is>
      </c>
      <c r="J655" s="5" t="n">
        <v>3</v>
      </c>
      <c r="K655" s="5" t="n">
        <v>2.3</v>
      </c>
      <c r="L655" s="14" t="n">
        <v>1.3</v>
      </c>
      <c r="M655" s="14" t="n">
        <v>1.304347826086957</v>
      </c>
      <c r="N655" s="5" t="inlineStr">
        <is>
          <t>DEC</t>
        </is>
      </c>
      <c r="O655" s="5" t="inlineStr">
        <is>
          <t>DEC</t>
        </is>
      </c>
      <c r="P655" s="5" t="n">
        <v>1</v>
      </c>
      <c r="Q655" s="5" t="n">
        <v>1</v>
      </c>
      <c r="R655" s="5" t="inlineStr">
        <is>
          <t>261-2025-06-30</t>
        </is>
      </c>
    </row>
    <row r="656" hidden="1">
      <c r="A656" s="5" t="n">
        <v>261</v>
      </c>
      <c r="B656" s="5" t="inlineStr">
        <is>
          <t>CES- Costumer Effort Score del proceso de Saber Pro</t>
        </is>
      </c>
      <c r="C656" s="5" t="inlineStr">
        <is>
          <t>Servicio</t>
        </is>
      </c>
      <c r="D656" s="5" t="inlineStr">
        <is>
          <t>Trimestral</t>
        </is>
      </c>
      <c r="E656" s="5" t="inlineStr">
        <is>
          <t>Negativo</t>
        </is>
      </c>
      <c r="F656" s="109" t="n">
        <v>46022</v>
      </c>
      <c r="G656" s="5" t="n">
        <v>2025</v>
      </c>
      <c r="H656" s="5" t="inlineStr">
        <is>
          <t>Diciembre</t>
        </is>
      </c>
      <c r="I656" s="6" t="inlineStr">
        <is>
          <t>2025-2</t>
        </is>
      </c>
      <c r="J656" s="5" t="n">
        <v>3</v>
      </c>
      <c r="K656" s="5" t="n">
        <v>2.1</v>
      </c>
      <c r="L656" s="14" t="n">
        <v>1.3</v>
      </c>
      <c r="M656" s="14" t="n">
        <v>1.428571428571429</v>
      </c>
      <c r="N656" s="5" t="inlineStr">
        <is>
          <t>ENT</t>
        </is>
      </c>
      <c r="O656" s="5" t="inlineStr">
        <is>
          <t>DEC</t>
        </is>
      </c>
      <c r="P656" s="5" t="n">
        <v>1</v>
      </c>
      <c r="Q656" s="5" t="n">
        <v>1</v>
      </c>
      <c r="R656" s="5" t="inlineStr">
        <is>
          <t>261-2025-12-31</t>
        </is>
      </c>
    </row>
    <row r="657" hidden="1">
      <c r="A657" s="26" t="n">
        <v>262</v>
      </c>
      <c r="B657" s="5" t="inlineStr">
        <is>
          <t>Evitar erogación de dinero por multas asociadas en contra del POLI por los procesos en curso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Negativo</t>
        </is>
      </c>
      <c r="F657" s="109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20</v>
      </c>
      <c r="K657" s="5" t="n">
        <v>0</v>
      </c>
      <c r="L657" s="74" t="n">
        <v>1</v>
      </c>
      <c r="M657" s="14" t="n">
        <v>1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262-2023-06-30</t>
        </is>
      </c>
    </row>
    <row r="658" hidden="1">
      <c r="A658" s="5" t="n">
        <v>262</v>
      </c>
      <c r="B658" s="5" t="inlineStr">
        <is>
          <t>Evitar erogación de dinero por multas asociadas en contra del POLI por los procesos en curso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Negativo</t>
        </is>
      </c>
      <c r="F658" s="109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20</v>
      </c>
      <c r="K658" s="5" t="n">
        <v>11.11</v>
      </c>
      <c r="L658" s="14" t="n">
        <v>1.3</v>
      </c>
      <c r="M658" s="14" t="n">
        <v>1.8001800180018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262-2023-12-31</t>
        </is>
      </c>
    </row>
    <row r="659" hidden="1">
      <c r="A659" s="26" t="n">
        <v>262</v>
      </c>
      <c r="B659" s="5" t="inlineStr">
        <is>
          <t>Reducción de número de sentencias condenatorias en contra del Poli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Negativo</t>
        </is>
      </c>
      <c r="F659" s="109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20</v>
      </c>
      <c r="K659" s="5" t="n">
        <v>0</v>
      </c>
      <c r="L659" s="14" t="n">
        <v>1</v>
      </c>
      <c r="M659" s="14" t="n">
        <v>1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262-2024-06-30</t>
        </is>
      </c>
    </row>
    <row r="660" hidden="1">
      <c r="A660" s="5" t="n">
        <v>262</v>
      </c>
      <c r="B660" s="5" t="inlineStr">
        <is>
          <t>Reducción de número de sentencias condenatorias en contra del Poli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Negativo</t>
        </is>
      </c>
      <c r="F660" s="109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20</v>
      </c>
      <c r="K660" s="5" t="n">
        <v>0</v>
      </c>
      <c r="L660" s="14" t="n">
        <v>1</v>
      </c>
      <c r="M660" s="14" t="n">
        <v>1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262-2024-12-31</t>
        </is>
      </c>
    </row>
    <row r="661" hidden="1">
      <c r="A661" s="28" t="n">
        <v>262</v>
      </c>
      <c r="B661" s="5" t="inlineStr">
        <is>
          <t>Reducción de número de sentencias condenatorias en contra del Poli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Negativo</t>
        </is>
      </c>
      <c r="F661" s="109" t="n">
        <v>45838</v>
      </c>
      <c r="G661" s="5" t="n">
        <v>2025</v>
      </c>
      <c r="H661" s="5" t="inlineStr">
        <is>
          <t>Junio</t>
        </is>
      </c>
      <c r="I661" s="6" t="inlineStr">
        <is>
          <t>2025-1</t>
        </is>
      </c>
      <c r="J661" s="5" t="n">
        <v>10</v>
      </c>
      <c r="K661" s="5" t="n">
        <v>0</v>
      </c>
      <c r="L661" s="74" t="n">
        <v>1</v>
      </c>
      <c r="M661" s="14" t="n">
        <v>1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262-2025-06-30</t>
        </is>
      </c>
    </row>
    <row r="662" hidden="1">
      <c r="A662" s="26" t="n">
        <v>262</v>
      </c>
      <c r="B662" s="5" t="inlineStr">
        <is>
          <t>Reducción de número de sentencias condenatorias en contra del Poli</t>
        </is>
      </c>
      <c r="C662" s="5" t="inlineStr">
        <is>
          <t>GESTIÓN JURÍDICA Y NORMATIVA</t>
        </is>
      </c>
      <c r="D662" s="5" t="inlineStr">
        <is>
          <t>Trimestral</t>
        </is>
      </c>
      <c r="E662" s="5" t="inlineStr">
        <is>
          <t>Negativo</t>
        </is>
      </c>
      <c r="F662" s="109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10</v>
      </c>
      <c r="K662" s="5" t="n">
        <v>0</v>
      </c>
      <c r="L662" s="74" t="n">
        <v>1</v>
      </c>
      <c r="M662" s="14" t="n">
        <v>1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262-2025-12-31</t>
        </is>
      </c>
    </row>
    <row r="663" hidden="1">
      <c r="A663" s="5" t="n">
        <v>263</v>
      </c>
      <c r="B663" s="5" t="inlineStr">
        <is>
          <t>Oportunidad de respuesta de PQRS</t>
        </is>
      </c>
      <c r="C663" s="5" t="inlineStr">
        <is>
          <t>GESTIÓN JURÍDICA Y NORMATIVA</t>
        </is>
      </c>
      <c r="D663" s="5" t="inlineStr">
        <is>
          <t>Trimestral</t>
        </is>
      </c>
      <c r="E663" s="5" t="inlineStr">
        <is>
          <t>Positivo</t>
        </is>
      </c>
      <c r="F663" s="109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100</v>
      </c>
      <c r="K663" s="5" t="n">
        <v>100</v>
      </c>
      <c r="L663" s="14" t="n">
        <v>1</v>
      </c>
      <c r="M663" s="14" t="n">
        <v>1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263-2023-06-30</t>
        </is>
      </c>
    </row>
    <row r="664" hidden="1">
      <c r="A664" s="5" t="n">
        <v>263</v>
      </c>
      <c r="B664" s="5" t="inlineStr">
        <is>
          <t>Oportunidad de respuesta de PQRS</t>
        </is>
      </c>
      <c r="C664" s="5" t="inlineStr">
        <is>
          <t>GESTIÓN JURÍDICA Y NORMATIVA</t>
        </is>
      </c>
      <c r="D664" s="5" t="inlineStr">
        <is>
          <t>Trimestral</t>
        </is>
      </c>
      <c r="E664" s="5" t="inlineStr">
        <is>
          <t>Positivo</t>
        </is>
      </c>
      <c r="F664" s="109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100</v>
      </c>
      <c r="K664" s="5" t="n">
        <v>100</v>
      </c>
      <c r="L664" s="14" t="n">
        <v>1</v>
      </c>
      <c r="M664" s="14" t="n">
        <v>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263-2023-12-31</t>
        </is>
      </c>
    </row>
    <row r="665" hidden="1">
      <c r="A665" s="28" t="n">
        <v>263</v>
      </c>
      <c r="B665" s="5" t="inlineStr">
        <is>
          <t>Oportunidad de respuesta de PQRS</t>
        </is>
      </c>
      <c r="C665" s="5" t="inlineStr">
        <is>
          <t>GESTIÓN JURÍDICA Y NORMATIVA</t>
        </is>
      </c>
      <c r="D665" s="5" t="inlineStr">
        <is>
          <t>Trimestral</t>
        </is>
      </c>
      <c r="E665" s="5" t="inlineStr">
        <is>
          <t>Positivo</t>
        </is>
      </c>
      <c r="F665" s="109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100</v>
      </c>
      <c r="K665" s="5" t="n">
        <v>100</v>
      </c>
      <c r="L665" s="74" t="n">
        <v>1</v>
      </c>
      <c r="M665" s="14" t="n">
        <v>1</v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263-2024-06-30</t>
        </is>
      </c>
    </row>
    <row r="666" hidden="1">
      <c r="A666" s="26" t="n">
        <v>263</v>
      </c>
      <c r="B666" s="5" t="inlineStr">
        <is>
          <t>Oportunidad de respuesta de PQRS</t>
        </is>
      </c>
      <c r="C666" s="5" t="inlineStr">
        <is>
          <t>GESTIÓN JURÍDICA Y NORMATIVA</t>
        </is>
      </c>
      <c r="D666" s="5" t="inlineStr">
        <is>
          <t>Trimestral</t>
        </is>
      </c>
      <c r="E666" s="5" t="inlineStr">
        <is>
          <t>Positivo</t>
        </is>
      </c>
      <c r="F666" s="109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100</v>
      </c>
      <c r="K666" s="5" t="n">
        <v>100</v>
      </c>
      <c r="L666" s="74" t="n">
        <v>1</v>
      </c>
      <c r="M666" s="14" t="n">
        <v>1</v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263-2024-12-31</t>
        </is>
      </c>
    </row>
    <row r="667" hidden="1">
      <c r="A667" s="28" t="n">
        <v>263</v>
      </c>
      <c r="B667" s="5" t="inlineStr">
        <is>
          <t>Oportunidad de respuesta de PQRS</t>
        </is>
      </c>
      <c r="C667" s="5" t="inlineStr">
        <is>
          <t>GESTIÓN JURÍDICA Y NORMATIVA</t>
        </is>
      </c>
      <c r="D667" s="5" t="inlineStr">
        <is>
          <t>Trimestral</t>
        </is>
      </c>
      <c r="E667" s="5" t="inlineStr">
        <is>
          <t>Positivo</t>
        </is>
      </c>
      <c r="F667" s="109" t="n">
        <v>45838</v>
      </c>
      <c r="G667" s="5" t="n">
        <v>2025</v>
      </c>
      <c r="H667" s="5" t="inlineStr">
        <is>
          <t>Junio</t>
        </is>
      </c>
      <c r="I667" s="6" t="inlineStr">
        <is>
          <t>2025-1</t>
        </is>
      </c>
      <c r="J667" s="5" t="n">
        <v>100</v>
      </c>
      <c r="K667" s="5" t="n">
        <v>100</v>
      </c>
      <c r="L667" s="74" t="n">
        <v>1</v>
      </c>
      <c r="M667" s="14" t="n">
        <v>1</v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263-2025-06-30</t>
        </is>
      </c>
    </row>
    <row r="668" hidden="1">
      <c r="A668" s="28" t="n">
        <v>263</v>
      </c>
      <c r="B668" s="5" t="inlineStr">
        <is>
          <t>Oportunidad de respuesta de PQRS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09" t="n">
        <v>46022</v>
      </c>
      <c r="G668" s="5" t="n">
        <v>2025</v>
      </c>
      <c r="H668" s="5" t="inlineStr">
        <is>
          <t>Diciembre</t>
        </is>
      </c>
      <c r="I668" s="6" t="inlineStr">
        <is>
          <t>2025-2</t>
        </is>
      </c>
      <c r="J668" s="5" t="n">
        <v>100</v>
      </c>
      <c r="K668" s="5" t="n">
        <v>100</v>
      </c>
      <c r="L668" s="74" t="n">
        <v>1</v>
      </c>
      <c r="M668" s="14" t="n">
        <v>1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263-2025-12-31</t>
        </is>
      </c>
    </row>
    <row r="669" hidden="1">
      <c r="A669" s="26" t="n">
        <v>263</v>
      </c>
      <c r="B669" s="5" t="inlineStr">
        <is>
          <t>Oportunidad de respuesta de PQRS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09" t="n">
        <v>46203</v>
      </c>
      <c r="G669" s="5" t="n">
        <v>2026</v>
      </c>
      <c r="H669" s="5" t="inlineStr">
        <is>
          <t>Junio</t>
        </is>
      </c>
      <c r="I669" s="6" t="inlineStr">
        <is>
          <t>2026-1</t>
        </is>
      </c>
      <c r="J669" s="5" t="n">
        <v>100</v>
      </c>
      <c r="K669" s="5" t="n">
        <v>100</v>
      </c>
      <c r="L669" s="14" t="n">
        <v>1</v>
      </c>
      <c r="M669" s="14" t="n">
        <v>1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263-2026-06-30</t>
        </is>
      </c>
    </row>
    <row r="670" hidden="1">
      <c r="A670" s="5" t="n">
        <v>264</v>
      </c>
      <c r="B670" s="5" t="inlineStr">
        <is>
          <t>Emisión De Conceptos Jurídicos (Educación)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109" t="n">
        <v>45107</v>
      </c>
      <c r="G670" s="5" t="n">
        <v>2023</v>
      </c>
      <c r="H670" s="5" t="inlineStr">
        <is>
          <t>Junio</t>
        </is>
      </c>
      <c r="I670" s="6" t="inlineStr">
        <is>
          <t>2023-1</t>
        </is>
      </c>
      <c r="J670" s="5" t="n">
        <v>100</v>
      </c>
      <c r="K670" s="5" t="n">
        <v>100</v>
      </c>
      <c r="L670" s="14" t="n">
        <v>1</v>
      </c>
      <c r="M670" s="14" t="n">
        <v>1</v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264-2023-06-30</t>
        </is>
      </c>
    </row>
    <row r="671" hidden="1">
      <c r="A671" s="26" t="n">
        <v>264</v>
      </c>
      <c r="B671" s="5" t="inlineStr">
        <is>
          <t>Emisión De Conceptos Jurídicos (Educación)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109" t="n">
        <v>45291</v>
      </c>
      <c r="G671" s="5" t="n">
        <v>2023</v>
      </c>
      <c r="H671" s="5" t="inlineStr">
        <is>
          <t>Diciembre</t>
        </is>
      </c>
      <c r="I671" s="6" t="inlineStr">
        <is>
          <t>2023-2</t>
        </is>
      </c>
      <c r="J671" s="5" t="n">
        <v>100</v>
      </c>
      <c r="K671" s="5" t="n">
        <v>100</v>
      </c>
      <c r="L671" s="14" t="n">
        <v>1</v>
      </c>
      <c r="M671" s="14" t="n">
        <v>1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264-2023-12-31</t>
        </is>
      </c>
    </row>
    <row r="672" hidden="1">
      <c r="A672" s="26" t="n">
        <v>264</v>
      </c>
      <c r="B672" s="5" t="inlineStr">
        <is>
          <t>Eficiencia Emisión De Conceptos Jurídicos (Educación)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109" t="n">
        <v>45473</v>
      </c>
      <c r="G672" s="5" t="n">
        <v>2024</v>
      </c>
      <c r="H672" s="5" t="inlineStr">
        <is>
          <t>Junio</t>
        </is>
      </c>
      <c r="I672" s="6" t="inlineStr">
        <is>
          <t>2024-1</t>
        </is>
      </c>
      <c r="J672" s="5" t="n">
        <v>100</v>
      </c>
      <c r="K672" s="5" t="n">
        <v>100</v>
      </c>
      <c r="L672" s="14" t="n">
        <v>1</v>
      </c>
      <c r="M672" s="14" t="n">
        <v>1</v>
      </c>
      <c r="N672" s="5" t="n"/>
      <c r="O672" s="5" t="n"/>
      <c r="P672" s="5" t="n">
        <v>0</v>
      </c>
      <c r="Q672" s="5" t="n">
        <v>0</v>
      </c>
      <c r="R672" s="5" t="inlineStr">
        <is>
          <t>264-2024-06-30</t>
        </is>
      </c>
    </row>
    <row r="673" hidden="1">
      <c r="A673" s="5" t="n">
        <v>264</v>
      </c>
      <c r="B673" s="5" t="inlineStr">
        <is>
          <t>Eficiencia Emisión De Conceptos Jurídicos (Educación)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109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100</v>
      </c>
      <c r="K673" s="5" t="n">
        <v>100</v>
      </c>
      <c r="L673" s="14" t="n">
        <v>1</v>
      </c>
      <c r="M673" s="14" t="n">
        <v>1</v>
      </c>
      <c r="N673" s="5" t="n"/>
      <c r="O673" s="5" t="n"/>
      <c r="P673" s="5" t="n">
        <v>0</v>
      </c>
      <c r="Q673" s="5" t="n">
        <v>0</v>
      </c>
      <c r="R673" s="5" t="inlineStr">
        <is>
          <t>264-2024-12-31</t>
        </is>
      </c>
    </row>
    <row r="674" hidden="1">
      <c r="A674" s="5" t="n">
        <v>265</v>
      </c>
      <c r="B674" s="5" t="inlineStr">
        <is>
          <t>Emisión De Conceptos Jurídicos (Jurídicos)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09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100</v>
      </c>
      <c r="K674" s="5" t="n">
        <v>80</v>
      </c>
      <c r="L674" s="14" t="n">
        <v>0.8</v>
      </c>
      <c r="M674" s="14" t="n">
        <v>0.8</v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265-2023-06-30</t>
        </is>
      </c>
    </row>
    <row r="675" hidden="1">
      <c r="A675" s="28" t="n">
        <v>265</v>
      </c>
      <c r="B675" s="5" t="inlineStr">
        <is>
          <t>Emisión De Conceptos Jurídicos (Jurídicos)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09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100</v>
      </c>
      <c r="K675" s="11" t="n">
        <v>97.13</v>
      </c>
      <c r="L675" s="14" t="n">
        <v>0.9712999999999999</v>
      </c>
      <c r="M675" s="14" t="n">
        <v>0.9712999999999999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265-2023-12-31</t>
        </is>
      </c>
    </row>
    <row r="676" hidden="1">
      <c r="A676" s="26" t="n">
        <v>265</v>
      </c>
      <c r="B676" s="5" t="inlineStr">
        <is>
          <t>Eficiencia Emisión De Conceptos Jurídicos (Jurídicos)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09" t="n">
        <v>45473</v>
      </c>
      <c r="G676" s="5" t="n">
        <v>2024</v>
      </c>
      <c r="H676" s="5" t="inlineStr">
        <is>
          <t>Junio</t>
        </is>
      </c>
      <c r="I676" s="6" t="inlineStr">
        <is>
          <t>2024-1</t>
        </is>
      </c>
      <c r="J676" s="5" t="n">
        <v>95</v>
      </c>
      <c r="K676" s="11" t="n">
        <v>100</v>
      </c>
      <c r="L676" s="14" t="n">
        <v>1.052631578947368</v>
      </c>
      <c r="M676" s="14" t="n">
        <v>1.052631578947368</v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265-2024-06-30</t>
        </is>
      </c>
    </row>
    <row r="677" hidden="1">
      <c r="A677" s="5" t="n">
        <v>265</v>
      </c>
      <c r="B677" s="5" t="inlineStr">
        <is>
          <t>Eficiencia Emisión De Conceptos Jurídicos (Jurídicos)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09" t="n">
        <v>45657</v>
      </c>
      <c r="G677" s="5" t="n">
        <v>2024</v>
      </c>
      <c r="H677" s="5" t="inlineStr">
        <is>
          <t>Diciembre</t>
        </is>
      </c>
      <c r="I677" s="6" t="inlineStr">
        <is>
          <t>2024-2</t>
        </is>
      </c>
      <c r="J677" s="73" t="n">
        <v>95</v>
      </c>
      <c r="K677" s="9" t="n">
        <v>100</v>
      </c>
      <c r="L677" s="14" t="n">
        <v>1.052631578947368</v>
      </c>
      <c r="M677" s="14" t="n">
        <v>1.052631578947368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265-2024-12-31</t>
        </is>
      </c>
    </row>
    <row r="678" hidden="1">
      <c r="A678" s="5" t="n">
        <v>265</v>
      </c>
      <c r="B678" s="5" t="inlineStr">
        <is>
          <t>Eficiencia Emisión De Conceptos Jurídicos (Jurídicos)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09" t="n">
        <v>45838</v>
      </c>
      <c r="G678" s="5" t="n">
        <v>2025</v>
      </c>
      <c r="H678" s="5" t="inlineStr">
        <is>
          <t>Junio</t>
        </is>
      </c>
      <c r="I678" s="6" t="inlineStr">
        <is>
          <t>2025-1</t>
        </is>
      </c>
      <c r="J678" s="73" t="n">
        <v>95</v>
      </c>
      <c r="K678" s="9" t="n">
        <v>100</v>
      </c>
      <c r="L678" s="14" t="n">
        <v>1.052631578947368</v>
      </c>
      <c r="M678" s="14" t="n">
        <v>1.052631578947368</v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265-2025-06-30</t>
        </is>
      </c>
    </row>
    <row r="679" hidden="1">
      <c r="A679" s="28" t="n">
        <v>265</v>
      </c>
      <c r="B679" s="5" t="inlineStr">
        <is>
          <t>Eficiencia Emisión De Conceptos Jurídicos (Jurídicos)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09" t="n">
        <v>46022</v>
      </c>
      <c r="G679" s="5" t="n">
        <v>2025</v>
      </c>
      <c r="H679" s="5" t="inlineStr">
        <is>
          <t>Diciembre</t>
        </is>
      </c>
      <c r="I679" s="6" t="inlineStr">
        <is>
          <t>2025-2</t>
        </is>
      </c>
      <c r="J679" s="5" t="n">
        <v>95</v>
      </c>
      <c r="K679" s="5" t="n">
        <v>100</v>
      </c>
      <c r="L679" s="74" t="n">
        <v>1.052631578947368</v>
      </c>
      <c r="M679" s="14" t="n">
        <v>1.052631578947368</v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265-2025-12-31</t>
        </is>
      </c>
    </row>
    <row r="680" hidden="1">
      <c r="A680" s="26" t="n">
        <v>265</v>
      </c>
      <c r="B680" s="5" t="inlineStr">
        <is>
          <t>Eficiencia Emisión De Conceptos Jurídicos (Jurídicos)</t>
        </is>
      </c>
      <c r="C680" s="5" t="inlineStr">
        <is>
          <t>GESTIÓN JURÍDICA Y NORMATIVA</t>
        </is>
      </c>
      <c r="D680" s="5" t="inlineStr">
        <is>
          <t>Semestral</t>
        </is>
      </c>
      <c r="E680" s="5" t="inlineStr">
        <is>
          <t>Positivo</t>
        </is>
      </c>
      <c r="F680" s="109" t="n">
        <v>46203</v>
      </c>
      <c r="G680" s="5" t="n">
        <v>2026</v>
      </c>
      <c r="H680" s="5" t="inlineStr">
        <is>
          <t>Junio</t>
        </is>
      </c>
      <c r="I680" s="6" t="inlineStr">
        <is>
          <t>2026-1</t>
        </is>
      </c>
      <c r="J680" s="5" t="n">
        <v>95</v>
      </c>
      <c r="K680" s="5" t="n">
        <v>100</v>
      </c>
      <c r="L680" s="74" t="n">
        <v>1.052631578947368</v>
      </c>
      <c r="M680" s="14" t="n">
        <v>1.052631578947368</v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0</v>
      </c>
      <c r="R680" s="5" t="inlineStr">
        <is>
          <t>265-2026-06-30</t>
        </is>
      </c>
    </row>
    <row r="681" hidden="1">
      <c r="A681" s="5" t="n">
        <v>266</v>
      </c>
      <c r="B681" s="5" t="inlineStr">
        <is>
          <t>Oportunidad en la elaboración de contratos</t>
        </is>
      </c>
      <c r="C681" s="5" t="inlineStr">
        <is>
          <t>GESTIÓN JURÍDICA Y NORMATIVA</t>
        </is>
      </c>
      <c r="D681" s="5" t="inlineStr">
        <is>
          <t>Semestral</t>
        </is>
      </c>
      <c r="E681" s="5" t="inlineStr">
        <is>
          <t>Positivo</t>
        </is>
      </c>
      <c r="F681" s="109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5" t="n">
        <v>89.907038512616</v>
      </c>
      <c r="L681" s="14" t="n">
        <v>0.9463898790801684</v>
      </c>
      <c r="M681" s="14" t="n">
        <v>0.9463898790801684</v>
      </c>
      <c r="N681" s="5" t="inlineStr">
        <is>
          <t>%</t>
        </is>
      </c>
      <c r="O681" s="5" t="inlineStr">
        <is>
          <t>%</t>
        </is>
      </c>
      <c r="P681" s="5" t="n">
        <v>0</v>
      </c>
      <c r="Q681" s="5" t="n">
        <v>0</v>
      </c>
      <c r="R681" s="5" t="inlineStr">
        <is>
          <t>266-2023-06-30</t>
        </is>
      </c>
    </row>
    <row r="682" hidden="1">
      <c r="A682" s="5" t="n">
        <v>266</v>
      </c>
      <c r="B682" s="5" t="inlineStr">
        <is>
          <t>Oportunidad en la elaboración de contratos</t>
        </is>
      </c>
      <c r="C682" s="5" t="inlineStr">
        <is>
          <t>GESTIÓN JURÍDICA Y NORMATIVA</t>
        </is>
      </c>
      <c r="D682" s="5" t="inlineStr">
        <is>
          <t>Semestral</t>
        </is>
      </c>
      <c r="E682" s="5" t="inlineStr">
        <is>
          <t>Positivo</t>
        </is>
      </c>
      <c r="F682" s="109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5" t="n">
        <v>97.06999999999999</v>
      </c>
      <c r="L682" s="14" t="n">
        <v>1.02178947368421</v>
      </c>
      <c r="M682" s="14" t="n">
        <v>1.02178947368421</v>
      </c>
      <c r="N682" s="5" t="inlineStr">
        <is>
          <t>%</t>
        </is>
      </c>
      <c r="O682" s="5" t="inlineStr">
        <is>
          <t>%</t>
        </is>
      </c>
      <c r="P682" s="5" t="n">
        <v>0</v>
      </c>
      <c r="Q682" s="5" t="n">
        <v>0</v>
      </c>
      <c r="R682" s="5" t="inlineStr">
        <is>
          <t>266-2023-12-31</t>
        </is>
      </c>
    </row>
    <row r="683" hidden="1">
      <c r="A683" s="26" t="n">
        <v>266</v>
      </c>
      <c r="B683" s="5" t="inlineStr">
        <is>
          <t>Oportunidad en la elaboración de contratos</t>
        </is>
      </c>
      <c r="C683" s="5" t="inlineStr">
        <is>
          <t>GESTIÓN JURÍDICA Y NORMATIVA</t>
        </is>
      </c>
      <c r="D683" s="5" t="inlineStr">
        <is>
          <t>Semestral</t>
        </is>
      </c>
      <c r="E683" s="5" t="inlineStr">
        <is>
          <t>Positivo</t>
        </is>
      </c>
      <c r="F683" s="109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95</v>
      </c>
      <c r="K683" s="5" t="n">
        <v>95.02</v>
      </c>
      <c r="L683" s="14" t="n">
        <v>1.000210526315789</v>
      </c>
      <c r="M683" s="14" t="n">
        <v>1.000210526315789</v>
      </c>
      <c r="N683" s="5" t="inlineStr">
        <is>
          <t>%</t>
        </is>
      </c>
      <c r="O683" s="5" t="inlineStr">
        <is>
          <t>%</t>
        </is>
      </c>
      <c r="P683" s="5" t="n">
        <v>0</v>
      </c>
      <c r="Q683" s="5" t="n">
        <v>0</v>
      </c>
      <c r="R683" s="5" t="inlineStr">
        <is>
          <t>266-2024-06-30</t>
        </is>
      </c>
    </row>
    <row r="684" hidden="1">
      <c r="A684" s="26" t="n">
        <v>266</v>
      </c>
      <c r="B684" s="5" t="inlineStr">
        <is>
          <t>Oportunidad en la elaboración de contratos</t>
        </is>
      </c>
      <c r="C684" s="5" t="inlineStr">
        <is>
          <t>GESTIÓN JURÍDICA Y NORMATIVA</t>
        </is>
      </c>
      <c r="D684" s="5" t="inlineStr">
        <is>
          <t>Semestral</t>
        </is>
      </c>
      <c r="E684" s="5" t="inlineStr">
        <is>
          <t>Positivo</t>
        </is>
      </c>
      <c r="F684" s="109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95</v>
      </c>
      <c r="K684" s="5" t="n">
        <v>81.93000000000001</v>
      </c>
      <c r="L684" s="74" t="n">
        <v>0.862421052631579</v>
      </c>
      <c r="M684" s="14" t="n">
        <v>0.862421052631579</v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0</v>
      </c>
      <c r="R684" s="5" t="inlineStr">
        <is>
          <t>266-2024-12-31</t>
        </is>
      </c>
    </row>
    <row r="685" hidden="1">
      <c r="A685" s="5" t="n">
        <v>266</v>
      </c>
      <c r="B685" s="5" t="inlineStr">
        <is>
          <t>Oportunidad en la elaboración de contratos</t>
        </is>
      </c>
      <c r="C685" s="5" t="inlineStr">
        <is>
          <t>GESTIÓN JURÍDICA Y NORMATIVA</t>
        </is>
      </c>
      <c r="D685" s="5" t="inlineStr">
        <is>
          <t>Semestral</t>
        </is>
      </c>
      <c r="E685" s="5" t="inlineStr">
        <is>
          <t>Positivo</t>
        </is>
      </c>
      <c r="F685" s="109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95</v>
      </c>
      <c r="K685" s="5" t="n">
        <v>53.15</v>
      </c>
      <c r="L685" s="14" t="n">
        <v>0.5594736842105263</v>
      </c>
      <c r="M685" s="14" t="n">
        <v>0.5594736842105263</v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0</v>
      </c>
      <c r="R685" s="5" t="inlineStr">
        <is>
          <t>266-2025-06-30</t>
        </is>
      </c>
    </row>
    <row r="686" hidden="1">
      <c r="A686" s="26" t="n">
        <v>266</v>
      </c>
      <c r="B686" s="5" t="inlineStr">
        <is>
          <t>Oportunidad en la elaboración de contratos</t>
        </is>
      </c>
      <c r="C686" s="5" t="inlineStr">
        <is>
          <t>GESTIÓN JURÍDICA Y NORMATIVA</t>
        </is>
      </c>
      <c r="D686" s="5" t="inlineStr">
        <is>
          <t>Semestral</t>
        </is>
      </c>
      <c r="E686" s="5" t="inlineStr">
        <is>
          <t>Positivo</t>
        </is>
      </c>
      <c r="F686" s="109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95</v>
      </c>
      <c r="K686" s="5" t="n">
        <v>88.09999999999999</v>
      </c>
      <c r="L686" s="14" t="n">
        <v>0.9273684210526315</v>
      </c>
      <c r="M686" s="14" t="n">
        <v>0.9273684210526315</v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0</v>
      </c>
      <c r="R686" s="5" t="inlineStr">
        <is>
          <t>266-2025-12-31</t>
        </is>
      </c>
    </row>
    <row r="687" hidden="1">
      <c r="A687" s="26" t="n">
        <v>266</v>
      </c>
      <c r="B687" s="5" t="inlineStr">
        <is>
          <t>Oportunidad en la elaboración de contratos</t>
        </is>
      </c>
      <c r="C687" s="5" t="inlineStr">
        <is>
          <t>GESTIÓN JURÍDICA Y NORMATIVA</t>
        </is>
      </c>
      <c r="D687" s="5" t="inlineStr">
        <is>
          <t>Semestral</t>
        </is>
      </c>
      <c r="E687" s="5" t="inlineStr">
        <is>
          <t>Positivo</t>
        </is>
      </c>
      <c r="F687" s="109" t="n">
        <v>46203</v>
      </c>
      <c r="G687" s="5" t="n">
        <v>2026</v>
      </c>
      <c r="H687" s="5" t="inlineStr">
        <is>
          <t>Junio</t>
        </is>
      </c>
      <c r="I687" s="6" t="inlineStr">
        <is>
          <t>2026-1</t>
        </is>
      </c>
      <c r="J687" s="5" t="n">
        <v>95</v>
      </c>
      <c r="K687" s="5" t="n">
        <v>54.26</v>
      </c>
      <c r="L687" s="14" t="n">
        <v>0.5711578947368421</v>
      </c>
      <c r="M687" s="14" t="n">
        <v>0.5711578947368421</v>
      </c>
      <c r="N687" s="5" t="inlineStr">
        <is>
          <t>%</t>
        </is>
      </c>
      <c r="O687" s="5" t="inlineStr">
        <is>
          <t>%</t>
        </is>
      </c>
      <c r="P687" s="5" t="n">
        <v>0</v>
      </c>
      <c r="Q687" s="5" t="n">
        <v>0</v>
      </c>
      <c r="R687" s="5" t="inlineStr">
        <is>
          <t>266-2026-06-30</t>
        </is>
      </c>
    </row>
    <row r="688" hidden="1">
      <c r="A688" s="5" t="n">
        <v>267</v>
      </c>
      <c r="B688" s="5" t="inlineStr">
        <is>
          <t>Satisfacción procesos de Homologaciones</t>
        </is>
      </c>
      <c r="C688" s="5" t="inlineStr">
        <is>
          <t>Registro y Control</t>
        </is>
      </c>
      <c r="D688" s="5" t="inlineStr">
        <is>
          <t>Anual</t>
        </is>
      </c>
      <c r="E688" s="5" t="inlineStr">
        <is>
          <t>Positivo</t>
        </is>
      </c>
      <c r="F688" s="109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/>
      <c r="K688" s="5" t="n">
        <v>0</v>
      </c>
      <c r="L688" s="14" t="n"/>
      <c r="M688" s="14" t="n"/>
      <c r="N688" s="5" t="n"/>
      <c r="O688" s="5" t="n"/>
      <c r="P688" s="5" t="n">
        <v>0</v>
      </c>
      <c r="Q688" s="5" t="n">
        <v>0</v>
      </c>
      <c r="R688" s="5" t="inlineStr">
        <is>
          <t>267-2023-12-31</t>
        </is>
      </c>
    </row>
    <row r="689" hidden="1">
      <c r="A689" s="5" t="n">
        <v>268</v>
      </c>
      <c r="B689" s="5" t="inlineStr">
        <is>
          <t>Cantidad de usuarios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09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0</v>
      </c>
      <c r="K689" s="5" t="n">
        <v>661</v>
      </c>
      <c r="L689" s="14" t="n"/>
      <c r="M689" s="14" t="n"/>
      <c r="N689" s="5" t="n"/>
      <c r="O689" s="5" t="n"/>
      <c r="P689" s="5" t="n">
        <v>0</v>
      </c>
      <c r="Q689" s="5" t="n">
        <v>0</v>
      </c>
      <c r="R689" s="5" t="inlineStr">
        <is>
          <t>268-2023-06-30</t>
        </is>
      </c>
    </row>
    <row r="690" hidden="1">
      <c r="A690" s="34" t="n">
        <v>268</v>
      </c>
      <c r="B690" s="5" t="inlineStr">
        <is>
          <t>Cantidad de usuarios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09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0</v>
      </c>
      <c r="K690" s="5" t="n">
        <v>727</v>
      </c>
      <c r="L690" s="74" t="n"/>
      <c r="M690" s="14" t="n"/>
      <c r="N690" s="5" t="n"/>
      <c r="O690" s="5" t="n"/>
      <c r="P690" s="5" t="n">
        <v>0</v>
      </c>
      <c r="Q690" s="5" t="n">
        <v>0</v>
      </c>
      <c r="R690" s="5" t="inlineStr">
        <is>
          <t>268-2023-12-31</t>
        </is>
      </c>
    </row>
    <row r="691" hidden="1">
      <c r="A691" s="26" t="n">
        <v>268</v>
      </c>
      <c r="B691" s="5" t="inlineStr">
        <is>
          <t>Cantidad de usuarios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09" t="n">
        <v>45473</v>
      </c>
      <c r="G691" s="5" t="n">
        <v>2024</v>
      </c>
      <c r="H691" s="5" t="inlineStr">
        <is>
          <t>Junio</t>
        </is>
      </c>
      <c r="I691" s="6" t="inlineStr">
        <is>
          <t>2024-1</t>
        </is>
      </c>
      <c r="J691" s="5" t="n">
        <v>0</v>
      </c>
      <c r="K691" s="5" t="n">
        <v>743</v>
      </c>
      <c r="L691" s="74" t="n"/>
      <c r="M691" s="14" t="n"/>
      <c r="N691" s="5" t="n"/>
      <c r="O691" s="5" t="n"/>
      <c r="P691" s="5" t="n">
        <v>0</v>
      </c>
      <c r="Q691" s="5" t="n">
        <v>0</v>
      </c>
      <c r="R691" s="5" t="inlineStr">
        <is>
          <t>268-2024-06-30</t>
        </is>
      </c>
    </row>
    <row r="692" hidden="1">
      <c r="A692" s="28" t="n">
        <v>268</v>
      </c>
      <c r="B692" s="5" t="inlineStr">
        <is>
          <t>Cantidad de usuarios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09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>
        <v>0</v>
      </c>
      <c r="K692" s="5" t="n">
        <v>732</v>
      </c>
      <c r="L692" s="74" t="n"/>
      <c r="M692" s="14" t="n"/>
      <c r="N692" s="5" t="n"/>
      <c r="O692" s="5" t="n"/>
      <c r="P692" s="5" t="n">
        <v>0</v>
      </c>
      <c r="Q692" s="5" t="n">
        <v>0</v>
      </c>
      <c r="R692" s="5" t="inlineStr">
        <is>
          <t>268-2024-12-31</t>
        </is>
      </c>
    </row>
    <row r="693" hidden="1">
      <c r="A693" s="26" t="n">
        <v>268</v>
      </c>
      <c r="B693" s="5" t="inlineStr">
        <is>
          <t>Cantidad de usuarios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09" t="n">
        <v>45838</v>
      </c>
      <c r="G693" s="5" t="n">
        <v>2025</v>
      </c>
      <c r="H693" s="5" t="inlineStr">
        <is>
          <t>Junio</t>
        </is>
      </c>
      <c r="I693" s="6" t="inlineStr">
        <is>
          <t>2025-1</t>
        </is>
      </c>
      <c r="J693" s="5" t="n"/>
      <c r="K693" s="5" t="n">
        <v>765</v>
      </c>
      <c r="L693" s="74" t="n"/>
      <c r="M693" s="14" t="n"/>
      <c r="N693" s="5" t="inlineStr">
        <is>
          <t>%</t>
        </is>
      </c>
      <c r="O693" s="5" t="inlineStr">
        <is>
          <t>ENT</t>
        </is>
      </c>
      <c r="P693" s="5" t="n">
        <v>0</v>
      </c>
      <c r="Q693" s="5" t="n">
        <v>0</v>
      </c>
      <c r="R693" s="5" t="inlineStr">
        <is>
          <t>268-2025-06-30</t>
        </is>
      </c>
      <c r="S693" t="inlineStr">
        <is>
          <t>Metrica</t>
        </is>
      </c>
    </row>
    <row r="694" hidden="1">
      <c r="A694" s="5" t="n">
        <v>268</v>
      </c>
      <c r="B694" s="5" t="inlineStr">
        <is>
          <t>Cantidad de usuarios - (Metrica)</t>
        </is>
      </c>
      <c r="C694" s="5" t="inlineStr">
        <is>
          <t>Centro de Medios Audiovisuales</t>
        </is>
      </c>
      <c r="D694" s="5" t="inlineStr">
        <is>
          <t>Trimestral</t>
        </is>
      </c>
      <c r="E694" s="5" t="inlineStr">
        <is>
          <t>Positivo</t>
        </is>
      </c>
      <c r="F694" s="109" t="n">
        <v>46022</v>
      </c>
      <c r="G694" s="5" t="n">
        <v>2025</v>
      </c>
      <c r="H694" s="5" t="inlineStr">
        <is>
          <t>Diciembre</t>
        </is>
      </c>
      <c r="I694" s="6" t="inlineStr">
        <is>
          <t>2025-2</t>
        </is>
      </c>
      <c r="J694" s="5" t="n"/>
      <c r="K694" s="5" t="n">
        <v>877</v>
      </c>
      <c r="L694" s="14" t="n"/>
      <c r="M694" s="14" t="n"/>
      <c r="N694" s="5" t="inlineStr">
        <is>
          <t>%</t>
        </is>
      </c>
      <c r="O694" s="5" t="inlineStr">
        <is>
          <t>ENT</t>
        </is>
      </c>
      <c r="P694" s="5" t="n">
        <v>0</v>
      </c>
      <c r="Q694" s="5" t="n">
        <v>0</v>
      </c>
      <c r="R694" s="5" t="inlineStr">
        <is>
          <t>268-2025-12-31</t>
        </is>
      </c>
      <c r="S694" t="inlineStr">
        <is>
          <t>Metrica</t>
        </is>
      </c>
    </row>
    <row r="695" hidden="1">
      <c r="A695" s="5" t="n">
        <v>269</v>
      </c>
      <c r="B695" s="5" t="inlineStr">
        <is>
          <t>N de personas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09" t="n">
        <v>45107</v>
      </c>
      <c r="G695" s="5" t="n">
        <v>2023</v>
      </c>
      <c r="H695" s="5" t="inlineStr">
        <is>
          <t>Junio</t>
        </is>
      </c>
      <c r="I695" s="6" t="inlineStr">
        <is>
          <t>2023-1</t>
        </is>
      </c>
      <c r="J695" s="5" t="n">
        <v>0</v>
      </c>
      <c r="K695" s="5" t="n">
        <v>0.4</v>
      </c>
      <c r="L695" s="14" t="n"/>
      <c r="M695" s="14" t="n"/>
      <c r="N695" s="5" t="inlineStr">
        <is>
          <t>DEC</t>
        </is>
      </c>
      <c r="O695" s="5" t="inlineStr">
        <is>
          <t>DEC</t>
        </is>
      </c>
      <c r="P695" s="5" t="n">
        <v>2</v>
      </c>
      <c r="Q695" s="5" t="n">
        <v>2</v>
      </c>
      <c r="R695" s="5" t="inlineStr">
        <is>
          <t>269-2023-06-30</t>
        </is>
      </c>
    </row>
    <row r="696" hidden="1">
      <c r="A696" s="26" t="n">
        <v>269</v>
      </c>
      <c r="B696" s="5" t="inlineStr">
        <is>
          <t>N de personas promedio por evento</t>
        </is>
      </c>
      <c r="C696" s="5" t="inlineStr">
        <is>
          <t>Centro de Medios Audiovisuales</t>
        </is>
      </c>
      <c r="D696" s="5" t="inlineStr">
        <is>
          <t>Semestral</t>
        </is>
      </c>
      <c r="E696" s="5" t="inlineStr">
        <is>
          <t>Positivo</t>
        </is>
      </c>
      <c r="F696" s="109" t="n">
        <v>45291</v>
      </c>
      <c r="G696" s="5" t="n">
        <v>2023</v>
      </c>
      <c r="H696" s="5" t="inlineStr">
        <is>
          <t>Diciembre</t>
        </is>
      </c>
      <c r="I696" s="6" t="inlineStr">
        <is>
          <t>2023-2</t>
        </is>
      </c>
      <c r="J696" s="5" t="n">
        <v>0</v>
      </c>
      <c r="K696" s="5" t="n">
        <v>1.276978417266187</v>
      </c>
      <c r="L696" s="14" t="n"/>
      <c r="M696" s="14" t="n"/>
      <c r="N696" s="5" t="inlineStr">
        <is>
          <t>DEC</t>
        </is>
      </c>
      <c r="O696" s="5" t="inlineStr">
        <is>
          <t>DEC</t>
        </is>
      </c>
      <c r="P696" s="5" t="n">
        <v>2</v>
      </c>
      <c r="Q696" s="5" t="n">
        <v>2</v>
      </c>
      <c r="R696" s="5" t="inlineStr">
        <is>
          <t>269-2023-12-31</t>
        </is>
      </c>
    </row>
    <row r="697" hidden="1">
      <c r="A697" s="26" t="n">
        <v>269</v>
      </c>
      <c r="B697" s="5" t="inlineStr">
        <is>
          <t>N de personas promedio por evento</t>
        </is>
      </c>
      <c r="C697" s="5" t="inlineStr">
        <is>
          <t>Centro de Medios Audiovisuales</t>
        </is>
      </c>
      <c r="D697" s="5" t="inlineStr">
        <is>
          <t>Semestral</t>
        </is>
      </c>
      <c r="E697" s="5" t="inlineStr">
        <is>
          <t>Positivo</t>
        </is>
      </c>
      <c r="F697" s="109" t="n">
        <v>45473</v>
      </c>
      <c r="G697" s="5" t="n">
        <v>2024</v>
      </c>
      <c r="H697" s="5" t="inlineStr">
        <is>
          <t>Junio</t>
        </is>
      </c>
      <c r="I697" s="6" t="inlineStr">
        <is>
          <t>2024-1</t>
        </is>
      </c>
      <c r="J697" s="5" t="n">
        <v>0</v>
      </c>
      <c r="K697" s="5" t="n">
        <v>3</v>
      </c>
      <c r="L697" s="14" t="n"/>
      <c r="M697" s="14" t="n"/>
      <c r="N697" s="5" t="n"/>
      <c r="O697" s="5" t="n"/>
      <c r="P697" s="5" t="n">
        <v>0</v>
      </c>
      <c r="Q697" s="5" t="n">
        <v>0</v>
      </c>
      <c r="R697" s="5" t="inlineStr">
        <is>
          <t>269-2024-06-30</t>
        </is>
      </c>
    </row>
    <row r="698" hidden="1">
      <c r="A698" s="5" t="n">
        <v>269</v>
      </c>
      <c r="B698" s="5" t="inlineStr">
        <is>
          <t>N de personas promedio por evento</t>
        </is>
      </c>
      <c r="C698" s="5" t="inlineStr">
        <is>
          <t>Centro de Medios Audiovisuales</t>
        </is>
      </c>
      <c r="D698" s="5" t="inlineStr">
        <is>
          <t>Semestral</t>
        </is>
      </c>
      <c r="E698" s="5" t="inlineStr">
        <is>
          <t>Positivo</t>
        </is>
      </c>
      <c r="F698" s="109" t="n">
        <v>45657</v>
      </c>
      <c r="G698" s="5" t="n">
        <v>2024</v>
      </c>
      <c r="H698" s="5" t="inlineStr">
        <is>
          <t>Diciembre</t>
        </is>
      </c>
      <c r="I698" s="6" t="inlineStr">
        <is>
          <t>2024-2</t>
        </is>
      </c>
      <c r="J698" s="5" t="n"/>
      <c r="K698" s="5" t="n">
        <v>1.28</v>
      </c>
      <c r="L698" s="14" t="n"/>
      <c r="M698" s="14" t="n"/>
      <c r="N698" s="5" t="n"/>
      <c r="O698" s="5" t="n"/>
      <c r="P698" s="5" t="n">
        <v>0</v>
      </c>
      <c r="Q698" s="5" t="n">
        <v>0</v>
      </c>
      <c r="R698" s="5" t="inlineStr">
        <is>
          <t>269-2024-12-31</t>
        </is>
      </c>
    </row>
    <row r="699" hidden="1">
      <c r="A699" s="5" t="n">
        <v>269</v>
      </c>
      <c r="B699" s="5" t="inlineStr">
        <is>
          <t>N de personas promedio por evento - (Metrica)</t>
        </is>
      </c>
      <c r="C699" s="5" t="inlineStr">
        <is>
          <t>Centro de Medios Audiovisuales</t>
        </is>
      </c>
      <c r="D699" s="5" t="inlineStr">
        <is>
          <t>Trimestral</t>
        </is>
      </c>
      <c r="E699" s="5" t="inlineStr">
        <is>
          <t>Positivo</t>
        </is>
      </c>
      <c r="F699" s="109" t="n">
        <v>45838</v>
      </c>
      <c r="G699" s="5" t="n">
        <v>2025</v>
      </c>
      <c r="H699" s="5" t="inlineStr">
        <is>
          <t>Junio</t>
        </is>
      </c>
      <c r="I699" s="6" t="inlineStr">
        <is>
          <t>2025-1</t>
        </is>
      </c>
      <c r="J699" s="5" t="n">
        <v>368</v>
      </c>
      <c r="K699" s="5" t="n">
        <v>1.83</v>
      </c>
      <c r="L699" s="14" t="n">
        <v>0.004972826086956522</v>
      </c>
      <c r="M699" s="14" t="n">
        <v>0.004972826086956522</v>
      </c>
      <c r="N699" s="5" t="inlineStr">
        <is>
          <t>DEC</t>
        </is>
      </c>
      <c r="O699" s="5" t="inlineStr">
        <is>
          <t>DEC</t>
        </is>
      </c>
      <c r="P699" s="5" t="n">
        <v>2</v>
      </c>
      <c r="Q699" s="5" t="n">
        <v>2</v>
      </c>
      <c r="R699" s="5" t="inlineStr">
        <is>
          <t>269-2025-06-30</t>
        </is>
      </c>
      <c r="S699" t="inlineStr">
        <is>
          <t>Metrica</t>
        </is>
      </c>
    </row>
    <row r="700" hidden="1">
      <c r="A700" s="5" t="n">
        <v>269</v>
      </c>
      <c r="B700" s="5" t="inlineStr">
        <is>
          <t>N de personas promedio por evento - (Metrica)</t>
        </is>
      </c>
      <c r="C700" s="5" t="inlineStr">
        <is>
          <t>Centro de Medios Audiovisuales</t>
        </is>
      </c>
      <c r="D700" s="5" t="inlineStr">
        <is>
          <t>Trimestral</t>
        </is>
      </c>
      <c r="E700" s="5" t="inlineStr">
        <is>
          <t>Positivo</t>
        </is>
      </c>
      <c r="F700" s="108" t="n">
        <v>46022</v>
      </c>
      <c r="G700" s="15" t="n">
        <v>2025</v>
      </c>
      <c r="H700" s="6" t="inlineStr">
        <is>
          <t>Diciembre</t>
        </is>
      </c>
      <c r="I700" s="27" t="inlineStr">
        <is>
          <t>2025-2</t>
        </is>
      </c>
      <c r="J700" s="5" t="n">
        <v>545</v>
      </c>
      <c r="K700" s="5" t="n">
        <v>1.65</v>
      </c>
      <c r="L700" s="14" t="n">
        <v>0.003027522935779816</v>
      </c>
      <c r="M700" s="14" t="n">
        <v>0.003027522935779816</v>
      </c>
      <c r="N700" s="5" t="inlineStr">
        <is>
          <t>DEC</t>
        </is>
      </c>
      <c r="O700" s="5" t="inlineStr">
        <is>
          <t>DEC</t>
        </is>
      </c>
      <c r="P700" s="5" t="n">
        <v>2</v>
      </c>
      <c r="Q700" s="5" t="n">
        <v>2</v>
      </c>
      <c r="R700" s="5" t="inlineStr">
        <is>
          <t>269-2025-12-31</t>
        </is>
      </c>
      <c r="S700" t="inlineStr">
        <is>
          <t>Metrica</t>
        </is>
      </c>
    </row>
    <row r="701" hidden="1">
      <c r="A701" s="26" t="n">
        <v>270</v>
      </c>
      <c r="B701" s="5" t="inlineStr">
        <is>
          <t>N de horas promedio por evento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09" t="n">
        <v>45107</v>
      </c>
      <c r="G701" s="5" t="n">
        <v>2023</v>
      </c>
      <c r="H701" s="5" t="inlineStr">
        <is>
          <t>Junio</t>
        </is>
      </c>
      <c r="I701" s="6" t="inlineStr">
        <is>
          <t>2023-1</t>
        </is>
      </c>
      <c r="J701" s="5" t="n">
        <v>0</v>
      </c>
      <c r="K701" s="5" t="n">
        <v>6.55</v>
      </c>
      <c r="L701" s="14" t="n"/>
      <c r="M701" s="14" t="n"/>
      <c r="N701" s="5" t="n"/>
      <c r="O701" s="5" t="n"/>
      <c r="P701" s="5" t="n">
        <v>1</v>
      </c>
      <c r="Q701" s="5" t="n">
        <v>1</v>
      </c>
      <c r="R701" s="5" t="inlineStr">
        <is>
          <t>270-2023-06-30</t>
        </is>
      </c>
    </row>
    <row r="702" hidden="1">
      <c r="A702" s="28" t="n">
        <v>270</v>
      </c>
      <c r="B702" s="5" t="inlineStr">
        <is>
          <t>N de horas promedio por evento</t>
        </is>
      </c>
      <c r="C702" s="5" t="inlineStr">
        <is>
          <t>Centro de Medios Audiovisuales</t>
        </is>
      </c>
      <c r="D702" s="5" t="inlineStr">
        <is>
          <t>Semestral</t>
        </is>
      </c>
      <c r="E702" s="5" t="inlineStr">
        <is>
          <t>Positivo</t>
        </is>
      </c>
      <c r="F702" s="109" t="n">
        <v>45291</v>
      </c>
      <c r="G702" s="5" t="n">
        <v>2023</v>
      </c>
      <c r="H702" s="5" t="inlineStr">
        <is>
          <t>Diciembre</t>
        </is>
      </c>
      <c r="I702" s="6" t="inlineStr">
        <is>
          <t>2023-2</t>
        </is>
      </c>
      <c r="J702" s="5" t="n">
        <v>0</v>
      </c>
      <c r="K702" s="5" t="n">
        <v>3.83</v>
      </c>
      <c r="L702" s="74" t="n"/>
      <c r="M702" s="14" t="n"/>
      <c r="N702" s="5" t="n"/>
      <c r="O702" s="5" t="n"/>
      <c r="P702" s="5" t="n">
        <v>1</v>
      </c>
      <c r="Q702" s="5" t="n">
        <v>1</v>
      </c>
      <c r="R702" s="5" t="inlineStr">
        <is>
          <t>270-2023-12-31</t>
        </is>
      </c>
    </row>
    <row r="703" hidden="1">
      <c r="A703" s="26" t="n">
        <v>270</v>
      </c>
      <c r="B703" s="5" t="inlineStr">
        <is>
          <t>N de horas promedio por evento</t>
        </is>
      </c>
      <c r="C703" s="5" t="inlineStr">
        <is>
          <t>Centro de Medios Audiovisuales</t>
        </is>
      </c>
      <c r="D703" s="5" t="inlineStr">
        <is>
          <t>Semestral</t>
        </is>
      </c>
      <c r="E703" s="5" t="inlineStr">
        <is>
          <t>Positivo</t>
        </is>
      </c>
      <c r="F703" s="109" t="n">
        <v>45473</v>
      </c>
      <c r="G703" s="5" t="n">
        <v>2024</v>
      </c>
      <c r="H703" s="5" t="inlineStr">
        <is>
          <t>Junio</t>
        </is>
      </c>
      <c r="I703" s="6" t="inlineStr">
        <is>
          <t>2024-1</t>
        </is>
      </c>
      <c r="J703" s="5" t="n">
        <v>0</v>
      </c>
      <c r="K703" s="5" t="n">
        <v>4.88</v>
      </c>
      <c r="L703" s="74" t="n"/>
      <c r="M703" s="14" t="n"/>
      <c r="N703" s="5" t="n"/>
      <c r="O703" s="5" t="n"/>
      <c r="P703" s="5" t="n">
        <v>0</v>
      </c>
      <c r="Q703" s="5" t="n">
        <v>0</v>
      </c>
      <c r="R703" s="5" t="inlineStr">
        <is>
          <t>270-2024-06-30</t>
        </is>
      </c>
    </row>
    <row r="704" hidden="1">
      <c r="A704" s="26" t="n">
        <v>270</v>
      </c>
      <c r="B704" s="5" t="inlineStr">
        <is>
          <t>N de horas promedio por evento</t>
        </is>
      </c>
      <c r="C704" s="5" t="inlineStr">
        <is>
          <t>Centro de Medios Audiovisuales</t>
        </is>
      </c>
      <c r="D704" s="5" t="inlineStr">
        <is>
          <t>Semestral</t>
        </is>
      </c>
      <c r="E704" s="5" t="inlineStr">
        <is>
          <t>Positivo</t>
        </is>
      </c>
      <c r="F704" s="109" t="n">
        <v>45657</v>
      </c>
      <c r="G704" s="5" t="n">
        <v>2024</v>
      </c>
      <c r="H704" s="5" t="inlineStr">
        <is>
          <t>Diciembre</t>
        </is>
      </c>
      <c r="I704" s="6" t="inlineStr">
        <is>
          <t>2024-2</t>
        </is>
      </c>
      <c r="J704" s="5" t="n">
        <v>0</v>
      </c>
      <c r="K704" s="5" t="n">
        <v>4.57</v>
      </c>
      <c r="L704" s="74" t="n"/>
      <c r="M704" s="14" t="n"/>
      <c r="N704" s="5" t="n"/>
      <c r="O704" s="5" t="n"/>
      <c r="P704" s="5" t="n">
        <v>0</v>
      </c>
      <c r="Q704" s="5" t="n">
        <v>0</v>
      </c>
      <c r="R704" s="5" t="inlineStr">
        <is>
          <t>270-2024-12-31</t>
        </is>
      </c>
    </row>
    <row r="705" hidden="1">
      <c r="A705" s="5" t="n">
        <v>270</v>
      </c>
      <c r="B705" s="5" t="inlineStr">
        <is>
          <t>N de horas promedio por evento - (Metrica)</t>
        </is>
      </c>
      <c r="C705" s="5" t="inlineStr">
        <is>
          <t>Centro de Medios Audiovisuales</t>
        </is>
      </c>
      <c r="D705" s="5" t="inlineStr">
        <is>
          <t>Trimestral</t>
        </is>
      </c>
      <c r="E705" s="5" t="inlineStr">
        <is>
          <t>Positivo</t>
        </is>
      </c>
      <c r="F705" s="109" t="n">
        <v>45838</v>
      </c>
      <c r="G705" s="5" t="n">
        <v>2025</v>
      </c>
      <c r="H705" s="5" t="inlineStr">
        <is>
          <t>Junio</t>
        </is>
      </c>
      <c r="I705" s="6" t="inlineStr">
        <is>
          <t>2025-1</t>
        </is>
      </c>
      <c r="J705" s="5" t="n">
        <v>368</v>
      </c>
      <c r="K705" s="5" t="n">
        <v>4.17</v>
      </c>
      <c r="L705" s="14" t="n">
        <v>0.01133152173913043</v>
      </c>
      <c r="M705" s="14" t="n">
        <v>0.01133152173913043</v>
      </c>
      <c r="N705" s="5" t="inlineStr">
        <is>
          <t>DEC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270-2025-06-30</t>
        </is>
      </c>
      <c r="S705" t="inlineStr">
        <is>
          <t>Metrica</t>
        </is>
      </c>
    </row>
    <row r="706" hidden="1">
      <c r="A706" s="28" t="n">
        <v>270</v>
      </c>
      <c r="B706" s="5" t="inlineStr">
        <is>
          <t>N de horas promedio por evento - (Metrica)</t>
        </is>
      </c>
      <c r="C706" s="5" t="inlineStr">
        <is>
          <t>Centro de Medios Audiovisuales</t>
        </is>
      </c>
      <c r="D706" s="5" t="inlineStr">
        <is>
          <t>Trimestral</t>
        </is>
      </c>
      <c r="E706" s="5" t="inlineStr">
        <is>
          <t>Positivo</t>
        </is>
      </c>
      <c r="F706" s="109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545</v>
      </c>
      <c r="K706" s="5" t="n">
        <v>4.3</v>
      </c>
      <c r="L706" s="14" t="n">
        <v>0.007889908256880733</v>
      </c>
      <c r="M706" s="14" t="n">
        <v>0.007889908256880733</v>
      </c>
      <c r="N706" s="5" t="inlineStr">
        <is>
          <t>DEC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270-2025-12-31</t>
        </is>
      </c>
      <c r="S706" t="inlineStr">
        <is>
          <t>Metrica</t>
        </is>
      </c>
    </row>
    <row r="707" hidden="1">
      <c r="A707" s="26" t="n">
        <v>271</v>
      </c>
      <c r="B707" s="5" t="inlineStr">
        <is>
          <t>N de horas por solicitud</t>
        </is>
      </c>
      <c r="C707" s="5" t="inlineStr">
        <is>
          <t>Centro de Medios Audiovisuales</t>
        </is>
      </c>
      <c r="D707" s="5" t="inlineStr">
        <is>
          <t>Semestral</t>
        </is>
      </c>
      <c r="E707" s="5" t="inlineStr">
        <is>
          <t>Positivo</t>
        </is>
      </c>
      <c r="F707" s="109" t="n">
        <v>45107</v>
      </c>
      <c r="G707" s="5" t="n">
        <v>2023</v>
      </c>
      <c r="H707" s="5" t="inlineStr">
        <is>
          <t>Junio</t>
        </is>
      </c>
      <c r="I707" s="6" t="inlineStr">
        <is>
          <t>2023-1</t>
        </is>
      </c>
      <c r="J707" s="5" t="n">
        <v>0</v>
      </c>
      <c r="K707" s="5" t="n">
        <v>63.29113924050633</v>
      </c>
      <c r="L707" s="14" t="n"/>
      <c r="M707" s="14" t="n"/>
      <c r="N707" s="5" t="n"/>
      <c r="O707" s="5" t="n"/>
      <c r="P707" s="5" t="n">
        <v>1</v>
      </c>
      <c r="Q707" s="5" t="n">
        <v>1</v>
      </c>
      <c r="R707" s="5" t="inlineStr">
        <is>
          <t>271-2023-06-30</t>
        </is>
      </c>
    </row>
    <row r="708" hidden="1">
      <c r="A708" s="5" t="n">
        <v>271</v>
      </c>
      <c r="B708" s="5" t="inlineStr">
        <is>
          <t>N de horas por solicitud</t>
        </is>
      </c>
      <c r="C708" s="5" t="inlineStr">
        <is>
          <t>Centro de Medios Audiovisuales</t>
        </is>
      </c>
      <c r="D708" s="5" t="inlineStr">
        <is>
          <t>Semestral</t>
        </is>
      </c>
      <c r="E708" s="5" t="inlineStr">
        <is>
          <t>Positivo</t>
        </is>
      </c>
      <c r="F708" s="109" t="n">
        <v>45291</v>
      </c>
      <c r="G708" s="5" t="n">
        <v>2023</v>
      </c>
      <c r="H708" s="5" t="inlineStr">
        <is>
          <t>Diciembre</t>
        </is>
      </c>
      <c r="I708" s="6" t="inlineStr">
        <is>
          <t>2023-2</t>
        </is>
      </c>
      <c r="J708" s="5" t="n">
        <v>0</v>
      </c>
      <c r="K708" s="5" t="n">
        <v>16.17233646643447</v>
      </c>
      <c r="L708" s="14" t="n"/>
      <c r="M708" s="14" t="n"/>
      <c r="N708" s="5" t="n"/>
      <c r="O708" s="5" t="n"/>
      <c r="P708" s="5" t="n">
        <v>1</v>
      </c>
      <c r="Q708" s="5" t="n">
        <v>1</v>
      </c>
      <c r="R708" s="5" t="inlineStr">
        <is>
          <t>271-2023-12-31</t>
        </is>
      </c>
    </row>
    <row r="709" hidden="1">
      <c r="A709" s="5" t="n">
        <v>271</v>
      </c>
      <c r="B709" s="5" t="inlineStr">
        <is>
          <t>N de horas por solicitud</t>
        </is>
      </c>
      <c r="C709" s="5" t="inlineStr">
        <is>
          <t>Centro de Medios Audiovisuales</t>
        </is>
      </c>
      <c r="D709" s="5" t="inlineStr">
        <is>
          <t>Semestral</t>
        </is>
      </c>
      <c r="E709" s="5" t="inlineStr">
        <is>
          <t>Positivo</t>
        </is>
      </c>
      <c r="F709" s="109" t="n">
        <v>45473</v>
      </c>
      <c r="G709" s="5" t="n">
        <v>2024</v>
      </c>
      <c r="H709" s="5" t="inlineStr">
        <is>
          <t>Junio</t>
        </is>
      </c>
      <c r="I709" s="6" t="inlineStr">
        <is>
          <t>2024-1</t>
        </is>
      </c>
      <c r="J709" s="5" t="n">
        <v>0</v>
      </c>
      <c r="K709" s="10" t="n">
        <v>19.39471652327377</v>
      </c>
      <c r="L709" s="14" t="n"/>
      <c r="M709" s="14" t="n"/>
      <c r="N709" s="5" t="n"/>
      <c r="O709" s="5" t="n"/>
      <c r="P709" s="5" t="n">
        <v>0</v>
      </c>
      <c r="Q709" s="5" t="n">
        <v>0</v>
      </c>
      <c r="R709" s="5" t="inlineStr">
        <is>
          <t>271-2024-06-30</t>
        </is>
      </c>
    </row>
    <row r="710" hidden="1">
      <c r="A710" s="28" t="n">
        <v>271</v>
      </c>
      <c r="B710" s="5" t="inlineStr">
        <is>
          <t>N de horas por solicitud</t>
        </is>
      </c>
      <c r="C710" s="5" t="inlineStr">
        <is>
          <t>Centro de Medios Audiovisuales</t>
        </is>
      </c>
      <c r="D710" s="5" t="inlineStr">
        <is>
          <t>Semestral</t>
        </is>
      </c>
      <c r="E710" s="5" t="inlineStr">
        <is>
          <t>Positivo</t>
        </is>
      </c>
      <c r="F710" s="109" t="n">
        <v>45657</v>
      </c>
      <c r="G710" s="5" t="n">
        <v>2024</v>
      </c>
      <c r="H710" s="5" t="inlineStr">
        <is>
          <t>Diciembre</t>
        </is>
      </c>
      <c r="I710" s="6" t="inlineStr">
        <is>
          <t>2024-2</t>
        </is>
      </c>
      <c r="J710" s="5" t="n"/>
      <c r="K710" s="5" t="n">
        <v>16.86</v>
      </c>
      <c r="L710" s="74" t="n"/>
      <c r="M710" s="14" t="n"/>
      <c r="N710" s="5" t="n"/>
      <c r="O710" s="5" t="n"/>
      <c r="P710" s="5" t="n">
        <v>0</v>
      </c>
      <c r="Q710" s="5" t="n">
        <v>0</v>
      </c>
      <c r="R710" s="5" t="inlineStr">
        <is>
          <t>271-2024-12-31</t>
        </is>
      </c>
    </row>
    <row r="711" hidden="1">
      <c r="A711" s="26" t="n">
        <v>271</v>
      </c>
      <c r="B711" s="5" t="inlineStr">
        <is>
          <t>N de horas por solicitud - (Metrica)</t>
        </is>
      </c>
      <c r="C711" s="5" t="inlineStr">
        <is>
          <t>Centro de Medios Audiovisuales</t>
        </is>
      </c>
      <c r="D711" s="5" t="inlineStr">
        <is>
          <t>Trimestral</t>
        </is>
      </c>
      <c r="E711" s="5" t="inlineStr">
        <is>
          <t>Positivo</t>
        </is>
      </c>
      <c r="F711" s="109" t="n">
        <v>45838</v>
      </c>
      <c r="G711" s="5" t="n">
        <v>2025</v>
      </c>
      <c r="H711" s="5" t="inlineStr">
        <is>
          <t>Junio</t>
        </is>
      </c>
      <c r="I711" s="6" t="inlineStr">
        <is>
          <t>2025-1</t>
        </is>
      </c>
      <c r="J711" s="5" t="n">
        <v>21346</v>
      </c>
      <c r="K711" s="5" t="n">
        <v>23.85</v>
      </c>
      <c r="L711" s="74" t="n">
        <v>0.001117305349948468</v>
      </c>
      <c r="M711" s="14" t="n">
        <v>0.001117305349948468</v>
      </c>
      <c r="N711" s="5" t="n">
        <v>0</v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271-2025-06-30</t>
        </is>
      </c>
      <c r="S711" t="inlineStr">
        <is>
          <t>Metrica</t>
        </is>
      </c>
    </row>
    <row r="712" hidden="1">
      <c r="A712" s="5" t="n">
        <v>271</v>
      </c>
      <c r="B712" s="5" t="inlineStr">
        <is>
          <t>N de horas por solicitud - (Metrica)</t>
        </is>
      </c>
      <c r="C712" s="5" t="inlineStr">
        <is>
          <t>Centro de Medios Audiovisuales</t>
        </is>
      </c>
      <c r="D712" s="5" t="inlineStr">
        <is>
          <t>Trimestral</t>
        </is>
      </c>
      <c r="E712" s="5" t="inlineStr">
        <is>
          <t>Positivo</t>
        </is>
      </c>
      <c r="F712" s="109" t="n">
        <v>46022</v>
      </c>
      <c r="G712" s="5" t="n">
        <v>2025</v>
      </c>
      <c r="H712" s="5" t="inlineStr">
        <is>
          <t>Diciembre</t>
        </is>
      </c>
      <c r="I712" s="6" t="inlineStr">
        <is>
          <t>2025-2</t>
        </is>
      </c>
      <c r="J712" s="5" t="n">
        <v>30907</v>
      </c>
      <c r="K712" s="5" t="n">
        <v>19.93</v>
      </c>
      <c r="L712" s="14" t="n">
        <v>0.0006448377390235222</v>
      </c>
      <c r="M712" s="14" t="n">
        <v>0.0006448377390235222</v>
      </c>
      <c r="N712" s="5" t="n">
        <v>0</v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271-2025-12-31</t>
        </is>
      </c>
      <c r="S712" t="inlineStr">
        <is>
          <t>Metrica</t>
        </is>
      </c>
    </row>
    <row r="713" hidden="1">
      <c r="A713" s="5" t="n">
        <v>272</v>
      </c>
      <c r="B713" s="5" t="inlineStr">
        <is>
          <t>Proporción de accidentes de trabajo mortales</t>
        </is>
      </c>
      <c r="C713" s="5" t="inlineStr">
        <is>
          <t>GESTIÓN DE SEGURIDAD Y SALUD EN EL TRABAJO</t>
        </is>
      </c>
      <c r="D713" s="5" t="inlineStr">
        <is>
          <t>Anual</t>
        </is>
      </c>
      <c r="E713" s="5" t="inlineStr">
        <is>
          <t>Negativo</t>
        </is>
      </c>
      <c r="F713" s="109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0</v>
      </c>
      <c r="K713" s="5" t="n">
        <v>0</v>
      </c>
      <c r="L713" s="14" t="n">
        <v>1</v>
      </c>
      <c r="M713" s="14" t="n">
        <v>1</v>
      </c>
      <c r="N713" s="5" t="n"/>
      <c r="O713" s="5" t="n"/>
      <c r="P713" s="5" t="n">
        <v>0</v>
      </c>
      <c r="Q713" s="5" t="n">
        <v>0</v>
      </c>
      <c r="R713" s="5" t="inlineStr">
        <is>
          <t>272-2023-12-31</t>
        </is>
      </c>
    </row>
    <row r="714" hidden="1">
      <c r="A714" s="28" t="n">
        <v>272</v>
      </c>
      <c r="B714" s="5" t="inlineStr">
        <is>
          <t>Proporción de accidentes de trabajo mortales</t>
        </is>
      </c>
      <c r="C714" s="5" t="inlineStr">
        <is>
          <t>GESTIÓN DE SEGURIDAD Y SALUD EN EL TRABAJO</t>
        </is>
      </c>
      <c r="D714" s="5" t="inlineStr">
        <is>
          <t>Anual</t>
        </is>
      </c>
      <c r="E714" s="5" t="inlineStr">
        <is>
          <t>Negativo</t>
        </is>
      </c>
      <c r="F714" s="109" t="n">
        <v>45657</v>
      </c>
      <c r="G714" s="5" t="n">
        <v>2024</v>
      </c>
      <c r="H714" s="5" t="inlineStr">
        <is>
          <t>Diciembre</t>
        </is>
      </c>
      <c r="I714" s="6" t="inlineStr">
        <is>
          <t>2024-2</t>
        </is>
      </c>
      <c r="J714" s="5" t="n">
        <v>0</v>
      </c>
      <c r="K714" s="5" t="n">
        <v>0</v>
      </c>
      <c r="L714" s="74" t="n">
        <v>1</v>
      </c>
      <c r="M714" s="14" t="n">
        <v>1</v>
      </c>
      <c r="N714" s="5" t="n"/>
      <c r="O714" s="5" t="n"/>
      <c r="P714" s="5" t="n">
        <v>0</v>
      </c>
      <c r="Q714" s="5" t="n">
        <v>0</v>
      </c>
      <c r="R714" s="5" t="inlineStr">
        <is>
          <t>272-2024-12-31</t>
        </is>
      </c>
    </row>
    <row r="715" hidden="1">
      <c r="A715" s="26" t="n">
        <v>272</v>
      </c>
      <c r="B715" s="5" t="inlineStr">
        <is>
          <t>Proporción de accidentes de trabajo mortales</t>
        </is>
      </c>
      <c r="C715" s="5" t="inlineStr">
        <is>
          <t>GESTIÓN DE SEGURIDAD Y SALUD EN EL TRABAJO</t>
        </is>
      </c>
      <c r="D715" s="5" t="inlineStr">
        <is>
          <t>Anual</t>
        </is>
      </c>
      <c r="E715" s="5" t="inlineStr">
        <is>
          <t>Negativo</t>
        </is>
      </c>
      <c r="F715" s="109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0</v>
      </c>
      <c r="K715" s="5" t="n">
        <v>0</v>
      </c>
      <c r="L715" s="74" t="n">
        <v>1</v>
      </c>
      <c r="M715" s="14" t="n">
        <v>1</v>
      </c>
      <c r="N715" s="5" t="n">
        <v>0</v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272-2025-12-31</t>
        </is>
      </c>
    </row>
    <row r="716" hidden="1">
      <c r="A716" s="5" t="n">
        <v>273</v>
      </c>
      <c r="B716" s="5" t="inlineStr">
        <is>
          <t>Número de programas con condiciones iniciales elaboradas y analizadas institucionalmente</t>
        </is>
      </c>
      <c r="C716" s="5" t="inlineStr">
        <is>
          <t>Autoevaluación de programas académicos</t>
        </is>
      </c>
      <c r="D716" s="5" t="inlineStr">
        <is>
          <t>Semestral</t>
        </is>
      </c>
      <c r="E716" s="5" t="inlineStr">
        <is>
          <t>Positivo</t>
        </is>
      </c>
      <c r="F716" s="109" t="n">
        <v>45107</v>
      </c>
      <c r="G716" s="5" t="n">
        <v>2023</v>
      </c>
      <c r="H716" s="5" t="inlineStr">
        <is>
          <t>Junio</t>
        </is>
      </c>
      <c r="I716" s="6" t="inlineStr">
        <is>
          <t>2023-1</t>
        </is>
      </c>
      <c r="J716" s="5" t="n">
        <v>100</v>
      </c>
      <c r="K716" s="5" t="n">
        <v>100</v>
      </c>
      <c r="L716" s="14" t="n">
        <v>1</v>
      </c>
      <c r="M716" s="14" t="n">
        <v>1</v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273-2023-06-30</t>
        </is>
      </c>
    </row>
    <row r="717" hidden="1">
      <c r="A717" s="5" t="n">
        <v>273</v>
      </c>
      <c r="B717" s="5" t="inlineStr">
        <is>
          <t>Número de programas con condiciones iniciales elaboradas y analizadas institucionalmente</t>
        </is>
      </c>
      <c r="C717" s="5" t="inlineStr">
        <is>
          <t>Autoevaluación de programas académicos</t>
        </is>
      </c>
      <c r="D717" s="5" t="inlineStr">
        <is>
          <t>Semestral</t>
        </is>
      </c>
      <c r="E717" s="5" t="inlineStr">
        <is>
          <t>Positivo</t>
        </is>
      </c>
      <c r="F717" s="109" t="n">
        <v>45291</v>
      </c>
      <c r="G717" s="5" t="n">
        <v>2023</v>
      </c>
      <c r="H717" s="5" t="inlineStr">
        <is>
          <t>Diciembre</t>
        </is>
      </c>
      <c r="I717" s="6" t="inlineStr">
        <is>
          <t>2023-2</t>
        </is>
      </c>
      <c r="J717" s="5" t="n">
        <v>100</v>
      </c>
      <c r="K717" s="5" t="n">
        <v>100</v>
      </c>
      <c r="L717" s="14" t="n">
        <v>1</v>
      </c>
      <c r="M717" s="14" t="n">
        <v>1</v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273-2023-12-31</t>
        </is>
      </c>
    </row>
    <row r="718" hidden="1">
      <c r="A718" s="26" t="n">
        <v>273</v>
      </c>
      <c r="B718" s="5" t="inlineStr">
        <is>
          <t>Número de programas con condiciones iniciales elaboradas y analizadas institucionalmente</t>
        </is>
      </c>
      <c r="C718" s="5" t="inlineStr">
        <is>
          <t>Autoevaluación de programas académicos</t>
        </is>
      </c>
      <c r="D718" s="5" t="inlineStr">
        <is>
          <t>Semestral</t>
        </is>
      </c>
      <c r="E718" s="5" t="inlineStr">
        <is>
          <t>Positivo</t>
        </is>
      </c>
      <c r="F718" s="109" t="n">
        <v>45473</v>
      </c>
      <c r="G718" s="5" t="n">
        <v>2024</v>
      </c>
      <c r="H718" s="5" t="inlineStr">
        <is>
          <t>Junio</t>
        </is>
      </c>
      <c r="I718" s="6" t="inlineStr">
        <is>
          <t>2024-1</t>
        </is>
      </c>
      <c r="J718" s="5" t="n">
        <v>100</v>
      </c>
      <c r="K718" s="5" t="n">
        <v>100</v>
      </c>
      <c r="L718" s="74" t="n">
        <v>1</v>
      </c>
      <c r="M718" s="14" t="n">
        <v>1</v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273-2024-06-30</t>
        </is>
      </c>
    </row>
    <row r="719" hidden="1">
      <c r="A719" s="5" t="n">
        <v>273</v>
      </c>
      <c r="B719" s="5" t="inlineStr">
        <is>
          <t>Número de programas con condiciones iniciales elaboradas y analizadas institucionalmente</t>
        </is>
      </c>
      <c r="C719" s="5" t="inlineStr">
        <is>
          <t>Autoevaluación de programas académicos</t>
        </is>
      </c>
      <c r="D719" s="5" t="inlineStr">
        <is>
          <t>Semestral</t>
        </is>
      </c>
      <c r="E719" s="5" t="inlineStr">
        <is>
          <t>Positivo</t>
        </is>
      </c>
      <c r="F719" s="109" t="n">
        <v>45657</v>
      </c>
      <c r="G719" s="5" t="n">
        <v>2024</v>
      </c>
      <c r="H719" s="5" t="inlineStr">
        <is>
          <t>Diciembre</t>
        </is>
      </c>
      <c r="I719" s="6" t="inlineStr">
        <is>
          <t>2024-2</t>
        </is>
      </c>
      <c r="J719" s="5" t="n">
        <v>100</v>
      </c>
      <c r="K719" s="5" t="n">
        <v>100</v>
      </c>
      <c r="L719" s="14" t="n">
        <v>1</v>
      </c>
      <c r="M719" s="14" t="n">
        <v>1</v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273-2024-12-31</t>
        </is>
      </c>
    </row>
    <row r="720" hidden="1">
      <c r="A720" s="28" t="n">
        <v>273</v>
      </c>
      <c r="B720" s="5" t="inlineStr">
        <is>
          <t>Número de programas con condiciones iniciales elaboradas y analizadas institucionalmente</t>
        </is>
      </c>
      <c r="C720" s="5" t="inlineStr">
        <is>
          <t>Autoevaluación de programas académicos</t>
        </is>
      </c>
      <c r="D720" s="5" t="inlineStr">
        <is>
          <t>Semestral</t>
        </is>
      </c>
      <c r="E720" s="5" t="inlineStr">
        <is>
          <t>Positivo</t>
        </is>
      </c>
      <c r="F720" s="109" t="n">
        <v>45838</v>
      </c>
      <c r="G720" s="5" t="n">
        <v>2025</v>
      </c>
      <c r="H720" s="5" t="inlineStr">
        <is>
          <t>Junio</t>
        </is>
      </c>
      <c r="I720" s="6" t="inlineStr">
        <is>
          <t>2025-1</t>
        </is>
      </c>
      <c r="J720" s="5" t="n">
        <v>100</v>
      </c>
      <c r="K720" s="5" t="n">
        <v>150</v>
      </c>
      <c r="L720" s="14" t="n">
        <v>1.3</v>
      </c>
      <c r="M720" s="14" t="n">
        <v>1.5</v>
      </c>
      <c r="N720" s="5" t="inlineStr">
        <is>
          <t>ENT</t>
        </is>
      </c>
      <c r="O720" s="5" t="inlineStr">
        <is>
          <t>ENT</t>
        </is>
      </c>
      <c r="P720" s="5" t="n">
        <v>0</v>
      </c>
      <c r="Q720" s="5" t="n">
        <v>0</v>
      </c>
      <c r="R720" s="5" t="inlineStr">
        <is>
          <t>273-2025-06-30</t>
        </is>
      </c>
    </row>
    <row r="721" hidden="1">
      <c r="A721" s="26" t="n">
        <v>273</v>
      </c>
      <c r="B721" s="5" t="inlineStr">
        <is>
          <t>Número de programas con condiciones iniciales elaboradas y analizadas institucionalmente</t>
        </is>
      </c>
      <c r="C721" s="5" t="inlineStr">
        <is>
          <t>Autoevaluación de programas académicos</t>
        </is>
      </c>
      <c r="D721" s="5" t="inlineStr">
        <is>
          <t>Trimestral</t>
        </is>
      </c>
      <c r="E721" s="5" t="inlineStr">
        <is>
          <t>Positivo</t>
        </is>
      </c>
      <c r="F721" s="109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100</v>
      </c>
      <c r="K721" s="5" t="n">
        <v>100</v>
      </c>
      <c r="L721" s="14" t="n">
        <v>1</v>
      </c>
      <c r="M721" s="14" t="n">
        <v>1</v>
      </c>
      <c r="N721" s="5" t="inlineStr">
        <is>
          <t>ENT</t>
        </is>
      </c>
      <c r="O721" s="5" t="inlineStr">
        <is>
          <t>ENT</t>
        </is>
      </c>
      <c r="P721" s="5" t="n">
        <v>0</v>
      </c>
      <c r="Q721" s="5" t="n">
        <v>0</v>
      </c>
      <c r="R721" s="5" t="inlineStr">
        <is>
          <t>273-2025-12-31</t>
        </is>
      </c>
    </row>
    <row r="722" hidden="1">
      <c r="A722" s="26" t="n">
        <v>274</v>
      </c>
      <c r="B722" s="5" t="inlineStr">
        <is>
          <t>Cumplimiento total estudiantes antiguos</t>
        </is>
      </c>
      <c r="C722" s="5" t="inlineStr">
        <is>
          <t>Rematrícula</t>
        </is>
      </c>
      <c r="D722" s="5" t="inlineStr">
        <is>
          <t>Semestral</t>
        </is>
      </c>
      <c r="E722" s="5" t="inlineStr">
        <is>
          <t>Positivo</t>
        </is>
      </c>
      <c r="F722" s="109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5" t="n">
        <v>97.85502035108701</v>
      </c>
      <c r="L722" s="14" t="n">
        <v>0.9785502035108701</v>
      </c>
      <c r="M722" s="14" t="n">
        <v>0.9785502035108701</v>
      </c>
      <c r="N722" s="5" t="inlineStr">
        <is>
          <t>ENT</t>
        </is>
      </c>
      <c r="O722" s="5" t="inlineStr">
        <is>
          <t>ENT</t>
        </is>
      </c>
      <c r="P722" s="5" t="n">
        <v>0</v>
      </c>
      <c r="Q722" s="5" t="n">
        <v>0</v>
      </c>
      <c r="R722" s="5" t="inlineStr">
        <is>
          <t>274-2023-06-30</t>
        </is>
      </c>
    </row>
    <row r="723" hidden="1">
      <c r="A723" s="5" t="n">
        <v>274</v>
      </c>
      <c r="B723" s="5" t="inlineStr">
        <is>
          <t>Cumplimiento total estudiantes antiguos</t>
        </is>
      </c>
      <c r="C723" s="5" t="inlineStr">
        <is>
          <t>Rematrícula</t>
        </is>
      </c>
      <c r="D723" s="5" t="inlineStr">
        <is>
          <t>Semestral</t>
        </is>
      </c>
      <c r="E723" s="5" t="inlineStr">
        <is>
          <t>Positivo</t>
        </is>
      </c>
      <c r="F723" s="109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5" t="n">
        <v>97.50550081316401</v>
      </c>
      <c r="L723" s="14" t="n">
        <v>0.97505500813164</v>
      </c>
      <c r="M723" s="14" t="n">
        <v>0.97505500813164</v>
      </c>
      <c r="N723" s="5" t="inlineStr">
        <is>
          <t>ENT</t>
        </is>
      </c>
      <c r="O723" s="5" t="inlineStr">
        <is>
          <t>ENT</t>
        </is>
      </c>
      <c r="P723" s="5" t="n">
        <v>0</v>
      </c>
      <c r="Q723" s="5" t="n">
        <v>0</v>
      </c>
      <c r="R723" s="5" t="inlineStr">
        <is>
          <t>274-2023-12-31</t>
        </is>
      </c>
    </row>
    <row r="724" hidden="1">
      <c r="A724" s="26" t="n">
        <v>274</v>
      </c>
      <c r="B724" s="5" t="inlineStr">
        <is>
          <t>Cumplimiento total estudiantes antiguos</t>
        </is>
      </c>
      <c r="C724" s="5" t="inlineStr">
        <is>
          <t>Rematrícula</t>
        </is>
      </c>
      <c r="D724" s="5" t="inlineStr">
        <is>
          <t>Semestral</t>
        </is>
      </c>
      <c r="E724" s="5" t="inlineStr">
        <is>
          <t>Positivo</t>
        </is>
      </c>
      <c r="F724" s="109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5" t="n">
        <v>102.33930181631</v>
      </c>
      <c r="L724" s="74" t="n">
        <v>1.0233930181631</v>
      </c>
      <c r="M724" s="14" t="n">
        <v>1.0233930181631</v>
      </c>
      <c r="N724" s="5" t="inlineStr">
        <is>
          <t>ENT</t>
        </is>
      </c>
      <c r="O724" s="5" t="inlineStr">
        <is>
          <t>ENT</t>
        </is>
      </c>
      <c r="P724" s="5" t="n">
        <v>0</v>
      </c>
      <c r="Q724" s="5" t="n">
        <v>0</v>
      </c>
      <c r="R724" s="5" t="inlineStr">
        <is>
          <t>274-2024-06-30</t>
        </is>
      </c>
    </row>
    <row r="725" hidden="1">
      <c r="A725" s="5" t="n">
        <v>274</v>
      </c>
      <c r="B725" s="5" t="inlineStr">
        <is>
          <t>Cumplimiento total estudiantes antiguos</t>
        </is>
      </c>
      <c r="C725" s="5" t="inlineStr">
        <is>
          <t>Rematrícula</t>
        </is>
      </c>
      <c r="D725" s="5" t="inlineStr">
        <is>
          <t>Semestral</t>
        </is>
      </c>
      <c r="E725" s="5" t="inlineStr">
        <is>
          <t>Positivo</t>
        </is>
      </c>
      <c r="F725" s="109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5" t="n">
        <v>101.6087500306545</v>
      </c>
      <c r="L725" s="14" t="n">
        <v>1.016087500306545</v>
      </c>
      <c r="M725" s="14" t="n">
        <v>1.016087500306545</v>
      </c>
      <c r="N725" s="5" t="inlineStr">
        <is>
          <t>ENT</t>
        </is>
      </c>
      <c r="O725" s="5" t="inlineStr">
        <is>
          <t>ENT</t>
        </is>
      </c>
      <c r="P725" s="5" t="n">
        <v>0</v>
      </c>
      <c r="Q725" s="5" t="n">
        <v>0</v>
      </c>
      <c r="R725" s="5" t="inlineStr">
        <is>
          <t>274-2024-12-31</t>
        </is>
      </c>
    </row>
    <row r="726" hidden="1">
      <c r="A726" s="5" t="n">
        <v>274</v>
      </c>
      <c r="B726" s="5" t="inlineStr">
        <is>
          <t>Cumplimiento total estudiantes antiguos</t>
        </is>
      </c>
      <c r="C726" s="5" t="inlineStr">
        <is>
          <t>Rematrícula</t>
        </is>
      </c>
      <c r="D726" s="5" t="inlineStr">
        <is>
          <t>Semestral</t>
        </is>
      </c>
      <c r="E726" s="5" t="inlineStr">
        <is>
          <t>Positivo</t>
        </is>
      </c>
      <c r="F726" s="109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5" t="n">
        <v>100</v>
      </c>
      <c r="K726" s="5" t="n">
        <v>105.8</v>
      </c>
      <c r="L726" s="14" t="n">
        <v>1.058</v>
      </c>
      <c r="M726" s="14" t="n">
        <v>1.058</v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 t="inlineStr">
        <is>
          <t>274-2025-06-30</t>
        </is>
      </c>
    </row>
    <row r="727" hidden="1">
      <c r="A727" s="28" t="n">
        <v>274</v>
      </c>
      <c r="B727" s="5" t="inlineStr">
        <is>
          <t>Cumplimiento total estudiantes antiguos</t>
        </is>
      </c>
      <c r="C727" s="5" t="inlineStr">
        <is>
          <t>Rematrícula</t>
        </is>
      </c>
      <c r="D727" s="5" t="inlineStr">
        <is>
          <t>Semestral</t>
        </is>
      </c>
      <c r="E727" s="5" t="inlineStr">
        <is>
          <t>Positivo</t>
        </is>
      </c>
      <c r="F727" s="109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5" t="n">
        <v>100</v>
      </c>
      <c r="K727" s="5" t="n">
        <v>102.03</v>
      </c>
      <c r="L727" s="74" t="n">
        <v>1.0203</v>
      </c>
      <c r="M727" s="14" t="n">
        <v>1.0203</v>
      </c>
      <c r="N727" s="5" t="inlineStr">
        <is>
          <t>ENT</t>
        </is>
      </c>
      <c r="O727" s="5" t="inlineStr">
        <is>
          <t>ENT</t>
        </is>
      </c>
      <c r="P727" s="5" t="n">
        <v>0</v>
      </c>
      <c r="Q727" s="5" t="n">
        <v>0</v>
      </c>
      <c r="R727" s="5" t="inlineStr">
        <is>
          <t>274-2025-12-31</t>
        </is>
      </c>
    </row>
    <row r="728" hidden="1">
      <c r="A728" s="26" t="n">
        <v>275</v>
      </c>
      <c r="B728" s="5" t="inlineStr">
        <is>
          <t>Satisfacción Institucional por grupo de interes</t>
        </is>
      </c>
      <c r="C728" s="5" t="inlineStr">
        <is>
          <t>EXPERIENCIA INSTITUCIONAL</t>
        </is>
      </c>
      <c r="D728" s="5" t="inlineStr">
        <is>
          <t>Anual</t>
        </is>
      </c>
      <c r="E728" s="5" t="inlineStr">
        <is>
          <t>Positivo</t>
        </is>
      </c>
      <c r="F728" s="109" t="n">
        <v>45291</v>
      </c>
      <c r="G728" s="5" t="n">
        <v>2023</v>
      </c>
      <c r="H728" s="5" t="inlineStr">
        <is>
          <t>Diciembre</t>
        </is>
      </c>
      <c r="I728" s="6" t="inlineStr">
        <is>
          <t>2023-2</t>
        </is>
      </c>
      <c r="J728" s="5" t="n">
        <v>80</v>
      </c>
      <c r="K728" s="5" t="n">
        <v>0</v>
      </c>
      <c r="L728" s="74" t="n">
        <v>0</v>
      </c>
      <c r="M728" s="14" t="n">
        <v>0</v>
      </c>
      <c r="N728" s="5" t="inlineStr">
        <is>
          <t>%</t>
        </is>
      </c>
      <c r="O728" s="5" t="inlineStr">
        <is>
          <t>%</t>
        </is>
      </c>
      <c r="P728" s="5" t="n">
        <v>0</v>
      </c>
      <c r="Q728" s="5" t="n">
        <v>0</v>
      </c>
      <c r="R728" s="5" t="inlineStr">
        <is>
          <t>275-2023-12-31</t>
        </is>
      </c>
    </row>
    <row r="729" hidden="1">
      <c r="A729" s="5" t="n">
        <v>275</v>
      </c>
      <c r="B729" s="5" t="inlineStr">
        <is>
          <t>Satisfacción Institucional por grupo de interes</t>
        </is>
      </c>
      <c r="C729" s="5" t="inlineStr">
        <is>
          <t>EXPERIENCIA INSTITUCIONAL</t>
        </is>
      </c>
      <c r="D729" s="5" t="inlineStr">
        <is>
          <t>Semestral</t>
        </is>
      </c>
      <c r="E729" s="5" t="inlineStr">
        <is>
          <t>Positivo</t>
        </is>
      </c>
      <c r="F729" s="109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80</v>
      </c>
      <c r="K729" s="5" t="n">
        <v>103.75</v>
      </c>
      <c r="L729" s="14" t="n">
        <v>1.296875</v>
      </c>
      <c r="M729" s="14" t="n">
        <v>1.296875</v>
      </c>
      <c r="N729" s="5" t="inlineStr">
        <is>
          <t>%</t>
        </is>
      </c>
      <c r="O729" s="5" t="inlineStr">
        <is>
          <t>%</t>
        </is>
      </c>
      <c r="P729" s="5" t="n">
        <v>0</v>
      </c>
      <c r="Q729" s="5" t="n">
        <v>0</v>
      </c>
      <c r="R729" s="5" t="inlineStr">
        <is>
          <t>275-2024-06-30</t>
        </is>
      </c>
    </row>
    <row r="730" hidden="1">
      <c r="A730" s="5" t="n">
        <v>275</v>
      </c>
      <c r="B730" s="5" t="inlineStr">
        <is>
          <t>Satisfacción Institucional por grupo de interes</t>
        </is>
      </c>
      <c r="C730" s="5" t="inlineStr">
        <is>
          <t>EXPERIENCIA INSTITUCIONAL</t>
        </is>
      </c>
      <c r="D730" s="5" t="inlineStr">
        <is>
          <t>Semestral</t>
        </is>
      </c>
      <c r="E730" s="5" t="inlineStr">
        <is>
          <t>Positivo</t>
        </is>
      </c>
      <c r="F730" s="109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80</v>
      </c>
      <c r="K730" s="5" t="n">
        <v>109.58</v>
      </c>
      <c r="L730" s="14" t="n">
        <v>1.3</v>
      </c>
      <c r="M730" s="14" t="n">
        <v>1.36975</v>
      </c>
      <c r="N730" s="5" t="inlineStr">
        <is>
          <t>%</t>
        </is>
      </c>
      <c r="O730" s="5" t="inlineStr">
        <is>
          <t>%</t>
        </is>
      </c>
      <c r="P730" s="5" t="n">
        <v>0</v>
      </c>
      <c r="Q730" s="5" t="n">
        <v>0</v>
      </c>
      <c r="R730" s="5" t="inlineStr">
        <is>
          <t>275-2024-12-31</t>
        </is>
      </c>
    </row>
    <row r="731" hidden="1">
      <c r="A731" s="5" t="n">
        <v>275</v>
      </c>
      <c r="B731" s="5" t="inlineStr">
        <is>
          <t>Satisfacción Institucional por grupo de interes</t>
        </is>
      </c>
      <c r="C731" s="5" t="inlineStr">
        <is>
          <t>EXPERIENCIA INSTITUCIONAL</t>
        </is>
      </c>
      <c r="D731" s="5" t="inlineStr">
        <is>
          <t>Trimestral</t>
        </is>
      </c>
      <c r="E731" s="5" t="inlineStr">
        <is>
          <t>Positivo</t>
        </is>
      </c>
      <c r="F731" s="108" t="n">
        <v>45838</v>
      </c>
      <c r="G731" s="15" t="n">
        <v>2025</v>
      </c>
      <c r="H731" s="6" t="inlineStr">
        <is>
          <t>Junio</t>
        </is>
      </c>
      <c r="I731" s="27" t="inlineStr">
        <is>
          <t>2025-1</t>
        </is>
      </c>
      <c r="J731" s="5" t="n">
        <v>80</v>
      </c>
      <c r="K731" s="5" t="n">
        <v>90</v>
      </c>
      <c r="L731" s="14" t="n">
        <v>1.125</v>
      </c>
      <c r="M731" s="14" t="n">
        <v>1.125</v>
      </c>
      <c r="N731" s="5" t="inlineStr">
        <is>
          <t>%</t>
        </is>
      </c>
      <c r="O731" s="5" t="inlineStr">
        <is>
          <t>%</t>
        </is>
      </c>
      <c r="P731" s="5" t="n">
        <v>0</v>
      </c>
      <c r="Q731" s="5" t="n">
        <v>0</v>
      </c>
      <c r="R731" s="5" t="inlineStr">
        <is>
          <t>275-2025-06-30</t>
        </is>
      </c>
    </row>
    <row r="732" hidden="1">
      <c r="A732" s="26" t="n">
        <v>275</v>
      </c>
      <c r="B732" s="5" t="inlineStr">
        <is>
          <t>Satisfacción Institucional por grupo de interes</t>
        </is>
      </c>
      <c r="C732" s="5" t="inlineStr">
        <is>
          <t>EXPERIENCIA INSTITUCIONAL</t>
        </is>
      </c>
      <c r="D732" s="5" t="inlineStr">
        <is>
          <t>Trimestral</t>
        </is>
      </c>
      <c r="E732" s="5" t="inlineStr">
        <is>
          <t>Positivo</t>
        </is>
      </c>
      <c r="F732" s="109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5" t="n">
        <v>80</v>
      </c>
      <c r="K732" s="5" t="n">
        <v>91.67</v>
      </c>
      <c r="L732" s="14" t="n">
        <v>1.145875</v>
      </c>
      <c r="M732" s="14" t="n">
        <v>1.145875</v>
      </c>
      <c r="N732" s="5" t="inlineStr">
        <is>
          <t>%</t>
        </is>
      </c>
      <c r="O732" s="5" t="inlineStr">
        <is>
          <t>%</t>
        </is>
      </c>
      <c r="P732" s="5" t="n">
        <v>0</v>
      </c>
      <c r="Q732" s="5" t="n">
        <v>0</v>
      </c>
      <c r="R732" s="5" t="inlineStr">
        <is>
          <t>275-2025-12-31</t>
        </is>
      </c>
    </row>
    <row r="733" hidden="1">
      <c r="A733" s="5" t="n">
        <v>276</v>
      </c>
      <c r="B733" s="5" t="inlineStr">
        <is>
          <t>Relación Estudiante-Docente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109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85</v>
      </c>
      <c r="K733" s="10" t="n">
        <v>89.98999999999999</v>
      </c>
      <c r="L733" s="14" t="n">
        <v>0.944549394377153</v>
      </c>
      <c r="M733" s="14" t="n">
        <v>0.944549394377153</v>
      </c>
      <c r="N733" s="5" t="n"/>
      <c r="O733" s="5" t="n"/>
      <c r="P733" s="5" t="n">
        <v>0</v>
      </c>
      <c r="Q733" s="5" t="n">
        <v>1</v>
      </c>
      <c r="R733" s="5" t="inlineStr">
        <is>
          <t>276-2023-06-30</t>
        </is>
      </c>
    </row>
    <row r="734" hidden="1">
      <c r="A734" s="5" t="n">
        <v>276</v>
      </c>
      <c r="B734" s="5" t="inlineStr">
        <is>
          <t>Relación Estudiante-Docente Tiempo completo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Negativo</t>
        </is>
      </c>
      <c r="F734" s="109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85</v>
      </c>
      <c r="K734" s="10" t="n">
        <v>84.5</v>
      </c>
      <c r="L734" s="14" t="n">
        <v>1.005917159763314</v>
      </c>
      <c r="M734" s="14" t="n">
        <v>1.005917159763314</v>
      </c>
      <c r="N734" s="5" t="n"/>
      <c r="O734" s="5" t="n"/>
      <c r="P734" s="5" t="n">
        <v>0</v>
      </c>
      <c r="Q734" s="5" t="n">
        <v>1</v>
      </c>
      <c r="R734" s="5" t="inlineStr">
        <is>
          <t>276-2023-12-31</t>
        </is>
      </c>
    </row>
    <row r="735" hidden="1">
      <c r="A735" s="26" t="n">
        <v>276</v>
      </c>
      <c r="B735" s="5" t="inlineStr">
        <is>
          <t>Relación Estudiante-Docente Tiempo completo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Negativo</t>
        </is>
      </c>
      <c r="F735" s="109" t="n">
        <v>45473</v>
      </c>
      <c r="G735" s="5" t="n">
        <v>2024</v>
      </c>
      <c r="H735" s="5" t="inlineStr">
        <is>
          <t>Junio</t>
        </is>
      </c>
      <c r="I735" s="6" t="inlineStr">
        <is>
          <t>2024-1</t>
        </is>
      </c>
      <c r="J735" s="5" t="n">
        <v>75</v>
      </c>
      <c r="K735" s="5" t="n">
        <v>83.65000000000001</v>
      </c>
      <c r="L735" s="74" t="n">
        <v>0.8965929468021517</v>
      </c>
      <c r="M735" s="14" t="n">
        <v>0.8965929468021517</v>
      </c>
      <c r="N735" s="5" t="n"/>
      <c r="O735" s="5" t="n"/>
      <c r="P735" s="5" t="n">
        <v>0</v>
      </c>
      <c r="Q735" s="5" t="n">
        <v>1</v>
      </c>
      <c r="R735" s="5" t="inlineStr">
        <is>
          <t>276-2024-06-30</t>
        </is>
      </c>
    </row>
    <row r="736" hidden="1">
      <c r="A736" s="26" t="n">
        <v>276</v>
      </c>
      <c r="B736" s="5" t="inlineStr">
        <is>
          <t>Relación Estudiante-Docente Tiempo completo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Negativo</t>
        </is>
      </c>
      <c r="F736" s="109" t="n">
        <v>45657</v>
      </c>
      <c r="G736" s="5" t="n">
        <v>2024</v>
      </c>
      <c r="H736" s="5" t="inlineStr">
        <is>
          <t>Diciembre</t>
        </is>
      </c>
      <c r="I736" s="6" t="inlineStr">
        <is>
          <t>2024-2</t>
        </is>
      </c>
      <c r="J736" s="5" t="n">
        <v>75</v>
      </c>
      <c r="K736" s="5" t="n">
        <v>82.68000000000001</v>
      </c>
      <c r="L736" s="74" t="n">
        <v>0.9071117561683598</v>
      </c>
      <c r="M736" s="14" t="n">
        <v>0.9071117561683598</v>
      </c>
      <c r="N736" s="5" t="n"/>
      <c r="O736" s="5" t="n"/>
      <c r="P736" s="5" t="n">
        <v>0</v>
      </c>
      <c r="Q736" s="5" t="n">
        <v>1</v>
      </c>
      <c r="R736" s="5" t="inlineStr">
        <is>
          <t>276-2024-12-31</t>
        </is>
      </c>
    </row>
    <row r="737" hidden="1">
      <c r="A737" s="5" t="n">
        <v>276</v>
      </c>
      <c r="B737" s="5" t="inlineStr">
        <is>
          <t>Relación Estudiante-Docente Tiempo completo</t>
        </is>
      </c>
      <c r="C737" s="5" t="inlineStr">
        <is>
          <t>Gestión Docente</t>
        </is>
      </c>
      <c r="D737" s="5" t="inlineStr">
        <is>
          <t>Trimestral</t>
        </is>
      </c>
      <c r="E737" s="5" t="inlineStr">
        <is>
          <t>Negativo</t>
        </is>
      </c>
      <c r="F737" s="109" t="n">
        <v>45838</v>
      </c>
      <c r="G737" s="5" t="n">
        <v>2025</v>
      </c>
      <c r="H737" s="5" t="inlineStr">
        <is>
          <t>Junio</t>
        </is>
      </c>
      <c r="I737" s="6" t="inlineStr">
        <is>
          <t>2025-1</t>
        </is>
      </c>
      <c r="J737" s="5" t="n">
        <v>81</v>
      </c>
      <c r="K737" s="5" t="n">
        <v>84.18000000000001</v>
      </c>
      <c r="L737" s="14" t="n">
        <v>0.9622238061297219</v>
      </c>
      <c r="M737" s="14" t="n">
        <v>0.9622238061297219</v>
      </c>
      <c r="N737" s="5" t="inlineStr">
        <is>
          <t>ENT</t>
        </is>
      </c>
      <c r="O737" s="5" t="inlineStr">
        <is>
          <t>DEC</t>
        </is>
      </c>
      <c r="P737" s="5" t="n">
        <v>0</v>
      </c>
      <c r="Q737" s="5" t="n">
        <v>1</v>
      </c>
      <c r="R737" s="5" t="inlineStr">
        <is>
          <t>276-2025-06-30</t>
        </is>
      </c>
    </row>
    <row r="738" hidden="1">
      <c r="A738" s="26" t="n">
        <v>276</v>
      </c>
      <c r="B738" s="5" t="inlineStr">
        <is>
          <t>Relación Estudiante-Docente Tiempo completo</t>
        </is>
      </c>
      <c r="C738" s="5" t="inlineStr">
        <is>
          <t>Gestión Docente</t>
        </is>
      </c>
      <c r="D738" s="5" t="inlineStr">
        <is>
          <t>Trimestral</t>
        </is>
      </c>
      <c r="E738" s="5" t="inlineStr">
        <is>
          <t>Negativo</t>
        </is>
      </c>
      <c r="F738" s="109" t="n">
        <v>46022</v>
      </c>
      <c r="G738" s="5" t="n">
        <v>2025</v>
      </c>
      <c r="H738" s="5" t="inlineStr">
        <is>
          <t>Diciembre</t>
        </is>
      </c>
      <c r="I738" s="6" t="inlineStr">
        <is>
          <t>2025-2</t>
        </is>
      </c>
      <c r="J738" s="5" t="n">
        <v>81</v>
      </c>
      <c r="K738" s="5" t="n">
        <v>82.81</v>
      </c>
      <c r="L738" s="74" t="n">
        <v>0.9781427363844946</v>
      </c>
      <c r="M738" s="14" t="n">
        <v>0.9781427363844946</v>
      </c>
      <c r="N738" s="5" t="inlineStr">
        <is>
          <t>ENT</t>
        </is>
      </c>
      <c r="O738" s="5" t="inlineStr">
        <is>
          <t>DEC</t>
        </is>
      </c>
      <c r="P738" s="5" t="n">
        <v>0</v>
      </c>
      <c r="Q738" s="5" t="n">
        <v>1</v>
      </c>
      <c r="R738" s="5" t="inlineStr">
        <is>
          <t>276-2025-12-31</t>
        </is>
      </c>
    </row>
    <row r="739" hidden="1">
      <c r="A739" s="26" t="n">
        <v>277</v>
      </c>
      <c r="B739" s="5" t="inlineStr">
        <is>
          <t>Relación estudiante docente Tiempo Completo Equivalente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Negativo</t>
        </is>
      </c>
      <c r="F739" s="109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85</v>
      </c>
      <c r="K739" s="5" t="n">
        <v>76.48</v>
      </c>
      <c r="L739" s="74" t="n">
        <v>1.111401673640167</v>
      </c>
      <c r="M739" s="14" t="n">
        <v>1.111401673640167</v>
      </c>
      <c r="N739" s="5" t="n"/>
      <c r="O739" s="5" t="n"/>
      <c r="P739" s="5" t="n">
        <v>0</v>
      </c>
      <c r="Q739" s="5" t="n">
        <v>1</v>
      </c>
      <c r="R739" s="5" t="inlineStr">
        <is>
          <t>277-2023-06-30</t>
        </is>
      </c>
    </row>
    <row r="740" hidden="1">
      <c r="A740" s="26" t="n">
        <v>277</v>
      </c>
      <c r="B740" s="5" t="inlineStr">
        <is>
          <t>Relación estudiante docente Tiempo Completo Equivalente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Negativo</t>
        </is>
      </c>
      <c r="F740" s="109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85</v>
      </c>
      <c r="K740" s="5" t="n">
        <v>73.29000000000001</v>
      </c>
      <c r="L740" s="74" t="n">
        <v>1.159776231409469</v>
      </c>
      <c r="M740" s="14" t="n">
        <v>1.159776231409469</v>
      </c>
      <c r="N740" s="5" t="n"/>
      <c r="O740" s="5" t="n"/>
      <c r="P740" s="5" t="n">
        <v>0</v>
      </c>
      <c r="Q740" s="5" t="n">
        <v>1</v>
      </c>
      <c r="R740" s="5" t="inlineStr">
        <is>
          <t>277-2023-12-31</t>
        </is>
      </c>
    </row>
    <row r="741" hidden="1">
      <c r="A741" s="5" t="n">
        <v>277</v>
      </c>
      <c r="B741" s="5" t="inlineStr">
        <is>
          <t>Relación estudiante docente Tiempo Completo Equivalente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Negativo</t>
        </is>
      </c>
      <c r="F741" s="109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73</v>
      </c>
      <c r="K741" s="5" t="n">
        <v>71.18000000000001</v>
      </c>
      <c r="L741" s="14" t="n">
        <v>1.025568980050576</v>
      </c>
      <c r="M741" s="14" t="n">
        <v>1.025568980050576</v>
      </c>
      <c r="N741" s="5" t="n"/>
      <c r="O741" s="5" t="n"/>
      <c r="P741" s="5" t="n">
        <v>0</v>
      </c>
      <c r="Q741" s="5" t="n">
        <v>1</v>
      </c>
      <c r="R741" s="5" t="inlineStr">
        <is>
          <t>277-2024-06-30</t>
        </is>
      </c>
    </row>
    <row r="742" hidden="1">
      <c r="A742" s="5" t="n">
        <v>277</v>
      </c>
      <c r="B742" s="5" t="inlineStr">
        <is>
          <t>Relación estudiante docente Tiempo Completo Equivalente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Negativo</t>
        </is>
      </c>
      <c r="F742" s="109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73</v>
      </c>
      <c r="K742" s="5" t="n">
        <v>71.23999999999999</v>
      </c>
      <c r="L742" s="14" t="n">
        <v>1.024705221785514</v>
      </c>
      <c r="M742" s="14" t="n">
        <v>1.024705221785514</v>
      </c>
      <c r="N742" s="5" t="n"/>
      <c r="O742" s="5" t="n"/>
      <c r="P742" s="5" t="n">
        <v>0</v>
      </c>
      <c r="Q742" s="5" t="n">
        <v>1</v>
      </c>
      <c r="R742" s="5" t="inlineStr">
        <is>
          <t>277-2024-12-31</t>
        </is>
      </c>
    </row>
    <row r="743" hidden="1">
      <c r="A743" s="5" t="n">
        <v>277</v>
      </c>
      <c r="B743" s="5" t="inlineStr">
        <is>
          <t>Relación estudiante docente Tiempo Completo Equivalente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Negativo</t>
        </is>
      </c>
      <c r="F743" s="108" t="n">
        <v>45838</v>
      </c>
      <c r="G743" s="15" t="n">
        <v>2025</v>
      </c>
      <c r="H743" s="6" t="inlineStr">
        <is>
          <t>Junio</t>
        </is>
      </c>
      <c r="I743" s="27" t="inlineStr">
        <is>
          <t>2025-1</t>
        </is>
      </c>
      <c r="J743" s="5" t="n">
        <v>71</v>
      </c>
      <c r="K743" s="5" t="n">
        <v>69.39</v>
      </c>
      <c r="L743" s="14" t="n">
        <v>1.023202190517366</v>
      </c>
      <c r="M743" s="14" t="n">
        <v>1.023202190517366</v>
      </c>
      <c r="N743" s="5" t="n"/>
      <c r="O743" s="5" t="n"/>
      <c r="P743" s="5" t="n">
        <v>0</v>
      </c>
      <c r="Q743" s="5" t="n">
        <v>1</v>
      </c>
      <c r="R743" s="5" t="inlineStr">
        <is>
          <t>277-2025-06-30</t>
        </is>
      </c>
    </row>
    <row r="744" hidden="1">
      <c r="A744" s="26" t="n">
        <v>277</v>
      </c>
      <c r="B744" s="5" t="inlineStr">
        <is>
          <t>Relación estudiante docente TCE (Tiempo Completo Equivalente)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Negativo</t>
        </is>
      </c>
      <c r="F744" s="109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>
        <v>71</v>
      </c>
      <c r="K744" s="5" t="n">
        <v>68.40000000000001</v>
      </c>
      <c r="L744" s="14" t="n">
        <v>1.038011695906433</v>
      </c>
      <c r="M744" s="14" t="n">
        <v>1.038011695906433</v>
      </c>
      <c r="N744" s="5" t="inlineStr">
        <is>
          <t>ENT</t>
        </is>
      </c>
      <c r="O744" s="5" t="inlineStr">
        <is>
          <t>DEC</t>
        </is>
      </c>
      <c r="P744" s="5" t="n">
        <v>1</v>
      </c>
      <c r="Q744" s="5" t="n">
        <v>1</v>
      </c>
      <c r="R744" s="5" t="inlineStr">
        <is>
          <t>277-2025-12-31</t>
        </is>
      </c>
    </row>
    <row r="745" hidden="1">
      <c r="A745" s="5" t="n">
        <v>278</v>
      </c>
      <c r="B745" s="5" t="inlineStr">
        <is>
          <t>Docentes contratados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08" t="n">
        <v>45107</v>
      </c>
      <c r="G745" s="15" t="n">
        <v>2023</v>
      </c>
      <c r="H745" s="6" t="inlineStr">
        <is>
          <t>Junio</t>
        </is>
      </c>
      <c r="I745" s="6" t="inlineStr">
        <is>
          <t>2023-1</t>
        </is>
      </c>
      <c r="J745" s="5" t="n">
        <v>0</v>
      </c>
      <c r="K745" s="5" t="n">
        <v>0</v>
      </c>
      <c r="L745" s="14" t="n">
        <v>1</v>
      </c>
      <c r="M745" s="14" t="n">
        <v>1</v>
      </c>
      <c r="N745" s="5" t="n"/>
      <c r="O745" s="5" t="n"/>
      <c r="P745" s="5" t="n">
        <v>0</v>
      </c>
      <c r="Q745" s="5" t="n">
        <v>0</v>
      </c>
      <c r="R745" s="5" t="inlineStr">
        <is>
          <t>278-2023-06-30</t>
        </is>
      </c>
    </row>
    <row r="746" hidden="1">
      <c r="A746" s="5" t="n">
        <v>278</v>
      </c>
      <c r="B746" s="5" t="inlineStr">
        <is>
          <t>Docentes contratados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09" t="n">
        <v>45291</v>
      </c>
      <c r="G746" s="15" t="n">
        <v>2023</v>
      </c>
      <c r="H746" s="6" t="inlineStr">
        <is>
          <t>Diciembre</t>
        </is>
      </c>
      <c r="I746" s="6" t="inlineStr">
        <is>
          <t>2023-2</t>
        </is>
      </c>
      <c r="J746" s="5" t="n">
        <v>0</v>
      </c>
      <c r="K746" s="5" t="n">
        <v>1017</v>
      </c>
      <c r="L746" s="14" t="n"/>
      <c r="M746" s="14" t="n"/>
      <c r="N746" s="5" t="n"/>
      <c r="O746" s="5" t="n"/>
      <c r="P746" s="5" t="n">
        <v>0</v>
      </c>
      <c r="Q746" s="5" t="n">
        <v>0</v>
      </c>
      <c r="R746" s="5" t="inlineStr">
        <is>
          <t>278-2023-12-31</t>
        </is>
      </c>
    </row>
    <row r="747" hidden="1">
      <c r="A747" s="28" t="n">
        <v>278</v>
      </c>
      <c r="B747" s="5" t="inlineStr">
        <is>
          <t>Docentes contratados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09" t="n">
        <v>45473</v>
      </c>
      <c r="G747" s="5" t="n">
        <v>2024</v>
      </c>
      <c r="H747" s="5" t="inlineStr">
        <is>
          <t>Junio</t>
        </is>
      </c>
      <c r="I747" s="6" t="inlineStr">
        <is>
          <t>2024-1</t>
        </is>
      </c>
      <c r="J747" s="5" t="n">
        <v>0</v>
      </c>
      <c r="K747" s="5" t="n">
        <v>1080</v>
      </c>
      <c r="L747" s="74" t="n"/>
      <c r="M747" s="14" t="n"/>
      <c r="N747" s="5" t="n"/>
      <c r="O747" s="5" t="n"/>
      <c r="P747" s="5" t="n">
        <v>0</v>
      </c>
      <c r="Q747" s="5" t="n">
        <v>0</v>
      </c>
      <c r="R747" s="5" t="inlineStr">
        <is>
          <t>278-2024-06-30</t>
        </is>
      </c>
    </row>
    <row r="748" hidden="1">
      <c r="A748" s="26" t="n">
        <v>278</v>
      </c>
      <c r="B748" s="5" t="inlineStr">
        <is>
          <t>Docentes contratados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09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0</v>
      </c>
      <c r="K748" s="5" t="n">
        <v>1018</v>
      </c>
      <c r="L748" s="74" t="n"/>
      <c r="M748" s="14" t="n"/>
      <c r="N748" s="5" t="n"/>
      <c r="O748" s="5" t="n"/>
      <c r="P748" s="5" t="n">
        <v>0</v>
      </c>
      <c r="Q748" s="5" t="n">
        <v>0</v>
      </c>
      <c r="R748" s="5" t="inlineStr">
        <is>
          <t>278-2024-12-31</t>
        </is>
      </c>
    </row>
    <row r="749" hidden="1">
      <c r="A749" s="28" t="n">
        <v>278</v>
      </c>
      <c r="B749" s="5" t="inlineStr">
        <is>
          <t>Docentes contratados - Metrica</t>
        </is>
      </c>
      <c r="C749" s="5" t="inlineStr">
        <is>
          <t>Gestión Docente</t>
        </is>
      </c>
      <c r="D749" s="5" t="inlineStr">
        <is>
          <t>Trimestral</t>
        </is>
      </c>
      <c r="E749" s="5" t="inlineStr">
        <is>
          <t>Positivo</t>
        </is>
      </c>
      <c r="F749" s="109" t="n">
        <v>45838</v>
      </c>
      <c r="G749" s="5" t="n">
        <v>2025</v>
      </c>
      <c r="H749" s="5" t="inlineStr">
        <is>
          <t>Junio</t>
        </is>
      </c>
      <c r="I749" s="6" t="inlineStr">
        <is>
          <t>2025-1</t>
        </is>
      </c>
      <c r="J749" s="73" t="n"/>
      <c r="K749" s="9" t="n">
        <v>1099</v>
      </c>
      <c r="L749" s="74" t="n"/>
      <c r="M749" s="14" t="n"/>
      <c r="N749" s="5" t="inlineStr">
        <is>
          <t>Metrica</t>
        </is>
      </c>
      <c r="O749" s="5" t="inlineStr">
        <is>
          <t>Metrica</t>
        </is>
      </c>
      <c r="P749" s="5" t="n">
        <v>0</v>
      </c>
      <c r="Q749" s="5" t="n">
        <v>0</v>
      </c>
      <c r="R749" s="5" t="inlineStr">
        <is>
          <t>278-2025-06-30</t>
        </is>
      </c>
      <c r="S749" t="inlineStr">
        <is>
          <t>Metrica</t>
        </is>
      </c>
    </row>
    <row r="750" hidden="1">
      <c r="A750" s="26" t="n">
        <v>278</v>
      </c>
      <c r="B750" s="5" t="inlineStr">
        <is>
          <t>Docentes contratados - Metrica</t>
        </is>
      </c>
      <c r="C750" s="5" t="inlineStr">
        <is>
          <t>Gestión Docente</t>
        </is>
      </c>
      <c r="D750" s="5" t="inlineStr">
        <is>
          <t>Trimestral</t>
        </is>
      </c>
      <c r="E750" s="5" t="inlineStr">
        <is>
          <t>Positivo</t>
        </is>
      </c>
      <c r="F750" s="109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73" t="n"/>
      <c r="K750" s="9" t="n">
        <v>1071</v>
      </c>
      <c r="L750" s="74" t="n"/>
      <c r="M750" s="14" t="n"/>
      <c r="N750" s="5" t="inlineStr">
        <is>
          <t>Metrica</t>
        </is>
      </c>
      <c r="O750" s="5" t="inlineStr">
        <is>
          <t>Metrica</t>
        </is>
      </c>
      <c r="P750" s="5" t="n">
        <v>0</v>
      </c>
      <c r="Q750" s="5" t="n">
        <v>0</v>
      </c>
      <c r="R750" s="5" t="inlineStr">
        <is>
          <t>278-2025-12-31</t>
        </is>
      </c>
      <c r="S750" t="inlineStr">
        <is>
          <t>Metrica</t>
        </is>
      </c>
    </row>
    <row r="751" hidden="1">
      <c r="A751" s="5" t="n">
        <v>279</v>
      </c>
      <c r="B751" s="5" t="inlineStr">
        <is>
          <t>Docentes tiempo completo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9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>
        <v>0</v>
      </c>
      <c r="K751" s="11" t="n">
        <v>572</v>
      </c>
      <c r="L751" s="14" t="n"/>
      <c r="M751" s="14" t="n"/>
      <c r="N751" s="5" t="n"/>
      <c r="O751" s="5" t="n"/>
      <c r="P751" s="5" t="n">
        <v>0</v>
      </c>
      <c r="Q751" s="5" t="n">
        <v>0</v>
      </c>
      <c r="R751" s="5" t="inlineStr">
        <is>
          <t>279-2023-06-30</t>
        </is>
      </c>
    </row>
    <row r="752" hidden="1">
      <c r="A752" s="5" t="n">
        <v>279</v>
      </c>
      <c r="B752" s="5" t="inlineStr">
        <is>
          <t>Docentes tiempo completo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9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>
        <v>0</v>
      </c>
      <c r="K752" s="5" t="n">
        <v>608</v>
      </c>
      <c r="L752" s="14" t="n"/>
      <c r="M752" s="14" t="n"/>
      <c r="N752" s="5" t="n"/>
      <c r="O752" s="5" t="n"/>
      <c r="P752" s="5" t="n">
        <v>0</v>
      </c>
      <c r="Q752" s="5" t="n">
        <v>0</v>
      </c>
      <c r="R752" s="5" t="inlineStr">
        <is>
          <t>279-2023-12-31</t>
        </is>
      </c>
    </row>
    <row r="753" hidden="1">
      <c r="A753" s="28" t="n">
        <v>280</v>
      </c>
      <c r="B753" s="5" t="inlineStr">
        <is>
          <t>Docentes medio tiempo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09" t="n">
        <v>45107</v>
      </c>
      <c r="G753" s="5" t="n">
        <v>2023</v>
      </c>
      <c r="H753" s="5" t="inlineStr">
        <is>
          <t>Junio</t>
        </is>
      </c>
      <c r="I753" s="6" t="inlineStr">
        <is>
          <t>2023-1</t>
        </is>
      </c>
      <c r="J753" s="5" t="n">
        <v>0</v>
      </c>
      <c r="K753" s="5" t="n">
        <v>203</v>
      </c>
      <c r="L753" s="74" t="n"/>
      <c r="M753" s="14" t="n"/>
      <c r="N753" s="5" t="n"/>
      <c r="O753" s="5" t="n"/>
      <c r="P753" s="5" t="n">
        <v>0</v>
      </c>
      <c r="Q753" s="5" t="n">
        <v>0</v>
      </c>
      <c r="R753" s="5" t="inlineStr">
        <is>
          <t>280-2023-06-30</t>
        </is>
      </c>
    </row>
    <row r="754" hidden="1">
      <c r="A754" s="26" t="n">
        <v>280</v>
      </c>
      <c r="B754" s="5" t="inlineStr">
        <is>
          <t>Docentes medio tiempo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09" t="n">
        <v>45291</v>
      </c>
      <c r="G754" s="5" t="n">
        <v>2023</v>
      </c>
      <c r="H754" s="5" t="inlineStr">
        <is>
          <t>Diciembre</t>
        </is>
      </c>
      <c r="I754" s="6" t="inlineStr">
        <is>
          <t>2023-2</t>
        </is>
      </c>
      <c r="J754" s="5" t="n">
        <v>0</v>
      </c>
      <c r="K754" s="5" t="n">
        <v>186</v>
      </c>
      <c r="L754" s="74" t="n"/>
      <c r="M754" s="14" t="n"/>
      <c r="N754" s="5" t="n"/>
      <c r="O754" s="5" t="n"/>
      <c r="P754" s="5" t="n">
        <v>0</v>
      </c>
      <c r="Q754" s="5" t="n">
        <v>0</v>
      </c>
      <c r="R754" s="5" t="inlineStr">
        <is>
          <t>280-2023-12-31</t>
        </is>
      </c>
    </row>
    <row r="755" hidden="1">
      <c r="A755" s="5" t="n">
        <v>281</v>
      </c>
      <c r="B755" s="5" t="inlineStr">
        <is>
          <t>Docentes cátedra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9" t="n">
        <v>45107</v>
      </c>
      <c r="G755" s="5" t="n">
        <v>2023</v>
      </c>
      <c r="H755" s="5" t="inlineStr">
        <is>
          <t>Junio</t>
        </is>
      </c>
      <c r="I755" s="6" t="inlineStr">
        <is>
          <t>2023-1</t>
        </is>
      </c>
      <c r="J755" s="5" t="n"/>
      <c r="K755" s="5" t="n">
        <v>240</v>
      </c>
      <c r="L755" s="14" t="n"/>
      <c r="M755" s="14" t="n"/>
      <c r="N755" s="5" t="n"/>
      <c r="O755" s="5" t="n"/>
      <c r="P755" s="5" t="n">
        <v>0</v>
      </c>
      <c r="Q755" s="5" t="n">
        <v>0</v>
      </c>
      <c r="R755" s="5" t="inlineStr">
        <is>
          <t>281-2023-06-30</t>
        </is>
      </c>
    </row>
    <row r="756" hidden="1">
      <c r="A756" s="5" t="n">
        <v>281</v>
      </c>
      <c r="B756" s="5" t="inlineStr">
        <is>
          <t>Docentes cátedra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09" t="n">
        <v>45291</v>
      </c>
      <c r="G756" s="5" t="n">
        <v>2023</v>
      </c>
      <c r="H756" s="5" t="inlineStr">
        <is>
          <t>Diciembre</t>
        </is>
      </c>
      <c r="I756" s="6" t="inlineStr">
        <is>
          <t>2023-2</t>
        </is>
      </c>
      <c r="J756" s="5" t="n"/>
      <c r="K756" s="5" t="n">
        <v>223</v>
      </c>
      <c r="L756" s="14" t="n"/>
      <c r="M756" s="14" t="n"/>
      <c r="N756" s="5" t="n"/>
      <c r="O756" s="5" t="n"/>
      <c r="P756" s="5" t="n">
        <v>0</v>
      </c>
      <c r="Q756" s="5" t="n">
        <v>0</v>
      </c>
      <c r="R756" s="5" t="inlineStr">
        <is>
          <t>281-2023-12-31</t>
        </is>
      </c>
    </row>
    <row r="757" hidden="1">
      <c r="A757" s="34" t="n">
        <v>282</v>
      </c>
      <c r="B757" s="5" t="inlineStr">
        <is>
          <t>Docentes evaluados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9" t="n">
        <v>45107</v>
      </c>
      <c r="G757" s="5" t="n">
        <v>2023</v>
      </c>
      <c r="H757" s="5" t="inlineStr">
        <is>
          <t>Junio</t>
        </is>
      </c>
      <c r="I757" s="6" t="inlineStr">
        <is>
          <t>2023-1</t>
        </is>
      </c>
      <c r="J757" s="5" t="n">
        <v>96</v>
      </c>
      <c r="K757" s="5" t="n">
        <v>97.02</v>
      </c>
      <c r="L757" s="74" t="n">
        <v>1.010625</v>
      </c>
      <c r="M757" s="14" t="n">
        <v>1.010625</v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282-2023-06-30</t>
        </is>
      </c>
    </row>
    <row r="758" hidden="1">
      <c r="A758" s="26" t="n">
        <v>282</v>
      </c>
      <c r="B758" s="5" t="inlineStr">
        <is>
          <t>Docentes evaluados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09" t="n">
        <v>45291</v>
      </c>
      <c r="G758" s="5" t="n">
        <v>2023</v>
      </c>
      <c r="H758" s="5" t="inlineStr">
        <is>
          <t>Diciembre</t>
        </is>
      </c>
      <c r="I758" s="6" t="inlineStr">
        <is>
          <t>2023-2</t>
        </is>
      </c>
      <c r="J758" s="5" t="n">
        <v>96</v>
      </c>
      <c r="K758" s="5" t="n">
        <v>97.34</v>
      </c>
      <c r="L758" s="74" t="n">
        <v>1.013958333333333</v>
      </c>
      <c r="M758" s="14" t="n">
        <v>1.013958333333333</v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282-2023-12-31</t>
        </is>
      </c>
    </row>
    <row r="759" hidden="1">
      <c r="A759" s="28" t="n">
        <v>282</v>
      </c>
      <c r="B759" s="5" t="inlineStr">
        <is>
          <t>Docentes evaluados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9" t="n">
        <v>45473</v>
      </c>
      <c r="G759" s="5" t="n">
        <v>2024</v>
      </c>
      <c r="H759" s="5" t="inlineStr">
        <is>
          <t>Junio</t>
        </is>
      </c>
      <c r="I759" s="6" t="inlineStr">
        <is>
          <t>2024-1</t>
        </is>
      </c>
      <c r="J759" s="5" t="n">
        <v>97</v>
      </c>
      <c r="K759" s="5" t="n">
        <v>97.02</v>
      </c>
      <c r="L759" s="74" t="n">
        <v>1.00020618556701</v>
      </c>
      <c r="M759" s="14" t="n">
        <v>1.00020618556701</v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 t="inlineStr">
        <is>
          <t>282-2024-06-30</t>
        </is>
      </c>
    </row>
    <row r="760" hidden="1">
      <c r="A760" s="26" t="n">
        <v>282</v>
      </c>
      <c r="B760" s="5" t="inlineStr">
        <is>
          <t>Docentes evaluados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09" t="n">
        <v>45657</v>
      </c>
      <c r="G760" s="5" t="n">
        <v>2024</v>
      </c>
      <c r="H760" s="5" t="inlineStr">
        <is>
          <t>Diciembre</t>
        </is>
      </c>
      <c r="I760" s="6" t="inlineStr">
        <is>
          <t>2024-2</t>
        </is>
      </c>
      <c r="J760" s="5" t="n">
        <v>97</v>
      </c>
      <c r="K760" s="5" t="n">
        <v>96.84</v>
      </c>
      <c r="L760" s="74" t="n">
        <v>0.9983505154639175</v>
      </c>
      <c r="M760" s="14" t="n">
        <v>0.9983505154639175</v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 t="inlineStr">
        <is>
          <t>282-2024-12-31</t>
        </is>
      </c>
    </row>
    <row r="761" hidden="1">
      <c r="A761" s="5" t="n">
        <v>282</v>
      </c>
      <c r="B761" s="5" t="inlineStr">
        <is>
          <t>Docentes evaluados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9" t="n">
        <v>45838</v>
      </c>
      <c r="G761" s="5" t="n">
        <v>2025</v>
      </c>
      <c r="H761" s="5" t="inlineStr">
        <is>
          <t>Junio</t>
        </is>
      </c>
      <c r="I761" s="6" t="inlineStr">
        <is>
          <t>2025-1</t>
        </is>
      </c>
      <c r="J761" s="5" t="n">
        <v>97</v>
      </c>
      <c r="K761" s="5" t="n">
        <v>97.41</v>
      </c>
      <c r="L761" s="14" t="n">
        <v>1.004226804123711</v>
      </c>
      <c r="M761" s="14" t="n">
        <v>1.004226804123711</v>
      </c>
      <c r="N761" s="5" t="inlineStr">
        <is>
          <t>%</t>
        </is>
      </c>
      <c r="O761" s="5" t="inlineStr">
        <is>
          <t>%</t>
        </is>
      </c>
      <c r="P761" s="5" t="n">
        <v>0</v>
      </c>
      <c r="Q761" s="5" t="n">
        <v>0</v>
      </c>
      <c r="R761" s="5" t="inlineStr">
        <is>
          <t>282-2025-06-30</t>
        </is>
      </c>
    </row>
    <row r="762" hidden="1">
      <c r="A762" s="5" t="n">
        <v>282</v>
      </c>
      <c r="B762" s="5" t="inlineStr">
        <is>
          <t>Docentes evaluados</t>
        </is>
      </c>
      <c r="C762" s="5" t="inlineStr">
        <is>
          <t>Gestión Docente</t>
        </is>
      </c>
      <c r="D762" s="5" t="inlineStr">
        <is>
          <t>Trimestral</t>
        </is>
      </c>
      <c r="E762" s="5" t="inlineStr">
        <is>
          <t>Positivo</t>
        </is>
      </c>
      <c r="F762" s="109" t="n">
        <v>46022</v>
      </c>
      <c r="G762" s="5" t="n">
        <v>2025</v>
      </c>
      <c r="H762" s="5" t="inlineStr">
        <is>
          <t>Diciembre</t>
        </is>
      </c>
      <c r="I762" s="6" t="inlineStr">
        <is>
          <t>2025-2</t>
        </is>
      </c>
      <c r="J762" s="5" t="n">
        <v>97</v>
      </c>
      <c r="K762" s="5" t="n">
        <v>97.56</v>
      </c>
      <c r="L762" s="14" t="n">
        <v>1.005773195876289</v>
      </c>
      <c r="M762" s="14" t="n">
        <v>1.005773195876289</v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 t="inlineStr">
        <is>
          <t>282-2025-12-31</t>
        </is>
      </c>
    </row>
    <row r="763" hidden="1">
      <c r="A763" s="26" t="n">
        <v>283</v>
      </c>
      <c r="B763" s="5" t="inlineStr">
        <is>
          <t>Resultado evaluación docente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09" t="n">
        <v>45107</v>
      </c>
      <c r="G763" s="5" t="n">
        <v>2023</v>
      </c>
      <c r="H763" s="5" t="inlineStr">
        <is>
          <t>Junio</t>
        </is>
      </c>
      <c r="I763" s="6" t="inlineStr">
        <is>
          <t>2023-1</t>
        </is>
      </c>
      <c r="J763" s="5" t="n">
        <v>4.5</v>
      </c>
      <c r="K763" s="5" t="n">
        <v>4.6</v>
      </c>
      <c r="L763" s="74" t="n">
        <v>1.022222222222222</v>
      </c>
      <c r="M763" s="14" t="n">
        <v>1.022222222222222</v>
      </c>
      <c r="N763" s="5" t="n"/>
      <c r="O763" s="5" t="n"/>
      <c r="P763" s="5" t="n">
        <v>2</v>
      </c>
      <c r="Q763" s="5" t="n">
        <v>2</v>
      </c>
      <c r="R763" s="5" t="inlineStr">
        <is>
          <t>283-2023-06-30</t>
        </is>
      </c>
    </row>
    <row r="764" hidden="1">
      <c r="A764" s="26" t="n">
        <v>283</v>
      </c>
      <c r="B764" s="5" t="inlineStr">
        <is>
          <t>Resultado evaluación docente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09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4.5</v>
      </c>
      <c r="K764" s="5" t="n">
        <v>4.55</v>
      </c>
      <c r="L764" s="74" t="n">
        <v>1.011111111111111</v>
      </c>
      <c r="M764" s="14" t="n">
        <v>1.011111111111111</v>
      </c>
      <c r="N764" s="5" t="n"/>
      <c r="O764" s="5" t="n"/>
      <c r="P764" s="5" t="n">
        <v>2</v>
      </c>
      <c r="Q764" s="5" t="n">
        <v>2</v>
      </c>
      <c r="R764" s="5" t="inlineStr">
        <is>
          <t>283-2023-12-31</t>
        </is>
      </c>
    </row>
    <row r="765" hidden="1">
      <c r="A765" s="5" t="n">
        <v>283</v>
      </c>
      <c r="B765" s="5" t="inlineStr">
        <is>
          <t>Resultado evaluación docente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9" t="n">
        <v>45473</v>
      </c>
      <c r="G765" s="5" t="n">
        <v>2024</v>
      </c>
      <c r="H765" s="5" t="inlineStr">
        <is>
          <t>Junio</t>
        </is>
      </c>
      <c r="I765" s="6" t="inlineStr">
        <is>
          <t>2024-1</t>
        </is>
      </c>
      <c r="J765" s="5" t="n">
        <v>4.5</v>
      </c>
      <c r="K765" s="5" t="n">
        <v>4.57</v>
      </c>
      <c r="L765" s="14" t="n">
        <v>1.015555555555556</v>
      </c>
      <c r="M765" s="14" t="n">
        <v>1.015555555555556</v>
      </c>
      <c r="N765" s="5" t="n"/>
      <c r="O765" s="5" t="n"/>
      <c r="P765" s="5" t="n">
        <v>0</v>
      </c>
      <c r="Q765" s="5" t="n">
        <v>0</v>
      </c>
      <c r="R765" s="5" t="inlineStr">
        <is>
          <t>283-2024-06-30</t>
        </is>
      </c>
    </row>
    <row r="766" hidden="1">
      <c r="A766" s="5" t="n">
        <v>283</v>
      </c>
      <c r="B766" s="5" t="inlineStr">
        <is>
          <t>Resultado evaluación docente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09" t="n">
        <v>45657</v>
      </c>
      <c r="G766" s="5" t="n">
        <v>2024</v>
      </c>
      <c r="H766" s="5" t="inlineStr">
        <is>
          <t>Diciembre</t>
        </is>
      </c>
      <c r="I766" s="6" t="inlineStr">
        <is>
          <t>2024-2</t>
        </is>
      </c>
      <c r="J766" s="5" t="n">
        <v>4.5</v>
      </c>
      <c r="K766" s="5" t="n">
        <v>4.64</v>
      </c>
      <c r="L766" s="14" t="n">
        <v>1.031111111111111</v>
      </c>
      <c r="M766" s="14" t="n">
        <v>1.031111111111111</v>
      </c>
      <c r="N766" s="5" t="n"/>
      <c r="O766" s="5" t="n"/>
      <c r="P766" s="5" t="n">
        <v>0</v>
      </c>
      <c r="Q766" s="5" t="n">
        <v>0</v>
      </c>
      <c r="R766" s="5" t="inlineStr">
        <is>
          <t>283-2024-12-31</t>
        </is>
      </c>
    </row>
    <row r="767" hidden="1">
      <c r="A767" s="5" t="n">
        <v>283</v>
      </c>
      <c r="B767" s="5" t="inlineStr">
        <is>
          <t>Resultado evaluación docente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8" t="n">
        <v>45838</v>
      </c>
      <c r="G767" s="15" t="n">
        <v>2025</v>
      </c>
      <c r="H767" s="6" t="inlineStr">
        <is>
          <t>Junio</t>
        </is>
      </c>
      <c r="I767" s="27" t="inlineStr">
        <is>
          <t>2025-1</t>
        </is>
      </c>
      <c r="J767" s="5" t="n">
        <v>4.6</v>
      </c>
      <c r="K767" s="11" t="n">
        <v>4.66</v>
      </c>
      <c r="L767" s="14" t="n">
        <v>1.01304347826087</v>
      </c>
      <c r="M767" s="14" t="n">
        <v>1.01304347826087</v>
      </c>
      <c r="N767" s="5" t="inlineStr">
        <is>
          <t>DEC</t>
        </is>
      </c>
      <c r="O767" s="5" t="inlineStr">
        <is>
          <t>DEC</t>
        </is>
      </c>
      <c r="P767" s="5" t="n">
        <v>0</v>
      </c>
      <c r="Q767" s="5" t="n">
        <v>0</v>
      </c>
      <c r="R767" s="5" t="inlineStr">
        <is>
          <t>283-2025-06-30</t>
        </is>
      </c>
    </row>
    <row r="768" hidden="1">
      <c r="A768" s="26" t="n">
        <v>283</v>
      </c>
      <c r="B768" s="5" t="inlineStr">
        <is>
          <t>Resultado evaluación docente</t>
        </is>
      </c>
      <c r="C768" s="5" t="inlineStr">
        <is>
          <t>Gestión Docente</t>
        </is>
      </c>
      <c r="D768" s="5" t="inlineStr">
        <is>
          <t>Trimestral</t>
        </is>
      </c>
      <c r="E768" s="5" t="inlineStr">
        <is>
          <t>Positivo</t>
        </is>
      </c>
      <c r="F768" s="109" t="n">
        <v>46022</v>
      </c>
      <c r="G768" s="5" t="n">
        <v>2025</v>
      </c>
      <c r="H768" s="5" t="inlineStr">
        <is>
          <t>Diciembre</t>
        </is>
      </c>
      <c r="I768" s="6" t="inlineStr">
        <is>
          <t>2025-2</t>
        </is>
      </c>
      <c r="J768" s="5" t="n">
        <v>4.6</v>
      </c>
      <c r="K768" s="11" t="n">
        <v>4.67</v>
      </c>
      <c r="L768" s="14" t="n">
        <v>1.015217391304348</v>
      </c>
      <c r="M768" s="14" t="n">
        <v>1.015217391304348</v>
      </c>
      <c r="N768" s="5" t="inlineStr">
        <is>
          <t>DEC</t>
        </is>
      </c>
      <c r="O768" s="5" t="inlineStr">
        <is>
          <t>DEC</t>
        </is>
      </c>
      <c r="P768" s="5" t="n">
        <v>1</v>
      </c>
      <c r="Q768" s="5" t="n">
        <v>2</v>
      </c>
      <c r="R768" s="5" t="inlineStr">
        <is>
          <t>283-2025-12-31</t>
        </is>
      </c>
    </row>
    <row r="769" hidden="1">
      <c r="A769" s="5" t="n">
        <v>284</v>
      </c>
      <c r="B769" s="5" t="inlineStr">
        <is>
          <t>Número Horas semanales docentes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09" t="n">
        <v>45107</v>
      </c>
      <c r="G769" s="5" t="n">
        <v>2023</v>
      </c>
      <c r="H769" s="5" t="inlineStr">
        <is>
          <t>Junio</t>
        </is>
      </c>
      <c r="I769" s="6" t="inlineStr">
        <is>
          <t>2023-1</t>
        </is>
      </c>
      <c r="J769" s="5" t="n"/>
      <c r="K769" s="11" t="n">
        <v>15047</v>
      </c>
      <c r="L769" s="14" t="n"/>
      <c r="M769" s="14" t="n"/>
      <c r="N769" s="5" t="n"/>
      <c r="O769" s="5" t="n"/>
      <c r="P769" s="5" t="n">
        <v>0</v>
      </c>
      <c r="Q769" s="5" t="n">
        <v>0</v>
      </c>
      <c r="R769" s="5" t="inlineStr">
        <is>
          <t>284-2023-06-30</t>
        </is>
      </c>
    </row>
    <row r="770" hidden="1">
      <c r="A770" s="5" t="n">
        <v>284</v>
      </c>
      <c r="B770" s="5" t="inlineStr">
        <is>
          <t>Número Horas semanales docentes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09" t="n">
        <v>45291</v>
      </c>
      <c r="G770" s="5" t="n">
        <v>2023</v>
      </c>
      <c r="H770" s="5" t="inlineStr">
        <is>
          <t>Diciembre</t>
        </is>
      </c>
      <c r="I770" s="6" t="inlineStr">
        <is>
          <t>2023-2</t>
        </is>
      </c>
      <c r="J770" s="5" t="n"/>
      <c r="K770" s="11" t="n">
        <v>16281</v>
      </c>
      <c r="L770" s="14" t="n"/>
      <c r="M770" s="14" t="n"/>
      <c r="N770" s="5" t="n"/>
      <c r="O770" s="5" t="n"/>
      <c r="P770" s="5" t="n">
        <v>0</v>
      </c>
      <c r="Q770" s="5" t="n">
        <v>0</v>
      </c>
      <c r="R770" s="5" t="inlineStr">
        <is>
          <t>284-2023-12-31</t>
        </is>
      </c>
    </row>
    <row r="771" hidden="1">
      <c r="A771" s="5" t="n">
        <v>285</v>
      </c>
      <c r="B771" s="5" t="inlineStr">
        <is>
          <t>Docentes con plan de trabajo asignado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08" t="n">
        <v>45107</v>
      </c>
      <c r="G771" s="15" t="n">
        <v>2023</v>
      </c>
      <c r="H771" s="6" t="inlineStr">
        <is>
          <t>Junio</t>
        </is>
      </c>
      <c r="I771" s="27" t="inlineStr">
        <is>
          <t>2023-1</t>
        </is>
      </c>
      <c r="J771" s="73" t="n">
        <v>100</v>
      </c>
      <c r="K771" s="96" t="n">
        <v>100</v>
      </c>
      <c r="L771" s="14" t="n">
        <v>1</v>
      </c>
      <c r="M771" s="14" t="n">
        <v>1</v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285-2023-06-30</t>
        </is>
      </c>
    </row>
    <row r="772" hidden="1">
      <c r="A772" s="26" t="n">
        <v>285</v>
      </c>
      <c r="B772" s="5" t="inlineStr">
        <is>
          <t>Docentes con plan de trabajo asignado</t>
        </is>
      </c>
      <c r="C772" s="5" t="inlineStr">
        <is>
          <t>Gestión Docente</t>
        </is>
      </c>
      <c r="D772" s="5" t="inlineStr">
        <is>
          <t>Semestral</t>
        </is>
      </c>
      <c r="E772" s="5" t="inlineStr">
        <is>
          <t>Positivo</t>
        </is>
      </c>
      <c r="F772" s="109" t="n">
        <v>45291</v>
      </c>
      <c r="G772" s="5" t="n">
        <v>2023</v>
      </c>
      <c r="H772" s="5" t="inlineStr">
        <is>
          <t>Diciembre</t>
        </is>
      </c>
      <c r="I772" s="6" t="inlineStr">
        <is>
          <t>2023-2</t>
        </is>
      </c>
      <c r="J772" s="73" t="n">
        <v>100</v>
      </c>
      <c r="K772" s="9" t="n">
        <v>100</v>
      </c>
      <c r="L772" s="14" t="n">
        <v>1</v>
      </c>
      <c r="M772" s="14" t="n">
        <v>1</v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285-2023-12-31</t>
        </is>
      </c>
    </row>
    <row r="773" hidden="1">
      <c r="A773" s="5" t="n">
        <v>285</v>
      </c>
      <c r="B773" s="5" t="inlineStr">
        <is>
          <t>Docentes con plan de trabajo asignado</t>
        </is>
      </c>
      <c r="C773" s="5" t="inlineStr">
        <is>
          <t>Gestión Docente</t>
        </is>
      </c>
      <c r="D773" s="5" t="inlineStr">
        <is>
          <t>Semestral</t>
        </is>
      </c>
      <c r="E773" s="5" t="inlineStr">
        <is>
          <t>Positivo</t>
        </is>
      </c>
      <c r="F773" s="109" t="n">
        <v>45473</v>
      </c>
      <c r="G773" s="5" t="n">
        <v>2024</v>
      </c>
      <c r="H773" s="5" t="inlineStr">
        <is>
          <t>Junio</t>
        </is>
      </c>
      <c r="I773" s="6" t="inlineStr">
        <is>
          <t>2024-1</t>
        </is>
      </c>
      <c r="J773" s="5" t="n">
        <v>100</v>
      </c>
      <c r="K773" s="11" t="n">
        <v>100</v>
      </c>
      <c r="L773" s="14" t="n">
        <v>1</v>
      </c>
      <c r="M773" s="14" t="n">
        <v>1</v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285-2024-06-30</t>
        </is>
      </c>
    </row>
    <row r="774" hidden="1">
      <c r="A774" s="5" t="n">
        <v>285</v>
      </c>
      <c r="B774" s="5" t="inlineStr">
        <is>
          <t>Docentes con plan de trabajo asignado</t>
        </is>
      </c>
      <c r="C774" s="5" t="inlineStr">
        <is>
          <t>Gestión Docente</t>
        </is>
      </c>
      <c r="D774" s="5" t="inlineStr">
        <is>
          <t>Semestral</t>
        </is>
      </c>
      <c r="E774" s="5" t="inlineStr">
        <is>
          <t>Positivo</t>
        </is>
      </c>
      <c r="F774" s="109" t="n">
        <v>45657</v>
      </c>
      <c r="G774" s="5" t="n">
        <v>2024</v>
      </c>
      <c r="H774" s="5" t="inlineStr">
        <is>
          <t>Diciembre</t>
        </is>
      </c>
      <c r="I774" s="6" t="inlineStr">
        <is>
          <t>2024-2</t>
        </is>
      </c>
      <c r="J774" s="5" t="n">
        <v>100</v>
      </c>
      <c r="K774" s="11" t="n">
        <v>100</v>
      </c>
      <c r="L774" s="14" t="n">
        <v>1</v>
      </c>
      <c r="M774" s="14" t="n">
        <v>1</v>
      </c>
      <c r="N774" s="5" t="inlineStr">
        <is>
          <t>%</t>
        </is>
      </c>
      <c r="O774" s="5" t="inlineStr">
        <is>
          <t>%</t>
        </is>
      </c>
      <c r="P774" s="5" t="n">
        <v>0</v>
      </c>
      <c r="Q774" s="5" t="n">
        <v>0</v>
      </c>
      <c r="R774" s="5" t="inlineStr">
        <is>
          <t>285-2024-12-31</t>
        </is>
      </c>
    </row>
    <row r="775" hidden="1">
      <c r="A775" s="26" t="n">
        <v>285</v>
      </c>
      <c r="B775" s="5" t="inlineStr">
        <is>
          <t>Docentes con plan de trabajo asignado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09" t="n">
        <v>45838</v>
      </c>
      <c r="G775" s="5" t="n">
        <v>2025</v>
      </c>
      <c r="H775" s="5" t="inlineStr">
        <is>
          <t>Junio</t>
        </is>
      </c>
      <c r="I775" s="6" t="inlineStr">
        <is>
          <t>2025-1</t>
        </is>
      </c>
      <c r="J775" s="5" t="n">
        <v>100</v>
      </c>
      <c r="K775" s="5" t="n">
        <v>100</v>
      </c>
      <c r="L775" s="74" t="n">
        <v>1</v>
      </c>
      <c r="M775" s="14" t="n">
        <v>1</v>
      </c>
      <c r="N775" s="5" t="inlineStr">
        <is>
          <t>%</t>
        </is>
      </c>
      <c r="O775" s="5" t="inlineStr">
        <is>
          <t>%</t>
        </is>
      </c>
      <c r="P775" s="5" t="n">
        <v>0</v>
      </c>
      <c r="Q775" s="5" t="n">
        <v>0</v>
      </c>
      <c r="R775" s="5" t="inlineStr">
        <is>
          <t>285-2025-06-30</t>
        </is>
      </c>
    </row>
    <row r="776" hidden="1">
      <c r="A776" s="26" t="n">
        <v>285</v>
      </c>
      <c r="B776" s="5" t="inlineStr">
        <is>
          <t>Docentes con plan de trabajo asignado</t>
        </is>
      </c>
      <c r="C776" s="5" t="inlineStr">
        <is>
          <t>Gestión Docente</t>
        </is>
      </c>
      <c r="D776" s="5" t="inlineStr">
        <is>
          <t>Trimestral</t>
        </is>
      </c>
      <c r="E776" s="5" t="inlineStr">
        <is>
          <t>Positivo</t>
        </is>
      </c>
      <c r="F776" s="109" t="n">
        <v>46022</v>
      </c>
      <c r="G776" s="5" t="n">
        <v>2025</v>
      </c>
      <c r="H776" s="5" t="inlineStr">
        <is>
          <t>Diciembre</t>
        </is>
      </c>
      <c r="I776" s="6" t="inlineStr">
        <is>
          <t>2025-2</t>
        </is>
      </c>
      <c r="J776" s="5" t="n">
        <v>100</v>
      </c>
      <c r="K776" s="5" t="n">
        <v>100</v>
      </c>
      <c r="L776" s="74" t="n">
        <v>1</v>
      </c>
      <c r="M776" s="14" t="n">
        <v>1</v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 t="inlineStr">
        <is>
          <t>285-2025-12-31</t>
        </is>
      </c>
    </row>
    <row r="777" hidden="1">
      <c r="A777" s="5" t="n">
        <v>286</v>
      </c>
      <c r="B777" s="5" t="inlineStr">
        <is>
          <t>Total docentes por nivel de estudios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09" t="n">
        <v>45107</v>
      </c>
      <c r="G777" s="5" t="n">
        <v>2023</v>
      </c>
      <c r="H777" s="5" t="inlineStr">
        <is>
          <t>Junio</t>
        </is>
      </c>
      <c r="I777" s="6" t="inlineStr">
        <is>
          <t>2023-1</t>
        </is>
      </c>
      <c r="J777" s="5" t="n"/>
      <c r="K777" s="5" t="n">
        <v>0</v>
      </c>
      <c r="L777" s="14" t="n"/>
      <c r="M777" s="14" t="n"/>
      <c r="N777" s="5" t="n"/>
      <c r="O777" s="5" t="n"/>
      <c r="P777" s="5" t="n">
        <v>0</v>
      </c>
      <c r="Q777" s="5" t="n">
        <v>0</v>
      </c>
      <c r="R777" s="5" t="inlineStr">
        <is>
          <t>286-2023-06-30</t>
        </is>
      </c>
    </row>
    <row r="778" hidden="1">
      <c r="A778" s="5" t="n">
        <v>286</v>
      </c>
      <c r="B778" s="5" t="inlineStr">
        <is>
          <t>Total docentes por nivel de estudios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09" t="n">
        <v>45291</v>
      </c>
      <c r="G778" s="5" t="n">
        <v>2023</v>
      </c>
      <c r="H778" s="5" t="inlineStr">
        <is>
          <t>Diciembre</t>
        </is>
      </c>
      <c r="I778" s="6" t="inlineStr">
        <is>
          <t>2023-2</t>
        </is>
      </c>
      <c r="J778" s="5" t="n"/>
      <c r="K778" s="5" t="n">
        <v>1017</v>
      </c>
      <c r="L778" s="14" t="n"/>
      <c r="M778" s="14" t="n"/>
      <c r="N778" s="5" t="n"/>
      <c r="O778" s="5" t="n"/>
      <c r="P778" s="5" t="n">
        <v>0</v>
      </c>
      <c r="Q778" s="5" t="n">
        <v>0</v>
      </c>
      <c r="R778" s="5" t="inlineStr">
        <is>
          <t>286-2023-12-31</t>
        </is>
      </c>
    </row>
    <row r="779" hidden="1">
      <c r="A779" s="5" t="n">
        <v>286</v>
      </c>
      <c r="B779" s="5" t="inlineStr">
        <is>
          <t>Total docentes por nivel de estudios</t>
        </is>
      </c>
      <c r="C779" s="5" t="inlineStr">
        <is>
          <t>Gestión Docente</t>
        </is>
      </c>
      <c r="D779" s="5" t="inlineStr">
        <is>
          <t>Semestral</t>
        </is>
      </c>
      <c r="E779" s="5" t="inlineStr">
        <is>
          <t>Positivo</t>
        </is>
      </c>
      <c r="F779" s="108" t="n">
        <v>45473</v>
      </c>
      <c r="G779" s="15" t="n">
        <v>2024</v>
      </c>
      <c r="H779" s="6" t="inlineStr">
        <is>
          <t>Junio</t>
        </is>
      </c>
      <c r="I779" s="27" t="inlineStr">
        <is>
          <t>2024-1</t>
        </is>
      </c>
      <c r="J779" s="5" t="n">
        <v>0</v>
      </c>
      <c r="K779" s="23" t="n">
        <v>1080</v>
      </c>
      <c r="L779" s="14" t="n"/>
      <c r="M779" s="14" t="n"/>
      <c r="N779" s="5" t="n"/>
      <c r="O779" s="5" t="n"/>
      <c r="P779" s="5" t="n">
        <v>0</v>
      </c>
      <c r="Q779" s="5" t="n">
        <v>0</v>
      </c>
      <c r="R779" s="5" t="inlineStr">
        <is>
          <t>286-2024-06-30</t>
        </is>
      </c>
    </row>
    <row r="780" hidden="1">
      <c r="A780" s="26" t="n">
        <v>286</v>
      </c>
      <c r="B780" s="5" t="inlineStr">
        <is>
          <t>Total docentes por nivel de estudios</t>
        </is>
      </c>
      <c r="C780" s="5" t="inlineStr">
        <is>
          <t>Gestión Docente</t>
        </is>
      </c>
      <c r="D780" s="5" t="inlineStr">
        <is>
          <t>Semestral</t>
        </is>
      </c>
      <c r="E780" s="5" t="inlineStr">
        <is>
          <t>Positivo</t>
        </is>
      </c>
      <c r="F780" s="109" t="n">
        <v>45657</v>
      </c>
      <c r="G780" s="5" t="n">
        <v>2024</v>
      </c>
      <c r="H780" s="5" t="inlineStr">
        <is>
          <t>Diciembre</t>
        </is>
      </c>
      <c r="I780" s="6" t="inlineStr">
        <is>
          <t>2024-2</t>
        </is>
      </c>
      <c r="J780" s="73" t="n">
        <v>0</v>
      </c>
      <c r="K780" s="9" t="n">
        <v>1018</v>
      </c>
      <c r="L780" s="14" t="n"/>
      <c r="M780" s="14" t="n"/>
      <c r="N780" s="5" t="n"/>
      <c r="O780" s="5" t="n"/>
      <c r="P780" s="5" t="n">
        <v>0</v>
      </c>
      <c r="Q780" s="5" t="n">
        <v>0</v>
      </c>
      <c r="R780" s="5" t="inlineStr">
        <is>
          <t>286-2024-12-31</t>
        </is>
      </c>
    </row>
    <row r="781" hidden="1">
      <c r="A781" s="5" t="n">
        <v>286</v>
      </c>
      <c r="B781" s="5" t="inlineStr">
        <is>
          <t>Total docentes por nivel de estudios - Metrica</t>
        </is>
      </c>
      <c r="C781" s="5" t="inlineStr">
        <is>
          <t>Gestión Docente</t>
        </is>
      </c>
      <c r="D781" s="5" t="inlineStr">
        <is>
          <t>Trimestral</t>
        </is>
      </c>
      <c r="E781" s="5" t="inlineStr">
        <is>
          <t>Positivo</t>
        </is>
      </c>
      <c r="F781" s="109" t="n">
        <v>45838</v>
      </c>
      <c r="G781" s="5" t="n">
        <v>2025</v>
      </c>
      <c r="H781" s="5" t="inlineStr">
        <is>
          <t>Junio</t>
        </is>
      </c>
      <c r="I781" s="6" t="inlineStr">
        <is>
          <t>2025-1</t>
        </is>
      </c>
      <c r="J781" s="73" t="n"/>
      <c r="K781" s="9" t="n">
        <v>1099</v>
      </c>
      <c r="L781" s="14" t="n"/>
      <c r="M781" s="14" t="n"/>
      <c r="N781" s="5" t="inlineStr">
        <is>
          <t>Metrica</t>
        </is>
      </c>
      <c r="O781" s="5" t="inlineStr">
        <is>
          <t>Metrica</t>
        </is>
      </c>
      <c r="P781" s="5" t="n">
        <v>0</v>
      </c>
      <c r="Q781" s="5" t="n">
        <v>0</v>
      </c>
      <c r="R781" s="5" t="inlineStr">
        <is>
          <t>286-2025-06-30</t>
        </is>
      </c>
      <c r="S781" t="inlineStr">
        <is>
          <t>Metrica</t>
        </is>
      </c>
    </row>
    <row r="782" hidden="1">
      <c r="A782" s="5" t="n">
        <v>286</v>
      </c>
      <c r="B782" s="5" t="inlineStr">
        <is>
          <t>Total docentes por nivel de estudios - Metrica</t>
        </is>
      </c>
      <c r="C782" s="5" t="inlineStr">
        <is>
          <t>Gestión Docente</t>
        </is>
      </c>
      <c r="D782" s="5" t="inlineStr">
        <is>
          <t>Trimestral</t>
        </is>
      </c>
      <c r="E782" s="5" t="inlineStr">
        <is>
          <t>Positivo</t>
        </is>
      </c>
      <c r="F782" s="109" t="n">
        <v>46022</v>
      </c>
      <c r="G782" s="5" t="n">
        <v>2025</v>
      </c>
      <c r="H782" s="5" t="inlineStr">
        <is>
          <t>Diciembre</t>
        </is>
      </c>
      <c r="I782" s="6" t="inlineStr">
        <is>
          <t>2025-2</t>
        </is>
      </c>
      <c r="J782" s="73" t="n"/>
      <c r="K782" s="9" t="n">
        <v>1071</v>
      </c>
      <c r="L782" s="14" t="n"/>
      <c r="M782" s="14" t="n"/>
      <c r="N782" s="5" t="inlineStr">
        <is>
          <t>Metrica</t>
        </is>
      </c>
      <c r="O782" s="5" t="inlineStr">
        <is>
          <t>Metrica</t>
        </is>
      </c>
      <c r="P782" s="5" t="n">
        <v>0</v>
      </c>
      <c r="Q782" s="5" t="n">
        <v>0</v>
      </c>
      <c r="R782" s="5" t="inlineStr">
        <is>
          <t>286-2025-12-31</t>
        </is>
      </c>
      <c r="S782" t="inlineStr">
        <is>
          <t>Metrica</t>
        </is>
      </c>
    </row>
    <row r="783" hidden="1">
      <c r="A783" s="28" t="n">
        <v>288</v>
      </c>
      <c r="B783" s="5" t="inlineStr">
        <is>
          <t>Número docentes escalafonados presentados en convocatoria</t>
        </is>
      </c>
      <c r="C783" s="5" t="inlineStr">
        <is>
          <t>Gestión Docente</t>
        </is>
      </c>
      <c r="D783" s="5" t="inlineStr">
        <is>
          <t>Semestral</t>
        </is>
      </c>
      <c r="E783" s="5" t="inlineStr">
        <is>
          <t>Positivo</t>
        </is>
      </c>
      <c r="F783" s="109" t="n">
        <v>45107</v>
      </c>
      <c r="G783" s="5" t="n">
        <v>2023</v>
      </c>
      <c r="H783" s="5" t="inlineStr">
        <is>
          <t>Junio</t>
        </is>
      </c>
      <c r="I783" s="6" t="inlineStr">
        <is>
          <t>2023-1</t>
        </is>
      </c>
      <c r="J783" s="9" t="n">
        <v>85</v>
      </c>
      <c r="K783" s="9" t="n">
        <v>112.5</v>
      </c>
      <c r="L783" s="74" t="n">
        <v>1.3</v>
      </c>
      <c r="M783" s="14" t="n">
        <v>1.323529411764706</v>
      </c>
      <c r="N783" s="5" t="n"/>
      <c r="O783" s="5" t="n"/>
      <c r="P783" s="5" t="n">
        <v>0</v>
      </c>
      <c r="Q783" s="5" t="n">
        <v>0</v>
      </c>
      <c r="R783" s="5" t="inlineStr">
        <is>
          <t>288-2023-06-30</t>
        </is>
      </c>
    </row>
    <row r="784" hidden="1">
      <c r="A784" s="26" t="n">
        <v>288</v>
      </c>
      <c r="B784" s="5" t="inlineStr">
        <is>
          <t>Número docentes escalafonados presentados en convocatoria</t>
        </is>
      </c>
      <c r="C784" s="5" t="inlineStr">
        <is>
          <t>Gestión Docente</t>
        </is>
      </c>
      <c r="D784" s="5" t="inlineStr">
        <is>
          <t>Semestral</t>
        </is>
      </c>
      <c r="E784" s="5" t="inlineStr">
        <is>
          <t>Positivo</t>
        </is>
      </c>
      <c r="F784" s="109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9" t="n">
        <v>85</v>
      </c>
      <c r="K784" s="23" t="n">
        <v>112.5</v>
      </c>
      <c r="L784" s="74" t="n">
        <v>1.3</v>
      </c>
      <c r="M784" s="14" t="n">
        <v>1.323529411764706</v>
      </c>
      <c r="N784" s="5" t="n"/>
      <c r="O784" s="5" t="n"/>
      <c r="P784" s="5" t="n">
        <v>0</v>
      </c>
      <c r="Q784" s="5" t="n">
        <v>0</v>
      </c>
      <c r="R784" s="5" t="inlineStr">
        <is>
          <t>288-2023-12-31</t>
        </is>
      </c>
    </row>
    <row r="785" hidden="1">
      <c r="A785" s="26" t="n">
        <v>288</v>
      </c>
      <c r="B785" s="5" t="inlineStr">
        <is>
          <t>Número docentes escalafonados presentados en convocatoria</t>
        </is>
      </c>
      <c r="C785" s="5" t="inlineStr">
        <is>
          <t>Gestión Docente</t>
        </is>
      </c>
      <c r="D785" s="5" t="inlineStr">
        <is>
          <t>Semestral</t>
        </is>
      </c>
      <c r="E785" s="5" t="inlineStr">
        <is>
          <t>Positivo</t>
        </is>
      </c>
      <c r="F785" s="109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96" t="n">
        <v>85</v>
      </c>
      <c r="K785" s="96" t="n">
        <v>185.71428571429</v>
      </c>
      <c r="L785" s="74" t="n">
        <v>1.3</v>
      </c>
      <c r="M785" s="14" t="n">
        <v>2.184873949579882</v>
      </c>
      <c r="N785" s="5" t="n"/>
      <c r="O785" s="5" t="n"/>
      <c r="P785" s="5" t="n">
        <v>0</v>
      </c>
      <c r="Q785" s="5" t="n">
        <v>0</v>
      </c>
      <c r="R785" s="5" t="inlineStr">
        <is>
          <t>288-2024-06-30</t>
        </is>
      </c>
    </row>
    <row r="786" hidden="1">
      <c r="A786" s="5" t="n">
        <v>288</v>
      </c>
      <c r="B786" s="5" t="inlineStr">
        <is>
          <t>Número docentes escalafonados presentados en convocatoria</t>
        </is>
      </c>
      <c r="C786" s="5" t="inlineStr">
        <is>
          <t>Gestión Docente</t>
        </is>
      </c>
      <c r="D786" s="5" t="inlineStr">
        <is>
          <t>Semestral</t>
        </is>
      </c>
      <c r="E786" s="5" t="inlineStr">
        <is>
          <t>Positivo</t>
        </is>
      </c>
      <c r="F786" s="109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85</v>
      </c>
      <c r="K786" s="5" t="n"/>
      <c r="L786" s="14" t="n"/>
      <c r="M786" s="14" t="n"/>
      <c r="N786" s="5" t="inlineStr">
        <is>
          <t>ENT</t>
        </is>
      </c>
      <c r="O786" s="5" t="inlineStr">
        <is>
          <t>N/A</t>
        </is>
      </c>
      <c r="P786" s="5" t="n">
        <v>0</v>
      </c>
      <c r="Q786" s="5" t="n">
        <v>0</v>
      </c>
      <c r="R786" s="5" t="inlineStr">
        <is>
          <t>288-2024-12-31</t>
        </is>
      </c>
    </row>
    <row r="787" hidden="1">
      <c r="A787" s="26" t="n">
        <v>288</v>
      </c>
      <c r="B787" s="5" t="inlineStr">
        <is>
          <t>Número docentes escalafonados presentados en convocatoria</t>
        </is>
      </c>
      <c r="C787" s="5" t="inlineStr">
        <is>
          <t>Gestión Docente</t>
        </is>
      </c>
      <c r="D787" s="5" t="inlineStr">
        <is>
          <t>Anual</t>
        </is>
      </c>
      <c r="E787" s="5" t="inlineStr">
        <is>
          <t>Positivo</t>
        </is>
      </c>
      <c r="F787" s="109" t="n">
        <v>45838</v>
      </c>
      <c r="G787" s="5" t="n">
        <v>2025</v>
      </c>
      <c r="H787" s="5" t="inlineStr">
        <is>
          <t>Junio</t>
        </is>
      </c>
      <c r="I787" s="6" t="inlineStr">
        <is>
          <t>2025-1</t>
        </is>
      </c>
      <c r="J787" s="5" t="n">
        <v>100</v>
      </c>
      <c r="K787" s="5" t="n">
        <v>100</v>
      </c>
      <c r="L787" s="74" t="n">
        <v>1</v>
      </c>
      <c r="M787" s="14" t="n">
        <v>1</v>
      </c>
      <c r="N787" s="5" t="inlineStr">
        <is>
          <t>ENT</t>
        </is>
      </c>
      <c r="O787" s="5" t="inlineStr">
        <is>
          <t>ENT</t>
        </is>
      </c>
      <c r="P787" s="5" t="n">
        <v>0</v>
      </c>
      <c r="Q787" s="5" t="n">
        <v>0</v>
      </c>
      <c r="R787" s="5" t="inlineStr">
        <is>
          <t>288-2025-06-30</t>
        </is>
      </c>
    </row>
    <row r="788" hidden="1">
      <c r="A788" s="26" t="n">
        <v>289</v>
      </c>
      <c r="B788" s="5" t="inlineStr">
        <is>
          <t>Cumplimiento plan de comunicaciones SGC</t>
        </is>
      </c>
      <c r="C788" s="5" t="inlineStr">
        <is>
          <t>Gestión de calidad</t>
        </is>
      </c>
      <c r="D788" s="5" t="inlineStr">
        <is>
          <t>Trimestral</t>
        </is>
      </c>
      <c r="E788" s="5" t="inlineStr">
        <is>
          <t>Positivo</t>
        </is>
      </c>
      <c r="F788" s="109" t="n">
        <v>45016</v>
      </c>
      <c r="G788" s="5" t="n">
        <v>2023</v>
      </c>
      <c r="H788" s="5" t="inlineStr">
        <is>
          <t>Marzo</t>
        </is>
      </c>
      <c r="I788" s="6" t="inlineStr">
        <is>
          <t>2023-1</t>
        </is>
      </c>
      <c r="J788" s="5" t="n">
        <v>95</v>
      </c>
      <c r="K788" s="5" t="n">
        <v>0</v>
      </c>
      <c r="L788" s="74" t="n">
        <v>0</v>
      </c>
      <c r="M788" s="14" t="n">
        <v>0</v>
      </c>
      <c r="N788" s="5" t="inlineStr">
        <is>
          <t>N/A</t>
        </is>
      </c>
      <c r="O788" s="5" t="inlineStr">
        <is>
          <t>N/A</t>
        </is>
      </c>
      <c r="P788" s="5" t="n">
        <v>0</v>
      </c>
      <c r="Q788" s="5" t="n">
        <v>0</v>
      </c>
      <c r="R788" s="5" t="inlineStr">
        <is>
          <t>289-2023-03-31</t>
        </is>
      </c>
    </row>
    <row r="789" hidden="1">
      <c r="A789" s="26" t="n">
        <v>289</v>
      </c>
      <c r="B789" s="5" t="inlineStr">
        <is>
          <t>Cumplimiento plan de comunicaciones SGC</t>
        </is>
      </c>
      <c r="C789" s="5" t="inlineStr">
        <is>
          <t>Gestión de calidad</t>
        </is>
      </c>
      <c r="D789" s="5" t="inlineStr">
        <is>
          <t>Trimestral</t>
        </is>
      </c>
      <c r="E789" s="5" t="inlineStr">
        <is>
          <t>Positivo</t>
        </is>
      </c>
      <c r="F789" s="109" t="n">
        <v>45107</v>
      </c>
      <c r="G789" s="5" t="n">
        <v>2023</v>
      </c>
      <c r="H789" s="5" t="inlineStr">
        <is>
          <t>Junio</t>
        </is>
      </c>
      <c r="I789" s="6" t="inlineStr">
        <is>
          <t>2023-1</t>
        </is>
      </c>
      <c r="J789" s="5" t="n">
        <v>95</v>
      </c>
      <c r="K789" s="5" t="n">
        <v>85.71428571428601</v>
      </c>
      <c r="L789" s="74" t="n">
        <v>0.9022556390977474</v>
      </c>
      <c r="M789" s="14" t="n">
        <v>0.9022556390977474</v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289-2023-06-30</t>
        </is>
      </c>
    </row>
    <row r="790" hidden="1">
      <c r="A790" s="5" t="n">
        <v>289</v>
      </c>
      <c r="B790" s="5" t="inlineStr">
        <is>
          <t>Cumplimiento plan de comunicaciones SGC</t>
        </is>
      </c>
      <c r="C790" s="5" t="inlineStr">
        <is>
          <t>Gestión de calidad</t>
        </is>
      </c>
      <c r="D790" s="5" t="inlineStr">
        <is>
          <t>Trimestral</t>
        </is>
      </c>
      <c r="E790" s="5" t="inlineStr">
        <is>
          <t>Positivo</t>
        </is>
      </c>
      <c r="F790" s="109" t="n">
        <v>45199</v>
      </c>
      <c r="G790" s="5" t="n">
        <v>2023</v>
      </c>
      <c r="H790" s="5" t="inlineStr">
        <is>
          <t>Septiembre</t>
        </is>
      </c>
      <c r="I790" s="6" t="inlineStr">
        <is>
          <t>2023-2</t>
        </is>
      </c>
      <c r="J790" s="5" t="n">
        <v>95</v>
      </c>
      <c r="K790" s="5" t="n">
        <v>87.5</v>
      </c>
      <c r="L790" s="74" t="n">
        <v>0.9210526315789473</v>
      </c>
      <c r="M790" s="14" t="n">
        <v>0.9210526315789473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289-2023-09-30</t>
        </is>
      </c>
    </row>
    <row r="791" hidden="1">
      <c r="A791" s="26" t="n">
        <v>289</v>
      </c>
      <c r="B791" s="5" t="inlineStr">
        <is>
          <t>Cumplimiento plan de comunicaciones SGC</t>
        </is>
      </c>
      <c r="C791" s="5" t="inlineStr">
        <is>
          <t>Gestión de calidad</t>
        </is>
      </c>
      <c r="D791" s="5" t="inlineStr">
        <is>
          <t>Trimestral</t>
        </is>
      </c>
      <c r="E791" s="5" t="inlineStr">
        <is>
          <t>Positivo</t>
        </is>
      </c>
      <c r="F791" s="109" t="n">
        <v>45291</v>
      </c>
      <c r="G791" s="5" t="n">
        <v>2023</v>
      </c>
      <c r="H791" s="5" t="inlineStr">
        <is>
          <t>Diciembre</t>
        </is>
      </c>
      <c r="I791" s="6" t="inlineStr">
        <is>
          <t>2023-2</t>
        </is>
      </c>
      <c r="J791" s="5" t="n">
        <v>95</v>
      </c>
      <c r="K791" s="5" t="n">
        <v>87.5</v>
      </c>
      <c r="L791" s="74" t="n">
        <v>0.9210526315789473</v>
      </c>
      <c r="M791" s="14" t="n">
        <v>0.9210526315789473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289-2023-12-31</t>
        </is>
      </c>
    </row>
    <row r="792" hidden="1">
      <c r="A792" s="26" t="n">
        <v>289</v>
      </c>
      <c r="B792" s="5" t="inlineStr">
        <is>
          <t>Cumplimiento plan de comunicaciones SGC</t>
        </is>
      </c>
      <c r="C792" s="5" t="inlineStr">
        <is>
          <t>Gestión de calidad</t>
        </is>
      </c>
      <c r="D792" s="5" t="inlineStr">
        <is>
          <t>Trimestral</t>
        </is>
      </c>
      <c r="E792" s="5" t="inlineStr">
        <is>
          <t>Positivo</t>
        </is>
      </c>
      <c r="F792" s="109" t="n">
        <v>45473</v>
      </c>
      <c r="G792" s="5" t="n">
        <v>2024</v>
      </c>
      <c r="H792" s="5" t="inlineStr">
        <is>
          <t>Junio</t>
        </is>
      </c>
      <c r="I792" s="6" t="inlineStr">
        <is>
          <t>2024-1</t>
        </is>
      </c>
      <c r="J792" s="5" t="n">
        <v>95</v>
      </c>
      <c r="K792" s="5" t="n">
        <v>100</v>
      </c>
      <c r="L792" s="74" t="n">
        <v>1.052631578947368</v>
      </c>
      <c r="M792" s="14" t="n">
        <v>1.052631578947368</v>
      </c>
      <c r="N792" s="5" t="n"/>
      <c r="O792" s="5" t="n"/>
      <c r="P792" s="5" t="n">
        <v>0</v>
      </c>
      <c r="Q792" s="5" t="n">
        <v>0</v>
      </c>
      <c r="R792" s="5" t="inlineStr">
        <is>
          <t>289-2024-06-30</t>
        </is>
      </c>
    </row>
    <row r="793" hidden="1">
      <c r="A793" s="26" t="n">
        <v>289</v>
      </c>
      <c r="B793" s="5" t="inlineStr">
        <is>
          <t>Cumplimiento plan de comunicaciones SGC</t>
        </is>
      </c>
      <c r="C793" s="5" t="inlineStr">
        <is>
          <t>Gestión de calidad</t>
        </is>
      </c>
      <c r="D793" s="5" t="inlineStr">
        <is>
          <t>Trimestral</t>
        </is>
      </c>
      <c r="E793" s="5" t="inlineStr">
        <is>
          <t>Positivo</t>
        </is>
      </c>
      <c r="F793" s="109" t="n">
        <v>45657</v>
      </c>
      <c r="G793" s="5" t="n">
        <v>2024</v>
      </c>
      <c r="H793" s="5" t="inlineStr">
        <is>
          <t>Diciembre</t>
        </is>
      </c>
      <c r="I793" s="6" t="inlineStr">
        <is>
          <t>2024-2</t>
        </is>
      </c>
      <c r="J793" s="5" t="n">
        <v>95</v>
      </c>
      <c r="K793" s="5" t="n">
        <v>100</v>
      </c>
      <c r="L793" s="74" t="n">
        <v>1.052631578947368</v>
      </c>
      <c r="M793" s="14" t="n">
        <v>1.052631578947368</v>
      </c>
      <c r="N793" s="5" t="n"/>
      <c r="O793" s="5" t="n"/>
      <c r="P793" s="5" t="n">
        <v>0</v>
      </c>
      <c r="Q793" s="5" t="n">
        <v>0</v>
      </c>
      <c r="R793" s="5" t="inlineStr">
        <is>
          <t>289-2024-12-31</t>
        </is>
      </c>
    </row>
    <row r="794" hidden="1">
      <c r="A794" s="5" t="n">
        <v>290</v>
      </c>
      <c r="B794" s="5" t="inlineStr">
        <is>
          <t>Cierre eficaz de las oportunidades de mejora</t>
        </is>
      </c>
      <c r="C794" s="5" t="inlineStr">
        <is>
          <t>Planificación POLISIGS</t>
        </is>
      </c>
      <c r="D794" s="5" t="inlineStr">
        <is>
          <t>Bimestral</t>
        </is>
      </c>
      <c r="E794" s="5" t="inlineStr">
        <is>
          <t>Positivo</t>
        </is>
      </c>
      <c r="F794" s="109" t="n">
        <v>45107</v>
      </c>
      <c r="G794" s="5" t="n">
        <v>2023</v>
      </c>
      <c r="H794" s="5" t="inlineStr">
        <is>
          <t>Junio</t>
        </is>
      </c>
      <c r="I794" s="6" t="inlineStr">
        <is>
          <t>2023-1</t>
        </is>
      </c>
      <c r="J794" s="5" t="n">
        <v>90</v>
      </c>
      <c r="K794" s="5" t="n">
        <v>100</v>
      </c>
      <c r="L794" s="74" t="n">
        <v>1.111111111111111</v>
      </c>
      <c r="M794" s="14" t="n">
        <v>1.111111111111111</v>
      </c>
      <c r="N794" s="5" t="n"/>
      <c r="O794" s="5" t="n"/>
      <c r="P794" s="5" t="n">
        <v>1</v>
      </c>
      <c r="Q794" s="5" t="n">
        <v>1</v>
      </c>
      <c r="R794" s="5" t="inlineStr">
        <is>
          <t>290-2023-06-30</t>
        </is>
      </c>
    </row>
    <row r="795" hidden="1">
      <c r="A795" s="26" t="n">
        <v>290</v>
      </c>
      <c r="B795" s="5" t="inlineStr">
        <is>
          <t>Cierre eficaz de las oportunidades de mejora</t>
        </is>
      </c>
      <c r="C795" s="5" t="inlineStr">
        <is>
          <t>Planificación POLISIGS</t>
        </is>
      </c>
      <c r="D795" s="5" t="inlineStr">
        <is>
          <t>Bimestral</t>
        </is>
      </c>
      <c r="E795" s="5" t="inlineStr">
        <is>
          <t>Positivo</t>
        </is>
      </c>
      <c r="F795" s="109" t="n">
        <v>45168</v>
      </c>
      <c r="G795" s="5" t="n">
        <v>2023</v>
      </c>
      <c r="H795" s="5" t="inlineStr">
        <is>
          <t>Agosto</t>
        </is>
      </c>
      <c r="I795" s="6" t="inlineStr">
        <is>
          <t>2023-2</t>
        </is>
      </c>
      <c r="J795" s="5" t="n">
        <v>90</v>
      </c>
      <c r="K795" s="5" t="n">
        <v>81.81999999999999</v>
      </c>
      <c r="L795" s="74" t="n">
        <v>0.909111111111111</v>
      </c>
      <c r="M795" s="14" t="n">
        <v>0.909111111111111</v>
      </c>
      <c r="N795" s="5" t="n"/>
      <c r="O795" s="5" t="n"/>
      <c r="P795" s="5" t="n">
        <v>1</v>
      </c>
      <c r="Q795" s="5" t="n">
        <v>1</v>
      </c>
      <c r="R795" s="5" t="inlineStr">
        <is>
          <t>290-2023-08-30</t>
        </is>
      </c>
    </row>
    <row r="796" hidden="1">
      <c r="A796" s="26" t="n">
        <v>290</v>
      </c>
      <c r="B796" s="5" t="inlineStr">
        <is>
          <t>Cierre eficaz de las oportunidades de mejora</t>
        </is>
      </c>
      <c r="C796" s="5" t="inlineStr">
        <is>
          <t>Planificación POLISIGS</t>
        </is>
      </c>
      <c r="D796" s="5" t="inlineStr">
        <is>
          <t>Bimestral</t>
        </is>
      </c>
      <c r="E796" s="5" t="inlineStr">
        <is>
          <t>Positivo</t>
        </is>
      </c>
      <c r="F796" s="109" t="n">
        <v>45230</v>
      </c>
      <c r="G796" s="5" t="n">
        <v>2023</v>
      </c>
      <c r="H796" s="5" t="inlineStr">
        <is>
          <t>Octubre</t>
        </is>
      </c>
      <c r="I796" s="6" t="inlineStr">
        <is>
          <t>2023-2</t>
        </is>
      </c>
      <c r="J796" s="5" t="n">
        <v>90</v>
      </c>
      <c r="K796" s="5" t="n">
        <v>90.91</v>
      </c>
      <c r="L796" s="74" t="n">
        <v>1.010111111111111</v>
      </c>
      <c r="M796" s="14" t="n">
        <v>1.010111111111111</v>
      </c>
      <c r="N796" s="5" t="n"/>
      <c r="O796" s="5" t="n"/>
      <c r="P796" s="5" t="n">
        <v>1</v>
      </c>
      <c r="Q796" s="5" t="n">
        <v>1</v>
      </c>
      <c r="R796" s="5" t="inlineStr">
        <is>
          <t>290-2023-10-31</t>
        </is>
      </c>
    </row>
    <row r="797" hidden="1">
      <c r="A797" s="26" t="n">
        <v>290</v>
      </c>
      <c r="B797" s="5" t="inlineStr">
        <is>
          <t>Cierre eficaz de las oportunidades de mejora</t>
        </is>
      </c>
      <c r="C797" s="5" t="inlineStr">
        <is>
          <t>Planificación POLISIGS</t>
        </is>
      </c>
      <c r="D797" s="5" t="inlineStr">
        <is>
          <t>Bimestral</t>
        </is>
      </c>
      <c r="E797" s="5" t="inlineStr">
        <is>
          <t>Positivo</t>
        </is>
      </c>
      <c r="F797" s="109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3" t="n">
        <v>90</v>
      </c>
      <c r="K797" s="9" t="n"/>
      <c r="L797" s="74" t="n"/>
      <c r="M797" s="14" t="n"/>
      <c r="N797" s="5" t="n"/>
      <c r="O797" s="5" t="n"/>
      <c r="P797" s="5" t="n">
        <v>1</v>
      </c>
      <c r="Q797" s="5" t="n">
        <v>1</v>
      </c>
      <c r="R797" s="5" t="inlineStr">
        <is>
          <t>290-2023-12-31</t>
        </is>
      </c>
    </row>
    <row r="798" hidden="1">
      <c r="A798" s="5" t="n">
        <v>290</v>
      </c>
      <c r="B798" s="5" t="inlineStr">
        <is>
          <t>Cierre eficaz de las oportunidades de mejora</t>
        </is>
      </c>
      <c r="C798" s="5" t="inlineStr">
        <is>
          <t>Planificación POLISIGS</t>
        </is>
      </c>
      <c r="D798" s="5" t="inlineStr">
        <is>
          <t>Bimestral</t>
        </is>
      </c>
      <c r="E798" s="5" t="inlineStr">
        <is>
          <t>Positivo</t>
        </is>
      </c>
      <c r="F798" s="109" t="n">
        <v>45473</v>
      </c>
      <c r="G798" s="5" t="n">
        <v>2024</v>
      </c>
      <c r="H798" s="5" t="inlineStr">
        <is>
          <t>Junio</t>
        </is>
      </c>
      <c r="I798" s="6" t="inlineStr">
        <is>
          <t>2024-1</t>
        </is>
      </c>
      <c r="J798" s="3" t="n">
        <v>90</v>
      </c>
      <c r="K798" s="9" t="n">
        <v>100</v>
      </c>
      <c r="L798" s="14" t="n">
        <v>1.111111111111111</v>
      </c>
      <c r="M798" s="14" t="n">
        <v>1.111111111111111</v>
      </c>
      <c r="N798" s="5" t="n"/>
      <c r="O798" s="5" t="n"/>
      <c r="P798" s="5" t="n">
        <v>0</v>
      </c>
      <c r="Q798" s="5" t="n">
        <v>0</v>
      </c>
      <c r="R798" s="5" t="inlineStr">
        <is>
          <t>290-2024-06-30</t>
        </is>
      </c>
    </row>
    <row r="799" hidden="1">
      <c r="A799" s="26" t="n">
        <v>290</v>
      </c>
      <c r="B799" s="5" t="inlineStr">
        <is>
          <t>Cierre eficaz de las oportunidades de mejora</t>
        </is>
      </c>
      <c r="C799" s="5" t="inlineStr">
        <is>
          <t>Planificación POLISIGS</t>
        </is>
      </c>
      <c r="D799" s="5" t="inlineStr">
        <is>
          <t>Bimestral</t>
        </is>
      </c>
      <c r="E799" s="5" t="inlineStr">
        <is>
          <t>Positivo</t>
        </is>
      </c>
      <c r="F799" s="109" t="n">
        <v>45657</v>
      </c>
      <c r="G799" s="5" t="n">
        <v>2024</v>
      </c>
      <c r="H799" s="5" t="inlineStr">
        <is>
          <t>Diciembre</t>
        </is>
      </c>
      <c r="I799" s="6" t="inlineStr">
        <is>
          <t>2024-2</t>
        </is>
      </c>
      <c r="J799" s="5" t="n">
        <v>90</v>
      </c>
      <c r="K799" s="9" t="n">
        <v>100</v>
      </c>
      <c r="L799" s="14" t="n">
        <v>1.111111111111111</v>
      </c>
      <c r="M799" s="14" t="n">
        <v>1.111111111111111</v>
      </c>
      <c r="N799" s="5" t="n"/>
      <c r="O799" s="5" t="n"/>
      <c r="P799" s="5" t="n">
        <v>0</v>
      </c>
      <c r="Q799" s="5" t="n">
        <v>0</v>
      </c>
      <c r="R799" s="5" t="inlineStr">
        <is>
          <t>290-2024-12-31</t>
        </is>
      </c>
    </row>
    <row r="800" hidden="1">
      <c r="A800" s="26" t="n">
        <v>290</v>
      </c>
      <c r="B800" s="5" t="inlineStr">
        <is>
          <t>Cierre eficaz de las oportunidades de mejora</t>
        </is>
      </c>
      <c r="C800" s="5" t="inlineStr">
        <is>
          <t>Planificación POLISIGS</t>
        </is>
      </c>
      <c r="D800" s="5" t="inlineStr">
        <is>
          <t>Bimestral</t>
        </is>
      </c>
      <c r="E800" s="5" t="inlineStr">
        <is>
          <t>Positivo</t>
        </is>
      </c>
      <c r="F800" s="109" t="n">
        <v>45838</v>
      </c>
      <c r="G800" s="5" t="n">
        <v>2025</v>
      </c>
      <c r="H800" s="5" t="inlineStr">
        <is>
          <t>Junio</t>
        </is>
      </c>
      <c r="I800" s="6" t="inlineStr">
        <is>
          <t>2025-1</t>
        </is>
      </c>
      <c r="J800" s="5" t="n">
        <v>90</v>
      </c>
      <c r="K800" s="9" t="n">
        <v>93.33</v>
      </c>
      <c r="L800" s="14" t="n">
        <v>1.037</v>
      </c>
      <c r="M800" s="14" t="n">
        <v>1.037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290-2025-06-30</t>
        </is>
      </c>
    </row>
    <row r="801" hidden="1">
      <c r="A801" s="26" t="n">
        <v>291</v>
      </c>
      <c r="B801" s="5" t="inlineStr">
        <is>
          <t>Cumplimiento del cronograma de actividades deportivas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09" t="n">
        <v>45107</v>
      </c>
      <c r="G801" s="5" t="n">
        <v>2023</v>
      </c>
      <c r="H801" s="5" t="inlineStr">
        <is>
          <t>Junio</t>
        </is>
      </c>
      <c r="I801" s="6" t="inlineStr">
        <is>
          <t>2023-1</t>
        </is>
      </c>
      <c r="J801" s="5" t="n">
        <v>100</v>
      </c>
      <c r="K801" s="9" t="n">
        <v>100</v>
      </c>
      <c r="L801" s="14" t="n">
        <v>1</v>
      </c>
      <c r="M801" s="14" t="n">
        <v>1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291-2023-06-30</t>
        </is>
      </c>
    </row>
    <row r="802" hidden="1">
      <c r="A802" s="5" t="n">
        <v>291</v>
      </c>
      <c r="B802" s="5" t="inlineStr">
        <is>
          <t>Cumplimiento del cronograma de actividades deportivas</t>
        </is>
      </c>
      <c r="C802" s="5" t="inlineStr">
        <is>
          <t>Cultura y Deporte</t>
        </is>
      </c>
      <c r="D802" s="5" t="inlineStr">
        <is>
          <t>Semestral</t>
        </is>
      </c>
      <c r="E802" s="5" t="inlineStr">
        <is>
          <t>Positivo</t>
        </is>
      </c>
      <c r="F802" s="109" t="n">
        <v>45291</v>
      </c>
      <c r="G802" s="5" t="n">
        <v>2023</v>
      </c>
      <c r="H802" s="5" t="inlineStr">
        <is>
          <t>Diciembre</t>
        </is>
      </c>
      <c r="I802" s="6" t="inlineStr">
        <is>
          <t>2023-2</t>
        </is>
      </c>
      <c r="J802" s="5" t="n">
        <v>100</v>
      </c>
      <c r="K802" s="10" t="n">
        <v>100</v>
      </c>
      <c r="L802" s="14" t="n">
        <v>1</v>
      </c>
      <c r="M802" s="14" t="n">
        <v>1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291-2023-12-31</t>
        </is>
      </c>
    </row>
    <row r="803" hidden="1">
      <c r="A803" s="5" t="n">
        <v>291</v>
      </c>
      <c r="B803" s="5" t="inlineStr">
        <is>
          <t>Cumplimiento del cronograma de actividades deportivas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108" t="n">
        <v>45473</v>
      </c>
      <c r="G803" s="15" t="n">
        <v>2024</v>
      </c>
      <c r="H803" s="6" t="inlineStr">
        <is>
          <t>Junio</t>
        </is>
      </c>
      <c r="I803" s="27" t="inlineStr">
        <is>
          <t>2024-1</t>
        </is>
      </c>
      <c r="J803" s="5" t="n">
        <v>100</v>
      </c>
      <c r="K803" s="11" t="n">
        <v>100</v>
      </c>
      <c r="L803" s="14" t="n">
        <v>1</v>
      </c>
      <c r="M803" s="14" t="n">
        <v>1</v>
      </c>
      <c r="N803" s="5" t="n"/>
      <c r="O803" s="5" t="n"/>
      <c r="P803" s="5" t="n">
        <v>0</v>
      </c>
      <c r="Q803" s="5" t="n">
        <v>0</v>
      </c>
      <c r="R803" s="5" t="inlineStr">
        <is>
          <t>291-2024-06-30</t>
        </is>
      </c>
    </row>
    <row r="804" hidden="1">
      <c r="A804" s="26" t="n">
        <v>291</v>
      </c>
      <c r="B804" s="5" t="inlineStr">
        <is>
          <t>Cumplimiento del cronograma de actividades deportivas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109" t="n">
        <v>45657</v>
      </c>
      <c r="G804" s="5" t="n">
        <v>2024</v>
      </c>
      <c r="H804" s="5" t="inlineStr">
        <is>
          <t>Diciembre</t>
        </is>
      </c>
      <c r="I804" s="6" t="inlineStr">
        <is>
          <t>2024-2</t>
        </is>
      </c>
      <c r="J804" s="5" t="n">
        <v>100</v>
      </c>
      <c r="K804" s="5" t="n">
        <v>100</v>
      </c>
      <c r="L804" s="14" t="n">
        <v>1</v>
      </c>
      <c r="M804" s="14" t="n">
        <v>1</v>
      </c>
      <c r="N804" s="5" t="n"/>
      <c r="O804" s="5" t="n"/>
      <c r="P804" s="5" t="n">
        <v>0</v>
      </c>
      <c r="Q804" s="5" t="n">
        <v>0</v>
      </c>
      <c r="R804" s="5" t="inlineStr">
        <is>
          <t>291-2024-12-31</t>
        </is>
      </c>
    </row>
    <row r="805" hidden="1">
      <c r="A805" s="5" t="n">
        <v>292</v>
      </c>
      <c r="B805" s="5" t="inlineStr">
        <is>
          <t>Participación en Actividades deportivas presenciales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09" t="n">
        <v>45107</v>
      </c>
      <c r="G805" s="5" t="n">
        <v>2023</v>
      </c>
      <c r="H805" s="5" t="inlineStr">
        <is>
          <t>Junio</t>
        </is>
      </c>
      <c r="I805" s="6" t="inlineStr">
        <is>
          <t>2023-1</t>
        </is>
      </c>
      <c r="J805" s="5" t="n">
        <v>3</v>
      </c>
      <c r="K805" s="5" t="n">
        <v>10.990099009901</v>
      </c>
      <c r="L805" s="14" t="n">
        <v>1.3</v>
      </c>
      <c r="M805" s="14" t="n">
        <v>3.663366336633667</v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292-2023-06-30</t>
        </is>
      </c>
    </row>
    <row r="806" hidden="1">
      <c r="A806" s="5" t="n">
        <v>292</v>
      </c>
      <c r="B806" s="5" t="inlineStr">
        <is>
          <t>Participación en Actividades deportivas presenciales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09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3</v>
      </c>
      <c r="K806" s="96" t="n">
        <v>27.659574468085</v>
      </c>
      <c r="L806" s="14" t="n">
        <v>1.3</v>
      </c>
      <c r="M806" s="14" t="n">
        <v>9.219858156028334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292-2023-12-31</t>
        </is>
      </c>
    </row>
    <row r="807" hidden="1">
      <c r="A807" s="28" t="n">
        <v>292</v>
      </c>
      <c r="B807" s="5" t="inlineStr">
        <is>
          <t>Participación en Actividades deportivas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09" t="n">
        <v>45473</v>
      </c>
      <c r="G807" s="5" t="n">
        <v>2024</v>
      </c>
      <c r="H807" s="5" t="inlineStr">
        <is>
          <t>Junio</t>
        </is>
      </c>
      <c r="I807" s="6" t="inlineStr">
        <is>
          <t>2024-1</t>
        </is>
      </c>
      <c r="J807" s="73" t="n">
        <v>3</v>
      </c>
      <c r="K807" s="9" t="n">
        <v>23.31390507910074</v>
      </c>
      <c r="L807" s="14" t="n">
        <v>1.3</v>
      </c>
      <c r="M807" s="14" t="n">
        <v>7.771301693033579</v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292-2024-06-30</t>
        </is>
      </c>
    </row>
    <row r="808" hidden="1">
      <c r="A808" s="26" t="n">
        <v>292</v>
      </c>
      <c r="B808" s="5" t="inlineStr">
        <is>
          <t>Participación en Actividades deportivas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09" t="n">
        <v>45657</v>
      </c>
      <c r="G808" s="5" t="n">
        <v>2024</v>
      </c>
      <c r="H808" s="5" t="inlineStr">
        <is>
          <t>Diciembre</t>
        </is>
      </c>
      <c r="I808" s="6" t="inlineStr">
        <is>
          <t>2024-2</t>
        </is>
      </c>
      <c r="J808" s="73" t="n">
        <v>3</v>
      </c>
      <c r="K808" s="9" t="n">
        <v>14.26386233269599</v>
      </c>
      <c r="L808" s="14" t="n">
        <v>1.3</v>
      </c>
      <c r="M808" s="14" t="n">
        <v>4.75462077756533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292-2024-12-31</t>
        </is>
      </c>
    </row>
    <row r="809" hidden="1">
      <c r="A809" s="5" t="n">
        <v>292</v>
      </c>
      <c r="B809" s="5" t="inlineStr">
        <is>
          <t>Participación en Actividades deportivas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09" t="n">
        <v>45838</v>
      </c>
      <c r="G809" s="5" t="n">
        <v>2025</v>
      </c>
      <c r="H809" s="5" t="inlineStr">
        <is>
          <t>Junio</t>
        </is>
      </c>
      <c r="I809" s="6" t="inlineStr">
        <is>
          <t>2025-1</t>
        </is>
      </c>
      <c r="J809" s="73" t="n">
        <v>8</v>
      </c>
      <c r="K809" s="9" t="n">
        <v>9.789999999999999</v>
      </c>
      <c r="L809" s="14" t="n">
        <v>1.22375</v>
      </c>
      <c r="M809" s="14" t="n">
        <v>1.22375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292-2025-06-30</t>
        </is>
      </c>
    </row>
    <row r="810" hidden="1">
      <c r="A810" s="5" t="n">
        <v>292</v>
      </c>
      <c r="B810" s="5" t="inlineStr">
        <is>
          <t>Participación en Actividades deportivas</t>
        </is>
      </c>
      <c r="C810" s="5" t="inlineStr">
        <is>
          <t>Cultura y Deporte</t>
        </is>
      </c>
      <c r="D810" s="5" t="inlineStr">
        <is>
          <t>Trimestral</t>
        </is>
      </c>
      <c r="E810" s="5" t="inlineStr">
        <is>
          <t>Positivo</t>
        </is>
      </c>
      <c r="F810" s="109" t="n">
        <v>46022</v>
      </c>
      <c r="G810" s="5" t="n">
        <v>2025</v>
      </c>
      <c r="H810" s="5" t="inlineStr">
        <is>
          <t>Diciembre</t>
        </is>
      </c>
      <c r="I810" s="6" t="inlineStr">
        <is>
          <t>2025-2</t>
        </is>
      </c>
      <c r="J810" s="73" t="n">
        <v>8</v>
      </c>
      <c r="K810" s="9" t="n">
        <v>11.21</v>
      </c>
      <c r="L810" s="14" t="n">
        <v>1.3</v>
      </c>
      <c r="M810" s="14" t="n">
        <v>1.40125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292-2025-12-31</t>
        </is>
      </c>
    </row>
    <row r="811" hidden="1">
      <c r="A811" s="28" t="n">
        <v>293</v>
      </c>
      <c r="B811" s="5" t="inlineStr">
        <is>
          <t>Cumplimiento del cronograma de actividades culturales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09" t="n">
        <v>45107</v>
      </c>
      <c r="G811" s="5" t="n">
        <v>2023</v>
      </c>
      <c r="H811" s="5" t="inlineStr">
        <is>
          <t>Junio</t>
        </is>
      </c>
      <c r="I811" s="6" t="inlineStr">
        <is>
          <t>2023-1</t>
        </is>
      </c>
      <c r="J811" s="5" t="n">
        <v>100</v>
      </c>
      <c r="K811" s="5" t="n">
        <v>100</v>
      </c>
      <c r="L811" s="74" t="n">
        <v>1</v>
      </c>
      <c r="M811" s="14" t="n">
        <v>1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293-2023-06-30</t>
        </is>
      </c>
    </row>
    <row r="812" hidden="1">
      <c r="A812" s="26" t="n">
        <v>293</v>
      </c>
      <c r="B812" s="5" t="inlineStr">
        <is>
          <t>Cumplimiento del cronograma de actividades culturales</t>
        </is>
      </c>
      <c r="C812" s="5" t="inlineStr">
        <is>
          <t>Cultura y Deporte</t>
        </is>
      </c>
      <c r="D812" s="5" t="inlineStr">
        <is>
          <t>Semestral</t>
        </is>
      </c>
      <c r="E812" s="5" t="inlineStr">
        <is>
          <t>Positivo</t>
        </is>
      </c>
      <c r="F812" s="109" t="n">
        <v>45291</v>
      </c>
      <c r="G812" s="5" t="n">
        <v>2023</v>
      </c>
      <c r="H812" s="5" t="inlineStr">
        <is>
          <t>Diciembre</t>
        </is>
      </c>
      <c r="I812" s="6" t="inlineStr">
        <is>
          <t>2023-2</t>
        </is>
      </c>
      <c r="J812" s="5" t="n">
        <v>100</v>
      </c>
      <c r="K812" s="5" t="n">
        <v>100</v>
      </c>
      <c r="L812" s="74" t="n">
        <v>1</v>
      </c>
      <c r="M812" s="14" t="n">
        <v>1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293-2023-12-31</t>
        </is>
      </c>
    </row>
    <row r="813" hidden="1">
      <c r="A813" s="28" t="n">
        <v>293</v>
      </c>
      <c r="B813" s="5" t="inlineStr">
        <is>
          <t>Cumplimiento del cronograma de actividades culturales</t>
        </is>
      </c>
      <c r="C813" s="5" t="inlineStr">
        <is>
          <t>Cultura y Deporte</t>
        </is>
      </c>
      <c r="D813" s="5" t="inlineStr">
        <is>
          <t>Semestral</t>
        </is>
      </c>
      <c r="E813" s="5" t="inlineStr">
        <is>
          <t>Positivo</t>
        </is>
      </c>
      <c r="F813" s="109" t="n">
        <v>45473</v>
      </c>
      <c r="G813" s="5" t="n">
        <v>2024</v>
      </c>
      <c r="H813" s="5" t="inlineStr">
        <is>
          <t>Junio</t>
        </is>
      </c>
      <c r="I813" s="6" t="inlineStr">
        <is>
          <t>2024-1</t>
        </is>
      </c>
      <c r="J813" s="5" t="n">
        <v>100</v>
      </c>
      <c r="K813" s="5" t="n">
        <v>100</v>
      </c>
      <c r="L813" s="74" t="n">
        <v>1</v>
      </c>
      <c r="M813" s="14" t="n">
        <v>1</v>
      </c>
      <c r="N813" s="5" t="n"/>
      <c r="O813" s="5" t="n"/>
      <c r="P813" s="5" t="n">
        <v>0</v>
      </c>
      <c r="Q813" s="5" t="n">
        <v>0</v>
      </c>
      <c r="R813" s="5" t="inlineStr">
        <is>
          <t>293-2024-06-30</t>
        </is>
      </c>
    </row>
    <row r="814" hidden="1">
      <c r="A814" s="26" t="n">
        <v>293</v>
      </c>
      <c r="B814" s="5" t="inlineStr">
        <is>
          <t>Cumplimiento del cronograma de actividades culturales</t>
        </is>
      </c>
      <c r="C814" s="5" t="inlineStr">
        <is>
          <t>Cultura y Deporte</t>
        </is>
      </c>
      <c r="D814" s="5" t="inlineStr">
        <is>
          <t>Semestral</t>
        </is>
      </c>
      <c r="E814" s="5" t="inlineStr">
        <is>
          <t>Positivo</t>
        </is>
      </c>
      <c r="F814" s="109" t="n">
        <v>45657</v>
      </c>
      <c r="G814" s="5" t="n">
        <v>2024</v>
      </c>
      <c r="H814" s="5" t="inlineStr">
        <is>
          <t>Diciembre</t>
        </is>
      </c>
      <c r="I814" s="6" t="inlineStr">
        <is>
          <t>2024-2</t>
        </is>
      </c>
      <c r="J814" s="5" t="n">
        <v>100</v>
      </c>
      <c r="K814" s="5" t="n">
        <v>100</v>
      </c>
      <c r="L814" s="74" t="n">
        <v>1</v>
      </c>
      <c r="M814" s="14" t="n">
        <v>1</v>
      </c>
      <c r="N814" s="5" t="n"/>
      <c r="O814" s="5" t="n"/>
      <c r="P814" s="5" t="n">
        <v>0</v>
      </c>
      <c r="Q814" s="5" t="n">
        <v>0</v>
      </c>
      <c r="R814" s="5" t="inlineStr">
        <is>
          <t>293-2024-12-31</t>
        </is>
      </c>
    </row>
    <row r="815" hidden="1">
      <c r="A815" s="28" t="n">
        <v>294</v>
      </c>
      <c r="B815" s="5" t="inlineStr">
        <is>
          <t>Participación en actividades culturales presenciales</t>
        </is>
      </c>
      <c r="C815" s="5" t="inlineStr">
        <is>
          <t>Cultura y Deporte</t>
        </is>
      </c>
      <c r="D815" s="5" t="inlineStr">
        <is>
          <t>Semestral</t>
        </is>
      </c>
      <c r="E815" s="5" t="inlineStr">
        <is>
          <t>Positivo</t>
        </is>
      </c>
      <c r="F815" s="109" t="n">
        <v>45107</v>
      </c>
      <c r="G815" s="5" t="n">
        <v>2023</v>
      </c>
      <c r="H815" s="5" t="inlineStr">
        <is>
          <t>Junio</t>
        </is>
      </c>
      <c r="I815" s="6" t="inlineStr">
        <is>
          <t>2023-1</t>
        </is>
      </c>
      <c r="J815" s="5" t="n">
        <v>3</v>
      </c>
      <c r="K815" s="5" t="n">
        <v>30.15873015873</v>
      </c>
      <c r="L815" s="74" t="n">
        <v>1.3</v>
      </c>
      <c r="M815" s="14" t="n">
        <v>10.05291005291</v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294-2023-06-30</t>
        </is>
      </c>
    </row>
    <row r="816" hidden="1">
      <c r="A816" s="26" t="n">
        <v>294</v>
      </c>
      <c r="B816" s="5" t="inlineStr">
        <is>
          <t>Participación en actividades culturales presenciales</t>
        </is>
      </c>
      <c r="C816" s="5" t="inlineStr">
        <is>
          <t>Cultura y Deporte</t>
        </is>
      </c>
      <c r="D816" s="5" t="inlineStr">
        <is>
          <t>Semestral</t>
        </is>
      </c>
      <c r="E816" s="5" t="inlineStr">
        <is>
          <t>Positivo</t>
        </is>
      </c>
      <c r="F816" s="109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5" t="n">
        <v>3</v>
      </c>
      <c r="K816" s="5" t="n">
        <v>41.986754966887</v>
      </c>
      <c r="L816" s="74" t="n">
        <v>1.3</v>
      </c>
      <c r="M816" s="14" t="n">
        <v>13.99558498896233</v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294-2023-12-31</t>
        </is>
      </c>
    </row>
    <row r="817" hidden="1">
      <c r="A817" s="5" t="n">
        <v>294</v>
      </c>
      <c r="B817" s="5" t="inlineStr">
        <is>
          <t>Participación en actividades culturales</t>
        </is>
      </c>
      <c r="C817" s="5" t="inlineStr">
        <is>
          <t>Cultura y Deporte</t>
        </is>
      </c>
      <c r="D817" s="5" t="inlineStr">
        <is>
          <t>Semestral</t>
        </is>
      </c>
      <c r="E817" s="5" t="inlineStr">
        <is>
          <t>Positivo</t>
        </is>
      </c>
      <c r="F817" s="109" t="n">
        <v>45473</v>
      </c>
      <c r="G817" s="5" t="n">
        <v>2024</v>
      </c>
      <c r="H817" s="5" t="inlineStr">
        <is>
          <t>Junio</t>
        </is>
      </c>
      <c r="I817" s="6" t="inlineStr">
        <is>
          <t>2024-1</t>
        </is>
      </c>
      <c r="J817" s="5" t="n">
        <v>3</v>
      </c>
      <c r="K817" s="5" t="n">
        <v>26.27669452181987</v>
      </c>
      <c r="L817" s="14" t="n">
        <v>1.3</v>
      </c>
      <c r="M817" s="14" t="n">
        <v>8.758898173939956</v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294-2024-06-30</t>
        </is>
      </c>
    </row>
    <row r="818" hidden="1">
      <c r="A818" s="5" t="n">
        <v>294</v>
      </c>
      <c r="B818" s="5" t="inlineStr">
        <is>
          <t>Participación en actividades culturales</t>
        </is>
      </c>
      <c r="C818" s="5" t="inlineStr">
        <is>
          <t>Cultura y Deporte</t>
        </is>
      </c>
      <c r="D818" s="5" t="inlineStr">
        <is>
          <t>Semestral</t>
        </is>
      </c>
      <c r="E818" s="5" t="inlineStr">
        <is>
          <t>Positivo</t>
        </is>
      </c>
      <c r="F818" s="109" t="n">
        <v>45657</v>
      </c>
      <c r="G818" s="5" t="n">
        <v>2024</v>
      </c>
      <c r="H818" s="5" t="inlineStr">
        <is>
          <t>Diciembre</t>
        </is>
      </c>
      <c r="I818" s="6" t="inlineStr">
        <is>
          <t>2024-2</t>
        </is>
      </c>
      <c r="J818" s="5" t="n">
        <v>3</v>
      </c>
      <c r="K818" s="5" t="n">
        <v>5.5</v>
      </c>
      <c r="L818" s="14" t="n">
        <v>1.3</v>
      </c>
      <c r="M818" s="14" t="n">
        <v>1.833333333333333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294-2024-12-31</t>
        </is>
      </c>
    </row>
    <row r="819" hidden="1">
      <c r="A819" s="34" t="n">
        <v>294</v>
      </c>
      <c r="B819" s="5" t="inlineStr">
        <is>
          <t>Participación en actividades culturales</t>
        </is>
      </c>
      <c r="C819" s="5" t="inlineStr">
        <is>
          <t>Cultura y Deporte</t>
        </is>
      </c>
      <c r="D819" s="5" t="inlineStr">
        <is>
          <t>Semestral</t>
        </is>
      </c>
      <c r="E819" s="5" t="inlineStr">
        <is>
          <t>Positivo</t>
        </is>
      </c>
      <c r="F819" s="109" t="n">
        <v>45838</v>
      </c>
      <c r="G819" s="5" t="n">
        <v>2025</v>
      </c>
      <c r="H819" s="5" t="inlineStr">
        <is>
          <t>Junio</t>
        </is>
      </c>
      <c r="I819" s="6" t="inlineStr">
        <is>
          <t>2025-1</t>
        </is>
      </c>
      <c r="J819" s="5" t="n">
        <v>8</v>
      </c>
      <c r="K819" s="5" t="n">
        <v>-9.19</v>
      </c>
      <c r="L819" s="74" t="n">
        <v>0</v>
      </c>
      <c r="M819" s="14" t="n">
        <v>0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294-2025-06-30</t>
        </is>
      </c>
    </row>
    <row r="820" hidden="1">
      <c r="A820" s="26" t="n">
        <v>294</v>
      </c>
      <c r="B820" s="5" t="inlineStr">
        <is>
          <t>Participación en actividades culturales</t>
        </is>
      </c>
      <c r="C820" s="5" t="inlineStr">
        <is>
          <t>Cultura y Deporte</t>
        </is>
      </c>
      <c r="D820" s="5" t="inlineStr">
        <is>
          <t>Trimestral</t>
        </is>
      </c>
      <c r="E820" s="5" t="inlineStr">
        <is>
          <t>Positivo</t>
        </is>
      </c>
      <c r="F820" s="109" t="n">
        <v>46022</v>
      </c>
      <c r="G820" s="5" t="n">
        <v>2025</v>
      </c>
      <c r="H820" s="5" t="inlineStr">
        <is>
          <t>Diciembre</t>
        </is>
      </c>
      <c r="I820" s="6" t="inlineStr">
        <is>
          <t>2025-2</t>
        </is>
      </c>
      <c r="J820" s="5" t="n">
        <v>8</v>
      </c>
      <c r="K820" s="5" t="n">
        <v>54.02</v>
      </c>
      <c r="L820" s="74" t="n">
        <v>1.3</v>
      </c>
      <c r="M820" s="14" t="n">
        <v>6.7525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294-2025-12-31</t>
        </is>
      </c>
    </row>
    <row r="821" hidden="1">
      <c r="A821" s="28" t="n">
        <v>295</v>
      </c>
      <c r="B821" s="5" t="inlineStr">
        <is>
          <t>Cumplimiento Del Cierre De Oportunidades De Mejora De Auditoria</t>
        </is>
      </c>
      <c r="C821" s="5" t="inlineStr">
        <is>
          <t>AUDITORÍA INTERNA</t>
        </is>
      </c>
      <c r="D821" s="5" t="inlineStr">
        <is>
          <t>Semestral</t>
        </is>
      </c>
      <c r="E821" s="5" t="inlineStr">
        <is>
          <t>Positivo</t>
        </is>
      </c>
      <c r="F821" s="109" t="n">
        <v>45107</v>
      </c>
      <c r="G821" s="5" t="n">
        <v>2023</v>
      </c>
      <c r="H821" s="5" t="inlineStr">
        <is>
          <t>Junio</t>
        </is>
      </c>
      <c r="I821" s="6" t="inlineStr">
        <is>
          <t>2023-1</t>
        </is>
      </c>
      <c r="J821" s="5" t="n">
        <v>11</v>
      </c>
      <c r="K821" s="5" t="n">
        <v>5</v>
      </c>
      <c r="L821" s="74" t="n">
        <v>0.4545454545454545</v>
      </c>
      <c r="M821" s="14" t="n">
        <v>0.4545454545454545</v>
      </c>
      <c r="N821" s="5" t="n"/>
      <c r="O821" s="5" t="n"/>
      <c r="P821" s="5" t="n">
        <v>0</v>
      </c>
      <c r="Q821" s="5" t="n">
        <v>0</v>
      </c>
      <c r="R821" s="5" t="inlineStr">
        <is>
          <t>295-2023-06-30</t>
        </is>
      </c>
    </row>
    <row r="822" hidden="1">
      <c r="A822" s="26" t="n">
        <v>295</v>
      </c>
      <c r="B822" s="5" t="inlineStr">
        <is>
          <t>Cumplimiento Del Cierre De Oportunidades De Mejora De Auditoria</t>
        </is>
      </c>
      <c r="C822" s="5" t="inlineStr">
        <is>
          <t>AUDITORÍA INTERNA</t>
        </is>
      </c>
      <c r="D822" s="5" t="inlineStr">
        <is>
          <t>Semestral</t>
        </is>
      </c>
      <c r="E822" s="5" t="inlineStr">
        <is>
          <t>Positivo</t>
        </is>
      </c>
      <c r="F822" s="109" t="n">
        <v>45291</v>
      </c>
      <c r="G822" s="5" t="n">
        <v>2023</v>
      </c>
      <c r="H822" s="5" t="inlineStr">
        <is>
          <t>Diciembre</t>
        </is>
      </c>
      <c r="I822" s="6" t="inlineStr">
        <is>
          <t>2023-2</t>
        </is>
      </c>
      <c r="J822" s="5" t="n">
        <v>21</v>
      </c>
      <c r="K822" s="5" t="n">
        <v>9</v>
      </c>
      <c r="L822" s="74" t="n">
        <v>0.4285714285714285</v>
      </c>
      <c r="M822" s="14" t="n">
        <v>0.4285714285714285</v>
      </c>
      <c r="N822" s="5" t="n"/>
      <c r="O822" s="5" t="n"/>
      <c r="P822" s="5" t="n">
        <v>0</v>
      </c>
      <c r="Q822" s="5" t="n">
        <v>0</v>
      </c>
      <c r="R822" s="5" t="inlineStr">
        <is>
          <t>295-2023-12-31</t>
        </is>
      </c>
    </row>
    <row r="823" hidden="1">
      <c r="A823" s="5" t="n">
        <v>296</v>
      </c>
      <c r="B823" s="5" t="inlineStr">
        <is>
          <t>Gestión de riesgos por subprocesos</t>
        </is>
      </c>
      <c r="C823" s="5" t="inlineStr">
        <is>
          <t>GESTIÓN DE RIESGOS</t>
        </is>
      </c>
      <c r="D823" s="5" t="inlineStr">
        <is>
          <t>Bimestral</t>
        </is>
      </c>
      <c r="E823" s="5" t="inlineStr">
        <is>
          <t>Positivo</t>
        </is>
      </c>
      <c r="F823" s="109" t="n">
        <v>45291</v>
      </c>
      <c r="G823" s="5" t="n">
        <v>2023</v>
      </c>
      <c r="H823" s="5" t="inlineStr">
        <is>
          <t>Diciembre</t>
        </is>
      </c>
      <c r="I823" s="6" t="inlineStr">
        <is>
          <t>2023-2</t>
        </is>
      </c>
      <c r="J823" s="5" t="n">
        <v>100</v>
      </c>
      <c r="K823" s="5" t="n">
        <v>85.45</v>
      </c>
      <c r="L823" s="14" t="n">
        <v>0.8545</v>
      </c>
      <c r="M823" s="14" t="n">
        <v>0.8545</v>
      </c>
      <c r="N823" s="5" t="n"/>
      <c r="O823" s="5" t="n"/>
      <c r="P823" s="5" t="n">
        <v>1</v>
      </c>
      <c r="Q823" s="5" t="n">
        <v>1</v>
      </c>
      <c r="R823" s="5" t="inlineStr">
        <is>
          <t>296-2023-12-31</t>
        </is>
      </c>
    </row>
    <row r="824" hidden="1">
      <c r="A824" s="5" t="n">
        <v>297</v>
      </c>
      <c r="B824" s="5" t="inlineStr">
        <is>
          <t>N de riesgos operacionales intervenidos</t>
        </is>
      </c>
      <c r="C824" s="5" t="inlineStr">
        <is>
          <t>GESTIÓN DE RIESGOS</t>
        </is>
      </c>
      <c r="D824" s="5" t="inlineStr">
        <is>
          <t>Bimestral</t>
        </is>
      </c>
      <c r="E824" s="5" t="inlineStr">
        <is>
          <t>Negativo</t>
        </is>
      </c>
      <c r="F824" s="109" t="n">
        <v>45291</v>
      </c>
      <c r="G824" s="5" t="n">
        <v>2023</v>
      </c>
      <c r="H824" s="5" t="inlineStr">
        <is>
          <t>Diciembre</t>
        </is>
      </c>
      <c r="I824" s="6" t="inlineStr">
        <is>
          <t>2023-2</t>
        </is>
      </c>
      <c r="J824" s="5" t="n">
        <v>20</v>
      </c>
      <c r="K824" s="5" t="n">
        <v>0.93</v>
      </c>
      <c r="L824" s="14" t="n">
        <v>1.3</v>
      </c>
      <c r="M824" s="14" t="n">
        <v>21.50537634408602</v>
      </c>
      <c r="N824" s="5" t="n"/>
      <c r="O824" s="5" t="n"/>
      <c r="P824" s="5" t="n">
        <v>1</v>
      </c>
      <c r="Q824" s="5" t="n">
        <v>1</v>
      </c>
      <c r="R824" s="5" t="inlineStr">
        <is>
          <t>297-2023-12-31</t>
        </is>
      </c>
    </row>
    <row r="825" hidden="1">
      <c r="A825" s="28" t="n">
        <v>298</v>
      </c>
      <c r="B825" s="5" t="inlineStr">
        <is>
          <t>N de riesgos materializados</t>
        </is>
      </c>
      <c r="C825" s="5" t="inlineStr">
        <is>
          <t>GESTIÓN DE RIESGOS</t>
        </is>
      </c>
      <c r="D825" s="5" t="inlineStr">
        <is>
          <t>Semestral</t>
        </is>
      </c>
      <c r="E825" s="5" t="inlineStr">
        <is>
          <t>Negativo</t>
        </is>
      </c>
      <c r="F825" s="109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5" t="n"/>
      <c r="K825" s="5" t="n">
        <v>1</v>
      </c>
      <c r="L825" s="74" t="n"/>
      <c r="M825" s="14" t="n"/>
      <c r="N825" s="5" t="inlineStr">
        <is>
          <t>Linea base</t>
        </is>
      </c>
      <c r="O825" s="5" t="n"/>
      <c r="P825" s="5" t="n">
        <v>0</v>
      </c>
      <c r="Q825" s="5" t="n">
        <v>0</v>
      </c>
      <c r="R825" s="5" t="inlineStr">
        <is>
          <t>298-2023-12-31</t>
        </is>
      </c>
    </row>
    <row r="826" hidden="1">
      <c r="A826" s="26" t="n">
        <v>300</v>
      </c>
      <c r="B826" s="5" t="inlineStr">
        <is>
          <t>Cumplimiento de Inspecciones de control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109" t="n">
        <v>45016</v>
      </c>
      <c r="G826" s="5" t="n">
        <v>2023</v>
      </c>
      <c r="H826" s="5" t="inlineStr">
        <is>
          <t>Marzo</t>
        </is>
      </c>
      <c r="I826" s="6" t="inlineStr">
        <is>
          <t>2023-1</t>
        </is>
      </c>
      <c r="J826" s="5" t="n">
        <v>100</v>
      </c>
      <c r="K826" s="5" t="n">
        <v>100</v>
      </c>
      <c r="L826" s="74" t="n">
        <v>1</v>
      </c>
      <c r="M826" s="14" t="n">
        <v>1</v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300-2023-03-31</t>
        </is>
      </c>
    </row>
    <row r="827" hidden="1">
      <c r="A827" s="5" t="n">
        <v>300</v>
      </c>
      <c r="B827" s="5" t="inlineStr">
        <is>
          <t>Cumplimiento de Inspecciones de control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109" t="n">
        <v>45107</v>
      </c>
      <c r="G827" s="5" t="n">
        <v>2023</v>
      </c>
      <c r="H827" s="5" t="inlineStr">
        <is>
          <t>Junio</t>
        </is>
      </c>
      <c r="I827" s="6" t="inlineStr">
        <is>
          <t>2023-1</t>
        </is>
      </c>
      <c r="J827" s="5" t="n">
        <v>100</v>
      </c>
      <c r="K827" s="5" t="n">
        <v>100</v>
      </c>
      <c r="L827" s="14" t="n">
        <v>1</v>
      </c>
      <c r="M827" s="14" t="n">
        <v>1</v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300-2023-06-30</t>
        </is>
      </c>
    </row>
    <row r="828" hidden="1">
      <c r="A828" s="5" t="n">
        <v>300</v>
      </c>
      <c r="B828" s="5" t="inlineStr">
        <is>
          <t>Cumplimiento de Inspecciones de control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109" t="n">
        <v>45199</v>
      </c>
      <c r="G828" s="5" t="n">
        <v>2023</v>
      </c>
      <c r="H828" s="5" t="inlineStr">
        <is>
          <t>Septiembre</t>
        </is>
      </c>
      <c r="I828" s="6" t="inlineStr">
        <is>
          <t>2023-2</t>
        </is>
      </c>
      <c r="J828" s="5" t="n">
        <v>100</v>
      </c>
      <c r="K828" s="5" t="n">
        <v>100</v>
      </c>
      <c r="L828" s="14" t="n">
        <v>1</v>
      </c>
      <c r="M828" s="14" t="n">
        <v>1</v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300-2023-09-30</t>
        </is>
      </c>
    </row>
    <row r="829" hidden="1">
      <c r="A829" s="28" t="n">
        <v>300</v>
      </c>
      <c r="B829" s="5" t="inlineStr">
        <is>
          <t>Cumplimiento de Inspecciones de control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109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100</v>
      </c>
      <c r="K829" s="23" t="n">
        <v>100</v>
      </c>
      <c r="L829" s="74" t="n">
        <v>1</v>
      </c>
      <c r="M829" s="14" t="n">
        <v>1</v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300-2023-12-31</t>
        </is>
      </c>
    </row>
    <row r="830" hidden="1">
      <c r="A830" s="26" t="n">
        <v>300</v>
      </c>
      <c r="B830" s="5" t="inlineStr">
        <is>
          <t>Cumplimiento de Inspecciones de control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09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100</v>
      </c>
      <c r="K830" s="23" t="n">
        <v>100</v>
      </c>
      <c r="L830" s="74" t="n">
        <v>1</v>
      </c>
      <c r="M830" s="14" t="n">
        <v>1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300-2024-06-30</t>
        </is>
      </c>
    </row>
    <row r="831" hidden="1">
      <c r="A831" s="5" t="n">
        <v>300</v>
      </c>
      <c r="B831" s="5" t="inlineStr">
        <is>
          <t>Cumplimiento de Inspecciones de control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09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100</v>
      </c>
      <c r="K831" s="5" t="n">
        <v>100</v>
      </c>
      <c r="L831" s="14" t="n">
        <v>1</v>
      </c>
      <c r="M831" s="14" t="n">
        <v>1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300-2024-12-31</t>
        </is>
      </c>
    </row>
    <row r="832" hidden="1">
      <c r="A832" s="5" t="n">
        <v>300</v>
      </c>
      <c r="B832" s="5" t="inlineStr">
        <is>
          <t>Cumplimiento de Inspecciones de control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09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100</v>
      </c>
      <c r="K832" s="5" t="n">
        <v>100</v>
      </c>
      <c r="L832" s="14" t="n">
        <v>1</v>
      </c>
      <c r="M832" s="14" t="n">
        <v>1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300-2025-06-30</t>
        </is>
      </c>
    </row>
    <row r="833" hidden="1">
      <c r="A833" s="26" t="n">
        <v>300</v>
      </c>
      <c r="B833" s="5" t="inlineStr">
        <is>
          <t>Cumplimiento de Inspecciones de control</t>
        </is>
      </c>
      <c r="C833" s="5" t="inlineStr">
        <is>
          <t>Administración de Servicios Generales</t>
        </is>
      </c>
      <c r="D833" s="5" t="inlineStr">
        <is>
          <t>Semestral</t>
        </is>
      </c>
      <c r="E833" s="5" t="inlineStr">
        <is>
          <t>Positivo</t>
        </is>
      </c>
      <c r="F833" s="109" t="n">
        <v>46022</v>
      </c>
      <c r="G833" s="5" t="n">
        <v>2025</v>
      </c>
      <c r="H833" s="5" t="inlineStr">
        <is>
          <t>Diciembre</t>
        </is>
      </c>
      <c r="I833" s="6" t="inlineStr">
        <is>
          <t>2025-2</t>
        </is>
      </c>
      <c r="J833" s="5" t="n">
        <v>100</v>
      </c>
      <c r="K833" s="5" t="n">
        <v>100</v>
      </c>
      <c r="L833" s="74" t="n">
        <v>1</v>
      </c>
      <c r="M833" s="14" t="n">
        <v>1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300-2025-12-31</t>
        </is>
      </c>
    </row>
    <row r="834" hidden="1">
      <c r="A834" s="5" t="n">
        <v>300</v>
      </c>
      <c r="B834" s="5" t="inlineStr">
        <is>
          <t>Cumplimiento de Inspecciones de control</t>
        </is>
      </c>
      <c r="C834" s="5" t="inlineStr">
        <is>
          <t>Administración de Servicios Generales</t>
        </is>
      </c>
      <c r="D834" s="5" t="inlineStr">
        <is>
          <t>Semestral</t>
        </is>
      </c>
      <c r="E834" s="5" t="inlineStr">
        <is>
          <t>Positivo</t>
        </is>
      </c>
      <c r="F834" s="109" t="n">
        <v>46203</v>
      </c>
      <c r="G834" s="5" t="n">
        <v>2026</v>
      </c>
      <c r="H834" s="5" t="inlineStr">
        <is>
          <t>Junio</t>
        </is>
      </c>
      <c r="I834" s="6" t="inlineStr">
        <is>
          <t>2026-1</t>
        </is>
      </c>
      <c r="J834" s="5" t="n">
        <v>100</v>
      </c>
      <c r="K834" s="5" t="n">
        <v>100</v>
      </c>
      <c r="L834" s="14" t="n">
        <v>1</v>
      </c>
      <c r="M834" s="14" t="n">
        <v>1</v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300-2026-06-30</t>
        </is>
      </c>
    </row>
    <row r="835" hidden="1">
      <c r="A835" s="28" t="n">
        <v>301</v>
      </c>
      <c r="B835" s="5" t="inlineStr">
        <is>
          <t>Cumplimiento plan de trabajo</t>
        </is>
      </c>
      <c r="C835" s="5" t="inlineStr">
        <is>
          <t>Administración de Servicios Generales</t>
        </is>
      </c>
      <c r="D835" s="5" t="inlineStr">
        <is>
          <t>Trimestral</t>
        </is>
      </c>
      <c r="E835" s="5" t="inlineStr">
        <is>
          <t>Positivo</t>
        </is>
      </c>
      <c r="F835" s="109" t="n">
        <v>45016</v>
      </c>
      <c r="G835" s="5" t="n">
        <v>2023</v>
      </c>
      <c r="H835" s="5" t="inlineStr">
        <is>
          <t>Marzo</t>
        </is>
      </c>
      <c r="I835" s="6" t="inlineStr">
        <is>
          <t>2023-1</t>
        </is>
      </c>
      <c r="J835" s="5" t="n">
        <v>100</v>
      </c>
      <c r="K835" s="5" t="n">
        <v>100</v>
      </c>
      <c r="L835" s="14" t="n">
        <v>1</v>
      </c>
      <c r="M835" s="14" t="n">
        <v>1</v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301-2023-03-31</t>
        </is>
      </c>
    </row>
    <row r="836" hidden="1">
      <c r="A836" s="26" t="n">
        <v>301</v>
      </c>
      <c r="B836" s="5" t="inlineStr">
        <is>
          <t>Cumplimiento plan de trabajo</t>
        </is>
      </c>
      <c r="C836" s="5" t="inlineStr">
        <is>
          <t>Administración de Servicios Generales</t>
        </is>
      </c>
      <c r="D836" s="5" t="inlineStr">
        <is>
          <t>Trimestral</t>
        </is>
      </c>
      <c r="E836" s="5" t="inlineStr">
        <is>
          <t>Positivo</t>
        </is>
      </c>
      <c r="F836" s="109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100</v>
      </c>
      <c r="K836" s="5" t="n">
        <v>100</v>
      </c>
      <c r="L836" s="14" t="n">
        <v>1</v>
      </c>
      <c r="M836" s="14" t="n">
        <v>1</v>
      </c>
      <c r="N836" s="5" t="inlineStr">
        <is>
          <t>%</t>
        </is>
      </c>
      <c r="O836" s="5" t="inlineStr">
        <is>
          <t>%</t>
        </is>
      </c>
      <c r="P836" s="5" t="n">
        <v>0</v>
      </c>
      <c r="Q836" s="5" t="n">
        <v>0</v>
      </c>
      <c r="R836" s="5" t="inlineStr">
        <is>
          <t>301-2023-06-30</t>
        </is>
      </c>
    </row>
    <row r="837" hidden="1">
      <c r="A837" s="5" t="n">
        <v>301</v>
      </c>
      <c r="B837" s="5" t="inlineStr">
        <is>
          <t>Cumplimiento plan de trabajo</t>
        </is>
      </c>
      <c r="C837" s="5" t="inlineStr">
        <is>
          <t>Administración de Servicios Generales</t>
        </is>
      </c>
      <c r="D837" s="5" t="inlineStr">
        <is>
          <t>Trimestral</t>
        </is>
      </c>
      <c r="E837" s="5" t="inlineStr">
        <is>
          <t>Positivo</t>
        </is>
      </c>
      <c r="F837" s="109" t="n">
        <v>45199</v>
      </c>
      <c r="G837" s="5" t="n">
        <v>2023</v>
      </c>
      <c r="H837" s="5" t="inlineStr">
        <is>
          <t>Septiembre</t>
        </is>
      </c>
      <c r="I837" s="6" t="inlineStr">
        <is>
          <t>2023-2</t>
        </is>
      </c>
      <c r="J837" s="5" t="n">
        <v>100</v>
      </c>
      <c r="K837" s="5" t="n">
        <v>100</v>
      </c>
      <c r="L837" s="14" t="n">
        <v>1</v>
      </c>
      <c r="M837" s="14" t="n">
        <v>1</v>
      </c>
      <c r="N837" s="5" t="inlineStr">
        <is>
          <t>%</t>
        </is>
      </c>
      <c r="O837" s="5" t="inlineStr">
        <is>
          <t>%</t>
        </is>
      </c>
      <c r="P837" s="5" t="n">
        <v>0</v>
      </c>
      <c r="Q837" s="5" t="n">
        <v>0</v>
      </c>
      <c r="R837" s="5" t="inlineStr">
        <is>
          <t>301-2023-09-30</t>
        </is>
      </c>
    </row>
    <row r="838" hidden="1">
      <c r="A838" s="5" t="n">
        <v>301</v>
      </c>
      <c r="B838" s="5" t="inlineStr">
        <is>
          <t>Cumplimiento plan de trabajo</t>
        </is>
      </c>
      <c r="C838" s="5" t="inlineStr">
        <is>
          <t>Administración de Servicios Generales</t>
        </is>
      </c>
      <c r="D838" s="5" t="inlineStr">
        <is>
          <t>Trimestral</t>
        </is>
      </c>
      <c r="E838" s="5" t="inlineStr">
        <is>
          <t>Positivo</t>
        </is>
      </c>
      <c r="F838" s="109" t="n">
        <v>45291</v>
      </c>
      <c r="G838" s="5" t="n">
        <v>2023</v>
      </c>
      <c r="H838" s="5" t="inlineStr">
        <is>
          <t>Diciembre</t>
        </is>
      </c>
      <c r="I838" s="6" t="inlineStr">
        <is>
          <t>2023-2</t>
        </is>
      </c>
      <c r="J838" s="5" t="n">
        <v>100</v>
      </c>
      <c r="K838" s="10" t="n">
        <v>100</v>
      </c>
      <c r="L838" s="14" t="n">
        <v>1</v>
      </c>
      <c r="M838" s="14" t="n">
        <v>1</v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 t="inlineStr">
        <is>
          <t>301-2023-12-31</t>
        </is>
      </c>
    </row>
    <row r="839" hidden="1">
      <c r="A839" s="28" t="n">
        <v>301</v>
      </c>
      <c r="B839" s="5" t="inlineStr">
        <is>
          <t>Cumplimiento plan de trabajo</t>
        </is>
      </c>
      <c r="C839" s="5" t="inlineStr">
        <is>
          <t>Administración de Servicios Generales</t>
        </is>
      </c>
      <c r="D839" s="5" t="inlineStr">
        <is>
          <t>Trimestral</t>
        </is>
      </c>
      <c r="E839" s="5" t="inlineStr">
        <is>
          <t>Positivo</t>
        </is>
      </c>
      <c r="F839" s="109" t="n">
        <v>45473</v>
      </c>
      <c r="G839" s="5" t="n">
        <v>2024</v>
      </c>
      <c r="H839" s="5" t="inlineStr">
        <is>
          <t>Junio</t>
        </is>
      </c>
      <c r="I839" s="6" t="inlineStr">
        <is>
          <t>2024-1</t>
        </is>
      </c>
      <c r="J839" s="5" t="n">
        <v>100</v>
      </c>
      <c r="K839" s="5" t="n">
        <v>100</v>
      </c>
      <c r="L839" s="14" t="n">
        <v>1</v>
      </c>
      <c r="M839" s="14" t="n">
        <v>1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 t="inlineStr">
        <is>
          <t>301-2024-06-30</t>
        </is>
      </c>
    </row>
    <row r="840" hidden="1">
      <c r="A840" s="26" t="n">
        <v>301</v>
      </c>
      <c r="B840" s="5" t="inlineStr">
        <is>
          <t>Cumplimiento plan de trabajo</t>
        </is>
      </c>
      <c r="C840" s="5" t="inlineStr">
        <is>
          <t>Administración de Servicios Generales</t>
        </is>
      </c>
      <c r="D840" s="5" t="inlineStr">
        <is>
          <t>Trimestral</t>
        </is>
      </c>
      <c r="E840" s="5" t="inlineStr">
        <is>
          <t>Positivo</t>
        </is>
      </c>
      <c r="F840" s="109" t="n">
        <v>45657</v>
      </c>
      <c r="G840" s="5" t="n">
        <v>2024</v>
      </c>
      <c r="H840" s="5" t="inlineStr">
        <is>
          <t>Diciembre</t>
        </is>
      </c>
      <c r="I840" s="6" t="inlineStr">
        <is>
          <t>2024-2</t>
        </is>
      </c>
      <c r="J840" s="5" t="n">
        <v>100</v>
      </c>
      <c r="K840" s="5" t="n">
        <v>100</v>
      </c>
      <c r="L840" s="14" t="n">
        <v>1</v>
      </c>
      <c r="M840" s="14" t="n">
        <v>1</v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301-2024-12-31</t>
        </is>
      </c>
    </row>
    <row r="841" hidden="1">
      <c r="A841" s="5" t="n">
        <v>301</v>
      </c>
      <c r="B841" s="5" t="inlineStr">
        <is>
          <t>Cumplimiento plan de trabajo</t>
        </is>
      </c>
      <c r="C841" s="5" t="inlineStr">
        <is>
          <t>Administración de Servicios Generales</t>
        </is>
      </c>
      <c r="D841" s="5" t="inlineStr">
        <is>
          <t>Trimestral</t>
        </is>
      </c>
      <c r="E841" s="5" t="inlineStr">
        <is>
          <t>Positivo</t>
        </is>
      </c>
      <c r="F841" s="109" t="n">
        <v>45838</v>
      </c>
      <c r="G841" s="5" t="n">
        <v>2025</v>
      </c>
      <c r="H841" s="5" t="inlineStr">
        <is>
          <t>Junio</t>
        </is>
      </c>
      <c r="I841" s="6" t="inlineStr">
        <is>
          <t>2025-1</t>
        </is>
      </c>
      <c r="J841" s="5" t="n">
        <v>100</v>
      </c>
      <c r="K841" s="5" t="n">
        <v>100</v>
      </c>
      <c r="L841" s="14" t="n">
        <v>1</v>
      </c>
      <c r="M841" s="14" t="n">
        <v>1</v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301-2025-06-30</t>
        </is>
      </c>
    </row>
    <row r="842" hidden="1">
      <c r="A842" s="5" t="n">
        <v>301</v>
      </c>
      <c r="B842" s="5" t="inlineStr">
        <is>
          <t>Cumplimiento plan de trabajo</t>
        </is>
      </c>
      <c r="C842" s="5" t="inlineStr">
        <is>
          <t>Administración de Servicios Generales</t>
        </is>
      </c>
      <c r="D842" s="5" t="inlineStr">
        <is>
          <t>Semestral</t>
        </is>
      </c>
      <c r="E842" s="5" t="inlineStr">
        <is>
          <t>Positivo</t>
        </is>
      </c>
      <c r="F842" s="109" t="n">
        <v>46022</v>
      </c>
      <c r="G842" s="5" t="n">
        <v>2025</v>
      </c>
      <c r="H842" s="5" t="inlineStr">
        <is>
          <t>Diciembre</t>
        </is>
      </c>
      <c r="I842" s="6" t="inlineStr">
        <is>
          <t>2025-2</t>
        </is>
      </c>
      <c r="J842" s="5" t="n">
        <v>100</v>
      </c>
      <c r="K842" s="15" t="n">
        <v>100</v>
      </c>
      <c r="L842" s="14" t="n">
        <v>1</v>
      </c>
      <c r="M842" s="14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301-2025-12-31</t>
        </is>
      </c>
    </row>
    <row r="843" hidden="1">
      <c r="A843" s="26" t="n">
        <v>301</v>
      </c>
      <c r="B843" s="5" t="inlineStr">
        <is>
          <t>Cumplimiento plan de trabajo</t>
        </is>
      </c>
      <c r="C843" s="5" t="inlineStr">
        <is>
          <t>Administración de Servicios Generales</t>
        </is>
      </c>
      <c r="D843" s="5" t="inlineStr">
        <is>
          <t>Semestral</t>
        </is>
      </c>
      <c r="E843" s="5" t="inlineStr">
        <is>
          <t>Positivo</t>
        </is>
      </c>
      <c r="F843" s="109" t="n">
        <v>46203</v>
      </c>
      <c r="G843" s="5" t="n">
        <v>2026</v>
      </c>
      <c r="H843" s="5" t="inlineStr">
        <is>
          <t>Junio</t>
        </is>
      </c>
      <c r="I843" s="6" t="inlineStr">
        <is>
          <t>2026-1</t>
        </is>
      </c>
      <c r="J843" s="5" t="n">
        <v>100</v>
      </c>
      <c r="K843" s="97" t="n">
        <v>100</v>
      </c>
      <c r="L843" s="74" t="n">
        <v>1</v>
      </c>
      <c r="M843" s="14" t="n">
        <v>1</v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301-2026-06-30</t>
        </is>
      </c>
    </row>
    <row r="844" hidden="1">
      <c r="A844" s="28" t="n">
        <v>302</v>
      </c>
      <c r="B844" t="inlineStr">
        <is>
          <t>N de solicitudes radicadas</t>
        </is>
      </c>
      <c r="C844" s="5" t="inlineStr">
        <is>
          <t>Centro de Medios Audiovisuales</t>
        </is>
      </c>
      <c r="D844" s="5" t="inlineStr">
        <is>
          <t>Semestral</t>
        </is>
      </c>
      <c r="E844" s="5" t="inlineStr">
        <is>
          <t>Positivo</t>
        </is>
      </c>
      <c r="F844" s="109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0</v>
      </c>
      <c r="K844" s="5" t="n">
        <v>0</v>
      </c>
      <c r="L844" s="74" t="n">
        <v>1</v>
      </c>
      <c r="M844" s="14" t="n">
        <v>1</v>
      </c>
      <c r="N844" s="5" t="n"/>
      <c r="O844" s="5" t="n"/>
      <c r="P844" s="5" t="n">
        <v>0</v>
      </c>
      <c r="Q844" s="5" t="n">
        <v>0</v>
      </c>
      <c r="R844" s="5" t="inlineStr">
        <is>
          <t>302-2023-06-30</t>
        </is>
      </c>
    </row>
    <row r="845" hidden="1">
      <c r="A845" s="26" t="n">
        <v>302</v>
      </c>
      <c r="B845" t="inlineStr">
        <is>
          <t>N de solicitudes radicadas</t>
        </is>
      </c>
      <c r="C845" s="5" t="inlineStr">
        <is>
          <t>Centro de Medios Audiovisuales</t>
        </is>
      </c>
      <c r="D845" s="5" t="inlineStr">
        <is>
          <t>Semestral</t>
        </is>
      </c>
      <c r="E845" s="5" t="inlineStr">
        <is>
          <t>Positivo</t>
        </is>
      </c>
      <c r="F845" s="109" t="n">
        <v>45291</v>
      </c>
      <c r="G845" s="5" t="n">
        <v>2023</v>
      </c>
      <c r="H845" s="5" t="inlineStr">
        <is>
          <t>Diciembre</t>
        </is>
      </c>
      <c r="I845" s="6" t="inlineStr">
        <is>
          <t>2023-2</t>
        </is>
      </c>
      <c r="J845" s="5" t="n">
        <v>0</v>
      </c>
      <c r="K845" s="5" t="n">
        <v>0</v>
      </c>
      <c r="L845" s="74" t="n">
        <v>1</v>
      </c>
      <c r="M845" s="14" t="n">
        <v>1</v>
      </c>
      <c r="N845" s="5" t="n"/>
      <c r="O845" s="5" t="n"/>
      <c r="P845" s="5" t="n">
        <v>0</v>
      </c>
      <c r="Q845" s="5" t="n">
        <v>0</v>
      </c>
      <c r="R845" s="5" t="inlineStr">
        <is>
          <t>302-2023-12-31</t>
        </is>
      </c>
    </row>
    <row r="846" hidden="1">
      <c r="A846" s="5" t="n">
        <v>302</v>
      </c>
      <c r="B846" t="inlineStr">
        <is>
          <t>N de solicitudes radicadas</t>
        </is>
      </c>
      <c r="C846" s="5" t="inlineStr">
        <is>
          <t>Centro de Medios Audiovisuales</t>
        </is>
      </c>
      <c r="D846" s="5" t="inlineStr">
        <is>
          <t>Semestral</t>
        </is>
      </c>
      <c r="E846" s="5" t="inlineStr">
        <is>
          <t>Positivo</t>
        </is>
      </c>
      <c r="F846" s="109" t="n">
        <v>45473</v>
      </c>
      <c r="G846" s="5" t="n">
        <v>2024</v>
      </c>
      <c r="H846" s="5" t="inlineStr">
        <is>
          <t>Junio</t>
        </is>
      </c>
      <c r="I846" s="6" t="inlineStr">
        <is>
          <t>2024-1</t>
        </is>
      </c>
      <c r="J846" s="5" t="n">
        <v>0</v>
      </c>
      <c r="K846" s="5" t="n">
        <v>17878</v>
      </c>
      <c r="L846" s="14" t="n"/>
      <c r="M846" s="14" t="n"/>
      <c r="N846" s="5" t="n"/>
      <c r="O846" s="5" t="n"/>
      <c r="P846" s="5" t="n">
        <v>0</v>
      </c>
      <c r="Q846" s="5" t="n">
        <v>0</v>
      </c>
      <c r="R846" s="5" t="inlineStr">
        <is>
          <t>302-2024-06-30</t>
        </is>
      </c>
    </row>
    <row r="847" hidden="1">
      <c r="A847" s="5" t="n">
        <v>302</v>
      </c>
      <c r="B847" t="inlineStr">
        <is>
          <t>N de solicitudes radicadas</t>
        </is>
      </c>
      <c r="C847" s="5" t="inlineStr">
        <is>
          <t>Centro de Medios Audiovisuales</t>
        </is>
      </c>
      <c r="D847" s="5" t="inlineStr">
        <is>
          <t>Semestral</t>
        </is>
      </c>
      <c r="E847" s="5" t="inlineStr">
        <is>
          <t>Positivo</t>
        </is>
      </c>
      <c r="F847" s="109" t="n">
        <v>45657</v>
      </c>
      <c r="G847" s="5" t="n">
        <v>2024</v>
      </c>
      <c r="H847" s="5" t="inlineStr">
        <is>
          <t>Diciembre</t>
        </is>
      </c>
      <c r="I847" s="6" t="inlineStr">
        <is>
          <t>2024-2</t>
        </is>
      </c>
      <c r="J847" s="5" t="n">
        <v>0</v>
      </c>
      <c r="K847" s="5" t="n">
        <v>19142</v>
      </c>
      <c r="L847" s="14" t="n"/>
      <c r="M847" s="14" t="n"/>
      <c r="N847" s="5" t="n"/>
      <c r="O847" s="5" t="n"/>
      <c r="P847" s="5" t="n">
        <v>0</v>
      </c>
      <c r="Q847" s="5" t="n">
        <v>0</v>
      </c>
      <c r="R847" s="5" t="inlineStr">
        <is>
          <t>302-2024-12-31</t>
        </is>
      </c>
    </row>
    <row r="848" hidden="1">
      <c r="A848" s="28" t="n">
        <v>302</v>
      </c>
      <c r="B848" s="5" t="inlineStr">
        <is>
          <t>N de solicitudes radicadas - (Metrica)</t>
        </is>
      </c>
      <c r="C848" s="5" t="inlineStr">
        <is>
          <t>Centro de Medios Audiovisuales</t>
        </is>
      </c>
      <c r="D848" s="5" t="inlineStr">
        <is>
          <t>Trimestral</t>
        </is>
      </c>
      <c r="E848" s="5" t="inlineStr">
        <is>
          <t>Positivo</t>
        </is>
      </c>
      <c r="F848" s="109" t="n">
        <v>45838</v>
      </c>
      <c r="G848" s="5" t="n">
        <v>2025</v>
      </c>
      <c r="H848" s="5" t="inlineStr">
        <is>
          <t>Junio</t>
        </is>
      </c>
      <c r="I848" s="6" t="inlineStr">
        <is>
          <t>2025-1</t>
        </is>
      </c>
      <c r="J848" s="5" t="n"/>
      <c r="K848" s="5" t="n">
        <v>21712</v>
      </c>
      <c r="L848" s="14" t="n"/>
      <c r="M848" s="14" t="n"/>
      <c r="N848" s="5" t="inlineStr">
        <is>
          <t>%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302-2025-06-30</t>
        </is>
      </c>
      <c r="S848" t="inlineStr">
        <is>
          <t>Metrica</t>
        </is>
      </c>
    </row>
    <row r="849" hidden="1">
      <c r="A849" s="26" t="n">
        <v>302</v>
      </c>
      <c r="B849" s="5" t="inlineStr">
        <is>
          <t>N de solicitudes radicadas - (Metrica)</t>
        </is>
      </c>
      <c r="C849" s="5" t="inlineStr">
        <is>
          <t>Centro de Medios Audiovisuales</t>
        </is>
      </c>
      <c r="D849" s="5" t="inlineStr">
        <is>
          <t>Trimestral</t>
        </is>
      </c>
      <c r="E849" s="5" t="inlineStr">
        <is>
          <t>Positivo</t>
        </is>
      </c>
      <c r="F849" s="109" t="n">
        <v>46022</v>
      </c>
      <c r="G849" s="5" t="n">
        <v>2025</v>
      </c>
      <c r="H849" s="5" t="inlineStr">
        <is>
          <t>Diciembre</t>
        </is>
      </c>
      <c r="I849" s="6" t="inlineStr">
        <is>
          <t>2025-2</t>
        </is>
      </c>
      <c r="J849" s="5" t="n"/>
      <c r="K849" s="5" t="n">
        <v>31371</v>
      </c>
      <c r="L849" s="14" t="n"/>
      <c r="M849" s="14" t="n"/>
      <c r="N849" s="5" t="inlineStr">
        <is>
          <t>%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302-2025-12-31</t>
        </is>
      </c>
      <c r="S849" t="inlineStr">
        <is>
          <t>Metrica</t>
        </is>
      </c>
    </row>
    <row r="850" hidden="1">
      <c r="A850" s="5" t="n">
        <v>303</v>
      </c>
      <c r="B850" s="5" t="inlineStr">
        <is>
          <t>Cumplimiento del cronograma de actividades de salud</t>
        </is>
      </c>
      <c r="C850" s="5" t="inlineStr">
        <is>
          <t>Servicio de Salud</t>
        </is>
      </c>
      <c r="D850" s="5" t="inlineStr">
        <is>
          <t>Semestral</t>
        </is>
      </c>
      <c r="E850" s="5" t="inlineStr">
        <is>
          <t>Positivo</t>
        </is>
      </c>
      <c r="F850" s="109" t="n">
        <v>45107</v>
      </c>
      <c r="G850" s="5" t="n">
        <v>2023</v>
      </c>
      <c r="H850" s="5" t="inlineStr">
        <is>
          <t>Junio</t>
        </is>
      </c>
      <c r="I850" s="6" t="inlineStr">
        <is>
          <t>2023-1</t>
        </is>
      </c>
      <c r="J850" s="5" t="n">
        <v>100</v>
      </c>
      <c r="K850" s="5" t="n">
        <v>75.75757575757601</v>
      </c>
      <c r="L850" s="14" t="n">
        <v>0.75757575757576</v>
      </c>
      <c r="M850" s="14" t="n">
        <v>0.75757575757576</v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303-2023-06-30</t>
        </is>
      </c>
    </row>
    <row r="851" hidden="1">
      <c r="A851" s="5" t="n">
        <v>303</v>
      </c>
      <c r="B851" s="5" t="inlineStr">
        <is>
          <t>Cumplimiento del cronograma de actividades de salud</t>
        </is>
      </c>
      <c r="C851" s="5" t="inlineStr">
        <is>
          <t>Servicio de Salud</t>
        </is>
      </c>
      <c r="D851" s="5" t="inlineStr">
        <is>
          <t>Semestral</t>
        </is>
      </c>
      <c r="E851" s="5" t="inlineStr">
        <is>
          <t>Positivo</t>
        </is>
      </c>
      <c r="F851" s="109" t="n">
        <v>45291</v>
      </c>
      <c r="G851" s="5" t="n">
        <v>2023</v>
      </c>
      <c r="H851" s="5" t="inlineStr">
        <is>
          <t>Diciembre</t>
        </is>
      </c>
      <c r="I851" s="6" t="inlineStr">
        <is>
          <t>2023-2</t>
        </is>
      </c>
      <c r="J851" s="5" t="n">
        <v>100</v>
      </c>
      <c r="K851" s="10" t="n">
        <v>79.54545454545455</v>
      </c>
      <c r="L851" s="14" t="n">
        <v>0.7954545454545454</v>
      </c>
      <c r="M851" s="14" t="n">
        <v>0.7954545454545454</v>
      </c>
      <c r="N851" s="5" t="inlineStr">
        <is>
          <t>%</t>
        </is>
      </c>
      <c r="O851" s="5" t="inlineStr">
        <is>
          <t>%</t>
        </is>
      </c>
      <c r="P851" s="5" t="n">
        <v>0</v>
      </c>
      <c r="Q851" s="5" t="n">
        <v>0</v>
      </c>
      <c r="R851" s="5" t="inlineStr">
        <is>
          <t>303-2023-12-31</t>
        </is>
      </c>
    </row>
    <row r="852" hidden="1">
      <c r="A852" s="5" t="n">
        <v>303</v>
      </c>
      <c r="B852" s="5" t="inlineStr">
        <is>
          <t>Cumplimiento del cronograma de actividades de salud</t>
        </is>
      </c>
      <c r="C852" s="5" t="inlineStr">
        <is>
          <t>Servicio de Salud</t>
        </is>
      </c>
      <c r="D852" s="5" t="inlineStr">
        <is>
          <t>Semestral</t>
        </is>
      </c>
      <c r="E852" s="5" t="inlineStr">
        <is>
          <t>Positivo</t>
        </is>
      </c>
      <c r="F852" s="108" t="n">
        <v>45473</v>
      </c>
      <c r="G852" s="15" t="n">
        <v>2024</v>
      </c>
      <c r="H852" s="6" t="inlineStr">
        <is>
          <t>Junio</t>
        </is>
      </c>
      <c r="I852" s="27" t="inlineStr">
        <is>
          <t>2024-1</t>
        </is>
      </c>
      <c r="J852" s="5" t="n">
        <v>95</v>
      </c>
      <c r="K852" s="5" t="n">
        <v>100</v>
      </c>
      <c r="L852" s="14" t="n">
        <v>1.052631578947368</v>
      </c>
      <c r="M852" s="14" t="n">
        <v>1.052631578947368</v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303-2024-06-30</t>
        </is>
      </c>
    </row>
    <row r="853" hidden="1">
      <c r="A853" s="26" t="n">
        <v>303</v>
      </c>
      <c r="B853" s="5" t="inlineStr">
        <is>
          <t>Cumplimiento del cronograma de actividades de salud</t>
        </is>
      </c>
      <c r="C853" s="5" t="inlineStr">
        <is>
          <t>Servicio de Salud</t>
        </is>
      </c>
      <c r="D853" s="5" t="inlineStr">
        <is>
          <t>Semestral</t>
        </is>
      </c>
      <c r="E853" s="5" t="inlineStr">
        <is>
          <t>Positivo</t>
        </is>
      </c>
      <c r="F853" s="109" t="n">
        <v>45657</v>
      </c>
      <c r="G853" s="5" t="n">
        <v>2024</v>
      </c>
      <c r="H853" s="5" t="inlineStr">
        <is>
          <t>Diciembre</t>
        </is>
      </c>
      <c r="I853" s="6" t="inlineStr">
        <is>
          <t>2024-2</t>
        </is>
      </c>
      <c r="J853" s="5" t="n">
        <v>95</v>
      </c>
      <c r="K853" s="5" t="n">
        <v>95.65217391304348</v>
      </c>
      <c r="L853" s="14" t="n">
        <v>1.006864988558352</v>
      </c>
      <c r="M853" s="14" t="n">
        <v>1.006864988558352</v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 t="inlineStr">
        <is>
          <t>303-2024-12-31</t>
        </is>
      </c>
    </row>
    <row r="854" hidden="1">
      <c r="A854" s="5" t="n">
        <v>303</v>
      </c>
      <c r="B854" s="5" t="inlineStr">
        <is>
          <t>Cumplimiento del cronograma de actividades de salud</t>
        </is>
      </c>
      <c r="C854" s="5" t="inlineStr">
        <is>
          <t>Servicio de Salud</t>
        </is>
      </c>
      <c r="D854" s="5" t="inlineStr">
        <is>
          <t>Semestral</t>
        </is>
      </c>
      <c r="E854" s="5" t="inlineStr">
        <is>
          <t>Positivo</t>
        </is>
      </c>
      <c r="F854" s="109" t="n">
        <v>45838</v>
      </c>
      <c r="G854" s="5" t="n">
        <v>2025</v>
      </c>
      <c r="H854" s="5" t="inlineStr">
        <is>
          <t>Junio</t>
        </is>
      </c>
      <c r="I854" s="6" t="inlineStr">
        <is>
          <t>2025-1</t>
        </is>
      </c>
      <c r="J854" s="5" t="n">
        <v>95</v>
      </c>
      <c r="K854" s="5" t="n">
        <v>90.31999999999999</v>
      </c>
      <c r="L854" s="14" t="n">
        <v>0.9507368421052631</v>
      </c>
      <c r="M854" s="14" t="n">
        <v>0.9507368421052631</v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303-2025-06-30</t>
        </is>
      </c>
    </row>
    <row r="855" hidden="1">
      <c r="A855" s="5" t="n">
        <v>303</v>
      </c>
      <c r="B855" s="5" t="inlineStr">
        <is>
          <t>Cumplimiento del cronograma de actividades de salud</t>
        </is>
      </c>
      <c r="C855" s="5" t="inlineStr">
        <is>
          <t>Servicio de Salud</t>
        </is>
      </c>
      <c r="D855" s="5" t="inlineStr">
        <is>
          <t>Trimestral</t>
        </is>
      </c>
      <c r="E855" s="5" t="inlineStr">
        <is>
          <t>Positivo</t>
        </is>
      </c>
      <c r="F855" s="109" t="n">
        <v>46022</v>
      </c>
      <c r="G855" s="5" t="n">
        <v>2025</v>
      </c>
      <c r="H855" s="5" t="inlineStr">
        <is>
          <t>Diciembre</t>
        </is>
      </c>
      <c r="I855" s="6" t="inlineStr">
        <is>
          <t>2025-2</t>
        </is>
      </c>
      <c r="J855" s="5" t="n">
        <v>95</v>
      </c>
      <c r="K855" s="5" t="n">
        <v>100</v>
      </c>
      <c r="L855" s="14" t="n">
        <v>1.052631578947368</v>
      </c>
      <c r="M855" s="14" t="n">
        <v>1.052631578947368</v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303-2025-12-31</t>
        </is>
      </c>
    </row>
    <row r="856" hidden="1">
      <c r="A856" s="28" t="n">
        <v>304</v>
      </c>
      <c r="B856" s="5" t="inlineStr">
        <is>
          <t>Impacto de Campañas de promoción y prevención</t>
        </is>
      </c>
      <c r="C856" s="5" t="inlineStr">
        <is>
          <t>Servicio de Salud</t>
        </is>
      </c>
      <c r="D856" s="5" t="inlineStr">
        <is>
          <t>Semestral</t>
        </is>
      </c>
      <c r="E856" s="5" t="inlineStr">
        <is>
          <t>Positivo</t>
        </is>
      </c>
      <c r="F856" s="109" t="n">
        <v>45107</v>
      </c>
      <c r="G856" s="5" t="n">
        <v>2023</v>
      </c>
      <c r="H856" s="5" t="inlineStr">
        <is>
          <t>Junio</t>
        </is>
      </c>
      <c r="I856" s="6" t="inlineStr">
        <is>
          <t>2023-1</t>
        </is>
      </c>
      <c r="J856" s="5" t="n">
        <v>100</v>
      </c>
      <c r="K856" s="5" t="n">
        <v>189.86</v>
      </c>
      <c r="L856" s="14" t="n">
        <v>1.3</v>
      </c>
      <c r="M856" s="14" t="n">
        <v>1.8986</v>
      </c>
      <c r="N856" s="5" t="inlineStr">
        <is>
          <t>ENT</t>
        </is>
      </c>
      <c r="O856" s="5" t="inlineStr">
        <is>
          <t>ENT</t>
        </is>
      </c>
      <c r="P856" s="5" t="n">
        <v>0</v>
      </c>
      <c r="Q856" s="5" t="n">
        <v>0</v>
      </c>
      <c r="R856" s="5" t="inlineStr">
        <is>
          <t>304-2023-06-30</t>
        </is>
      </c>
    </row>
    <row r="857" hidden="1">
      <c r="A857" s="26" t="n">
        <v>304</v>
      </c>
      <c r="B857" s="5" t="inlineStr">
        <is>
          <t>Impacto de Campañas de promoción y prevención</t>
        </is>
      </c>
      <c r="C857" s="5" t="inlineStr">
        <is>
          <t>Servicio de Salud</t>
        </is>
      </c>
      <c r="D857" s="5" t="inlineStr">
        <is>
          <t>Semestral</t>
        </is>
      </c>
      <c r="E857" s="5" t="inlineStr">
        <is>
          <t>Positivo</t>
        </is>
      </c>
      <c r="F857" s="109" t="n">
        <v>45291</v>
      </c>
      <c r="G857" s="5" t="n">
        <v>2023</v>
      </c>
      <c r="H857" s="5" t="inlineStr">
        <is>
          <t>Diciembre</t>
        </is>
      </c>
      <c r="I857" s="6" t="inlineStr">
        <is>
          <t>2023-2</t>
        </is>
      </c>
      <c r="J857" s="5" t="n">
        <v>100</v>
      </c>
      <c r="K857" s="5" t="n">
        <v>176.33</v>
      </c>
      <c r="L857" s="14" t="n">
        <v>1.3</v>
      </c>
      <c r="M857" s="14" t="n">
        <v>1.7633</v>
      </c>
      <c r="N857" s="5" t="inlineStr">
        <is>
          <t>ENT</t>
        </is>
      </c>
      <c r="O857" s="5" t="inlineStr">
        <is>
          <t>ENT</t>
        </is>
      </c>
      <c r="P857" s="5" t="n">
        <v>0</v>
      </c>
      <c r="Q857" s="5" t="n">
        <v>0</v>
      </c>
      <c r="R857" s="5" t="inlineStr">
        <is>
          <t>304-2023-12-31</t>
        </is>
      </c>
    </row>
    <row r="858" hidden="1">
      <c r="A858" s="5" t="n">
        <v>304</v>
      </c>
      <c r="B858" s="5" t="inlineStr">
        <is>
          <t>Impacto de Campañas de promoción y prevención</t>
        </is>
      </c>
      <c r="C858" s="5" t="inlineStr">
        <is>
          <t>Servicio de Salud</t>
        </is>
      </c>
      <c r="D858" s="5" t="inlineStr">
        <is>
          <t>Semestral</t>
        </is>
      </c>
      <c r="E858" s="5" t="inlineStr">
        <is>
          <t>Positivo</t>
        </is>
      </c>
      <c r="F858" s="109" t="n">
        <v>45473</v>
      </c>
      <c r="G858" s="5" t="n">
        <v>2024</v>
      </c>
      <c r="H858" s="5" t="inlineStr">
        <is>
          <t>Junio</t>
        </is>
      </c>
      <c r="I858" s="6" t="inlineStr">
        <is>
          <t>2024-1</t>
        </is>
      </c>
      <c r="J858" s="5" t="n">
        <v>100</v>
      </c>
      <c r="K858" s="5" t="n">
        <v>100.12</v>
      </c>
      <c r="L858" s="14" t="n">
        <v>1.0012</v>
      </c>
      <c r="M858" s="14" t="n">
        <v>1.0012</v>
      </c>
      <c r="N858" s="5" t="inlineStr">
        <is>
          <t>ENT</t>
        </is>
      </c>
      <c r="O858" s="5" t="inlineStr">
        <is>
          <t>ENT</t>
        </is>
      </c>
      <c r="P858" s="5" t="n">
        <v>0</v>
      </c>
      <c r="Q858" s="5" t="n">
        <v>0</v>
      </c>
      <c r="R858" s="5" t="inlineStr">
        <is>
          <t>304-2024-06-30</t>
        </is>
      </c>
    </row>
    <row r="859" hidden="1">
      <c r="A859" s="5" t="n">
        <v>304</v>
      </c>
      <c r="B859" s="5" t="inlineStr">
        <is>
          <t>Impacto de Campañas de promoción y prevención</t>
        </is>
      </c>
      <c r="C859" s="5" t="inlineStr">
        <is>
          <t>Servicio de Salud</t>
        </is>
      </c>
      <c r="D859" s="5" t="inlineStr">
        <is>
          <t>Semestral</t>
        </is>
      </c>
      <c r="E859" s="5" t="inlineStr">
        <is>
          <t>Positivo</t>
        </is>
      </c>
      <c r="F859" s="109" t="n">
        <v>45657</v>
      </c>
      <c r="G859" s="5" t="n">
        <v>2024</v>
      </c>
      <c r="H859" s="5" t="inlineStr">
        <is>
          <t>Diciembre</t>
        </is>
      </c>
      <c r="I859" s="6" t="inlineStr">
        <is>
          <t>2024-2</t>
        </is>
      </c>
      <c r="J859" s="5" t="n">
        <v>100</v>
      </c>
      <c r="K859" s="10" t="n">
        <v>83.56</v>
      </c>
      <c r="L859" s="14" t="n">
        <v>0.8356</v>
      </c>
      <c r="M859" s="14" t="n">
        <v>0.8356</v>
      </c>
      <c r="N859" s="5" t="inlineStr">
        <is>
          <t>ENT</t>
        </is>
      </c>
      <c r="O859" s="5" t="inlineStr">
        <is>
          <t>ENT</t>
        </is>
      </c>
      <c r="P859" s="5" t="n">
        <v>0</v>
      </c>
      <c r="Q859" s="5" t="n">
        <v>0</v>
      </c>
      <c r="R859" s="5" t="inlineStr">
        <is>
          <t>304-2024-12-31</t>
        </is>
      </c>
    </row>
    <row r="860" hidden="1">
      <c r="A860" s="28" t="n">
        <v>304</v>
      </c>
      <c r="B860" s="5" t="inlineStr">
        <is>
          <t>Impacto de Campañas de promoción y prevención</t>
        </is>
      </c>
      <c r="C860" s="5" t="inlineStr">
        <is>
          <t>Servicio de Salud</t>
        </is>
      </c>
      <c r="D860" s="5" t="inlineStr">
        <is>
          <t>Semestral</t>
        </is>
      </c>
      <c r="E860" s="5" t="inlineStr">
        <is>
          <t>Positivo</t>
        </is>
      </c>
      <c r="F860" s="109" t="n">
        <v>45838</v>
      </c>
      <c r="G860" s="5" t="n">
        <v>2025</v>
      </c>
      <c r="H860" s="5" t="inlineStr">
        <is>
          <t>Junio</t>
        </is>
      </c>
      <c r="I860" s="6" t="inlineStr">
        <is>
          <t>2025-1</t>
        </is>
      </c>
      <c r="J860" s="5" t="n">
        <v>100</v>
      </c>
      <c r="K860" s="5" t="n">
        <v>98.47</v>
      </c>
      <c r="L860" s="14" t="n">
        <v>0.9847</v>
      </c>
      <c r="M860" s="14" t="n">
        <v>0.9847</v>
      </c>
      <c r="N860" s="5" t="inlineStr">
        <is>
          <t>ENT</t>
        </is>
      </c>
      <c r="O860" s="5" t="inlineStr">
        <is>
          <t>ENT</t>
        </is>
      </c>
      <c r="P860" s="5" t="n">
        <v>0</v>
      </c>
      <c r="Q860" s="5" t="n">
        <v>0</v>
      </c>
      <c r="R860" s="5" t="inlineStr">
        <is>
          <t>304-2025-06-30</t>
        </is>
      </c>
    </row>
    <row r="861" hidden="1">
      <c r="A861" s="26" t="n">
        <v>304</v>
      </c>
      <c r="B861" s="5" t="inlineStr">
        <is>
          <t>Impacto de Campañas de promoción y prevención</t>
        </is>
      </c>
      <c r="C861" s="5" t="inlineStr">
        <is>
          <t>Servicio de Salud</t>
        </is>
      </c>
      <c r="D861" s="5" t="inlineStr">
        <is>
          <t>Trimestral</t>
        </is>
      </c>
      <c r="E861" s="5" t="inlineStr">
        <is>
          <t>Positivo</t>
        </is>
      </c>
      <c r="F861" s="109" t="n">
        <v>46022</v>
      </c>
      <c r="G861" s="5" t="n">
        <v>2025</v>
      </c>
      <c r="H861" s="5" t="inlineStr">
        <is>
          <t>Diciembre</t>
        </is>
      </c>
      <c r="I861" s="6" t="inlineStr">
        <is>
          <t>2025-2</t>
        </is>
      </c>
      <c r="J861" s="5" t="n">
        <v>100</v>
      </c>
      <c r="K861" s="5" t="n">
        <v>116.09</v>
      </c>
      <c r="L861" s="14" t="n">
        <v>1.1609</v>
      </c>
      <c r="M861" s="14" t="n">
        <v>1.1609</v>
      </c>
      <c r="N861" s="5" t="inlineStr">
        <is>
          <t>ENT</t>
        </is>
      </c>
      <c r="O861" s="5" t="inlineStr">
        <is>
          <t>ENT</t>
        </is>
      </c>
      <c r="P861" s="5" t="n">
        <v>0</v>
      </c>
      <c r="Q861" s="5" t="n">
        <v>0</v>
      </c>
      <c r="R861" s="5" t="inlineStr">
        <is>
          <t>304-2025-12-31</t>
        </is>
      </c>
    </row>
    <row r="862" hidden="1">
      <c r="A862" s="5" t="n">
        <v>305</v>
      </c>
      <c r="B862" s="5" t="inlineStr">
        <is>
          <t>Cumplimiento del plan anual de mantenimiento de equipos médicos</t>
        </is>
      </c>
      <c r="C862" s="5" t="inlineStr">
        <is>
          <t>Servicio de Salud</t>
        </is>
      </c>
      <c r="D862" s="5" t="inlineStr">
        <is>
          <t>Anual</t>
        </is>
      </c>
      <c r="E862" s="5" t="inlineStr">
        <is>
          <t>Positivo</t>
        </is>
      </c>
      <c r="F862" s="109" t="n">
        <v>45291</v>
      </c>
      <c r="G862" s="5" t="n">
        <v>2023</v>
      </c>
      <c r="H862" s="5" t="inlineStr">
        <is>
          <t>Diciembre</t>
        </is>
      </c>
      <c r="I862" s="6" t="inlineStr">
        <is>
          <t>2023-2</t>
        </is>
      </c>
      <c r="J862" s="5" t="n">
        <v>100</v>
      </c>
      <c r="K862" s="5" t="n">
        <v>100</v>
      </c>
      <c r="L862" s="14" t="n">
        <v>1</v>
      </c>
      <c r="M862" s="14" t="n">
        <v>1</v>
      </c>
      <c r="N862" s="5" t="inlineStr">
        <is>
          <t>%</t>
        </is>
      </c>
      <c r="O862" s="5" t="inlineStr">
        <is>
          <t>%</t>
        </is>
      </c>
      <c r="P862" s="5" t="n">
        <v>0</v>
      </c>
      <c r="Q862" s="5" t="n">
        <v>0</v>
      </c>
      <c r="R862" s="5" t="inlineStr">
        <is>
          <t>305-2023-12-31</t>
        </is>
      </c>
    </row>
    <row r="863" hidden="1">
      <c r="A863" s="5" t="n">
        <v>305</v>
      </c>
      <c r="B863" s="5" t="inlineStr">
        <is>
          <t>Cumplimiento del plan anual de mantenimiento de equipos médicos</t>
        </is>
      </c>
      <c r="C863" s="5" t="inlineStr">
        <is>
          <t>Servicio de Salud</t>
        </is>
      </c>
      <c r="D863" s="5" t="inlineStr">
        <is>
          <t>Anual</t>
        </is>
      </c>
      <c r="E863" s="5" t="inlineStr">
        <is>
          <t>Positivo</t>
        </is>
      </c>
      <c r="F863" s="109" t="n">
        <v>45657</v>
      </c>
      <c r="G863" s="5" t="n">
        <v>2024</v>
      </c>
      <c r="H863" s="5" t="inlineStr">
        <is>
          <t>Diciembre</t>
        </is>
      </c>
      <c r="I863" s="6" t="inlineStr">
        <is>
          <t>2024-2</t>
        </is>
      </c>
      <c r="J863" s="5" t="n">
        <v>100</v>
      </c>
      <c r="K863" s="5" t="n">
        <v>100</v>
      </c>
      <c r="L863" s="14" t="n">
        <v>1</v>
      </c>
      <c r="M863" s="14" t="n">
        <v>1</v>
      </c>
      <c r="N863" s="5" t="n"/>
      <c r="O863" s="5" t="n"/>
      <c r="P863" s="5" t="n">
        <v>0</v>
      </c>
      <c r="Q863" s="5" t="n">
        <v>0</v>
      </c>
      <c r="R863" s="5" t="inlineStr">
        <is>
          <t>305-2024-12-31</t>
        </is>
      </c>
    </row>
    <row r="864" hidden="1">
      <c r="A864" s="26" t="n">
        <v>306</v>
      </c>
      <c r="B864" s="5" t="inlineStr">
        <is>
          <t>Seguimiento KPI Plan de Desarrollo Institucional</t>
        </is>
      </c>
      <c r="C864" s="5" t="inlineStr">
        <is>
          <t>Desempeño Institucional</t>
        </is>
      </c>
      <c r="D864" s="5" t="inlineStr">
        <is>
          <t>Trimestral</t>
        </is>
      </c>
      <c r="E864" s="5" t="inlineStr">
        <is>
          <t>Positivo</t>
        </is>
      </c>
      <c r="F864" s="109" t="n">
        <v>45107</v>
      </c>
      <c r="G864" s="5" t="n">
        <v>2023</v>
      </c>
      <c r="H864" s="5" t="inlineStr">
        <is>
          <t>Junio</t>
        </is>
      </c>
      <c r="I864" s="6" t="inlineStr">
        <is>
          <t>2023-1</t>
        </is>
      </c>
      <c r="J864" s="5" t="n">
        <v>100</v>
      </c>
      <c r="K864" s="5" t="n">
        <v>0</v>
      </c>
      <c r="L864" s="74" t="n">
        <v>0</v>
      </c>
      <c r="M864" s="14" t="n">
        <v>0</v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306-2023-06-30</t>
        </is>
      </c>
    </row>
    <row r="865" hidden="1">
      <c r="A865" s="5" t="n">
        <v>306</v>
      </c>
      <c r="B865" s="5" t="inlineStr">
        <is>
          <t>Seguimiento KPI Plan de Desarrollo Institucional</t>
        </is>
      </c>
      <c r="C865" s="5" t="inlineStr">
        <is>
          <t>Desempeño Institucional</t>
        </is>
      </c>
      <c r="D865" s="5" t="inlineStr">
        <is>
          <t>Trimestral</t>
        </is>
      </c>
      <c r="E865" s="5" t="inlineStr">
        <is>
          <t>Positivo</t>
        </is>
      </c>
      <c r="F865" s="109" t="n">
        <v>45199</v>
      </c>
      <c r="G865" s="5" t="n">
        <v>2023</v>
      </c>
      <c r="H865" s="5" t="inlineStr">
        <is>
          <t>Septiembre</t>
        </is>
      </c>
      <c r="I865" s="6" t="inlineStr">
        <is>
          <t>2023-2</t>
        </is>
      </c>
      <c r="J865" s="5" t="n">
        <v>100</v>
      </c>
      <c r="K865" s="5" t="n">
        <v>313</v>
      </c>
      <c r="L865" s="14" t="n">
        <v>1.3</v>
      </c>
      <c r="M865" s="14" t="n">
        <v>3.13</v>
      </c>
      <c r="N865" s="5" t="inlineStr">
        <is>
          <t>%</t>
        </is>
      </c>
      <c r="O865" s="5" t="inlineStr">
        <is>
          <t>%</t>
        </is>
      </c>
      <c r="P865" s="5" t="n">
        <v>0</v>
      </c>
      <c r="Q865" s="5" t="n">
        <v>0</v>
      </c>
      <c r="R865" s="5" t="inlineStr">
        <is>
          <t>306-2023-09-30</t>
        </is>
      </c>
    </row>
    <row r="866" hidden="1">
      <c r="A866" s="28" t="n">
        <v>306</v>
      </c>
      <c r="B866" s="5" t="inlineStr">
        <is>
          <t>Seguimiento KPI Plan de Desarrollo Institucional</t>
        </is>
      </c>
      <c r="C866" s="5" t="inlineStr">
        <is>
          <t>Desempeño Institucional</t>
        </is>
      </c>
      <c r="D866" s="5" t="inlineStr">
        <is>
          <t>Trimestral</t>
        </is>
      </c>
      <c r="E866" s="5" t="inlineStr">
        <is>
          <t>Positivo</t>
        </is>
      </c>
      <c r="F866" s="109" t="n">
        <v>45291</v>
      </c>
      <c r="G866" s="5" t="n">
        <v>2023</v>
      </c>
      <c r="H866" s="5" t="inlineStr">
        <is>
          <t>Diciembre</t>
        </is>
      </c>
      <c r="I866" s="6" t="inlineStr">
        <is>
          <t>2023-2</t>
        </is>
      </c>
      <c r="J866" s="5" t="n">
        <v>100</v>
      </c>
      <c r="K866" s="5" t="n">
        <v>313</v>
      </c>
      <c r="L866" s="74" t="n">
        <v>1.3</v>
      </c>
      <c r="M866" s="14" t="n">
        <v>3.13</v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 t="inlineStr">
        <is>
          <t>306-2023-12-31</t>
        </is>
      </c>
    </row>
    <row r="867" hidden="1">
      <c r="A867" s="26" t="n">
        <v>306</v>
      </c>
      <c r="B867" s="5" t="inlineStr">
        <is>
          <t>Seguimiento KPI Plan de Desarrollo Institucional</t>
        </is>
      </c>
      <c r="C867" s="5" t="inlineStr">
        <is>
          <t>Desempeño Institucional</t>
        </is>
      </c>
      <c r="D867" s="5" t="inlineStr">
        <is>
          <t>Trimestral</t>
        </is>
      </c>
      <c r="E867" s="5" t="inlineStr">
        <is>
          <t>Positivo</t>
        </is>
      </c>
      <c r="F867" s="109" t="n">
        <v>45473</v>
      </c>
      <c r="G867" s="5" t="n">
        <v>2024</v>
      </c>
      <c r="H867" s="5" t="inlineStr">
        <is>
          <t>Junio</t>
        </is>
      </c>
      <c r="I867" s="6" t="inlineStr">
        <is>
          <t>2024-1</t>
        </is>
      </c>
      <c r="J867" s="5" t="n">
        <v>100</v>
      </c>
      <c r="K867" s="5" t="n">
        <v>300.5</v>
      </c>
      <c r="L867" s="74" t="n">
        <v>1.3</v>
      </c>
      <c r="M867" s="14" t="n">
        <v>3.005</v>
      </c>
      <c r="N867" s="5" t="n"/>
      <c r="O867" s="5" t="n"/>
      <c r="P867" s="5" t="n">
        <v>0</v>
      </c>
      <c r="Q867" s="5" t="n">
        <v>0</v>
      </c>
      <c r="R867" s="5" t="inlineStr">
        <is>
          <t>306-2024-06-30</t>
        </is>
      </c>
    </row>
    <row r="868" hidden="1">
      <c r="A868" s="5" t="n">
        <v>306</v>
      </c>
      <c r="B868" s="5" t="inlineStr">
        <is>
          <t>Seguimiento KPI Plan de Desarrollo Institucional</t>
        </is>
      </c>
      <c r="C868" s="5" t="inlineStr">
        <is>
          <t>Desempeño Institucional</t>
        </is>
      </c>
      <c r="D868" s="5" t="inlineStr">
        <is>
          <t>Trimestral</t>
        </is>
      </c>
      <c r="E868" s="5" t="inlineStr">
        <is>
          <t>Positivo</t>
        </is>
      </c>
      <c r="F868" s="109" t="n">
        <v>45657</v>
      </c>
      <c r="G868" s="5" t="n">
        <v>2024</v>
      </c>
      <c r="H868" s="5" t="inlineStr">
        <is>
          <t>Diciembre</t>
        </is>
      </c>
      <c r="I868" s="6" t="inlineStr">
        <is>
          <t>2024-2</t>
        </is>
      </c>
      <c r="J868" s="5" t="n">
        <v>100</v>
      </c>
      <c r="K868" s="5" t="n">
        <v>50.5</v>
      </c>
      <c r="L868" s="14" t="n">
        <v>0.505</v>
      </c>
      <c r="M868" s="14" t="n">
        <v>0.505</v>
      </c>
      <c r="N868" s="5" t="n"/>
      <c r="O868" s="5" t="n"/>
      <c r="P868" s="5" t="n">
        <v>0</v>
      </c>
      <c r="Q868" s="5" t="n">
        <v>0</v>
      </c>
      <c r="R868" s="5" t="inlineStr">
        <is>
          <t>306-2024-12-31</t>
        </is>
      </c>
    </row>
    <row r="869" hidden="1">
      <c r="A869" s="5" t="n">
        <v>306</v>
      </c>
      <c r="B869" s="5" t="inlineStr">
        <is>
          <t>Seguimiento KPI Plan de Desarrollo Institucional</t>
        </is>
      </c>
      <c r="C869" s="5" t="inlineStr">
        <is>
          <t>Desempeño Institucional</t>
        </is>
      </c>
      <c r="D869" s="5" t="inlineStr">
        <is>
          <t>Semestral</t>
        </is>
      </c>
      <c r="E869" s="5" t="inlineStr">
        <is>
          <t>Positivo</t>
        </is>
      </c>
      <c r="F869" s="109" t="n">
        <v>45838</v>
      </c>
      <c r="G869" s="5" t="n">
        <v>2025</v>
      </c>
      <c r="H869" s="5" t="inlineStr">
        <is>
          <t>Junio</t>
        </is>
      </c>
      <c r="I869" s="6" t="inlineStr">
        <is>
          <t>2025-1</t>
        </is>
      </c>
      <c r="J869" s="5" t="n">
        <v>100</v>
      </c>
      <c r="K869" s="5" t="n">
        <v>108.67</v>
      </c>
      <c r="L869" s="14" t="n">
        <v>1.0867</v>
      </c>
      <c r="M869" s="14" t="n">
        <v>1.0867</v>
      </c>
      <c r="N869" s="5" t="inlineStr">
        <is>
          <t>%</t>
        </is>
      </c>
      <c r="O869" s="5" t="inlineStr">
        <is>
          <t>%</t>
        </is>
      </c>
      <c r="P869" s="5" t="n">
        <v>0</v>
      </c>
      <c r="Q869" s="5" t="n">
        <v>0</v>
      </c>
      <c r="R869" s="5" t="inlineStr">
        <is>
          <t>306-2025-06-30</t>
        </is>
      </c>
    </row>
    <row r="870" hidden="1">
      <c r="A870" s="28" t="n">
        <v>306</v>
      </c>
      <c r="B870" s="5" t="inlineStr">
        <is>
          <t>Seguimiento KPI Plan de Desarrollo Institucional</t>
        </is>
      </c>
      <c r="C870" s="5" t="inlineStr">
        <is>
          <t>Desempeño Institucional</t>
        </is>
      </c>
      <c r="D870" s="5" t="inlineStr">
        <is>
          <t>Semestral</t>
        </is>
      </c>
      <c r="E870" s="5" t="inlineStr">
        <is>
          <t>Positivo</t>
        </is>
      </c>
      <c r="F870" s="109" t="n">
        <v>46022</v>
      </c>
      <c r="G870" s="5" t="n">
        <v>2025</v>
      </c>
      <c r="H870" s="5" t="inlineStr">
        <is>
          <t>Diciembre</t>
        </is>
      </c>
      <c r="I870" s="6" t="inlineStr">
        <is>
          <t>2025-2</t>
        </is>
      </c>
      <c r="J870" s="5" t="n">
        <v>100</v>
      </c>
      <c r="K870" s="5" t="n">
        <v>106.725</v>
      </c>
      <c r="L870" s="14" t="n">
        <v>1.06725</v>
      </c>
      <c r="M870" s="14" t="n">
        <v>1.06725</v>
      </c>
      <c r="N870" s="5" t="inlineStr">
        <is>
          <t>%</t>
        </is>
      </c>
      <c r="O870" s="5" t="inlineStr">
        <is>
          <t>%</t>
        </is>
      </c>
      <c r="P870" s="5" t="n">
        <v>0</v>
      </c>
      <c r="Q870" s="5" t="n">
        <v>0</v>
      </c>
      <c r="R870" s="5" t="inlineStr">
        <is>
          <t>306-2025-12-31</t>
        </is>
      </c>
    </row>
    <row r="871" hidden="1">
      <c r="A871" s="26" t="n">
        <v>307</v>
      </c>
      <c r="B871" s="5" t="inlineStr">
        <is>
          <t>Organización de escenarios de visibilidad nacional e internacional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09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20</v>
      </c>
      <c r="K871" s="5" t="n">
        <v>25</v>
      </c>
      <c r="L871" s="14" t="n">
        <v>1.25</v>
      </c>
      <c r="M871" s="14" t="n">
        <v>1.25</v>
      </c>
      <c r="N871" s="5" t="n"/>
      <c r="O871" s="5" t="n"/>
      <c r="P871" s="5" t="n">
        <v>0</v>
      </c>
      <c r="Q871" s="5" t="n">
        <v>0</v>
      </c>
      <c r="R871" s="5" t="inlineStr">
        <is>
          <t>307-2023-06-30</t>
        </is>
      </c>
    </row>
    <row r="872" hidden="1">
      <c r="A872" s="5" t="n">
        <v>307</v>
      </c>
      <c r="B872" s="5" t="inlineStr">
        <is>
          <t>Organización de escenarios de visibilidad nacional e internacional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09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26</v>
      </c>
      <c r="K872" s="5" t="n">
        <v>82</v>
      </c>
      <c r="L872" s="14" t="n">
        <v>1.3</v>
      </c>
      <c r="M872" s="14" t="n">
        <v>3.153846153846154</v>
      </c>
      <c r="N872" s="5" t="n"/>
      <c r="O872" s="5" t="n"/>
      <c r="P872" s="5" t="n">
        <v>0</v>
      </c>
      <c r="Q872" s="5" t="n">
        <v>0</v>
      </c>
      <c r="R872" s="5" t="inlineStr">
        <is>
          <t>307-2023-12-31</t>
        </is>
      </c>
    </row>
    <row r="873" hidden="1">
      <c r="A873" s="5" t="n">
        <v>307</v>
      </c>
      <c r="B873" s="5" t="inlineStr">
        <is>
          <t>Organización de escenarios de visibilidad nacional e internacional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9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112</v>
      </c>
      <c r="L873" s="14" t="n">
        <v>1.12</v>
      </c>
      <c r="M873" s="14" t="n">
        <v>1.12</v>
      </c>
      <c r="N873" s="5" t="n"/>
      <c r="O873" s="5" t="n"/>
      <c r="P873" s="5" t="n">
        <v>0</v>
      </c>
      <c r="Q873" s="5" t="n">
        <v>0</v>
      </c>
      <c r="R873" s="5" t="inlineStr">
        <is>
          <t>307-2024-06-30</t>
        </is>
      </c>
    </row>
    <row r="874" hidden="1">
      <c r="A874" s="28" t="n">
        <v>307</v>
      </c>
      <c r="B874" s="5" t="inlineStr">
        <is>
          <t>Organización de escenarios de visibilidad nacional e internacional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9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413.33</v>
      </c>
      <c r="L874" s="74" t="n">
        <v>1.3</v>
      </c>
      <c r="M874" s="14" t="n">
        <v>4.1333</v>
      </c>
      <c r="N874" s="5" t="n"/>
      <c r="O874" s="5" t="n"/>
      <c r="P874" s="5" t="n">
        <v>0</v>
      </c>
      <c r="Q874" s="5" t="n">
        <v>0</v>
      </c>
      <c r="R874" s="5" t="inlineStr">
        <is>
          <t>307-2024-12-31</t>
        </is>
      </c>
    </row>
    <row r="875" hidden="1">
      <c r="A875" s="26" t="n">
        <v>308</v>
      </c>
      <c r="B875" s="5" t="inlineStr">
        <is>
          <t>Movilidad Física Entrantes Profesores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9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12</v>
      </c>
      <c r="K875" s="5" t="n">
        <v>27</v>
      </c>
      <c r="L875" s="74" t="n">
        <v>1.3</v>
      </c>
      <c r="M875" s="14" t="n">
        <v>2.25</v>
      </c>
      <c r="N875" s="5" t="n"/>
      <c r="O875" s="5" t="n"/>
      <c r="P875" s="5" t="n">
        <v>0</v>
      </c>
      <c r="Q875" s="5" t="n">
        <v>0</v>
      </c>
      <c r="R875" s="5" t="inlineStr">
        <is>
          <t>308-2023-06-30</t>
        </is>
      </c>
    </row>
    <row r="876" hidden="1">
      <c r="A876" s="5" t="n">
        <v>308</v>
      </c>
      <c r="B876" s="5" t="inlineStr">
        <is>
          <t>Movilidad Física Entrantes Profesores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9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20</v>
      </c>
      <c r="K876" s="5" t="n">
        <v>54</v>
      </c>
      <c r="L876" s="14" t="n">
        <v>1.3</v>
      </c>
      <c r="M876" s="14" t="n">
        <v>2.7</v>
      </c>
      <c r="N876" s="5" t="n"/>
      <c r="O876" s="5" t="n"/>
      <c r="P876" s="5" t="n">
        <v>0</v>
      </c>
      <c r="Q876" s="5" t="n">
        <v>0</v>
      </c>
      <c r="R876" s="5" t="inlineStr">
        <is>
          <t>308-2023-12-31</t>
        </is>
      </c>
    </row>
    <row r="877" hidden="1">
      <c r="A877" s="5" t="n">
        <v>308</v>
      </c>
      <c r="B877" s="5" t="inlineStr">
        <is>
          <t>Movilidad Física Entrantes Profesores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9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100</v>
      </c>
      <c r="L877" s="14" t="n">
        <v>1</v>
      </c>
      <c r="M877" s="14" t="n">
        <v>1</v>
      </c>
      <c r="N877" s="5" t="n"/>
      <c r="O877" s="5" t="n"/>
      <c r="P877" s="5" t="n">
        <v>0</v>
      </c>
      <c r="Q877" s="5" t="n">
        <v>0</v>
      </c>
      <c r="R877" s="5" t="inlineStr">
        <is>
          <t>308-2024-06-30</t>
        </is>
      </c>
    </row>
    <row r="878" hidden="1">
      <c r="A878" s="26" t="n">
        <v>308</v>
      </c>
      <c r="B878" s="5" t="inlineStr">
        <is>
          <t>Movilidad Física Entrantes Profesores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9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100</v>
      </c>
      <c r="L878" s="74" t="n">
        <v>1</v>
      </c>
      <c r="M878" s="14" t="n">
        <v>1</v>
      </c>
      <c r="N878" s="5" t="n"/>
      <c r="O878" s="5" t="n"/>
      <c r="P878" s="5" t="n">
        <v>0</v>
      </c>
      <c r="Q878" s="5" t="n">
        <v>0</v>
      </c>
      <c r="R878" s="5" t="inlineStr">
        <is>
          <t>308-2024-12-31</t>
        </is>
      </c>
    </row>
    <row r="879" hidden="1">
      <c r="A879" s="5" t="n">
        <v>309</v>
      </c>
      <c r="B879" s="5" t="inlineStr">
        <is>
          <t>Movilidad Física Profesores Salientes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9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19</v>
      </c>
      <c r="K879" s="5" t="n">
        <v>27</v>
      </c>
      <c r="L879" s="14" t="n">
        <v>1.3</v>
      </c>
      <c r="M879" s="14" t="n">
        <v>1.421052631578947</v>
      </c>
      <c r="N879" s="5" t="n"/>
      <c r="O879" s="5" t="n"/>
      <c r="P879" s="5" t="n">
        <v>0</v>
      </c>
      <c r="Q879" s="5" t="n">
        <v>0</v>
      </c>
      <c r="R879" s="5" t="inlineStr">
        <is>
          <t>309-2023-06-30</t>
        </is>
      </c>
    </row>
    <row r="880" hidden="1">
      <c r="A880" s="5" t="n">
        <v>309</v>
      </c>
      <c r="B880" s="5" t="inlineStr">
        <is>
          <t>Movilidad Física Profesores Salientes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9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45</v>
      </c>
      <c r="K880" s="5" t="n">
        <v>76</v>
      </c>
      <c r="L880" s="14" t="n">
        <v>1.3</v>
      </c>
      <c r="M880" s="14" t="n">
        <v>1.688888888888889</v>
      </c>
      <c r="N880" s="5" t="n"/>
      <c r="O880" s="5" t="n"/>
      <c r="P880" s="5" t="n">
        <v>0</v>
      </c>
      <c r="Q880" s="5" t="n">
        <v>0</v>
      </c>
      <c r="R880" s="5" t="inlineStr">
        <is>
          <t>309-2023-12-31</t>
        </is>
      </c>
    </row>
    <row r="881" hidden="1">
      <c r="A881" s="26" t="n">
        <v>309</v>
      </c>
      <c r="B881" s="5" t="inlineStr">
        <is>
          <t>Movilidad Física Salientes Profesores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9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216</v>
      </c>
      <c r="L881" s="74" t="n">
        <v>1.3</v>
      </c>
      <c r="M881" s="14" t="n">
        <v>2.16</v>
      </c>
      <c r="N881" s="5" t="n"/>
      <c r="O881" s="5" t="n"/>
      <c r="P881" s="5" t="n">
        <v>0</v>
      </c>
      <c r="Q881" s="5" t="n">
        <v>0</v>
      </c>
      <c r="R881" s="5" t="inlineStr">
        <is>
          <t>309-2024-06-30</t>
        </is>
      </c>
    </row>
    <row r="882" hidden="1">
      <c r="A882" s="5" t="n">
        <v>309</v>
      </c>
      <c r="B882" s="5" t="inlineStr">
        <is>
          <t>Movilidad Física Salientes Profesores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9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154.67</v>
      </c>
      <c r="L882" s="14" t="n">
        <v>1.3</v>
      </c>
      <c r="M882" s="14" t="n">
        <v>1.5467</v>
      </c>
      <c r="N882" s="5" t="n"/>
      <c r="O882" s="5" t="n"/>
      <c r="P882" s="5" t="n">
        <v>0</v>
      </c>
      <c r="Q882" s="5" t="n">
        <v>0</v>
      </c>
      <c r="R882" s="5" t="inlineStr">
        <is>
          <t>309-2024-12-31</t>
        </is>
      </c>
    </row>
    <row r="883" hidden="1">
      <c r="A883" s="5" t="n">
        <v>310</v>
      </c>
      <c r="B883" s="5" t="inlineStr">
        <is>
          <t>Movilidad Física Entrante Estudiantes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9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14</v>
      </c>
      <c r="K883" s="5" t="n">
        <v>48</v>
      </c>
      <c r="L883" s="14" t="n">
        <v>1.3</v>
      </c>
      <c r="M883" s="14" t="n">
        <v>3.428571428571428</v>
      </c>
      <c r="N883" s="5" t="n"/>
      <c r="O883" s="5" t="n"/>
      <c r="P883" s="5" t="n">
        <v>0</v>
      </c>
      <c r="Q883" s="5" t="n">
        <v>0</v>
      </c>
      <c r="R883" s="5" t="inlineStr">
        <is>
          <t>310-2023-06-30</t>
        </is>
      </c>
    </row>
    <row r="884" hidden="1">
      <c r="A884" s="26" t="n">
        <v>310</v>
      </c>
      <c r="B884" s="5" t="inlineStr">
        <is>
          <t>Movilidad Física Entrante Estudiantes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9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70</v>
      </c>
      <c r="K884" s="5" t="n">
        <v>118</v>
      </c>
      <c r="L884" s="74" t="n">
        <v>1.3</v>
      </c>
      <c r="M884" s="14" t="n">
        <v>1.685714285714286</v>
      </c>
      <c r="N884" s="5" t="n"/>
      <c r="O884" s="5" t="n"/>
      <c r="P884" s="5" t="n">
        <v>0</v>
      </c>
      <c r="Q884" s="5" t="n">
        <v>0</v>
      </c>
      <c r="R884" s="5" t="inlineStr">
        <is>
          <t>310-2023-12-31</t>
        </is>
      </c>
    </row>
    <row r="885" hidden="1">
      <c r="A885" s="5" t="n">
        <v>310</v>
      </c>
      <c r="B885" s="5" t="inlineStr">
        <is>
          <t>Movilidad Física Entrante Estudiantes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9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>
        <v>100</v>
      </c>
      <c r="K885" s="5" t="n">
        <v>95.56</v>
      </c>
      <c r="L885" s="14" t="n">
        <v>0.9556</v>
      </c>
      <c r="M885" s="14" t="n">
        <v>0.9556</v>
      </c>
      <c r="N885" s="5" t="n"/>
      <c r="O885" s="5" t="n"/>
      <c r="P885" s="5" t="n">
        <v>0</v>
      </c>
      <c r="Q885" s="5" t="n">
        <v>0</v>
      </c>
      <c r="R885" s="5" t="inlineStr">
        <is>
          <t>310-2024-06-30</t>
        </is>
      </c>
    </row>
    <row r="886" hidden="1">
      <c r="A886" s="5" t="n">
        <v>310</v>
      </c>
      <c r="B886" s="5" t="inlineStr">
        <is>
          <t>Movilidad Física Entrante Estudiantes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9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>
        <v>100</v>
      </c>
      <c r="K886" s="5" t="n">
        <v>79.13</v>
      </c>
      <c r="L886" s="14" t="n">
        <v>0.7913</v>
      </c>
      <c r="M886" s="14" t="n">
        <v>0.7913</v>
      </c>
      <c r="N886" s="5" t="n"/>
      <c r="O886" s="5" t="n"/>
      <c r="P886" s="5" t="n">
        <v>0</v>
      </c>
      <c r="Q886" s="5" t="n">
        <v>0</v>
      </c>
      <c r="R886" s="5" t="inlineStr">
        <is>
          <t>310-2024-12-31</t>
        </is>
      </c>
    </row>
    <row r="887" hidden="1">
      <c r="A887" s="26" t="n">
        <v>311</v>
      </c>
      <c r="B887" s="5" t="inlineStr">
        <is>
          <t>Movilidad Física Saliente Estudiantes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9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22</v>
      </c>
      <c r="K887" s="5" t="n">
        <v>85</v>
      </c>
      <c r="L887" s="74" t="n">
        <v>1.3</v>
      </c>
      <c r="M887" s="14" t="n">
        <v>3.863636363636364</v>
      </c>
      <c r="N887" s="5" t="n"/>
      <c r="O887" s="5" t="n"/>
      <c r="P887" s="5" t="n">
        <v>0</v>
      </c>
      <c r="Q887" s="5" t="n">
        <v>0</v>
      </c>
      <c r="R887" s="5" t="inlineStr">
        <is>
          <t>311-2023-06-30</t>
        </is>
      </c>
    </row>
    <row r="888" hidden="1">
      <c r="A888" s="26" t="n">
        <v>311</v>
      </c>
      <c r="B888" s="5" t="inlineStr">
        <is>
          <t>Movilidad Física Saliente Estudiantes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9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245</v>
      </c>
      <c r="K888" s="5" t="n">
        <v>247</v>
      </c>
      <c r="L888" s="74" t="n">
        <v>1.008163265306123</v>
      </c>
      <c r="M888" s="14" t="n">
        <v>1.008163265306123</v>
      </c>
      <c r="N888" s="5" t="n"/>
      <c r="O888" s="5" t="n"/>
      <c r="P888" s="5" t="n">
        <v>0</v>
      </c>
      <c r="Q888" s="5" t="n">
        <v>0</v>
      </c>
      <c r="R888" s="5" t="inlineStr">
        <is>
          <t>311-2023-12-31</t>
        </is>
      </c>
    </row>
    <row r="889" hidden="1">
      <c r="A889" s="5" t="n">
        <v>311</v>
      </c>
      <c r="B889" s="5" t="inlineStr">
        <is>
          <t>Movilidad Física Saliente Estudiantes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09" t="n">
        <v>45473</v>
      </c>
      <c r="G889" s="5" t="n">
        <v>2024</v>
      </c>
      <c r="H889" s="5" t="inlineStr">
        <is>
          <t>Junio</t>
        </is>
      </c>
      <c r="I889" s="6" t="inlineStr">
        <is>
          <t>2024-1</t>
        </is>
      </c>
      <c r="J889" s="5" t="n">
        <v>100</v>
      </c>
      <c r="K889" s="5" t="n">
        <v>117.65</v>
      </c>
      <c r="L889" s="14" t="n">
        <v>1.1765</v>
      </c>
      <c r="M889" s="14" t="n">
        <v>1.1765</v>
      </c>
      <c r="N889" s="5" t="n"/>
      <c r="O889" s="5" t="n"/>
      <c r="P889" s="5" t="n">
        <v>0</v>
      </c>
      <c r="Q889" s="5" t="n">
        <v>0</v>
      </c>
      <c r="R889" s="5" t="inlineStr">
        <is>
          <t>311-2024-06-30</t>
        </is>
      </c>
    </row>
    <row r="890" hidden="1">
      <c r="A890" s="5" t="n">
        <v>311</v>
      </c>
      <c r="B890" s="5" t="inlineStr">
        <is>
          <t>Movilidad Física Saliente Estudiantes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09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67.76000000000001</v>
      </c>
      <c r="L890" s="14" t="n">
        <v>0.6776000000000001</v>
      </c>
      <c r="M890" s="14" t="n">
        <v>0.6776000000000001</v>
      </c>
      <c r="N890" s="5" t="n"/>
      <c r="O890" s="5" t="n"/>
      <c r="P890" s="5" t="n">
        <v>0</v>
      </c>
      <c r="Q890" s="5" t="n">
        <v>0</v>
      </c>
      <c r="R890" s="5" t="inlineStr">
        <is>
          <t>311-2024-12-31</t>
        </is>
      </c>
    </row>
    <row r="891" hidden="1">
      <c r="A891" s="26" t="n">
        <v>312</v>
      </c>
      <c r="B891" s="5" t="inlineStr">
        <is>
          <t>Clases espejo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9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113</v>
      </c>
      <c r="K891" s="5" t="n">
        <v>125</v>
      </c>
      <c r="L891" s="74" t="n">
        <v>1.106194690265487</v>
      </c>
      <c r="M891" s="14" t="n">
        <v>1.106194690265487</v>
      </c>
      <c r="N891" s="5" t="n"/>
      <c r="O891" s="5" t="n"/>
      <c r="P891" s="5" t="n">
        <v>0</v>
      </c>
      <c r="Q891" s="5" t="n">
        <v>0</v>
      </c>
      <c r="R891" s="5" t="inlineStr">
        <is>
          <t>312-2023-06-30</t>
        </is>
      </c>
    </row>
    <row r="892" hidden="1">
      <c r="A892" s="28" t="n">
        <v>312</v>
      </c>
      <c r="B892" s="5" t="inlineStr">
        <is>
          <t>Clases espejo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9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108</v>
      </c>
      <c r="K892" s="5" t="n">
        <v>118</v>
      </c>
      <c r="L892" s="74" t="n">
        <v>1.092592592592593</v>
      </c>
      <c r="M892" s="14" t="n">
        <v>1.092592592592593</v>
      </c>
      <c r="N892" s="5" t="n"/>
      <c r="O892" s="5" t="n"/>
      <c r="P892" s="5" t="n">
        <v>0</v>
      </c>
      <c r="Q892" s="5" t="n">
        <v>0</v>
      </c>
      <c r="R892" s="5" t="inlineStr">
        <is>
          <t>312-2023-12-31</t>
        </is>
      </c>
    </row>
    <row r="893" hidden="1">
      <c r="A893" s="26" t="n">
        <v>312</v>
      </c>
      <c r="B893" s="5" t="inlineStr">
        <is>
          <t>Clases espejo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09" t="n">
        <v>45473</v>
      </c>
      <c r="G893" s="5" t="n">
        <v>2024</v>
      </c>
      <c r="H893" s="5" t="inlineStr">
        <is>
          <t>Junio</t>
        </is>
      </c>
      <c r="I893" s="6" t="inlineStr">
        <is>
          <t>2024-1</t>
        </is>
      </c>
      <c r="J893" s="5" t="n">
        <v>100</v>
      </c>
      <c r="K893" s="5" t="n">
        <v>126</v>
      </c>
      <c r="L893" s="74" t="n">
        <v>1.26</v>
      </c>
      <c r="M893" s="14" t="n">
        <v>1.26</v>
      </c>
      <c r="N893" s="5" t="n"/>
      <c r="O893" s="5" t="n"/>
      <c r="P893" s="5" t="n">
        <v>0</v>
      </c>
      <c r="Q893" s="5" t="n">
        <v>0</v>
      </c>
      <c r="R893" s="5" t="inlineStr">
        <is>
          <t>312-2024-06-30</t>
        </is>
      </c>
    </row>
    <row r="894" hidden="1">
      <c r="A894" s="26" t="n">
        <v>312</v>
      </c>
      <c r="B894" s="5" t="inlineStr">
        <is>
          <t>Clases espejo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09" t="n">
        <v>45657</v>
      </c>
      <c r="G894" s="5" t="n">
        <v>2024</v>
      </c>
      <c r="H894" s="5" t="inlineStr">
        <is>
          <t>Diciembre</t>
        </is>
      </c>
      <c r="I894" s="6" t="inlineStr">
        <is>
          <t>2024-2</t>
        </is>
      </c>
      <c r="J894" s="5" t="n">
        <v>100</v>
      </c>
      <c r="K894" s="5" t="n">
        <v>137</v>
      </c>
      <c r="L894" s="74" t="n">
        <v>1.3</v>
      </c>
      <c r="M894" s="14" t="n">
        <v>1.37</v>
      </c>
      <c r="N894" s="5" t="n"/>
      <c r="O894" s="5" t="n"/>
      <c r="P894" s="5" t="n">
        <v>0</v>
      </c>
      <c r="Q894" s="5" t="n">
        <v>0</v>
      </c>
      <c r="R894" s="5" t="inlineStr">
        <is>
          <t>312-2024-12-31</t>
        </is>
      </c>
    </row>
    <row r="895" hidden="1">
      <c r="A895" s="5" t="n">
        <v>313</v>
      </c>
      <c r="B895" s="5" t="inlineStr">
        <is>
          <t>Seminarios y cursos internacionales virtuales impartidos y certificados por entidades externas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9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13</v>
      </c>
      <c r="K895" s="5" t="n">
        <v>13</v>
      </c>
      <c r="L895" s="14" t="n">
        <v>1</v>
      </c>
      <c r="M895" s="14" t="n">
        <v>1</v>
      </c>
      <c r="N895" s="5" t="n"/>
      <c r="O895" s="5" t="n"/>
      <c r="P895" s="5" t="n">
        <v>0</v>
      </c>
      <c r="Q895" s="5" t="n">
        <v>0</v>
      </c>
      <c r="R895" s="5" t="inlineStr">
        <is>
          <t>313-2023-06-30</t>
        </is>
      </c>
    </row>
    <row r="896" hidden="1">
      <c r="A896" s="26" t="n">
        <v>313</v>
      </c>
      <c r="B896" s="5" t="inlineStr">
        <is>
          <t>Seminarios y cursos internacionales virtuales impartidos y certificados por entidades externas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9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15</v>
      </c>
      <c r="K896" s="5" t="n">
        <v>12</v>
      </c>
      <c r="L896" s="74" t="n">
        <v>0.8</v>
      </c>
      <c r="M896" s="14" t="n">
        <v>0.8</v>
      </c>
      <c r="N896" s="5" t="n"/>
      <c r="O896" s="5" t="n"/>
      <c r="P896" s="5" t="n">
        <v>0</v>
      </c>
      <c r="Q896" s="5" t="n">
        <v>0</v>
      </c>
      <c r="R896" s="5" t="inlineStr">
        <is>
          <t>313-2023-12-31</t>
        </is>
      </c>
    </row>
    <row r="897" hidden="1">
      <c r="A897" s="5" t="n">
        <v>313</v>
      </c>
      <c r="B897" s="5" t="inlineStr">
        <is>
          <t>Seminarios y cursos internacionales virtuales impartidos y certificados por entidades externas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9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>
        <v>100</v>
      </c>
      <c r="K897" s="5" t="n">
        <v>100</v>
      </c>
      <c r="L897" s="14" t="n">
        <v>1</v>
      </c>
      <c r="M897" s="14" t="n">
        <v>1</v>
      </c>
      <c r="N897" s="5" t="n"/>
      <c r="O897" s="5" t="n"/>
      <c r="P897" s="5" t="n">
        <v>0</v>
      </c>
      <c r="Q897" s="5" t="n">
        <v>0</v>
      </c>
      <c r="R897" s="5" t="inlineStr">
        <is>
          <t>313-2024-06-30</t>
        </is>
      </c>
    </row>
    <row r="898" hidden="1">
      <c r="A898" s="34" t="n">
        <v>313</v>
      </c>
      <c r="B898" s="5" t="inlineStr">
        <is>
          <t>Seminarios y cursos internacionales virtuales impartidos y certificados por entidades externas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9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74" t="n">
        <v>1</v>
      </c>
      <c r="M898" s="14" t="n">
        <v>1</v>
      </c>
      <c r="N898" s="5" t="n"/>
      <c r="O898" s="5" t="n"/>
      <c r="P898" s="5" t="n">
        <v>0</v>
      </c>
      <c r="Q898" s="5" t="n">
        <v>0</v>
      </c>
      <c r="R898" s="5" t="inlineStr">
        <is>
          <t>313-2024-12-31</t>
        </is>
      </c>
    </row>
    <row r="899" hidden="1">
      <c r="A899" s="26" t="n">
        <v>314</v>
      </c>
      <c r="B899" s="5" t="inlineStr">
        <is>
          <t>N de asignaturas COIL - (Collaborative Online International Learning)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09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9</v>
      </c>
      <c r="K899" s="5" t="n">
        <v>13</v>
      </c>
      <c r="L899" s="74" t="n">
        <v>1.3</v>
      </c>
      <c r="M899" s="14" t="n">
        <v>1.444444444444444</v>
      </c>
      <c r="N899" s="5" t="n"/>
      <c r="O899" s="5" t="n"/>
      <c r="P899" s="5" t="n">
        <v>0</v>
      </c>
      <c r="Q899" s="5" t="n">
        <v>0</v>
      </c>
      <c r="R899" s="5" t="inlineStr">
        <is>
          <t>314-2023-06-30</t>
        </is>
      </c>
    </row>
    <row r="900" hidden="1">
      <c r="A900" s="28" t="n">
        <v>314</v>
      </c>
      <c r="B900" s="5" t="inlineStr">
        <is>
          <t>N de asignaturas COIL - (Collaborative Online International Learning)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09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14</v>
      </c>
      <c r="K900" s="5" t="n">
        <v>16</v>
      </c>
      <c r="L900" s="74" t="n">
        <v>1.142857142857143</v>
      </c>
      <c r="M900" s="14" t="n">
        <v>1.142857142857143</v>
      </c>
      <c r="N900" s="5" t="n"/>
      <c r="O900" s="5" t="n"/>
      <c r="P900" s="5" t="n">
        <v>0</v>
      </c>
      <c r="Q900" s="5" t="n">
        <v>0</v>
      </c>
      <c r="R900" s="5" t="inlineStr">
        <is>
          <t>314-2023-12-31</t>
        </is>
      </c>
    </row>
    <row r="901" hidden="1">
      <c r="A901" s="26" t="n">
        <v>314</v>
      </c>
      <c r="B901" s="5" t="inlineStr">
        <is>
          <t>N de asignaturas COIL - (Collaborative Online International Learning)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09" t="n">
        <v>45473</v>
      </c>
      <c r="G901" s="5" t="n">
        <v>2024</v>
      </c>
      <c r="H901" s="5" t="inlineStr">
        <is>
          <t>Junio</t>
        </is>
      </c>
      <c r="I901" s="6" t="inlineStr">
        <is>
          <t>2024-1</t>
        </is>
      </c>
      <c r="J901" s="5" t="n">
        <v>100</v>
      </c>
      <c r="K901" s="5" t="n">
        <v>140</v>
      </c>
      <c r="L901" s="74" t="n">
        <v>1.3</v>
      </c>
      <c r="M901" s="14" t="n">
        <v>1.4</v>
      </c>
      <c r="N901" s="5" t="n"/>
      <c r="O901" s="5" t="n"/>
      <c r="P901" s="5" t="n">
        <v>0</v>
      </c>
      <c r="Q901" s="5" t="n">
        <v>0</v>
      </c>
      <c r="R901" s="5" t="inlineStr">
        <is>
          <t>314-2024-06-30</t>
        </is>
      </c>
    </row>
    <row r="902" hidden="1">
      <c r="A902" s="5" t="n">
        <v>314</v>
      </c>
      <c r="B902" s="5" t="inlineStr">
        <is>
          <t>N de asignaturas COIL - (Collaborative Online International Learning)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09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145</v>
      </c>
      <c r="L902" s="14" t="n">
        <v>1.3</v>
      </c>
      <c r="M902" s="14" t="n">
        <v>1.45</v>
      </c>
      <c r="N902" s="5" t="n"/>
      <c r="O902" s="5" t="n"/>
      <c r="P902" s="5" t="n">
        <v>0</v>
      </c>
      <c r="Q902" s="5" t="n">
        <v>0</v>
      </c>
      <c r="R902" s="5" t="inlineStr">
        <is>
          <t>314-2024-12-31</t>
        </is>
      </c>
    </row>
    <row r="903" hidden="1">
      <c r="A903" s="5" t="n">
        <v>315</v>
      </c>
      <c r="B903" s="5" t="inlineStr">
        <is>
          <t>Convenios con doble titulación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09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5</v>
      </c>
      <c r="K903" s="5" t="n">
        <v>7</v>
      </c>
      <c r="L903" s="14" t="n">
        <v>1.3</v>
      </c>
      <c r="M903" s="14" t="n">
        <v>1.4</v>
      </c>
      <c r="N903" s="5" t="n"/>
      <c r="O903" s="5" t="n"/>
      <c r="P903" s="5" t="n">
        <v>0</v>
      </c>
      <c r="Q903" s="5" t="n">
        <v>0</v>
      </c>
      <c r="R903" s="5" t="inlineStr">
        <is>
          <t>315-2023-06-30</t>
        </is>
      </c>
    </row>
    <row r="904" hidden="1">
      <c r="A904" s="34" t="n">
        <v>315</v>
      </c>
      <c r="B904" s="5" t="inlineStr">
        <is>
          <t>Convenios con doble titulación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09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0</v>
      </c>
      <c r="K904" s="5" t="n">
        <v>0</v>
      </c>
      <c r="L904" s="74" t="n">
        <v>1</v>
      </c>
      <c r="M904" s="14" t="n">
        <v>1</v>
      </c>
      <c r="N904" s="5" t="n"/>
      <c r="O904" s="5" t="n"/>
      <c r="P904" s="5" t="n">
        <v>0</v>
      </c>
      <c r="Q904" s="5" t="n">
        <v>0</v>
      </c>
      <c r="R904" s="5" t="inlineStr">
        <is>
          <t>315-2023-12-31</t>
        </is>
      </c>
    </row>
    <row r="905" hidden="1">
      <c r="A905" s="26" t="n">
        <v>315</v>
      </c>
      <c r="B905" s="5" t="inlineStr">
        <is>
          <t>Num de programas con convenios de doble titulación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09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/>
      <c r="K905" s="5" t="n"/>
      <c r="L905" s="74" t="n"/>
      <c r="M905" s="14" t="n"/>
      <c r="N905" s="5" t="n"/>
      <c r="O905" s="5" t="n"/>
      <c r="P905" s="5" t="n">
        <v>0</v>
      </c>
      <c r="Q905" s="5" t="n">
        <v>0</v>
      </c>
      <c r="R905" s="5" t="inlineStr">
        <is>
          <t>315-2024-06-30</t>
        </is>
      </c>
    </row>
    <row r="906" hidden="1">
      <c r="A906" s="28" t="n">
        <v>315</v>
      </c>
      <c r="B906" s="5" t="inlineStr">
        <is>
          <t>Num de programas con convenios de doble titulación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09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/>
      <c r="K906" s="5" t="n"/>
      <c r="L906" s="74" t="n"/>
      <c r="M906" s="14" t="n"/>
      <c r="N906" s="5" t="n"/>
      <c r="O906" s="5" t="n"/>
      <c r="P906" s="5" t="n">
        <v>0</v>
      </c>
      <c r="Q906" s="5" t="n">
        <v>0</v>
      </c>
      <c r="R906" s="5" t="inlineStr">
        <is>
          <t>315-2024-12-31</t>
        </is>
      </c>
    </row>
    <row r="907" hidden="1">
      <c r="A907" s="26" t="n">
        <v>316</v>
      </c>
      <c r="B907" s="5" t="inlineStr">
        <is>
          <t>Asignaturas con sesiones en segundo idioma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09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9</v>
      </c>
      <c r="K907" s="5" t="n">
        <v>11</v>
      </c>
      <c r="L907" s="74" t="n">
        <v>1.222222222222222</v>
      </c>
      <c r="M907" s="14" t="n">
        <v>1.222222222222222</v>
      </c>
      <c r="N907" s="5" t="n"/>
      <c r="O907" s="5" t="n"/>
      <c r="P907" s="5" t="n">
        <v>0</v>
      </c>
      <c r="Q907" s="5" t="n">
        <v>0</v>
      </c>
      <c r="R907" s="5" t="inlineStr">
        <is>
          <t>316-2023-06-30</t>
        </is>
      </c>
    </row>
    <row r="908" hidden="1">
      <c r="A908" s="5" t="n">
        <v>316</v>
      </c>
      <c r="B908" s="5" t="inlineStr">
        <is>
          <t>Asignaturas con sesiones en segundo idioma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09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12</v>
      </c>
      <c r="K908" s="5" t="n">
        <v>11</v>
      </c>
      <c r="L908" s="14" t="n">
        <v>0.9166666666666666</v>
      </c>
      <c r="M908" s="14" t="n">
        <v>0.9166666666666666</v>
      </c>
      <c r="N908" s="5" t="n"/>
      <c r="O908" s="5" t="n"/>
      <c r="P908" s="5" t="n">
        <v>0</v>
      </c>
      <c r="Q908" s="5" t="n">
        <v>0</v>
      </c>
      <c r="R908" s="5" t="inlineStr">
        <is>
          <t>316-2023-12-31</t>
        </is>
      </c>
    </row>
    <row r="909" hidden="1">
      <c r="A909" s="5" t="n">
        <v>317</v>
      </c>
      <c r="B909" s="5" t="inlineStr">
        <is>
          <t>Plan De Internacionalización A 7 Años</t>
        </is>
      </c>
      <c r="C909" s="5" t="inlineStr">
        <is>
          <t>VISIBILIDAD NACIONAL E INTERNACIONAL</t>
        </is>
      </c>
      <c r="D909" s="5" t="inlineStr">
        <is>
          <t>Anual</t>
        </is>
      </c>
      <c r="E909" s="5" t="inlineStr">
        <is>
          <t>Positivo</t>
        </is>
      </c>
      <c r="F909" s="109" t="n">
        <v>45291</v>
      </c>
      <c r="G909" s="5" t="n">
        <v>2023</v>
      </c>
      <c r="H909" s="5" t="inlineStr">
        <is>
          <t>Diciembre</t>
        </is>
      </c>
      <c r="I909" s="6" t="inlineStr">
        <is>
          <t>2023-2</t>
        </is>
      </c>
      <c r="J909" s="5" t="n">
        <v>12</v>
      </c>
      <c r="K909" s="5" t="n">
        <v>12</v>
      </c>
      <c r="L909" s="14" t="n">
        <v>1</v>
      </c>
      <c r="M909" s="14" t="n">
        <v>1</v>
      </c>
      <c r="N909" s="5" t="n"/>
      <c r="O909" s="5" t="n"/>
      <c r="P909" s="5" t="n">
        <v>0</v>
      </c>
      <c r="Q909" s="5" t="n">
        <v>0</v>
      </c>
      <c r="R909" s="5" t="inlineStr">
        <is>
          <t>317-2023-12-31</t>
        </is>
      </c>
    </row>
    <row r="910" hidden="1">
      <c r="A910" s="34" t="n">
        <v>317</v>
      </c>
      <c r="B910" s="5" t="inlineStr">
        <is>
          <t>Plan De Internacionalización A 7 Años</t>
        </is>
      </c>
      <c r="C910" s="5" t="inlineStr">
        <is>
          <t>VISIBILIDAD NACIONAL E INTERNACIONAL</t>
        </is>
      </c>
      <c r="D910" s="5" t="inlineStr">
        <is>
          <t>Anual</t>
        </is>
      </c>
      <c r="E910" s="5" t="inlineStr">
        <is>
          <t>Positivo</t>
        </is>
      </c>
      <c r="F910" s="109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100</v>
      </c>
      <c r="L910" s="74" t="n">
        <v>1</v>
      </c>
      <c r="M910" s="14" t="n">
        <v>1</v>
      </c>
      <c r="N910" s="5" t="n"/>
      <c r="O910" s="5" t="n"/>
      <c r="P910" s="5" t="n">
        <v>0</v>
      </c>
      <c r="Q910" s="5" t="n">
        <v>0</v>
      </c>
      <c r="R910" s="5" t="inlineStr">
        <is>
          <t>317-2024-12-31</t>
        </is>
      </c>
    </row>
    <row r="911" hidden="1">
      <c r="A911" s="26" t="n">
        <v>318</v>
      </c>
      <c r="B911" s="5" t="inlineStr">
        <is>
          <t>Convenios, alianzas activas con actividades desde 2018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109" t="n">
        <v>45107</v>
      </c>
      <c r="G911" s="5" t="n">
        <v>2023</v>
      </c>
      <c r="H911" s="5" t="inlineStr">
        <is>
          <t>Junio</t>
        </is>
      </c>
      <c r="I911" s="6" t="inlineStr">
        <is>
          <t>2023-1</t>
        </is>
      </c>
      <c r="J911" s="5" t="n">
        <v>80</v>
      </c>
      <c r="K911" s="5" t="n">
        <v>85.981308411215</v>
      </c>
      <c r="L911" s="74" t="n">
        <v>1.074766355140187</v>
      </c>
      <c r="M911" s="14" t="n">
        <v>1.074766355140187</v>
      </c>
      <c r="N911" s="5" t="inlineStr">
        <is>
          <t>%</t>
        </is>
      </c>
      <c r="O911" s="5" t="inlineStr">
        <is>
          <t>%</t>
        </is>
      </c>
      <c r="P911" s="5" t="n">
        <v>0</v>
      </c>
      <c r="Q911" s="5" t="n">
        <v>0</v>
      </c>
      <c r="R911" s="5" t="inlineStr">
        <is>
          <t>318-2023-06-30</t>
        </is>
      </c>
    </row>
    <row r="912" hidden="1">
      <c r="A912" s="28" t="n">
        <v>318</v>
      </c>
      <c r="B912" s="5" t="inlineStr">
        <is>
          <t>Convenios, alianzas activas con actividades desde 2018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109" t="n">
        <v>45291</v>
      </c>
      <c r="G912" s="5" t="n">
        <v>2023</v>
      </c>
      <c r="H912" s="5" t="inlineStr">
        <is>
          <t>Diciembre</t>
        </is>
      </c>
      <c r="I912" s="6" t="inlineStr">
        <is>
          <t>2023-2</t>
        </is>
      </c>
      <c r="J912" s="5" t="n">
        <v>80</v>
      </c>
      <c r="K912" s="5" t="n">
        <v>90.90909090909091</v>
      </c>
      <c r="L912" s="74" t="n">
        <v>1.136363636363636</v>
      </c>
      <c r="M912" s="14" t="n">
        <v>1.136363636363636</v>
      </c>
      <c r="N912" s="5" t="inlineStr">
        <is>
          <t>%</t>
        </is>
      </c>
      <c r="O912" s="5" t="inlineStr">
        <is>
          <t>%</t>
        </is>
      </c>
      <c r="P912" s="5" t="n">
        <v>0</v>
      </c>
      <c r="Q912" s="5" t="n">
        <v>0</v>
      </c>
      <c r="R912" s="5" t="inlineStr">
        <is>
          <t>318-2023-12-31</t>
        </is>
      </c>
    </row>
    <row r="913" hidden="1">
      <c r="A913" s="26" t="n">
        <v>318</v>
      </c>
      <c r="B913" s="5" t="inlineStr">
        <is>
          <t>Convenios, alianzas activas con actividades en los últimos 5 años</t>
        </is>
      </c>
      <c r="C913" s="5" t="inlineStr">
        <is>
          <t>VISIBILIDAD NACIONAL E INTERNACIONAL</t>
        </is>
      </c>
      <c r="D913" s="5" t="inlineStr">
        <is>
          <t>Anual</t>
        </is>
      </c>
      <c r="E913" s="5" t="inlineStr">
        <is>
          <t>Positivo</t>
        </is>
      </c>
      <c r="F913" s="109" t="n">
        <v>45657</v>
      </c>
      <c r="G913" s="5" t="n">
        <v>2024</v>
      </c>
      <c r="H913" s="5" t="inlineStr">
        <is>
          <t>Diciembre</t>
        </is>
      </c>
      <c r="I913" s="6" t="inlineStr">
        <is>
          <t>2024-2</t>
        </is>
      </c>
      <c r="J913" s="5" t="n">
        <v>80</v>
      </c>
      <c r="K913" s="5" t="n">
        <v>90.28</v>
      </c>
      <c r="L913" s="74" t="n">
        <v>1.1285</v>
      </c>
      <c r="M913" s="14" t="n">
        <v>1.1285</v>
      </c>
      <c r="N913" s="5" t="n"/>
      <c r="O913" s="5" t="n"/>
      <c r="P913" s="5" t="n">
        <v>0</v>
      </c>
      <c r="Q913" s="5" t="n">
        <v>0</v>
      </c>
      <c r="R913" s="5" t="inlineStr">
        <is>
          <t>318-2024-12-31</t>
        </is>
      </c>
    </row>
    <row r="914" hidden="1">
      <c r="A914" s="5" t="n">
        <v>318</v>
      </c>
      <c r="B914" s="5" t="inlineStr">
        <is>
          <t>Convenios, alianzas activas con actividades en los últimos 5 años</t>
        </is>
      </c>
      <c r="C914" s="5" t="inlineStr">
        <is>
          <t>VISIBILIDAD NACIONAL E INTERNACIONAL</t>
        </is>
      </c>
      <c r="D914" s="5" t="inlineStr">
        <is>
          <t>Anual</t>
        </is>
      </c>
      <c r="E914" s="5" t="inlineStr">
        <is>
          <t>Positivo</t>
        </is>
      </c>
      <c r="F914" s="109" t="n">
        <v>46022</v>
      </c>
      <c r="G914" s="5" t="n">
        <v>2025</v>
      </c>
      <c r="H914" s="5" t="inlineStr">
        <is>
          <t>Diciembre</t>
        </is>
      </c>
      <c r="I914" s="6" t="inlineStr">
        <is>
          <t>2025-2</t>
        </is>
      </c>
      <c r="J914" s="5" t="n">
        <v>85</v>
      </c>
      <c r="K914" s="5" t="n">
        <v>86.16</v>
      </c>
      <c r="L914" s="14" t="n">
        <v>1.013647058823529</v>
      </c>
      <c r="M914" s="14" t="n">
        <v>1.013647058823529</v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0</v>
      </c>
      <c r="R914" s="5" t="inlineStr">
        <is>
          <t>318-2025-12-31</t>
        </is>
      </c>
    </row>
    <row r="915" hidden="1">
      <c r="A915" s="5" t="n">
        <v>319</v>
      </c>
      <c r="B915" s="5" t="inlineStr">
        <is>
          <t>Nivel de cumplimiento de la gestión de internacionalización descrito en el plan de trabajo de la ORNI</t>
        </is>
      </c>
      <c r="C915" s="5" t="inlineStr">
        <is>
          <t>VISIBILIDAD NACIONAL E INTERNACIONAL</t>
        </is>
      </c>
      <c r="D915" s="5" t="inlineStr">
        <is>
          <t>Semestral</t>
        </is>
      </c>
      <c r="E915" s="5" t="inlineStr">
        <is>
          <t>Positivo</t>
        </is>
      </c>
      <c r="F915" s="109" t="n">
        <v>45107</v>
      </c>
      <c r="G915" s="5" t="n">
        <v>2023</v>
      </c>
      <c r="H915" s="5" t="inlineStr">
        <is>
          <t>Junio</t>
        </is>
      </c>
      <c r="I915" s="6" t="inlineStr">
        <is>
          <t>2023-1</t>
        </is>
      </c>
      <c r="J915" s="5" t="n">
        <v>100</v>
      </c>
      <c r="K915" s="5" t="n">
        <v>80</v>
      </c>
      <c r="L915" s="14" t="n">
        <v>0.8</v>
      </c>
      <c r="M915" s="14" t="n">
        <v>0.8</v>
      </c>
      <c r="N915" s="5" t="inlineStr">
        <is>
          <t>%</t>
        </is>
      </c>
      <c r="O915" s="5" t="inlineStr">
        <is>
          <t>%</t>
        </is>
      </c>
      <c r="P915" s="5" t="n">
        <v>0</v>
      </c>
      <c r="Q915" s="5" t="n">
        <v>0</v>
      </c>
      <c r="R915" s="5" t="inlineStr">
        <is>
          <t>319-2023-06-30</t>
        </is>
      </c>
    </row>
    <row r="916" hidden="1">
      <c r="A916" s="34" t="n">
        <v>319</v>
      </c>
      <c r="B916" s="5" t="inlineStr">
        <is>
          <t>Nivel de cumplimiento de la gestión de internacionalización descrito en el plan de trabajo de la ORNI</t>
        </is>
      </c>
      <c r="C916" s="5" t="inlineStr">
        <is>
          <t>VISIBILIDAD NACIONAL E INTERNACIONAL</t>
        </is>
      </c>
      <c r="D916" s="5" t="inlineStr">
        <is>
          <t>Semestral</t>
        </is>
      </c>
      <c r="E916" s="5" t="inlineStr">
        <is>
          <t>Positivo</t>
        </is>
      </c>
      <c r="F916" s="109" t="n">
        <v>45291</v>
      </c>
      <c r="G916" s="5" t="n">
        <v>2023</v>
      </c>
      <c r="H916" s="5" t="inlineStr">
        <is>
          <t>Diciembre</t>
        </is>
      </c>
      <c r="I916" s="6" t="inlineStr">
        <is>
          <t>2023-2</t>
        </is>
      </c>
      <c r="J916" s="5" t="n">
        <v>100</v>
      </c>
      <c r="K916" s="5" t="n">
        <v>100</v>
      </c>
      <c r="L916" s="74" t="n">
        <v>1</v>
      </c>
      <c r="M916" s="14" t="n">
        <v>1</v>
      </c>
      <c r="N916" s="5" t="inlineStr">
        <is>
          <t>%</t>
        </is>
      </c>
      <c r="O916" s="5" t="inlineStr">
        <is>
          <t>%</t>
        </is>
      </c>
      <c r="P916" s="5" t="n">
        <v>0</v>
      </c>
      <c r="Q916" s="5" t="n">
        <v>0</v>
      </c>
      <c r="R916" s="5" t="inlineStr">
        <is>
          <t>319-2023-12-31</t>
        </is>
      </c>
    </row>
    <row r="917" hidden="1">
      <c r="A917" s="26" t="n">
        <v>319</v>
      </c>
      <c r="B917" s="5" t="inlineStr">
        <is>
          <t>Nivel de cumplimiento de la gestión de internacionalización descrito en el plan de trabajo de la ORNI</t>
        </is>
      </c>
      <c r="C917" s="5" t="inlineStr">
        <is>
          <t>VISIBILIDAD NACIONAL E INTERNACIONAL</t>
        </is>
      </c>
      <c r="D917" s="5" t="inlineStr">
        <is>
          <t>Semestral</t>
        </is>
      </c>
      <c r="E917" s="5" t="inlineStr">
        <is>
          <t>Positivo</t>
        </is>
      </c>
      <c r="F917" s="109" t="n">
        <v>45473</v>
      </c>
      <c r="G917" s="5" t="n">
        <v>2024</v>
      </c>
      <c r="H917" s="5" t="inlineStr">
        <is>
          <t>Junio</t>
        </is>
      </c>
      <c r="I917" s="6" t="inlineStr">
        <is>
          <t>2024-1</t>
        </is>
      </c>
      <c r="J917" s="5" t="n">
        <v>100</v>
      </c>
      <c r="K917" s="5" t="n">
        <v>100</v>
      </c>
      <c r="L917" s="74" t="n">
        <v>1</v>
      </c>
      <c r="M917" s="14" t="n">
        <v>1</v>
      </c>
      <c r="N917" s="5" t="n"/>
      <c r="O917" s="5" t="n"/>
      <c r="P917" s="5" t="n">
        <v>0</v>
      </c>
      <c r="Q917" s="5" t="n">
        <v>0</v>
      </c>
      <c r="R917" s="5" t="inlineStr">
        <is>
          <t>319-2024-06-30</t>
        </is>
      </c>
    </row>
    <row r="918" hidden="1">
      <c r="A918" s="28" t="n">
        <v>319</v>
      </c>
      <c r="B918" s="5" t="inlineStr">
        <is>
          <t>Nivel de cumplimiento de la gestión de internacionalización descrito en el plan de trabajo de la ORNI</t>
        </is>
      </c>
      <c r="C918" s="5" t="inlineStr">
        <is>
          <t>VISIBILIDAD NACIONAL E INTERNACIONAL</t>
        </is>
      </c>
      <c r="D918" s="5" t="inlineStr">
        <is>
          <t>Semestral</t>
        </is>
      </c>
      <c r="E918" s="5" t="inlineStr">
        <is>
          <t>Positivo</t>
        </is>
      </c>
      <c r="F918" s="109" t="n">
        <v>45657</v>
      </c>
      <c r="G918" s="5" t="n">
        <v>2024</v>
      </c>
      <c r="H918" s="5" t="inlineStr">
        <is>
          <t>Diciembre</t>
        </is>
      </c>
      <c r="I918" s="6" t="inlineStr">
        <is>
          <t>2024-2</t>
        </is>
      </c>
      <c r="J918" s="5" t="n">
        <v>100</v>
      </c>
      <c r="K918" s="5" t="n">
        <v>100</v>
      </c>
      <c r="L918" s="74" t="n">
        <v>1</v>
      </c>
      <c r="M918" s="14" t="n">
        <v>1</v>
      </c>
      <c r="N918" s="5" t="n"/>
      <c r="O918" s="5" t="n"/>
      <c r="P918" s="5" t="n">
        <v>0</v>
      </c>
      <c r="Q918" s="5" t="n">
        <v>0</v>
      </c>
      <c r="R918" s="5" t="inlineStr">
        <is>
          <t>319-2024-12-31</t>
        </is>
      </c>
    </row>
    <row r="919" hidden="1">
      <c r="A919" s="26" t="n">
        <v>320</v>
      </c>
      <c r="B919" s="5" t="inlineStr">
        <is>
          <t>Participación docentes eventos académicos internacionales virtuales</t>
        </is>
      </c>
      <c r="C919" s="5" t="inlineStr">
        <is>
          <t>VISIBILIDAD NACIONAL E INTERNACIONAL</t>
        </is>
      </c>
      <c r="D919" s="5" t="inlineStr">
        <is>
          <t>Semestral</t>
        </is>
      </c>
      <c r="E919" s="5" t="inlineStr">
        <is>
          <t>Positivo</t>
        </is>
      </c>
      <c r="F919" s="109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26</v>
      </c>
      <c r="K919" s="5" t="n">
        <v>12</v>
      </c>
      <c r="L919" s="74" t="n">
        <v>0.4615384615384616</v>
      </c>
      <c r="M919" s="14" t="n">
        <v>0.4615384615384616</v>
      </c>
      <c r="N919" s="5" t="n"/>
      <c r="O919" s="5" t="n"/>
      <c r="P919" s="5" t="n">
        <v>0</v>
      </c>
      <c r="Q919" s="5" t="n">
        <v>0</v>
      </c>
      <c r="R919" s="5" t="inlineStr">
        <is>
          <t>320-2023-06-30</t>
        </is>
      </c>
    </row>
    <row r="920" hidden="1">
      <c r="A920" s="5" t="n">
        <v>320</v>
      </c>
      <c r="B920" s="5" t="inlineStr">
        <is>
          <t>Participación docentes eventos académicos internacionales virtuales</t>
        </is>
      </c>
      <c r="C920" s="5" t="inlineStr">
        <is>
          <t>VISIBILIDAD NACIONAL E INTERNACIONAL</t>
        </is>
      </c>
      <c r="D920" s="5" t="inlineStr">
        <is>
          <t>Semestral</t>
        </is>
      </c>
      <c r="E920" s="5" t="inlineStr">
        <is>
          <t>Positivo</t>
        </is>
      </c>
      <c r="F920" s="109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15</v>
      </c>
      <c r="K920" s="5" t="n">
        <v>17</v>
      </c>
      <c r="L920" s="14" t="n">
        <v>1.133333333333333</v>
      </c>
      <c r="M920" s="14" t="n">
        <v>1.133333333333333</v>
      </c>
      <c r="N920" s="5" t="n"/>
      <c r="O920" s="5" t="n"/>
      <c r="P920" s="5" t="n">
        <v>0</v>
      </c>
      <c r="Q920" s="5" t="n">
        <v>0</v>
      </c>
      <c r="R920" s="5" t="inlineStr">
        <is>
          <t>320-2023-12-31</t>
        </is>
      </c>
    </row>
    <row r="921" hidden="1">
      <c r="A921" s="5" t="n">
        <v>320</v>
      </c>
      <c r="B921" s="5" t="inlineStr">
        <is>
          <t>Participación docentes Poli en eventos académicos internacionales virtuales</t>
        </is>
      </c>
      <c r="C921" s="5" t="inlineStr">
        <is>
          <t>VISIBILIDAD NACIONAL E INTERNACIONAL</t>
        </is>
      </c>
      <c r="D921" s="5" t="inlineStr">
        <is>
          <t>Semestral</t>
        </is>
      </c>
      <c r="E921" s="5" t="inlineStr">
        <is>
          <t>Positivo</t>
        </is>
      </c>
      <c r="F921" s="109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140</v>
      </c>
      <c r="L921" s="14" t="n">
        <v>1.3</v>
      </c>
      <c r="M921" s="14" t="n">
        <v>1.4</v>
      </c>
      <c r="N921" s="5" t="n"/>
      <c r="O921" s="5" t="n"/>
      <c r="P921" s="5" t="n">
        <v>0</v>
      </c>
      <c r="Q921" s="5" t="n">
        <v>0</v>
      </c>
      <c r="R921" s="5" t="inlineStr">
        <is>
          <t>320-2024-06-30</t>
        </is>
      </c>
    </row>
    <row r="922" hidden="1">
      <c r="A922" s="34" t="n">
        <v>320</v>
      </c>
      <c r="B922" s="5" t="inlineStr">
        <is>
          <t>Participación docentes Poli en eventos académicos internacionales virtuales</t>
        </is>
      </c>
      <c r="C922" s="5" t="inlineStr">
        <is>
          <t>VISIBILIDAD NACIONAL E INTERNACIONAL</t>
        </is>
      </c>
      <c r="D922" s="5" t="inlineStr">
        <is>
          <t>Semestral</t>
        </is>
      </c>
      <c r="E922" s="5" t="inlineStr">
        <is>
          <t>Positivo</t>
        </is>
      </c>
      <c r="F922" s="109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5" t="n">
        <v>100</v>
      </c>
      <c r="K922" s="5" t="n">
        <v>115</v>
      </c>
      <c r="L922" s="74" t="n">
        <v>1.15</v>
      </c>
      <c r="M922" s="14" t="n">
        <v>1.15</v>
      </c>
      <c r="N922" s="5" t="n"/>
      <c r="O922" s="5" t="n"/>
      <c r="P922" s="5" t="n">
        <v>0</v>
      </c>
      <c r="Q922" s="5" t="n">
        <v>0</v>
      </c>
      <c r="R922" s="5" t="inlineStr">
        <is>
          <t>320-2024-12-31</t>
        </is>
      </c>
    </row>
    <row r="923" hidden="1">
      <c r="A923" s="26" t="n">
        <v>321</v>
      </c>
      <c r="B923" s="5" t="inlineStr">
        <is>
          <t>Participación estudiantes eventos académicos internacionales virtuales</t>
        </is>
      </c>
      <c r="C923" s="5" t="inlineStr">
        <is>
          <t>VISIBILIDAD NACIONAL E INTERNACIONAL</t>
        </is>
      </c>
      <c r="D923" s="5" t="inlineStr">
        <is>
          <t>Semestral</t>
        </is>
      </c>
      <c r="E923" s="5" t="inlineStr">
        <is>
          <t>Positivo</t>
        </is>
      </c>
      <c r="F923" s="109" t="n">
        <v>45107</v>
      </c>
      <c r="G923" s="5" t="n">
        <v>2023</v>
      </c>
      <c r="H923" s="5" t="inlineStr">
        <is>
          <t>Junio</t>
        </is>
      </c>
      <c r="I923" s="6" t="inlineStr">
        <is>
          <t>2023-1</t>
        </is>
      </c>
      <c r="J923" s="5" t="n">
        <v>180</v>
      </c>
      <c r="K923" s="5" t="n">
        <v>236</v>
      </c>
      <c r="L923" s="74" t="n">
        <v>1.3</v>
      </c>
      <c r="M923" s="14" t="n">
        <v>1.311111111111111</v>
      </c>
      <c r="N923" s="5" t="n"/>
      <c r="O923" s="5" t="n"/>
      <c r="P923" s="5" t="n">
        <v>0</v>
      </c>
      <c r="Q923" s="5" t="n">
        <v>0</v>
      </c>
      <c r="R923" s="5" t="inlineStr">
        <is>
          <t>321-2023-06-30</t>
        </is>
      </c>
    </row>
    <row r="924" hidden="1">
      <c r="A924" s="28" t="n">
        <v>321</v>
      </c>
      <c r="B924" s="5" t="inlineStr">
        <is>
          <t>Participación estudiantes eventos académicos internacionales virtuales</t>
        </is>
      </c>
      <c r="C924" s="5" t="inlineStr">
        <is>
          <t>VISIBILIDAD NACIONAL E INTERNACIONAL</t>
        </is>
      </c>
      <c r="D924" s="5" t="inlineStr">
        <is>
          <t>Semestral</t>
        </is>
      </c>
      <c r="E924" s="5" t="inlineStr">
        <is>
          <t>Positivo</t>
        </is>
      </c>
      <c r="F924" s="109" t="n">
        <v>45291</v>
      </c>
      <c r="G924" s="5" t="n">
        <v>2023</v>
      </c>
      <c r="H924" s="5" t="inlineStr">
        <is>
          <t>Diciembre</t>
        </is>
      </c>
      <c r="I924" s="6" t="inlineStr">
        <is>
          <t>2023-2</t>
        </is>
      </c>
      <c r="J924" s="5" t="n">
        <v>180</v>
      </c>
      <c r="K924" s="5" t="n">
        <v>231</v>
      </c>
      <c r="L924" s="74" t="n">
        <v>1.283333333333333</v>
      </c>
      <c r="M924" s="14" t="n">
        <v>1.283333333333333</v>
      </c>
      <c r="N924" s="5" t="n"/>
      <c r="O924" s="5" t="n"/>
      <c r="P924" s="5" t="n">
        <v>0</v>
      </c>
      <c r="Q924" s="5" t="n">
        <v>0</v>
      </c>
      <c r="R924" s="5" t="inlineStr">
        <is>
          <t>321-2023-12-31</t>
        </is>
      </c>
    </row>
    <row r="925" hidden="1">
      <c r="A925" s="26" t="n">
        <v>321</v>
      </c>
      <c r="B925" s="5" t="inlineStr">
        <is>
          <t>Participación estudiantes Poli en eventos académicos internacionales virtuales</t>
        </is>
      </c>
      <c r="C925" s="5" t="inlineStr">
        <is>
          <t>VISIBILIDAD NACIONAL E INTERNACIONAL</t>
        </is>
      </c>
      <c r="D925" s="5" t="inlineStr">
        <is>
          <t>Semestral</t>
        </is>
      </c>
      <c r="E925" s="5" t="inlineStr">
        <is>
          <t>Positivo</t>
        </is>
      </c>
      <c r="F925" s="109" t="n">
        <v>45473</v>
      </c>
      <c r="G925" s="5" t="n">
        <v>2024</v>
      </c>
      <c r="H925" s="5" t="inlineStr">
        <is>
          <t>Junio</t>
        </is>
      </c>
      <c r="I925" s="6" t="inlineStr">
        <is>
          <t>2024-1</t>
        </is>
      </c>
      <c r="J925" s="5" t="n">
        <v>100</v>
      </c>
      <c r="K925" s="5" t="n">
        <v>106.52</v>
      </c>
      <c r="L925" s="74" t="n">
        <v>1.0652</v>
      </c>
      <c r="M925" s="14" t="n">
        <v>1.0652</v>
      </c>
      <c r="N925" s="5" t="n"/>
      <c r="O925" s="5" t="n"/>
      <c r="P925" s="5" t="n">
        <v>0</v>
      </c>
      <c r="Q925" s="5" t="n">
        <v>0</v>
      </c>
      <c r="R925" s="5" t="inlineStr">
        <is>
          <t>321-2024-06-30</t>
        </is>
      </c>
    </row>
    <row r="926" hidden="1">
      <c r="A926" s="5" t="n">
        <v>321</v>
      </c>
      <c r="B926" s="5" t="inlineStr">
        <is>
          <t>Participación estudiantes Poli en eventos académicos internacionales virtuales</t>
        </is>
      </c>
      <c r="C926" s="5" t="inlineStr">
        <is>
          <t>VISIBILIDAD NACIONAL E INTERNACIONAL</t>
        </is>
      </c>
      <c r="D926" s="5" t="inlineStr">
        <is>
          <t>Semestral</t>
        </is>
      </c>
      <c r="E926" s="5" t="inlineStr">
        <is>
          <t>Positivo</t>
        </is>
      </c>
      <c r="F926" s="109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100</v>
      </c>
      <c r="K926" s="5" t="n">
        <v>502.17</v>
      </c>
      <c r="L926" s="14" t="n">
        <v>1.3</v>
      </c>
      <c r="M926" s="14" t="n">
        <v>5.0217</v>
      </c>
      <c r="N926" s="5" t="n"/>
      <c r="O926" s="5" t="n"/>
      <c r="P926" s="5" t="n">
        <v>0</v>
      </c>
      <c r="Q926" s="5" t="n">
        <v>0</v>
      </c>
      <c r="R926" s="5" t="inlineStr">
        <is>
          <t>321-2024-12-31</t>
        </is>
      </c>
    </row>
    <row r="927" hidden="1">
      <c r="A927" s="5" t="n">
        <v>323</v>
      </c>
      <c r="B927" s="5" t="inlineStr">
        <is>
          <t>Número de renovaciones de registro calificado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09" t="n">
        <v>45107</v>
      </c>
      <c r="G927" s="5" t="n">
        <v>2023</v>
      </c>
      <c r="H927" s="5" t="inlineStr">
        <is>
          <t>Junio</t>
        </is>
      </c>
      <c r="I927" s="6" t="inlineStr">
        <is>
          <t>2023-1</t>
        </is>
      </c>
      <c r="J927" s="5" t="n">
        <v>100</v>
      </c>
      <c r="K927" s="5" t="n">
        <v>100</v>
      </c>
      <c r="L927" s="14" t="n">
        <v>1</v>
      </c>
      <c r="M927" s="14" t="n">
        <v>1</v>
      </c>
      <c r="N927" s="5" t="n"/>
      <c r="O927" s="5" t="n"/>
      <c r="P927" s="5" t="n">
        <v>0</v>
      </c>
      <c r="Q927" s="5" t="n">
        <v>0</v>
      </c>
      <c r="R927" s="5" t="inlineStr">
        <is>
          <t>323-2023-06-30</t>
        </is>
      </c>
    </row>
    <row r="928" hidden="1">
      <c r="A928" s="34" t="n">
        <v>323</v>
      </c>
      <c r="B928" s="5" t="inlineStr">
        <is>
          <t>Número de renovaciones de registro calificado</t>
        </is>
      </c>
      <c r="C928" s="5" t="inlineStr">
        <is>
          <t>Creación, modificación y cierre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09" t="n">
        <v>45291</v>
      </c>
      <c r="G928" s="5" t="n">
        <v>2023</v>
      </c>
      <c r="H928" s="5" t="inlineStr">
        <is>
          <t>Diciembre</t>
        </is>
      </c>
      <c r="I928" s="6" t="inlineStr">
        <is>
          <t>2023-2</t>
        </is>
      </c>
      <c r="J928" s="5" t="n">
        <v>100</v>
      </c>
      <c r="K928" s="5" t="n">
        <v>100</v>
      </c>
      <c r="L928" s="74" t="n">
        <v>1</v>
      </c>
      <c r="M928" s="14" t="n">
        <v>1</v>
      </c>
      <c r="N928" s="5" t="n"/>
      <c r="O928" s="5" t="n"/>
      <c r="P928" s="5" t="n">
        <v>0</v>
      </c>
      <c r="Q928" s="5" t="n">
        <v>0</v>
      </c>
      <c r="R928" s="5" t="inlineStr">
        <is>
          <t>323-2023-12-31</t>
        </is>
      </c>
    </row>
    <row r="929" hidden="1">
      <c r="A929" s="26" t="n">
        <v>323</v>
      </c>
      <c r="B929" s="5" t="inlineStr">
        <is>
          <t>Número de renovaciones de registro calificado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9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100</v>
      </c>
      <c r="K929" s="5" t="n">
        <v>100</v>
      </c>
      <c r="L929" s="74" t="n">
        <v>1</v>
      </c>
      <c r="M929" s="14" t="n">
        <v>1</v>
      </c>
      <c r="N929" s="5" t="n"/>
      <c r="O929" s="5" t="n"/>
      <c r="P929" s="5" t="n">
        <v>0</v>
      </c>
      <c r="Q929" s="5" t="n">
        <v>0</v>
      </c>
      <c r="R929" s="5" t="inlineStr">
        <is>
          <t>323-2024-06-30</t>
        </is>
      </c>
    </row>
    <row r="930" hidden="1">
      <c r="A930" s="28" t="n">
        <v>323</v>
      </c>
      <c r="B930" s="5" t="inlineStr">
        <is>
          <t>Número de renovaciones de registro calificado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09" t="n">
        <v>45657</v>
      </c>
      <c r="G930" s="5" t="n">
        <v>2024</v>
      </c>
      <c r="H930" s="5" t="inlineStr">
        <is>
          <t>Diciembre</t>
        </is>
      </c>
      <c r="I930" s="6" t="inlineStr">
        <is>
          <t>2024-2</t>
        </is>
      </c>
      <c r="J930" s="5" t="n">
        <v>100</v>
      </c>
      <c r="K930" s="5" t="n">
        <v>0</v>
      </c>
      <c r="L930" s="74" t="n">
        <v>0</v>
      </c>
      <c r="M930" s="14" t="n">
        <v>0</v>
      </c>
      <c r="N930" s="5" t="n"/>
      <c r="O930" s="5" t="n"/>
      <c r="P930" s="5" t="n">
        <v>0</v>
      </c>
      <c r="Q930" s="5" t="n">
        <v>0</v>
      </c>
      <c r="R930" s="5" t="inlineStr">
        <is>
          <t>323-2024-12-31</t>
        </is>
      </c>
    </row>
    <row r="931" hidden="1">
      <c r="A931" s="26" t="n">
        <v>323</v>
      </c>
      <c r="B931" s="5" t="inlineStr">
        <is>
          <t>Número de renovaciones de registro calificado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9" t="n">
        <v>45838</v>
      </c>
      <c r="G931" s="5" t="n">
        <v>2025</v>
      </c>
      <c r="H931" s="5" t="inlineStr">
        <is>
          <t>Junio</t>
        </is>
      </c>
      <c r="I931" s="6" t="inlineStr">
        <is>
          <t>2025-1</t>
        </is>
      </c>
      <c r="J931" s="5" t="n">
        <v>100</v>
      </c>
      <c r="K931" s="5" t="n">
        <v>100</v>
      </c>
      <c r="L931" s="74" t="n">
        <v>1</v>
      </c>
      <c r="M931" s="14" t="n">
        <v>1</v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323-2025-06-30</t>
        </is>
      </c>
    </row>
    <row r="932" hidden="1">
      <c r="A932" s="34" t="n">
        <v>323</v>
      </c>
      <c r="B932" s="5" t="inlineStr">
        <is>
          <t>Número de renovaciones de registro calificado</t>
        </is>
      </c>
      <c r="C932" s="5" t="inlineStr">
        <is>
          <t>Creación, modificación y cierre de programas académicos</t>
        </is>
      </c>
      <c r="D932" s="5" t="inlineStr">
        <is>
          <t>Trimestral</t>
        </is>
      </c>
      <c r="E932" s="5" t="inlineStr">
        <is>
          <t>Positivo</t>
        </is>
      </c>
      <c r="F932" s="109" t="n">
        <v>46022</v>
      </c>
      <c r="G932" s="5" t="n">
        <v>2025</v>
      </c>
      <c r="H932" s="5" t="inlineStr">
        <is>
          <t>Diciembre</t>
        </is>
      </c>
      <c r="I932" s="6" t="inlineStr">
        <is>
          <t>2025-2</t>
        </is>
      </c>
      <c r="J932" s="5" t="n">
        <v>100</v>
      </c>
      <c r="K932" s="5" t="n">
        <v>100</v>
      </c>
      <c r="L932" s="74" t="n">
        <v>1</v>
      </c>
      <c r="M932" s="14" t="n">
        <v>1</v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323-2025-12-31</t>
        </is>
      </c>
    </row>
    <row r="933" hidden="1">
      <c r="A933" s="26" t="n">
        <v>324</v>
      </c>
      <c r="B933" s="5" t="inlineStr">
        <is>
          <t>Número de programas nuevos radicados en el Ministerio de Educación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09" t="n">
        <v>45107</v>
      </c>
      <c r="G933" s="5" t="n">
        <v>2023</v>
      </c>
      <c r="H933" s="5" t="inlineStr">
        <is>
          <t>Junio</t>
        </is>
      </c>
      <c r="I933" s="6" t="inlineStr">
        <is>
          <t>2023-1</t>
        </is>
      </c>
      <c r="J933" s="5" t="n">
        <v>100</v>
      </c>
      <c r="K933" s="5" t="n">
        <v>0</v>
      </c>
      <c r="L933" s="74" t="n">
        <v>0</v>
      </c>
      <c r="M933" s="14" t="n">
        <v>0</v>
      </c>
      <c r="N933" s="5" t="n"/>
      <c r="O933" s="5" t="n"/>
      <c r="P933" s="5" t="n">
        <v>0</v>
      </c>
      <c r="Q933" s="5" t="n">
        <v>0</v>
      </c>
      <c r="R933" s="5" t="inlineStr">
        <is>
          <t>324-2023-06-30</t>
        </is>
      </c>
    </row>
    <row r="934" hidden="1">
      <c r="A934" s="28" t="n">
        <v>324</v>
      </c>
      <c r="B934" s="5" t="inlineStr">
        <is>
          <t>Número de programas nuevos radicados en el Ministerio de Educación</t>
        </is>
      </c>
      <c r="C934" s="5" t="inlineStr">
        <is>
          <t>Creación, modificación y cierre de programas académicos</t>
        </is>
      </c>
      <c r="D934" s="5" t="inlineStr">
        <is>
          <t>Semestral</t>
        </is>
      </c>
      <c r="E934" s="5" t="inlineStr">
        <is>
          <t>Positivo</t>
        </is>
      </c>
      <c r="F934" s="109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100</v>
      </c>
      <c r="K934" s="5" t="n">
        <v>100</v>
      </c>
      <c r="L934" s="74" t="n">
        <v>1</v>
      </c>
      <c r="M934" s="14" t="n">
        <v>1</v>
      </c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324-2023-12-31</t>
        </is>
      </c>
    </row>
    <row r="935" hidden="1">
      <c r="A935" s="26" t="n">
        <v>324</v>
      </c>
      <c r="B935" s="5" t="inlineStr">
        <is>
          <t>Número de programas nuevos radicados en el Ministerio de Educación</t>
        </is>
      </c>
      <c r="C935" s="5" t="inlineStr">
        <is>
          <t>Creación, modificación y cierre de programas académicos</t>
        </is>
      </c>
      <c r="D935" s="5" t="inlineStr">
        <is>
          <t>Semestral</t>
        </is>
      </c>
      <c r="E935" s="5" t="inlineStr">
        <is>
          <t>Positivo</t>
        </is>
      </c>
      <c r="F935" s="109" t="n">
        <v>45473</v>
      </c>
      <c r="G935" s="5" t="n">
        <v>2024</v>
      </c>
      <c r="H935" s="5" t="inlineStr">
        <is>
          <t>Junio</t>
        </is>
      </c>
      <c r="I935" s="6" t="inlineStr">
        <is>
          <t>2024-1</t>
        </is>
      </c>
      <c r="J935" s="5" t="n">
        <v>100</v>
      </c>
      <c r="K935" s="5" t="n"/>
      <c r="L935" s="74" t="n"/>
      <c r="M935" s="14" t="n"/>
      <c r="N935" s="5" t="n"/>
      <c r="O935" s="5" t="n"/>
      <c r="P935" s="5" t="n">
        <v>0</v>
      </c>
      <c r="Q935" s="5" t="n">
        <v>0</v>
      </c>
      <c r="R935" s="5" t="inlineStr">
        <is>
          <t>324-2024-06-30</t>
        </is>
      </c>
    </row>
    <row r="936" hidden="1">
      <c r="A936" s="5" t="n">
        <v>324</v>
      </c>
      <c r="B936" s="5" t="inlineStr">
        <is>
          <t>Número de programas nuevos radicados en el Ministerio de Educación</t>
        </is>
      </c>
      <c r="C936" s="5" t="inlineStr">
        <is>
          <t>Creación, modificación y cierre de programas académicos</t>
        </is>
      </c>
      <c r="D936" s="5" t="inlineStr">
        <is>
          <t>Semestral</t>
        </is>
      </c>
      <c r="E936" s="5" t="inlineStr">
        <is>
          <t>Positivo</t>
        </is>
      </c>
      <c r="F936" s="109" t="n">
        <v>45657</v>
      </c>
      <c r="G936" s="5" t="n">
        <v>2024</v>
      </c>
      <c r="H936" s="5" t="inlineStr">
        <is>
          <t>Diciembre</t>
        </is>
      </c>
      <c r="I936" s="6" t="inlineStr">
        <is>
          <t>2024-2</t>
        </is>
      </c>
      <c r="J936" s="5" t="n">
        <v>100</v>
      </c>
      <c r="K936" s="5" t="n">
        <v>100</v>
      </c>
      <c r="L936" s="14" t="n">
        <v>1</v>
      </c>
      <c r="M936" s="14" t="n">
        <v>1</v>
      </c>
      <c r="N936" s="5" t="inlineStr">
        <is>
          <t>ENT</t>
        </is>
      </c>
      <c r="O936" s="5" t="inlineStr">
        <is>
          <t>ENT</t>
        </is>
      </c>
      <c r="P936" s="5" t="n">
        <v>0</v>
      </c>
      <c r="Q936" s="5" t="n">
        <v>0</v>
      </c>
      <c r="R936" s="5" t="inlineStr">
        <is>
          <t>324-2024-12-31</t>
        </is>
      </c>
    </row>
    <row r="937" hidden="1">
      <c r="A937" s="5" t="n">
        <v>324</v>
      </c>
      <c r="B937" s="5" t="inlineStr">
        <is>
          <t>Número de programas nuevos radicados en el Ministerio de Educación</t>
        </is>
      </c>
      <c r="C937" s="5" t="inlineStr">
        <is>
          <t>Creación, modificación y cierre de programas académicos</t>
        </is>
      </c>
      <c r="D937" s="5" t="inlineStr">
        <is>
          <t>Semestral</t>
        </is>
      </c>
      <c r="E937" s="5" t="inlineStr">
        <is>
          <t>Positivo</t>
        </is>
      </c>
      <c r="F937" s="109" t="n">
        <v>45838</v>
      </c>
      <c r="G937" s="5" t="n">
        <v>2025</v>
      </c>
      <c r="H937" s="5" t="inlineStr">
        <is>
          <t>Junio</t>
        </is>
      </c>
      <c r="I937" s="6" t="inlineStr">
        <is>
          <t>2025-1</t>
        </is>
      </c>
      <c r="J937" s="5" t="n">
        <v>100</v>
      </c>
      <c r="K937" s="5" t="n">
        <v>100</v>
      </c>
      <c r="L937" s="14" t="n">
        <v>1</v>
      </c>
      <c r="M937" s="14" t="n">
        <v>1</v>
      </c>
      <c r="N937" s="5" t="inlineStr">
        <is>
          <t>ENT</t>
        </is>
      </c>
      <c r="O937" s="5" t="inlineStr">
        <is>
          <t>ENT</t>
        </is>
      </c>
      <c r="P937" s="5" t="n">
        <v>0</v>
      </c>
      <c r="Q937" s="5" t="n">
        <v>0</v>
      </c>
      <c r="R937" s="5" t="inlineStr">
        <is>
          <t>324-2025-06-30</t>
        </is>
      </c>
    </row>
    <row r="938" hidden="1">
      <c r="A938" s="28" t="n">
        <v>324</v>
      </c>
      <c r="B938" s="5" t="inlineStr">
        <is>
          <t>Número de programas nuevos radicados en el Ministerio de Educación</t>
        </is>
      </c>
      <c r="C938" s="5" t="inlineStr">
        <is>
          <t>Creación, modificación y cierre de programas académicos</t>
        </is>
      </c>
      <c r="D938" s="5" t="inlineStr">
        <is>
          <t>Trimestral</t>
        </is>
      </c>
      <c r="E938" s="5" t="inlineStr">
        <is>
          <t>Positivo</t>
        </is>
      </c>
      <c r="F938" s="109" t="n">
        <v>46022</v>
      </c>
      <c r="G938" s="5" t="n">
        <v>2025</v>
      </c>
      <c r="H938" s="5" t="inlineStr">
        <is>
          <t>Diciembre</t>
        </is>
      </c>
      <c r="I938" s="6" t="inlineStr">
        <is>
          <t>2025-2</t>
        </is>
      </c>
      <c r="J938" s="5" t="n">
        <v>100</v>
      </c>
      <c r="K938" s="5" t="n">
        <v>200</v>
      </c>
      <c r="L938" s="14" t="n">
        <v>1.3</v>
      </c>
      <c r="M938" s="14" t="n">
        <v>2</v>
      </c>
      <c r="N938" s="5" t="inlineStr">
        <is>
          <t>ENT</t>
        </is>
      </c>
      <c r="O938" s="5" t="inlineStr">
        <is>
          <t>ENT</t>
        </is>
      </c>
      <c r="P938" s="5" t="n">
        <v>0</v>
      </c>
      <c r="Q938" s="5" t="n">
        <v>0</v>
      </c>
      <c r="R938" s="5" t="inlineStr">
        <is>
          <t>324-2025-12-31</t>
        </is>
      </c>
    </row>
    <row r="939" hidden="1">
      <c r="A939" s="26" t="n">
        <v>325</v>
      </c>
      <c r="B939" s="5" t="inlineStr">
        <is>
          <t>Número de programas nuevos con registro calificado aprobado</t>
        </is>
      </c>
      <c r="C939" s="5" t="inlineStr">
        <is>
          <t>Creación, modificación y cierre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09" t="n">
        <v>45107</v>
      </c>
      <c r="G939" s="5" t="n">
        <v>2023</v>
      </c>
      <c r="H939" s="5" t="inlineStr">
        <is>
          <t>Junio</t>
        </is>
      </c>
      <c r="I939" s="6" t="inlineStr">
        <is>
          <t>2023-1</t>
        </is>
      </c>
      <c r="J939" s="5" t="n">
        <v>100</v>
      </c>
      <c r="K939" s="5" t="n">
        <v>100</v>
      </c>
      <c r="L939" s="14" t="n">
        <v>1</v>
      </c>
      <c r="M939" s="14" t="n">
        <v>1</v>
      </c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325-2023-06-30</t>
        </is>
      </c>
    </row>
    <row r="940" hidden="1">
      <c r="A940" s="26" t="n">
        <v>325</v>
      </c>
      <c r="B940" s="5" t="inlineStr">
        <is>
          <t>Número de programas nuevos con registro calificado aprobado</t>
        </is>
      </c>
      <c r="C940" s="5" t="inlineStr">
        <is>
          <t>Creación, modificación y cierre de programas académicos</t>
        </is>
      </c>
      <c r="D940" s="5" t="inlineStr">
        <is>
          <t>Semestral</t>
        </is>
      </c>
      <c r="E940" s="5" t="inlineStr">
        <is>
          <t>Positivo</t>
        </is>
      </c>
      <c r="F940" s="109" t="n">
        <v>45291</v>
      </c>
      <c r="G940" s="5" t="n">
        <v>2023</v>
      </c>
      <c r="H940" s="5" t="inlineStr">
        <is>
          <t>Diciembre</t>
        </is>
      </c>
      <c r="I940" s="6" t="inlineStr">
        <is>
          <t>2023-2</t>
        </is>
      </c>
      <c r="J940" s="5" t="n">
        <v>100</v>
      </c>
      <c r="K940" s="5" t="n">
        <v>0</v>
      </c>
      <c r="L940" s="14" t="n">
        <v>0</v>
      </c>
      <c r="M940" s="14" t="n">
        <v>0</v>
      </c>
      <c r="N940" s="5" t="n"/>
      <c r="O940" s="5" t="n"/>
      <c r="P940" s="5" t="n">
        <v>0</v>
      </c>
      <c r="Q940" s="5" t="n">
        <v>0</v>
      </c>
      <c r="R940" s="5" t="inlineStr">
        <is>
          <t>325-2023-12-31</t>
        </is>
      </c>
    </row>
    <row r="941" hidden="1">
      <c r="A941" s="5" t="n">
        <v>325</v>
      </c>
      <c r="B941" s="5" t="inlineStr">
        <is>
          <t>Número de programas nuevos con registro calificado aprobado</t>
        </is>
      </c>
      <c r="C941" s="5" t="inlineStr">
        <is>
          <t>Creación, modificación y cierre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09" t="n">
        <v>45473</v>
      </c>
      <c r="G941" s="5" t="n">
        <v>2024</v>
      </c>
      <c r="H941" s="5" t="inlineStr">
        <is>
          <t>Junio</t>
        </is>
      </c>
      <c r="I941" s="6" t="inlineStr">
        <is>
          <t>2024-1</t>
        </is>
      </c>
      <c r="J941" s="5" t="n">
        <v>100</v>
      </c>
      <c r="K941" s="5" t="n">
        <v>100</v>
      </c>
      <c r="L941" s="14" t="n">
        <v>1</v>
      </c>
      <c r="M941" s="14" t="n">
        <v>1</v>
      </c>
      <c r="N941" s="5" t="inlineStr">
        <is>
          <t>ENT</t>
        </is>
      </c>
      <c r="O941" s="5" t="inlineStr">
        <is>
          <t>ENT</t>
        </is>
      </c>
      <c r="P941" s="5" t="n">
        <v>0</v>
      </c>
      <c r="Q941" s="5" t="n">
        <v>0</v>
      </c>
      <c r="R941" s="5" t="inlineStr">
        <is>
          <t>325-2024-06-30</t>
        </is>
      </c>
    </row>
    <row r="942" hidden="1">
      <c r="A942" s="28" t="n">
        <v>325</v>
      </c>
      <c r="B942" s="5" t="inlineStr">
        <is>
          <t>Número de programas nuevos con registro calificado aprobado</t>
        </is>
      </c>
      <c r="C942" s="5" t="inlineStr">
        <is>
          <t>Creación, modificación y cierre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09" t="n">
        <v>45657</v>
      </c>
      <c r="G942" s="5" t="n">
        <v>2024</v>
      </c>
      <c r="H942" s="5" t="inlineStr">
        <is>
          <t>Diciembre</t>
        </is>
      </c>
      <c r="I942" s="6" t="inlineStr">
        <is>
          <t>2024-2</t>
        </is>
      </c>
      <c r="J942" s="11" t="n">
        <v>100</v>
      </c>
      <c r="K942" s="11" t="n">
        <v>100</v>
      </c>
      <c r="L942" s="74" t="n">
        <v>1</v>
      </c>
      <c r="M942" s="14" t="n">
        <v>1</v>
      </c>
      <c r="N942" s="5" t="inlineStr">
        <is>
          <t>ENT</t>
        </is>
      </c>
      <c r="O942" s="5" t="inlineStr">
        <is>
          <t>ENT</t>
        </is>
      </c>
      <c r="P942" s="5" t="n">
        <v>0</v>
      </c>
      <c r="Q942" s="5" t="n">
        <v>0</v>
      </c>
      <c r="R942" s="5" t="inlineStr">
        <is>
          <t>325-2024-12-31</t>
        </is>
      </c>
    </row>
    <row r="943" hidden="1">
      <c r="A943" s="26" t="n">
        <v>325</v>
      </c>
      <c r="B943" s="5" t="inlineStr">
        <is>
          <t>Número de programas nuevos con registro calificado aprobado</t>
        </is>
      </c>
      <c r="C943" s="5" t="inlineStr">
        <is>
          <t>Creación, modificación y cierre de programas académicos</t>
        </is>
      </c>
      <c r="D943" s="5" t="inlineStr">
        <is>
          <t>Semestral</t>
        </is>
      </c>
      <c r="E943" s="5" t="inlineStr">
        <is>
          <t>Positivo</t>
        </is>
      </c>
      <c r="F943" s="109" t="n">
        <v>45838</v>
      </c>
      <c r="G943" s="5" t="n">
        <v>2025</v>
      </c>
      <c r="H943" s="5" t="inlineStr">
        <is>
          <t>Junio</t>
        </is>
      </c>
      <c r="I943" s="6" t="inlineStr">
        <is>
          <t>2025-1</t>
        </is>
      </c>
      <c r="J943" s="5" t="n">
        <v>8</v>
      </c>
      <c r="K943" s="5" t="n">
        <v>100</v>
      </c>
      <c r="L943" s="74" t="n">
        <v>1.3</v>
      </c>
      <c r="M943" s="14" t="n">
        <v>12.5</v>
      </c>
      <c r="N943" s="5" t="inlineStr">
        <is>
          <t>ENT</t>
        </is>
      </c>
      <c r="O943" s="5" t="inlineStr">
        <is>
          <t>ENT</t>
        </is>
      </c>
      <c r="P943" s="5" t="n">
        <v>0</v>
      </c>
      <c r="Q943" s="5" t="n">
        <v>0</v>
      </c>
      <c r="R943" s="5" t="inlineStr">
        <is>
          <t>325-2025-06-30</t>
        </is>
      </c>
    </row>
    <row r="944" hidden="1">
      <c r="A944" s="5" t="n">
        <v>325</v>
      </c>
      <c r="B944" s="5" t="inlineStr">
        <is>
          <t>Número de programas nuevos con registro calificado aprobado - Metrica</t>
        </is>
      </c>
      <c r="C944" s="5" t="inlineStr">
        <is>
          <t>Creación, modificación y cierre de programas académicos</t>
        </is>
      </c>
      <c r="D944" s="5" t="inlineStr">
        <is>
          <t>Trimestral</t>
        </is>
      </c>
      <c r="E944" s="5" t="inlineStr">
        <is>
          <t>Positivo</t>
        </is>
      </c>
      <c r="F944" s="109" t="n">
        <v>46022</v>
      </c>
      <c r="G944" s="5" t="n">
        <v>2025</v>
      </c>
      <c r="H944" s="5" t="inlineStr">
        <is>
          <t>Diciembre</t>
        </is>
      </c>
      <c r="I944" s="6" t="inlineStr">
        <is>
          <t>2025-2</t>
        </is>
      </c>
      <c r="J944" s="5" t="n"/>
      <c r="K944" s="5" t="n">
        <v>100</v>
      </c>
      <c r="L944" s="14" t="n"/>
      <c r="M944" s="14" t="n"/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 t="inlineStr">
        <is>
          <t>325-2025-12-31</t>
        </is>
      </c>
      <c r="S944" t="inlineStr">
        <is>
          <t>Metrica</t>
        </is>
      </c>
    </row>
    <row r="945" hidden="1">
      <c r="A945" s="5" t="n">
        <v>326</v>
      </c>
      <c r="B945" s="5" t="inlineStr">
        <is>
          <t>Número de informes de autoevaluación con fines de acreditación en alta calidad radicados</t>
        </is>
      </c>
      <c r="C945" s="5" t="inlineStr">
        <is>
          <t>Autoevaluación de programas académicos</t>
        </is>
      </c>
      <c r="D945" s="5" t="inlineStr">
        <is>
          <t>Anual</t>
        </is>
      </c>
      <c r="E945" s="5" t="inlineStr">
        <is>
          <t>Positivo</t>
        </is>
      </c>
      <c r="F945" s="109" t="n">
        <v>45291</v>
      </c>
      <c r="G945" s="5" t="n">
        <v>2023</v>
      </c>
      <c r="H945" s="5" t="inlineStr">
        <is>
          <t>Diciembre</t>
        </is>
      </c>
      <c r="I945" s="6" t="inlineStr">
        <is>
          <t>2023-2</t>
        </is>
      </c>
      <c r="J945" s="5" t="n">
        <v>100</v>
      </c>
      <c r="K945" s="5" t="n">
        <v>100</v>
      </c>
      <c r="L945" s="14" t="n">
        <v>1</v>
      </c>
      <c r="M945" s="14" t="n">
        <v>1</v>
      </c>
      <c r="N945" s="5" t="n"/>
      <c r="O945" s="5" t="n"/>
      <c r="P945" s="5" t="n">
        <v>0</v>
      </c>
      <c r="Q945" s="5" t="n">
        <v>0</v>
      </c>
      <c r="R945" s="5" t="inlineStr">
        <is>
          <t>326-2023-12-31</t>
        </is>
      </c>
    </row>
    <row r="946" hidden="1">
      <c r="A946" s="26" t="n">
        <v>326</v>
      </c>
      <c r="B946" s="5" t="inlineStr">
        <is>
          <t>Número de informes de autoevaluación con fines de acreditación en alta calidad radicados</t>
        </is>
      </c>
      <c r="C946" s="5" t="inlineStr">
        <is>
          <t>Autoevaluación de programas académicos</t>
        </is>
      </c>
      <c r="D946" s="5" t="inlineStr">
        <is>
          <t>Anual</t>
        </is>
      </c>
      <c r="E946" s="5" t="inlineStr">
        <is>
          <t>Positivo</t>
        </is>
      </c>
      <c r="F946" s="109" t="n">
        <v>45657</v>
      </c>
      <c r="G946" s="5" t="n">
        <v>2024</v>
      </c>
      <c r="H946" s="5" t="inlineStr">
        <is>
          <t>Diciembre</t>
        </is>
      </c>
      <c r="I946" s="6" t="inlineStr">
        <is>
          <t>2024-2</t>
        </is>
      </c>
      <c r="J946" s="5" t="n">
        <v>0</v>
      </c>
      <c r="K946" s="5" t="n"/>
      <c r="L946" s="14" t="n"/>
      <c r="M946" s="14" t="n"/>
      <c r="N946" s="5" t="inlineStr">
        <is>
          <t>ENT</t>
        </is>
      </c>
      <c r="O946" s="5" t="inlineStr">
        <is>
          <t>N/A</t>
        </is>
      </c>
      <c r="P946" s="5" t="n">
        <v>0</v>
      </c>
      <c r="Q946" s="5" t="n">
        <v>0</v>
      </c>
      <c r="R946" s="5" t="inlineStr">
        <is>
          <t>326-2024-12-31</t>
        </is>
      </c>
    </row>
    <row r="947" hidden="1">
      <c r="A947" s="5" t="n">
        <v>326</v>
      </c>
      <c r="B947" s="5" t="inlineStr">
        <is>
          <t>Número de informes de autoevaluación con fines de acreditación en alta calidad radicados- Metrica</t>
        </is>
      </c>
      <c r="C947" s="5" t="inlineStr">
        <is>
          <t>Autoevaluación de programas académicos</t>
        </is>
      </c>
      <c r="D947" s="5" t="inlineStr">
        <is>
          <t>Anual</t>
        </is>
      </c>
      <c r="E947" s="5" t="inlineStr">
        <is>
          <t>Positivo</t>
        </is>
      </c>
      <c r="F947" s="109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3</v>
      </c>
      <c r="K947" s="5" t="n">
        <v>100</v>
      </c>
      <c r="L947" s="14" t="n">
        <v>1.3</v>
      </c>
      <c r="M947" s="14" t="n">
        <v>33.33333333333334</v>
      </c>
      <c r="N947" s="5" t="inlineStr">
        <is>
          <t>ENT</t>
        </is>
      </c>
      <c r="O947" s="5" t="inlineStr">
        <is>
          <t>ENT</t>
        </is>
      </c>
      <c r="P947" s="5" t="n">
        <v>0</v>
      </c>
      <c r="Q947" s="5" t="n">
        <v>0</v>
      </c>
      <c r="R947" s="5" t="inlineStr">
        <is>
          <t>326-2025-12-31</t>
        </is>
      </c>
      <c r="S947" t="inlineStr">
        <is>
          <t>Metrica</t>
        </is>
      </c>
    </row>
    <row r="948" hidden="1">
      <c r="A948" s="26" t="n">
        <v>327</v>
      </c>
      <c r="B948" s="5" t="inlineStr">
        <is>
          <t>Número de programas con obtención de acreditación por primera vez</t>
        </is>
      </c>
      <c r="C948" s="5" t="inlineStr">
        <is>
          <t>Autoevaluación de programas académicos</t>
        </is>
      </c>
      <c r="D948" s="5" t="inlineStr">
        <is>
          <t>Semestral</t>
        </is>
      </c>
      <c r="E948" s="5" t="inlineStr">
        <is>
          <t>Positivo</t>
        </is>
      </c>
      <c r="F948" s="109" t="n">
        <v>45107</v>
      </c>
      <c r="G948" s="5" t="n">
        <v>2023</v>
      </c>
      <c r="H948" s="5" t="inlineStr">
        <is>
          <t>Junio</t>
        </is>
      </c>
      <c r="I948" s="6" t="inlineStr">
        <is>
          <t>2023-1</t>
        </is>
      </c>
      <c r="J948" s="5" t="n">
        <v>100</v>
      </c>
      <c r="K948" s="5" t="n">
        <v>0</v>
      </c>
      <c r="L948" s="14" t="n">
        <v>0</v>
      </c>
      <c r="M948" s="14" t="n">
        <v>0</v>
      </c>
      <c r="N948" s="5" t="n"/>
      <c r="O948" s="5" t="n"/>
      <c r="P948" s="5" t="n">
        <v>0</v>
      </c>
      <c r="Q948" s="5" t="n">
        <v>0</v>
      </c>
      <c r="R948" s="5" t="inlineStr">
        <is>
          <t>327-2023-06-30</t>
        </is>
      </c>
    </row>
    <row r="949" hidden="1">
      <c r="A949" s="5" t="n">
        <v>327</v>
      </c>
      <c r="B949" s="5" t="inlineStr">
        <is>
          <t>Número de programas con obtención de acreditación por primera vez</t>
        </is>
      </c>
      <c r="C949" s="5" t="inlineStr">
        <is>
          <t>Autoevaluación de programas académicos</t>
        </is>
      </c>
      <c r="D949" s="5" t="inlineStr">
        <is>
          <t>Semestral</t>
        </is>
      </c>
      <c r="E949" s="5" t="inlineStr">
        <is>
          <t>Positivo</t>
        </is>
      </c>
      <c r="F949" s="109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100</v>
      </c>
      <c r="K949" s="5" t="n">
        <v>100</v>
      </c>
      <c r="L949" s="14" t="n">
        <v>1</v>
      </c>
      <c r="M949" s="14" t="n">
        <v>1</v>
      </c>
      <c r="N949" s="5" t="inlineStr">
        <is>
          <t>ENT</t>
        </is>
      </c>
      <c r="O949" s="5" t="inlineStr">
        <is>
          <t>ENT</t>
        </is>
      </c>
      <c r="P949" s="5" t="n">
        <v>0</v>
      </c>
      <c r="Q949" s="5" t="n">
        <v>0</v>
      </c>
      <c r="R949" s="5" t="inlineStr">
        <is>
          <t>327-2023-12-31</t>
        </is>
      </c>
    </row>
    <row r="950" hidden="1">
      <c r="A950" s="26" t="n">
        <v>327</v>
      </c>
      <c r="B950" s="5" t="inlineStr">
        <is>
          <t>Número de programas con obtención de acreditación por primera vez</t>
        </is>
      </c>
      <c r="C950" s="5" t="inlineStr">
        <is>
          <t>Autoevaluación de programas académicos</t>
        </is>
      </c>
      <c r="D950" s="5" t="inlineStr">
        <is>
          <t>Semestral</t>
        </is>
      </c>
      <c r="E950" s="5" t="inlineStr">
        <is>
          <t>Positivo</t>
        </is>
      </c>
      <c r="F950" s="109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100</v>
      </c>
      <c r="K950" s="5" t="n">
        <v>0</v>
      </c>
      <c r="L950" s="74" t="n">
        <v>0</v>
      </c>
      <c r="M950" s="14" t="n">
        <v>0</v>
      </c>
      <c r="N950" s="5" t="n"/>
      <c r="O950" s="5" t="n"/>
      <c r="P950" s="5" t="n">
        <v>0</v>
      </c>
      <c r="Q950" s="5" t="n">
        <v>0</v>
      </c>
      <c r="R950" s="5" t="inlineStr">
        <is>
          <t>327-2024-06-30</t>
        </is>
      </c>
    </row>
    <row r="951" hidden="1">
      <c r="A951" s="5" t="n">
        <v>327</v>
      </c>
      <c r="B951" s="5" t="inlineStr">
        <is>
          <t>Número de programas con obtención de acreditación por primera vez</t>
        </is>
      </c>
      <c r="C951" s="5" t="inlineStr">
        <is>
          <t>Autoevaluación de programas académicos</t>
        </is>
      </c>
      <c r="D951" s="5" t="inlineStr">
        <is>
          <t>Semestral</t>
        </is>
      </c>
      <c r="E951" s="5" t="inlineStr">
        <is>
          <t>Positivo</t>
        </is>
      </c>
      <c r="F951" s="109" t="n">
        <v>45657</v>
      </c>
      <c r="G951" s="5" t="n">
        <v>2024</v>
      </c>
      <c r="H951" s="5" t="inlineStr">
        <is>
          <t>Diciembre</t>
        </is>
      </c>
      <c r="I951" s="6" t="inlineStr">
        <is>
          <t>2024-2</t>
        </is>
      </c>
      <c r="J951" s="5" t="n">
        <v>100</v>
      </c>
      <c r="K951" s="5" t="n">
        <v>0</v>
      </c>
      <c r="L951" s="14" t="n">
        <v>0</v>
      </c>
      <c r="M951" s="14" t="n">
        <v>0</v>
      </c>
      <c r="N951" s="5" t="n"/>
      <c r="O951" s="5" t="n"/>
      <c r="P951" s="5" t="n">
        <v>0</v>
      </c>
      <c r="Q951" s="5" t="n">
        <v>0</v>
      </c>
      <c r="R951" s="5" t="inlineStr">
        <is>
          <t>327-2024-12-31</t>
        </is>
      </c>
    </row>
    <row r="952" hidden="1">
      <c r="A952" s="5" t="n">
        <v>327</v>
      </c>
      <c r="B952" s="5" t="inlineStr">
        <is>
          <t>Número de programas con obtención de acreditación por primera vez</t>
        </is>
      </c>
      <c r="C952" s="5" t="inlineStr">
        <is>
          <t>Autoevaluación de programas académicos</t>
        </is>
      </c>
      <c r="D952" s="5" t="inlineStr">
        <is>
          <t>Semestral</t>
        </is>
      </c>
      <c r="E952" s="5" t="inlineStr">
        <is>
          <t>Positivo</t>
        </is>
      </c>
      <c r="F952" s="109" t="n">
        <v>45838</v>
      </c>
      <c r="G952" s="5" t="n">
        <v>2025</v>
      </c>
      <c r="H952" s="5" t="inlineStr">
        <is>
          <t>Junio</t>
        </is>
      </c>
      <c r="I952" s="6" t="inlineStr">
        <is>
          <t>2025-1</t>
        </is>
      </c>
      <c r="J952" s="5" t="n">
        <v>100</v>
      </c>
      <c r="K952" s="5" t="n">
        <v>100</v>
      </c>
      <c r="L952" s="14" t="n">
        <v>1</v>
      </c>
      <c r="M952" s="14" t="n">
        <v>1</v>
      </c>
      <c r="N952" s="5" t="inlineStr">
        <is>
          <t>ENT</t>
        </is>
      </c>
      <c r="O952" s="5" t="inlineStr">
        <is>
          <t>ENT</t>
        </is>
      </c>
      <c r="P952" s="5" t="n">
        <v>0</v>
      </c>
      <c r="Q952" s="5" t="n">
        <v>0</v>
      </c>
      <c r="R952" s="5" t="inlineStr">
        <is>
          <t>327-2025-06-30</t>
        </is>
      </c>
    </row>
    <row r="953" hidden="1">
      <c r="A953" s="28" t="n">
        <v>327</v>
      </c>
      <c r="B953" s="5" t="inlineStr">
        <is>
          <t>Número de programas con obtención de acreditación por primera vez- Metrica</t>
        </is>
      </c>
      <c r="C953" s="5" t="inlineStr">
        <is>
          <t>Autoevaluación de programas académicos</t>
        </is>
      </c>
      <c r="D953" s="5" t="inlineStr">
        <is>
          <t>Trimestral</t>
        </is>
      </c>
      <c r="E953" s="5" t="inlineStr">
        <is>
          <t>Positivo</t>
        </is>
      </c>
      <c r="F953" s="109" t="n">
        <v>46022</v>
      </c>
      <c r="G953" s="5" t="n">
        <v>2025</v>
      </c>
      <c r="H953" s="5" t="inlineStr">
        <is>
          <t>Diciembre</t>
        </is>
      </c>
      <c r="I953" s="6" t="inlineStr">
        <is>
          <t>2025-2</t>
        </is>
      </c>
      <c r="J953" s="5" t="n">
        <v>100</v>
      </c>
      <c r="K953" s="5" t="n">
        <v>100</v>
      </c>
      <c r="L953" s="74" t="n">
        <v>1</v>
      </c>
      <c r="M953" s="14" t="n">
        <v>1</v>
      </c>
      <c r="N953" s="5" t="inlineStr">
        <is>
          <t>ENT</t>
        </is>
      </c>
      <c r="O953" s="5" t="inlineStr">
        <is>
          <t>ENT</t>
        </is>
      </c>
      <c r="P953" s="5" t="n">
        <v>0</v>
      </c>
      <c r="Q953" s="5" t="n">
        <v>0</v>
      </c>
      <c r="R953" s="5" t="inlineStr">
        <is>
          <t>327-2025-12-31</t>
        </is>
      </c>
      <c r="S953" t="inlineStr">
        <is>
          <t>Metrica</t>
        </is>
      </c>
    </row>
    <row r="954" hidden="1">
      <c r="A954" s="26" t="n">
        <v>328</v>
      </c>
      <c r="B954" s="5" t="inlineStr">
        <is>
          <t>Nivel de encuestas obtenidas en el encuentro institucional de graduados</t>
        </is>
      </c>
      <c r="C954" s="5" t="inlineStr">
        <is>
          <t>Gestión de Graduados</t>
        </is>
      </c>
      <c r="D954" s="5" t="inlineStr">
        <is>
          <t>Anual</t>
        </is>
      </c>
      <c r="E954" s="5" t="inlineStr">
        <is>
          <t>Positivo</t>
        </is>
      </c>
      <c r="F954" s="109" t="n">
        <v>45291</v>
      </c>
      <c r="G954" s="5" t="n">
        <v>2023</v>
      </c>
      <c r="H954" s="5" t="inlineStr">
        <is>
          <t>Diciembre</t>
        </is>
      </c>
      <c r="I954" s="6" t="inlineStr">
        <is>
          <t>2023-2</t>
        </is>
      </c>
      <c r="J954" s="5" t="n">
        <v>800</v>
      </c>
      <c r="K954" s="5" t="n">
        <v>1035</v>
      </c>
      <c r="L954" s="74" t="n">
        <v>1.29375</v>
      </c>
      <c r="M954" s="14" t="n">
        <v>1.29375</v>
      </c>
      <c r="N954" s="5" t="n"/>
      <c r="O954" s="5" t="n"/>
      <c r="P954" s="5" t="n">
        <v>0</v>
      </c>
      <c r="Q954" s="5" t="n">
        <v>0</v>
      </c>
      <c r="R954" s="5" t="inlineStr">
        <is>
          <t>328-2023-12-31</t>
        </is>
      </c>
    </row>
    <row r="955" hidden="1">
      <c r="A955" s="5" t="n">
        <v>328</v>
      </c>
      <c r="B955" s="5" t="inlineStr">
        <is>
          <t>Nivel de encuestas obtenidas en el encuentro institucional de graduados</t>
        </is>
      </c>
      <c r="C955" s="5" t="inlineStr">
        <is>
          <t>Gestión de Graduados</t>
        </is>
      </c>
      <c r="D955" s="5" t="inlineStr">
        <is>
          <t>Anual</t>
        </is>
      </c>
      <c r="E955" s="5" t="inlineStr">
        <is>
          <t>Positivo</t>
        </is>
      </c>
      <c r="F955" s="109" t="n">
        <v>45657</v>
      </c>
      <c r="G955" s="5" t="n">
        <v>2024</v>
      </c>
      <c r="H955" s="5" t="inlineStr">
        <is>
          <t>Diciembre</t>
        </is>
      </c>
      <c r="I955" s="6" t="inlineStr">
        <is>
          <t>2024-2</t>
        </is>
      </c>
      <c r="J955" s="5" t="n">
        <v>100</v>
      </c>
      <c r="K955" s="5" t="n">
        <v>157</v>
      </c>
      <c r="L955" s="14" t="n">
        <v>1.3</v>
      </c>
      <c r="M955" s="14" t="n">
        <v>1.57</v>
      </c>
      <c r="N955" s="5" t="n"/>
      <c r="O955" s="5" t="n"/>
      <c r="P955" s="5" t="n">
        <v>0</v>
      </c>
      <c r="Q955" s="5" t="n">
        <v>0</v>
      </c>
      <c r="R955" s="5" t="inlineStr">
        <is>
          <t>328-2024-12-31</t>
        </is>
      </c>
    </row>
    <row r="956" hidden="1">
      <c r="A956" s="5" t="n">
        <v>329</v>
      </c>
      <c r="B956" s="5" t="inlineStr">
        <is>
          <t>Participación en actividades diseñadas para graduados</t>
        </is>
      </c>
      <c r="C956" s="5" t="inlineStr">
        <is>
          <t>Gestión de Graduados</t>
        </is>
      </c>
      <c r="D956" s="5" t="inlineStr">
        <is>
          <t>Anual</t>
        </is>
      </c>
      <c r="E956" s="5" t="inlineStr">
        <is>
          <t>Positivo</t>
        </is>
      </c>
      <c r="F956" s="109" t="n">
        <v>45291</v>
      </c>
      <c r="G956" s="5" t="n">
        <v>2023</v>
      </c>
      <c r="H956" s="5" t="inlineStr">
        <is>
          <t>Diciembre</t>
        </is>
      </c>
      <c r="I956" s="6" t="inlineStr">
        <is>
          <t>2023-2</t>
        </is>
      </c>
      <c r="J956" s="5" t="n">
        <v>3000</v>
      </c>
      <c r="K956" s="5" t="n">
        <v>3315</v>
      </c>
      <c r="L956" s="14" t="n">
        <v>1.105</v>
      </c>
      <c r="M956" s="14" t="n">
        <v>1.105</v>
      </c>
      <c r="N956" s="5" t="n"/>
      <c r="O956" s="5" t="n"/>
      <c r="P956" s="5" t="n">
        <v>0</v>
      </c>
      <c r="Q956" s="5" t="n">
        <v>0</v>
      </c>
      <c r="R956" s="5" t="inlineStr">
        <is>
          <t>329-2023-12-31</t>
        </is>
      </c>
    </row>
    <row r="957" hidden="1">
      <c r="A957" s="28" t="n">
        <v>329</v>
      </c>
      <c r="B957" s="5" t="inlineStr">
        <is>
          <t>Participación en actividades diseñadas para graduados</t>
        </is>
      </c>
      <c r="C957" s="5" t="inlineStr">
        <is>
          <t>Gestión de Graduados</t>
        </is>
      </c>
      <c r="D957" s="5" t="inlineStr">
        <is>
          <t>Anual</t>
        </is>
      </c>
      <c r="E957" s="5" t="inlineStr">
        <is>
          <t>Positivo</t>
        </is>
      </c>
      <c r="F957" s="109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>
        <v>106.63</v>
      </c>
      <c r="L957" s="14" t="n">
        <v>1.0663</v>
      </c>
      <c r="M957" s="14" t="n">
        <v>1.0663</v>
      </c>
      <c r="N957" s="5" t="n"/>
      <c r="O957" s="5" t="n"/>
      <c r="P957" s="5" t="n">
        <v>0</v>
      </c>
      <c r="Q957" s="5" t="n">
        <v>0</v>
      </c>
      <c r="R957" s="5" t="inlineStr">
        <is>
          <t>329-2024-12-31</t>
        </is>
      </c>
    </row>
    <row r="958" hidden="1">
      <c r="A958" s="26" t="n">
        <v>331</v>
      </c>
      <c r="B958" s="5" t="inlineStr">
        <is>
          <t>Nivel de empleabilidad del graduado</t>
        </is>
      </c>
      <c r="C958" s="5" t="inlineStr">
        <is>
          <t>Gestión de Graduados</t>
        </is>
      </c>
      <c r="D958" s="5" t="inlineStr">
        <is>
          <t>Anual</t>
        </is>
      </c>
      <c r="E958" s="5" t="inlineStr">
        <is>
          <t>Positivo</t>
        </is>
      </c>
      <c r="F958" s="109" t="n">
        <v>45291</v>
      </c>
      <c r="G958" s="5" t="n">
        <v>2023</v>
      </c>
      <c r="H958" s="5" t="inlineStr">
        <is>
          <t>Diciembre</t>
        </is>
      </c>
      <c r="I958" s="6" t="inlineStr">
        <is>
          <t>2023-2</t>
        </is>
      </c>
      <c r="J958" s="5" t="n">
        <v>0</v>
      </c>
      <c r="K958" s="5" t="n">
        <v>81</v>
      </c>
      <c r="L958" s="14" t="n"/>
      <c r="M958" s="14" t="n"/>
      <c r="N958" s="5" t="inlineStr">
        <is>
          <t>Metrica</t>
        </is>
      </c>
      <c r="O958" s="5" t="inlineStr">
        <is>
          <t>%</t>
        </is>
      </c>
      <c r="P958" s="5" t="n">
        <v>0</v>
      </c>
      <c r="Q958" s="5" t="n">
        <v>0</v>
      </c>
      <c r="R958" s="5" t="inlineStr">
        <is>
          <t>331-2023-12-31</t>
        </is>
      </c>
    </row>
    <row r="959" hidden="1">
      <c r="A959" s="5" t="n">
        <v>331</v>
      </c>
      <c r="B959" s="5" t="inlineStr">
        <is>
          <t>Nivel de empleabilidad del graduado</t>
        </is>
      </c>
      <c r="C959" s="5" t="inlineStr">
        <is>
          <t>Gestión de Graduados</t>
        </is>
      </c>
      <c r="D959" s="5" t="inlineStr">
        <is>
          <t>Anual</t>
        </is>
      </c>
      <c r="E959" s="5" t="inlineStr">
        <is>
          <t>Positivo</t>
        </is>
      </c>
      <c r="F959" s="109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0</v>
      </c>
      <c r="K959" s="5" t="n">
        <v>82</v>
      </c>
      <c r="L959" s="14" t="n"/>
      <c r="M959" s="14" t="n"/>
      <c r="N959" s="5" t="inlineStr">
        <is>
          <t>Metrica</t>
        </is>
      </c>
      <c r="O959" s="5" t="inlineStr">
        <is>
          <t>%</t>
        </is>
      </c>
      <c r="P959" s="5" t="n">
        <v>0</v>
      </c>
      <c r="Q959" s="5" t="n">
        <v>0</v>
      </c>
      <c r="R959" s="5" t="inlineStr">
        <is>
          <t>331-2024-12-31</t>
        </is>
      </c>
    </row>
    <row r="960" hidden="1">
      <c r="A960" s="5" t="n">
        <v>332</v>
      </c>
      <c r="B960" s="5" t="inlineStr">
        <is>
          <t>Índice de rotación</t>
        </is>
      </c>
      <c r="C960" s="5" t="inlineStr">
        <is>
          <t>GESTIÓN Y DESARROLLO DEL TALENTO HUMANO</t>
        </is>
      </c>
      <c r="D960" s="5" t="inlineStr">
        <is>
          <t>Semestral</t>
        </is>
      </c>
      <c r="E960" s="5" t="inlineStr">
        <is>
          <t>Negativo</t>
        </is>
      </c>
      <c r="F960" s="109" t="n">
        <v>45107</v>
      </c>
      <c r="G960" s="5" t="n">
        <v>2023</v>
      </c>
      <c r="H960" s="5" t="inlineStr">
        <is>
          <t>Junio</t>
        </is>
      </c>
      <c r="I960" s="6" t="inlineStr">
        <is>
          <t>2023-1</t>
        </is>
      </c>
      <c r="J960" s="5" t="n">
        <v>1.8</v>
      </c>
      <c r="K960" s="5" t="n">
        <v>1.57</v>
      </c>
      <c r="L960" s="14" t="n">
        <v>1.146496815286624</v>
      </c>
      <c r="M960" s="14" t="n">
        <v>1.146496815286624</v>
      </c>
      <c r="N960" s="5" t="inlineStr">
        <is>
          <t>DEC</t>
        </is>
      </c>
      <c r="O960" s="5" t="inlineStr">
        <is>
          <t>DEC</t>
        </is>
      </c>
      <c r="P960" s="5" t="n">
        <v>1</v>
      </c>
      <c r="Q960" s="5" t="n">
        <v>2</v>
      </c>
      <c r="R960" s="5" t="inlineStr">
        <is>
          <t>332-2023-06-30</t>
        </is>
      </c>
    </row>
    <row r="961" hidden="1">
      <c r="A961" s="28" t="n">
        <v>332</v>
      </c>
      <c r="B961" s="5" t="inlineStr">
        <is>
          <t>Índice de rotación</t>
        </is>
      </c>
      <c r="C961" s="5" t="inlineStr">
        <is>
          <t>GESTIÓN Y DESARROLLO DEL TALENTO HUMANO</t>
        </is>
      </c>
      <c r="D961" s="5" t="inlineStr">
        <is>
          <t>Semestral</t>
        </is>
      </c>
      <c r="E961" s="5" t="inlineStr">
        <is>
          <t>Negativo</t>
        </is>
      </c>
      <c r="F961" s="109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1.8</v>
      </c>
      <c r="K961" s="5" t="n">
        <v>1.3</v>
      </c>
      <c r="L961" s="14" t="n">
        <v>1.3</v>
      </c>
      <c r="M961" s="14" t="n">
        <v>1.384615384615385</v>
      </c>
      <c r="N961" s="5" t="inlineStr">
        <is>
          <t>DEC</t>
        </is>
      </c>
      <c r="O961" s="5" t="inlineStr">
        <is>
          <t>DEC</t>
        </is>
      </c>
      <c r="P961" s="5" t="n">
        <v>1</v>
      </c>
      <c r="Q961" s="5" t="n">
        <v>1</v>
      </c>
      <c r="R961" s="5" t="inlineStr">
        <is>
          <t>332-2023-12-31</t>
        </is>
      </c>
    </row>
    <row r="962" hidden="1">
      <c r="A962" s="26" t="n">
        <v>332</v>
      </c>
      <c r="B962" s="5" t="inlineStr">
        <is>
          <t>Índice de rotación</t>
        </is>
      </c>
      <c r="C962" s="5" t="inlineStr">
        <is>
          <t>GESTIÓN Y DESARROLLO DEL TALENTO HUMANO</t>
        </is>
      </c>
      <c r="D962" s="5" t="inlineStr">
        <is>
          <t>Semestral</t>
        </is>
      </c>
      <c r="E962" s="5" t="inlineStr">
        <is>
          <t>Negativo</t>
        </is>
      </c>
      <c r="F962" s="109" t="n">
        <v>45473</v>
      </c>
      <c r="G962" s="5" t="n">
        <v>2024</v>
      </c>
      <c r="H962" s="5" t="inlineStr">
        <is>
          <t>Junio</t>
        </is>
      </c>
      <c r="I962" s="6" t="inlineStr">
        <is>
          <t>2024-1</t>
        </is>
      </c>
      <c r="J962" s="5" t="n">
        <v>1.5</v>
      </c>
      <c r="K962" s="5" t="n">
        <v>1.48</v>
      </c>
      <c r="L962" s="14" t="n">
        <v>1.013513513513514</v>
      </c>
      <c r="M962" s="14" t="n">
        <v>1.013513513513514</v>
      </c>
      <c r="N962" s="5" t="inlineStr">
        <is>
          <t>DEC</t>
        </is>
      </c>
      <c r="O962" s="5" t="inlineStr">
        <is>
          <t>DEC</t>
        </is>
      </c>
      <c r="P962" s="5" t="n">
        <v>1</v>
      </c>
      <c r="Q962" s="5" t="n">
        <v>2</v>
      </c>
      <c r="R962" s="5" t="inlineStr">
        <is>
          <t>332-2024-06-30</t>
        </is>
      </c>
    </row>
    <row r="963" hidden="1">
      <c r="A963" s="5" t="n">
        <v>332</v>
      </c>
      <c r="B963" s="5" t="inlineStr">
        <is>
          <t>Índice de rotación</t>
        </is>
      </c>
      <c r="C963" s="5" t="inlineStr">
        <is>
          <t>GESTIÓN Y DESARROLLO DEL TALENTO HUMANO</t>
        </is>
      </c>
      <c r="D963" s="5" t="inlineStr">
        <is>
          <t>Semestral</t>
        </is>
      </c>
      <c r="E963" s="5" t="inlineStr">
        <is>
          <t>Negativo</t>
        </is>
      </c>
      <c r="F963" s="109" t="n">
        <v>45657</v>
      </c>
      <c r="G963" s="5" t="n">
        <v>2024</v>
      </c>
      <c r="H963" s="5" t="inlineStr">
        <is>
          <t>Diciembre</t>
        </is>
      </c>
      <c r="I963" s="6" t="inlineStr">
        <is>
          <t>2024-2</t>
        </is>
      </c>
      <c r="J963" s="5" t="n">
        <v>1.8</v>
      </c>
      <c r="K963" s="5" t="n">
        <v>0.82</v>
      </c>
      <c r="L963" s="14" t="n">
        <v>1.3</v>
      </c>
      <c r="M963" s="14" t="n">
        <v>2.195121951219512</v>
      </c>
      <c r="N963" s="5" t="inlineStr">
        <is>
          <t>DEC</t>
        </is>
      </c>
      <c r="O963" s="5" t="inlineStr">
        <is>
          <t>DEC</t>
        </is>
      </c>
      <c r="P963" s="5" t="n">
        <v>1</v>
      </c>
      <c r="Q963" s="5" t="n">
        <v>2</v>
      </c>
      <c r="R963" s="5" t="inlineStr">
        <is>
          <t>332-2024-12-31</t>
        </is>
      </c>
    </row>
    <row r="964" hidden="1">
      <c r="A964" s="5" t="n">
        <v>332</v>
      </c>
      <c r="B964" s="5" t="inlineStr">
        <is>
          <t>Índice de rotación</t>
        </is>
      </c>
      <c r="C964" s="5" t="inlineStr">
        <is>
          <t>GESTIÓN Y DESARROLLO DEL TALENTO HUMANO</t>
        </is>
      </c>
      <c r="D964" s="5" t="inlineStr">
        <is>
          <t>Semestral</t>
        </is>
      </c>
      <c r="E964" s="5" t="inlineStr">
        <is>
          <t>Negativo</t>
        </is>
      </c>
      <c r="F964" s="109" t="n">
        <v>45838</v>
      </c>
      <c r="G964" s="5" t="n">
        <v>2025</v>
      </c>
      <c r="H964" s="5" t="inlineStr">
        <is>
          <t>Junio</t>
        </is>
      </c>
      <c r="I964" s="6" t="inlineStr">
        <is>
          <t>2025-1</t>
        </is>
      </c>
      <c r="J964" s="5" t="n">
        <v>1.18</v>
      </c>
      <c r="K964" s="5" t="n">
        <v>0.85</v>
      </c>
      <c r="L964" s="14" t="n">
        <v>1.3</v>
      </c>
      <c r="M964" s="14" t="n">
        <v>1.388235294117647</v>
      </c>
      <c r="N964" s="5" t="inlineStr">
        <is>
          <t>DEC</t>
        </is>
      </c>
      <c r="O964" s="5" t="inlineStr">
        <is>
          <t>DEC</t>
        </is>
      </c>
      <c r="P964" s="5" t="n">
        <v>2</v>
      </c>
      <c r="Q964" s="5" t="n">
        <v>2</v>
      </c>
      <c r="R964" s="5" t="inlineStr">
        <is>
          <t>332-2025-06-30</t>
        </is>
      </c>
    </row>
    <row r="965" hidden="1">
      <c r="A965" s="28" t="n">
        <v>332</v>
      </c>
      <c r="B965" s="5" t="inlineStr">
        <is>
          <t>Índice de rotación</t>
        </is>
      </c>
      <c r="C965" s="5" t="inlineStr">
        <is>
          <t>GESTIÓN Y DESARROLLO DEL TALENTO HUMANO</t>
        </is>
      </c>
      <c r="D965" s="5" t="inlineStr">
        <is>
          <t>Trimestral</t>
        </is>
      </c>
      <c r="E965" s="5" t="inlineStr">
        <is>
          <t>Negativo</t>
        </is>
      </c>
      <c r="F965" s="109" t="n">
        <v>46022</v>
      </c>
      <c r="G965" s="5" t="n">
        <v>2025</v>
      </c>
      <c r="H965" s="5" t="inlineStr">
        <is>
          <t>Diciembre</t>
        </is>
      </c>
      <c r="I965" s="6" t="inlineStr">
        <is>
          <t>2025-2</t>
        </is>
      </c>
      <c r="J965" s="5" t="n">
        <v>1.18</v>
      </c>
      <c r="K965" s="5" t="n">
        <v>0.93</v>
      </c>
      <c r="L965" s="14" t="n">
        <v>1.268817204301075</v>
      </c>
      <c r="M965" s="14" t="n">
        <v>1.268817204301075</v>
      </c>
      <c r="N965" s="5" t="inlineStr">
        <is>
          <t>DEC</t>
        </is>
      </c>
      <c r="O965" s="5" t="inlineStr">
        <is>
          <t>DEC</t>
        </is>
      </c>
      <c r="P965" s="5" t="n">
        <v>2</v>
      </c>
      <c r="Q965" s="5" t="n">
        <v>2</v>
      </c>
      <c r="R965" s="5" t="inlineStr">
        <is>
          <t>332-2025-12-31</t>
        </is>
      </c>
    </row>
    <row r="966" hidden="1">
      <c r="A966" s="26" t="n">
        <v>334</v>
      </c>
      <c r="B966" s="5" t="inlineStr">
        <is>
          <t>Resultado de la evaluación 360 (evaluación por competencias)</t>
        </is>
      </c>
      <c r="C966" s="5" t="inlineStr">
        <is>
          <t>GESTIÓN Y DESARROLLO DEL TALENTO HUMANO</t>
        </is>
      </c>
      <c r="D966" s="5" t="inlineStr">
        <is>
          <t>Anual</t>
        </is>
      </c>
      <c r="E966" s="5" t="inlineStr">
        <is>
          <t>Positivo</t>
        </is>
      </c>
      <c r="F966" s="109" t="n">
        <v>45291</v>
      </c>
      <c r="G966" s="5" t="n">
        <v>2023</v>
      </c>
      <c r="H966" s="5" t="inlineStr">
        <is>
          <t>Diciembre</t>
        </is>
      </c>
      <c r="I966" s="6" t="inlineStr">
        <is>
          <t>2023-2</t>
        </is>
      </c>
      <c r="J966" s="5" t="n">
        <v>88</v>
      </c>
      <c r="K966" s="5" t="n">
        <v>88.39</v>
      </c>
      <c r="L966" s="14" t="n">
        <v>1.004431818181818</v>
      </c>
      <c r="M966" s="14" t="n">
        <v>1.004431818181818</v>
      </c>
      <c r="N966" s="5" t="n"/>
      <c r="O966" s="5" t="n"/>
      <c r="P966" s="5" t="n">
        <v>0</v>
      </c>
      <c r="Q966" s="5" t="n">
        <v>0</v>
      </c>
      <c r="R966" s="5" t="inlineStr">
        <is>
          <t>334-2023-12-31</t>
        </is>
      </c>
    </row>
    <row r="967" hidden="1">
      <c r="A967" s="5" t="n">
        <v>334</v>
      </c>
      <c r="B967" s="5" t="inlineStr">
        <is>
          <t>Resultado de la evaluación 360 (evaluación por competencias)</t>
        </is>
      </c>
      <c r="C967" s="5" t="inlineStr">
        <is>
          <t>GESTIÓN Y DESARROLLO DEL TALENTO HUMANO</t>
        </is>
      </c>
      <c r="D967" s="5" t="inlineStr">
        <is>
          <t>Anual</t>
        </is>
      </c>
      <c r="E967" s="5" t="inlineStr">
        <is>
          <t>Positivo</t>
        </is>
      </c>
      <c r="F967" s="109" t="n">
        <v>45657</v>
      </c>
      <c r="G967" s="5" t="n">
        <v>2024</v>
      </c>
      <c r="H967" s="5" t="inlineStr">
        <is>
          <t>Diciembre</t>
        </is>
      </c>
      <c r="I967" s="6" t="inlineStr">
        <is>
          <t>2024-2</t>
        </is>
      </c>
      <c r="J967" s="5" t="n">
        <v>88</v>
      </c>
      <c r="K967" s="5" t="n">
        <v>88.84</v>
      </c>
      <c r="L967" s="14" t="n">
        <v>1.009545454545455</v>
      </c>
      <c r="M967" s="14" t="n">
        <v>1.009545454545455</v>
      </c>
      <c r="N967" s="5" t="n"/>
      <c r="O967" s="5" t="n"/>
      <c r="P967" s="5" t="n">
        <v>0</v>
      </c>
      <c r="Q967" s="5" t="n">
        <v>0</v>
      </c>
      <c r="R967" s="5" t="inlineStr">
        <is>
          <t>334-2024-12-31</t>
        </is>
      </c>
    </row>
    <row r="968" hidden="1">
      <c r="A968" s="5" t="n">
        <v>334</v>
      </c>
      <c r="B968" s="5" t="inlineStr">
        <is>
          <t>Resultado de la evaluación 360 (evaluación por competencias)</t>
        </is>
      </c>
      <c r="C968" s="5" t="inlineStr">
        <is>
          <t>GESTIÓN Y DESARROLLO DEL TALENTO HUMANO</t>
        </is>
      </c>
      <c r="D968" s="5" t="inlineStr">
        <is>
          <t>Anual</t>
        </is>
      </c>
      <c r="E968" s="5" t="inlineStr">
        <is>
          <t>Positivo</t>
        </is>
      </c>
      <c r="F968" s="109" t="n">
        <v>46022</v>
      </c>
      <c r="G968" s="5" t="n">
        <v>2025</v>
      </c>
      <c r="H968" s="5" t="inlineStr">
        <is>
          <t>Diciembre</t>
        </is>
      </c>
      <c r="I968" s="6" t="inlineStr">
        <is>
          <t>2025-2</t>
        </is>
      </c>
      <c r="J968" s="5" t="n">
        <v>89</v>
      </c>
      <c r="K968" s="5" t="n">
        <v>90.09999999999999</v>
      </c>
      <c r="L968" s="14" t="n">
        <v>1.012359550561798</v>
      </c>
      <c r="M968" s="14" t="n">
        <v>1.012359550561798</v>
      </c>
      <c r="N968" s="5" t="inlineStr">
        <is>
          <t>ENT</t>
        </is>
      </c>
      <c r="O968" s="5" t="inlineStr">
        <is>
          <t>DEC</t>
        </is>
      </c>
      <c r="P968" s="5" t="n">
        <v>0</v>
      </c>
      <c r="Q968" s="5" t="n">
        <v>1</v>
      </c>
      <c r="R968" s="5" t="inlineStr">
        <is>
          <t>334-2025-12-31</t>
        </is>
      </c>
    </row>
    <row r="969" hidden="1">
      <c r="A969" s="26" t="n">
        <v>335</v>
      </c>
      <c r="B969" s="5" t="inlineStr">
        <is>
          <t>Cumplimiento de diagnóstico necesidades de capacitación por área</t>
        </is>
      </c>
      <c r="C969" s="5" t="inlineStr">
        <is>
          <t>GESTIÓN Y DESARROLLO DEL TALENTO HUMANO</t>
        </is>
      </c>
      <c r="D969" s="5" t="inlineStr">
        <is>
          <t>Anual</t>
        </is>
      </c>
      <c r="E969" s="5" t="inlineStr">
        <is>
          <t>Positivo</t>
        </is>
      </c>
      <c r="F969" s="109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73" t="n">
        <v>80</v>
      </c>
      <c r="K969" s="96" t="n">
        <v>93.84999999999999</v>
      </c>
      <c r="L969" s="74" t="n">
        <v>1.173125</v>
      </c>
      <c r="M969" s="14" t="n">
        <v>1.173125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335-2023-12-31</t>
        </is>
      </c>
    </row>
    <row r="970" hidden="1">
      <c r="A970" s="26" t="n">
        <v>335</v>
      </c>
      <c r="B970" s="5" t="inlineStr">
        <is>
          <t>Cumplimiento de diagnóstico necesidades de capacitación por área</t>
        </is>
      </c>
      <c r="C970" s="5" t="inlineStr">
        <is>
          <t>GESTIÓN Y DESARROLLO DEL TALENTO HUMANO</t>
        </is>
      </c>
      <c r="D970" s="5" t="inlineStr">
        <is>
          <t>Anual</t>
        </is>
      </c>
      <c r="E970" s="5" t="inlineStr">
        <is>
          <t>Positivo</t>
        </is>
      </c>
      <c r="F970" s="109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73" t="n">
        <v>82</v>
      </c>
      <c r="K970" s="96" t="n">
        <v>80.95</v>
      </c>
      <c r="L970" s="74" t="n">
        <v>0.9871951219512195</v>
      </c>
      <c r="M970" s="14" t="n">
        <v>0.9871951219512195</v>
      </c>
      <c r="N970" s="5" t="n"/>
      <c r="O970" s="5" t="n"/>
      <c r="P970" s="5" t="n">
        <v>0</v>
      </c>
      <c r="Q970" s="5" t="n">
        <v>0</v>
      </c>
      <c r="R970" s="5" t="inlineStr">
        <is>
          <t>335-2024-12-31</t>
        </is>
      </c>
    </row>
    <row r="971" hidden="1">
      <c r="A971" s="26" t="n">
        <v>336</v>
      </c>
      <c r="B971" s="5" t="inlineStr">
        <is>
          <t>Materiales bibliográficos en formato físico con estado de perdida</t>
        </is>
      </c>
      <c r="C971" s="5" t="inlineStr">
        <is>
          <t>Biblioteca Institucional</t>
        </is>
      </c>
      <c r="D971" s="5" t="inlineStr">
        <is>
          <t>Anual</t>
        </is>
      </c>
      <c r="E971" s="5" t="inlineStr">
        <is>
          <t>Negativo</t>
        </is>
      </c>
      <c r="F971" s="109" t="n">
        <v>45291</v>
      </c>
      <c r="G971" s="5" t="n">
        <v>2023</v>
      </c>
      <c r="H971" s="5" t="inlineStr">
        <is>
          <t>Diciembre</t>
        </is>
      </c>
      <c r="I971" s="6" t="inlineStr">
        <is>
          <t>2023-2</t>
        </is>
      </c>
      <c r="J971" s="73" t="n">
        <v>2</v>
      </c>
      <c r="K971" s="96" t="n">
        <v>1.742198218602321</v>
      </c>
      <c r="L971" s="74" t="n">
        <v>1.147975</v>
      </c>
      <c r="M971" s="14" t="n">
        <v>1.147975</v>
      </c>
      <c r="N971" s="5" t="n"/>
      <c r="O971" s="5" t="n"/>
      <c r="P971" s="5" t="n">
        <v>0</v>
      </c>
      <c r="Q971" s="5" t="n">
        <v>0</v>
      </c>
      <c r="R971" s="5" t="inlineStr">
        <is>
          <t>336-2023-12-31</t>
        </is>
      </c>
    </row>
    <row r="972" hidden="1">
      <c r="A972" s="5" t="n">
        <v>336</v>
      </c>
      <c r="B972" s="5" t="inlineStr">
        <is>
          <t>Materiales bibliográficos en formato físico con estado de perdida</t>
        </is>
      </c>
      <c r="C972" s="5" t="inlineStr">
        <is>
          <t>Biblioteca Institucional</t>
        </is>
      </c>
      <c r="D972" s="5" t="inlineStr">
        <is>
          <t>Anual</t>
        </is>
      </c>
      <c r="E972" s="5" t="inlineStr">
        <is>
          <t>Negativo</t>
        </is>
      </c>
      <c r="F972" s="109" t="n">
        <v>45657</v>
      </c>
      <c r="G972" s="5" t="n">
        <v>2024</v>
      </c>
      <c r="H972" s="5" t="inlineStr">
        <is>
          <t>Diciembre</t>
        </is>
      </c>
      <c r="I972" s="6" t="inlineStr">
        <is>
          <t>2024-2</t>
        </is>
      </c>
      <c r="J972" s="5" t="n">
        <v>2</v>
      </c>
      <c r="K972" s="5" t="n">
        <v>0.79</v>
      </c>
      <c r="L972" s="14" t="n">
        <v>1.3</v>
      </c>
      <c r="M972" s="14" t="n">
        <v>2.531645569620253</v>
      </c>
      <c r="N972" s="5" t="n"/>
      <c r="O972" s="5" t="n"/>
      <c r="P972" s="5" t="n">
        <v>0</v>
      </c>
      <c r="Q972" s="5" t="n">
        <v>0</v>
      </c>
      <c r="R972" s="5" t="inlineStr">
        <is>
          <t>336-2024-12-31</t>
        </is>
      </c>
    </row>
    <row r="973" hidden="1">
      <c r="A973" s="5" t="n">
        <v>336</v>
      </c>
      <c r="B973" s="5" t="inlineStr">
        <is>
          <t>Materiales bibliográficos en formato físico con estado de perdida</t>
        </is>
      </c>
      <c r="C973" s="5" t="inlineStr">
        <is>
          <t>Biblioteca Institucional</t>
        </is>
      </c>
      <c r="D973" s="5" t="inlineStr">
        <is>
          <t>Anual</t>
        </is>
      </c>
      <c r="E973" s="5" t="inlineStr">
        <is>
          <t>Negativo</t>
        </is>
      </c>
      <c r="F973" s="109" t="n">
        <v>46022</v>
      </c>
      <c r="G973" s="15" t="n">
        <v>2025</v>
      </c>
      <c r="H973" s="6" t="inlineStr">
        <is>
          <t>Diciembre</t>
        </is>
      </c>
      <c r="I973" s="6" t="inlineStr">
        <is>
          <t>2025-2</t>
        </is>
      </c>
      <c r="J973" s="5" t="n">
        <v>2</v>
      </c>
      <c r="K973" s="5" t="n">
        <v>0.36</v>
      </c>
      <c r="L973" s="74" t="n">
        <v>1.3</v>
      </c>
      <c r="M973" s="14" t="n">
        <v>5.555555555555555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336-2025-12-31</t>
        </is>
      </c>
    </row>
    <row r="974" hidden="1">
      <c r="A974" s="26" t="n">
        <v>337</v>
      </c>
      <c r="B974" s="5" t="inlineStr">
        <is>
          <t>Número de programas con renovación de acreditación en alta calidad</t>
        </is>
      </c>
      <c r="C974" s="5" t="inlineStr">
        <is>
          <t>Autoevaluación de programas académicos</t>
        </is>
      </c>
      <c r="D974" s="5" t="inlineStr">
        <is>
          <t>Semestral</t>
        </is>
      </c>
      <c r="E974" s="5" t="inlineStr">
        <is>
          <t>Positivo</t>
        </is>
      </c>
      <c r="F974" s="109" t="n">
        <v>45107</v>
      </c>
      <c r="G974" s="5" t="n">
        <v>2023</v>
      </c>
      <c r="H974" s="5" t="inlineStr">
        <is>
          <t>Junio</t>
        </is>
      </c>
      <c r="I974" s="6" t="inlineStr">
        <is>
          <t>2023-1</t>
        </is>
      </c>
      <c r="J974" s="5" t="n">
        <v>100</v>
      </c>
      <c r="K974" s="5" t="n"/>
      <c r="L974" s="74" t="n"/>
      <c r="M974" s="14" t="n"/>
      <c r="N974" s="5" t="n"/>
      <c r="O974" s="5" t="n"/>
      <c r="P974" s="5" t="n">
        <v>0</v>
      </c>
      <c r="Q974" s="5" t="n">
        <v>0</v>
      </c>
      <c r="R974" s="5" t="inlineStr">
        <is>
          <t>337-2023-06-30</t>
        </is>
      </c>
    </row>
    <row r="975" hidden="1">
      <c r="A975" s="5" t="n">
        <v>337</v>
      </c>
      <c r="B975" s="5" t="inlineStr">
        <is>
          <t>Número de programas con renovación de acreditación en alta calidad</t>
        </is>
      </c>
      <c r="C975" s="5" t="inlineStr">
        <is>
          <t>Autoevaluación de programas académicos</t>
        </is>
      </c>
      <c r="D975" s="5" t="inlineStr">
        <is>
          <t>Semestral</t>
        </is>
      </c>
      <c r="E975" s="5" t="inlineStr">
        <is>
          <t>Positivo</t>
        </is>
      </c>
      <c r="F975" s="109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>
        <v>100</v>
      </c>
      <c r="K975" s="5" t="n">
        <v>100</v>
      </c>
      <c r="L975" s="14" t="n">
        <v>1</v>
      </c>
      <c r="M975" s="14" t="n">
        <v>1</v>
      </c>
      <c r="N975" s="5" t="inlineStr">
        <is>
          <t>ENT</t>
        </is>
      </c>
      <c r="O975" s="5" t="inlineStr">
        <is>
          <t>ENT</t>
        </is>
      </c>
      <c r="P975" s="5" t="n">
        <v>0</v>
      </c>
      <c r="Q975" s="5" t="n">
        <v>0</v>
      </c>
      <c r="R975" s="5" t="inlineStr">
        <is>
          <t>337-2023-12-31</t>
        </is>
      </c>
    </row>
    <row r="976" hidden="1">
      <c r="A976" s="5" t="n">
        <v>337</v>
      </c>
      <c r="B976" s="5" t="inlineStr">
        <is>
          <t>Número de programas con renovación de acreditación en alta calidad</t>
        </is>
      </c>
      <c r="C976" s="5" t="inlineStr">
        <is>
          <t>Autoevaluación de programas académicos</t>
        </is>
      </c>
      <c r="D976" s="5" t="inlineStr">
        <is>
          <t>Semestral</t>
        </is>
      </c>
      <c r="E976" s="5" t="inlineStr">
        <is>
          <t>Positivo</t>
        </is>
      </c>
      <c r="F976" s="109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100</v>
      </c>
      <c r="K976" s="5" t="n">
        <v>100</v>
      </c>
      <c r="L976" s="14" t="n">
        <v>1</v>
      </c>
      <c r="M976" s="14" t="n">
        <v>1</v>
      </c>
      <c r="N976" s="5" t="inlineStr">
        <is>
          <t>ENT</t>
        </is>
      </c>
      <c r="O976" s="5" t="inlineStr">
        <is>
          <t>ENT</t>
        </is>
      </c>
      <c r="P976" s="5" t="n">
        <v>0</v>
      </c>
      <c r="Q976" s="5" t="n">
        <v>0</v>
      </c>
      <c r="R976" s="5" t="inlineStr">
        <is>
          <t>337-2024-06-30</t>
        </is>
      </c>
    </row>
    <row r="977" hidden="1">
      <c r="A977" s="26" t="n">
        <v>337</v>
      </c>
      <c r="B977" s="5" t="inlineStr">
        <is>
          <t>Número de programas con renovación de acreditación en alta calidad</t>
        </is>
      </c>
      <c r="C977" s="5" t="inlineStr">
        <is>
          <t>Autoevaluación de programas académicos</t>
        </is>
      </c>
      <c r="D977" s="5" t="inlineStr">
        <is>
          <t>Semestral</t>
        </is>
      </c>
      <c r="E977" s="5" t="inlineStr">
        <is>
          <t>Positivo</t>
        </is>
      </c>
      <c r="F977" s="109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100</v>
      </c>
      <c r="K977" s="5" t="n"/>
      <c r="L977" s="74" t="n"/>
      <c r="M977" s="14" t="n"/>
      <c r="N977" s="5" t="n"/>
      <c r="O977" s="5" t="n"/>
      <c r="P977" s="5" t="n">
        <v>0</v>
      </c>
      <c r="Q977" s="5" t="n">
        <v>0</v>
      </c>
      <c r="R977" s="5" t="inlineStr">
        <is>
          <t>337-2024-12-31</t>
        </is>
      </c>
    </row>
    <row r="978" hidden="1">
      <c r="A978" s="5" t="n">
        <v>338</v>
      </c>
      <c r="B978" s="5" t="inlineStr">
        <is>
          <t>Número de programas con condiciones iniciales aprobadas (indicador externo)</t>
        </is>
      </c>
      <c r="C978" s="5" t="inlineStr">
        <is>
          <t>Autoevaluación de programas académicos</t>
        </is>
      </c>
      <c r="D978" s="5" t="inlineStr">
        <is>
          <t>Semestral</t>
        </is>
      </c>
      <c r="E978" s="5" t="inlineStr">
        <is>
          <t>Positivo</t>
        </is>
      </c>
      <c r="F978" s="109" t="n">
        <v>45107</v>
      </c>
      <c r="G978" s="5" t="n">
        <v>2023</v>
      </c>
      <c r="H978" s="5" t="inlineStr">
        <is>
          <t>Junio</t>
        </is>
      </c>
      <c r="I978" s="6" t="inlineStr">
        <is>
          <t>2023-1</t>
        </is>
      </c>
      <c r="J978" s="5" t="n">
        <v>100</v>
      </c>
      <c r="K978" s="5" t="n">
        <v>100</v>
      </c>
      <c r="L978" s="14" t="n">
        <v>1</v>
      </c>
      <c r="M978" s="14" t="n">
        <v>1</v>
      </c>
      <c r="N978" s="5" t="inlineStr">
        <is>
          <t>ENT</t>
        </is>
      </c>
      <c r="O978" s="5" t="inlineStr">
        <is>
          <t>ENT</t>
        </is>
      </c>
      <c r="P978" s="5" t="n">
        <v>0</v>
      </c>
      <c r="Q978" s="5" t="n">
        <v>0</v>
      </c>
      <c r="R978" s="5" t="inlineStr">
        <is>
          <t>338-2023-06-30</t>
        </is>
      </c>
    </row>
    <row r="979" hidden="1">
      <c r="A979" s="5" t="n">
        <v>338</v>
      </c>
      <c r="B979" s="5" t="inlineStr">
        <is>
          <t>Número de programas con condiciones iniciales aprobadas (indicador externo)</t>
        </is>
      </c>
      <c r="C979" s="5" t="inlineStr">
        <is>
          <t>Autoevaluación de programas académicos</t>
        </is>
      </c>
      <c r="D979" s="5" t="inlineStr">
        <is>
          <t>Semestral</t>
        </is>
      </c>
      <c r="E979" s="5" t="inlineStr">
        <is>
          <t>Positivo</t>
        </is>
      </c>
      <c r="F979" s="109" t="n">
        <v>45291</v>
      </c>
      <c r="G979" s="5" t="n">
        <v>2023</v>
      </c>
      <c r="H979" s="5" t="inlineStr">
        <is>
          <t>Diciembre</t>
        </is>
      </c>
      <c r="I979" s="6" t="inlineStr">
        <is>
          <t>2023-2</t>
        </is>
      </c>
      <c r="J979" s="5" t="n">
        <v>100</v>
      </c>
      <c r="K979" s="5" t="n">
        <v>0</v>
      </c>
      <c r="L979" s="14" t="n">
        <v>0</v>
      </c>
      <c r="M979" s="14" t="n">
        <v>0</v>
      </c>
      <c r="N979" s="5" t="n"/>
      <c r="O979" s="5" t="n"/>
      <c r="P979" s="5" t="n">
        <v>0</v>
      </c>
      <c r="Q979" s="5" t="n">
        <v>0</v>
      </c>
      <c r="R979" s="5" t="inlineStr">
        <is>
          <t>338-2023-12-31</t>
        </is>
      </c>
    </row>
    <row r="980" hidden="1">
      <c r="A980" s="28" t="n">
        <v>338</v>
      </c>
      <c r="B980" s="5" t="inlineStr">
        <is>
          <t>Número de programas con condiciones iniciales aprobadas (indicador externo)</t>
        </is>
      </c>
      <c r="C980" s="5" t="inlineStr">
        <is>
          <t>Autoevaluación de programas académicos</t>
        </is>
      </c>
      <c r="D980" s="5" t="inlineStr">
        <is>
          <t>Semestral</t>
        </is>
      </c>
      <c r="E980" s="5" t="inlineStr">
        <is>
          <t>Positivo</t>
        </is>
      </c>
      <c r="F980" s="109" t="n">
        <v>45473</v>
      </c>
      <c r="G980" s="5" t="n">
        <v>2024</v>
      </c>
      <c r="H980" s="5" t="inlineStr">
        <is>
          <t>Junio</t>
        </is>
      </c>
      <c r="I980" s="6" t="inlineStr">
        <is>
          <t>2024-1</t>
        </is>
      </c>
      <c r="J980" s="5" t="n">
        <v>100</v>
      </c>
      <c r="K980" s="5" t="n">
        <v>100</v>
      </c>
      <c r="L980" s="14" t="n">
        <v>1</v>
      </c>
      <c r="M980" s="14" t="n">
        <v>1</v>
      </c>
      <c r="N980" s="5" t="inlineStr">
        <is>
          <t>ENT</t>
        </is>
      </c>
      <c r="O980" s="5" t="inlineStr">
        <is>
          <t>ENT</t>
        </is>
      </c>
      <c r="P980" s="5" t="n">
        <v>0</v>
      </c>
      <c r="Q980" s="5" t="n">
        <v>0</v>
      </c>
      <c r="R980" s="5" t="inlineStr">
        <is>
          <t>338-2024-06-30</t>
        </is>
      </c>
    </row>
    <row r="981" hidden="1">
      <c r="A981" s="26" t="n">
        <v>338</v>
      </c>
      <c r="B981" s="5" t="inlineStr">
        <is>
          <t>Número de programas con condiciones iniciales aprobadas (indicador externo)</t>
        </is>
      </c>
      <c r="C981" s="5" t="inlineStr">
        <is>
          <t>Autoevaluación de programas académicos</t>
        </is>
      </c>
      <c r="D981" s="5" t="inlineStr">
        <is>
          <t>Semestral</t>
        </is>
      </c>
      <c r="E981" s="5" t="inlineStr">
        <is>
          <t>Positivo</t>
        </is>
      </c>
      <c r="F981" s="109" t="n">
        <v>45657</v>
      </c>
      <c r="G981" s="5" t="n">
        <v>2024</v>
      </c>
      <c r="H981" s="5" t="inlineStr">
        <is>
          <t>Diciembre</t>
        </is>
      </c>
      <c r="I981" s="6" t="inlineStr">
        <is>
          <t>2024-2</t>
        </is>
      </c>
      <c r="J981" s="5" t="n">
        <v>100</v>
      </c>
      <c r="K981" s="5" t="n">
        <v>0</v>
      </c>
      <c r="L981" s="14" t="n">
        <v>0</v>
      </c>
      <c r="M981" s="14" t="n">
        <v>0</v>
      </c>
      <c r="N981" s="5" t="n"/>
      <c r="O981" s="5" t="n"/>
      <c r="P981" s="5" t="n">
        <v>0</v>
      </c>
      <c r="Q981" s="5" t="n">
        <v>0</v>
      </c>
      <c r="R981" s="5" t="inlineStr">
        <is>
          <t>338-2024-12-31</t>
        </is>
      </c>
    </row>
    <row r="982" hidden="1">
      <c r="A982" s="5" t="n">
        <v>338</v>
      </c>
      <c r="B982" s="5" t="inlineStr">
        <is>
          <t>Número de programas con condiciones iniciales aprobadas (indicador externo)</t>
        </is>
      </c>
      <c r="C982" s="5" t="inlineStr">
        <is>
          <t>Autoevaluación de programas académicos</t>
        </is>
      </c>
      <c r="D982" s="5" t="inlineStr">
        <is>
          <t>Semestral</t>
        </is>
      </c>
      <c r="E982" s="5" t="inlineStr">
        <is>
          <t>Positivo</t>
        </is>
      </c>
      <c r="F982" s="109" t="n">
        <v>45838</v>
      </c>
      <c r="G982" s="5" t="n">
        <v>2025</v>
      </c>
      <c r="H982" s="5" t="inlineStr">
        <is>
          <t>Junio</t>
        </is>
      </c>
      <c r="I982" s="6" t="inlineStr">
        <is>
          <t>2025-1</t>
        </is>
      </c>
      <c r="J982" s="5" t="n">
        <v>100</v>
      </c>
      <c r="K982" s="5" t="n">
        <v>100</v>
      </c>
      <c r="L982" s="14" t="n">
        <v>1</v>
      </c>
      <c r="M982" s="14" t="n">
        <v>1</v>
      </c>
      <c r="N982" s="5" t="inlineStr">
        <is>
          <t>ENT</t>
        </is>
      </c>
      <c r="O982" s="5" t="inlineStr">
        <is>
          <t>ENT</t>
        </is>
      </c>
      <c r="P982" s="5" t="n">
        <v>0</v>
      </c>
      <c r="Q982" s="5" t="n">
        <v>0</v>
      </c>
      <c r="R982" s="5" t="inlineStr">
        <is>
          <t>338-2025-06-30</t>
        </is>
      </c>
    </row>
    <row r="983" hidden="1">
      <c r="A983" s="5" t="n">
        <v>338</v>
      </c>
      <c r="B983" s="5" t="inlineStr">
        <is>
          <t>Número de programas con condiciones iniciales aprobadas (indicador externo)- Metrica</t>
        </is>
      </c>
      <c r="C983" s="5" t="inlineStr">
        <is>
          <t>Autoevaluación de programas académicos</t>
        </is>
      </c>
      <c r="D983" s="5" t="inlineStr">
        <is>
          <t>Trimestral</t>
        </is>
      </c>
      <c r="E983" s="5" t="inlineStr">
        <is>
          <t>Positivo</t>
        </is>
      </c>
      <c r="F983" s="109" t="n">
        <v>46022</v>
      </c>
      <c r="G983" s="5" t="n">
        <v>2025</v>
      </c>
      <c r="H983" s="5" t="inlineStr">
        <is>
          <t>Diciembre</t>
        </is>
      </c>
      <c r="I983" s="6" t="inlineStr">
        <is>
          <t>2025-2</t>
        </is>
      </c>
      <c r="J983" s="5" t="n">
        <v>100</v>
      </c>
      <c r="K983" s="5" t="n">
        <v>100</v>
      </c>
      <c r="L983" s="14" t="n">
        <v>1</v>
      </c>
      <c r="M983" s="14" t="n">
        <v>1</v>
      </c>
      <c r="N983" s="5" t="inlineStr">
        <is>
          <t>ENT</t>
        </is>
      </c>
      <c r="O983" s="5" t="inlineStr">
        <is>
          <t>ENT</t>
        </is>
      </c>
      <c r="P983" s="5" t="n">
        <v>0</v>
      </c>
      <c r="Q983" s="5" t="n">
        <v>0</v>
      </c>
      <c r="R983" s="5" t="inlineStr">
        <is>
          <t>338-2025-12-31</t>
        </is>
      </c>
      <c r="S983" t="inlineStr">
        <is>
          <t>Metrica</t>
        </is>
      </c>
    </row>
    <row r="984" hidden="1">
      <c r="A984" s="26" t="n">
        <v>339</v>
      </c>
      <c r="B984" s="5" t="inlineStr">
        <is>
          <t>Programas acreditables acreditados Sede Bogotá</t>
        </is>
      </c>
      <c r="C984" s="5" t="inlineStr">
        <is>
          <t>Autoevaluación institucional</t>
        </is>
      </c>
      <c r="D984" s="5" t="inlineStr">
        <is>
          <t>Anual</t>
        </is>
      </c>
      <c r="E984" s="5" t="inlineStr">
        <is>
          <t>Positivo</t>
        </is>
      </c>
      <c r="F984" s="109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>
        <v>30</v>
      </c>
      <c r="K984" s="5" t="n">
        <v>28.57142857142857</v>
      </c>
      <c r="L984" s="14" t="n">
        <v>0.9523809523809523</v>
      </c>
      <c r="M984" s="14" t="n">
        <v>0.9523809523809523</v>
      </c>
      <c r="N984" s="5" t="inlineStr">
        <is>
          <t>%</t>
        </is>
      </c>
      <c r="O984" s="5" t="inlineStr">
        <is>
          <t>%</t>
        </is>
      </c>
      <c r="P984" s="5" t="n">
        <v>0</v>
      </c>
      <c r="Q984" s="5" t="n">
        <v>1</v>
      </c>
      <c r="R984" s="5" t="inlineStr">
        <is>
          <t>339-2023-12-31</t>
        </is>
      </c>
    </row>
    <row r="985" hidden="1">
      <c r="A985" s="26" t="n">
        <v>339</v>
      </c>
      <c r="B985" s="5" t="inlineStr">
        <is>
          <t>Programas acreditables acreditados Sede Bogotá</t>
        </is>
      </c>
      <c r="C985" s="5" t="inlineStr">
        <is>
          <t>Autoevaluación institucional</t>
        </is>
      </c>
      <c r="D985" s="5" t="inlineStr">
        <is>
          <t>Anual</t>
        </is>
      </c>
      <c r="E985" s="5" t="inlineStr">
        <is>
          <t>Positivo</t>
        </is>
      </c>
      <c r="F985" s="109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30</v>
      </c>
      <c r="K985" s="5" t="n">
        <v>30.3</v>
      </c>
      <c r="L985" s="14" t="n">
        <v>1.01</v>
      </c>
      <c r="M985" s="14" t="n">
        <v>1.01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1</v>
      </c>
      <c r="R985" s="5" t="inlineStr">
        <is>
          <t>339-2024-12-31</t>
        </is>
      </c>
    </row>
    <row r="986" hidden="1">
      <c r="A986" s="26" t="n">
        <v>339</v>
      </c>
      <c r="B986" s="5" t="inlineStr">
        <is>
          <t>Programas acreditables acreditados Sede Bogotá</t>
        </is>
      </c>
      <c r="C986" s="5" t="inlineStr">
        <is>
          <t>Autoevaluación institucional</t>
        </is>
      </c>
      <c r="D986" s="5" t="inlineStr">
        <is>
          <t>Anual</t>
        </is>
      </c>
      <c r="E986" s="5" t="inlineStr">
        <is>
          <t>Positivo</t>
        </is>
      </c>
      <c r="F986" s="109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30</v>
      </c>
      <c r="K986" s="5" t="n">
        <v>35.29</v>
      </c>
      <c r="L986" s="14" t="n">
        <v>1.176333333333333</v>
      </c>
      <c r="M986" s="14" t="n">
        <v>1.176333333333333</v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1</v>
      </c>
      <c r="R986" s="5" t="inlineStr">
        <is>
          <t>339-2025-12-31</t>
        </is>
      </c>
    </row>
    <row r="987" hidden="1">
      <c r="A987" s="26" t="n">
        <v>340</v>
      </c>
      <c r="B987" s="5" t="inlineStr">
        <is>
          <t>Cumplimiento cronograma revisiones locativas</t>
        </is>
      </c>
      <c r="C987" s="5" t="inlineStr">
        <is>
          <t>Gestión Infraestructura Física</t>
        </is>
      </c>
      <c r="D987" s="5" t="inlineStr">
        <is>
          <t>Trimestral</t>
        </is>
      </c>
      <c r="E987" s="5" t="inlineStr">
        <is>
          <t>Positivo</t>
        </is>
      </c>
      <c r="F987" s="109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90</v>
      </c>
      <c r="K987" s="5" t="n">
        <v>100</v>
      </c>
      <c r="L987" s="14" t="n">
        <v>1.111111111111111</v>
      </c>
      <c r="M987" s="14" t="n">
        <v>1.111111111111111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340-2023-06-30</t>
        </is>
      </c>
    </row>
    <row r="988" hidden="1">
      <c r="A988" s="5" t="n">
        <v>340</v>
      </c>
      <c r="B988" s="5" t="inlineStr">
        <is>
          <t>Cumplimiento cronograma revisiones locativas</t>
        </is>
      </c>
      <c r="C988" s="5" t="inlineStr">
        <is>
          <t>Gestión Infraestructura Física</t>
        </is>
      </c>
      <c r="D988" s="5" t="inlineStr">
        <is>
          <t>Trimestral</t>
        </is>
      </c>
      <c r="E988" s="5" t="inlineStr">
        <is>
          <t>Positivo</t>
        </is>
      </c>
      <c r="F988" s="109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90</v>
      </c>
      <c r="K988" s="5" t="n">
        <v>100</v>
      </c>
      <c r="L988" s="14" t="n">
        <v>1.111111111111111</v>
      </c>
      <c r="M988" s="14" t="n">
        <v>1.111111111111111</v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340-2023-12-31</t>
        </is>
      </c>
    </row>
    <row r="989" hidden="1">
      <c r="A989" s="5" t="n">
        <v>340</v>
      </c>
      <c r="B989" s="5" t="inlineStr">
        <is>
          <t>Cumplimiento cronograma revisiones locativas</t>
        </is>
      </c>
      <c r="C989" s="5" t="inlineStr">
        <is>
          <t>Gestión Infraestructura Física</t>
        </is>
      </c>
      <c r="D989" s="5" t="inlineStr">
        <is>
          <t>Trimestral</t>
        </is>
      </c>
      <c r="E989" s="5" t="inlineStr">
        <is>
          <t>Positivo</t>
        </is>
      </c>
      <c r="F989" s="109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95</v>
      </c>
      <c r="K989" s="5" t="n">
        <v>100</v>
      </c>
      <c r="L989" s="14" t="n">
        <v>1.052631578947368</v>
      </c>
      <c r="M989" s="14" t="n">
        <v>1.052631578947368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340-2024-06-30</t>
        </is>
      </c>
    </row>
    <row r="990" hidden="1">
      <c r="A990" s="28" t="n">
        <v>340</v>
      </c>
      <c r="B990" s="5" t="inlineStr">
        <is>
          <t>Cumplimiento cronograma revisiones locativas</t>
        </is>
      </c>
      <c r="C990" s="5" t="inlineStr">
        <is>
          <t>Gestión Infraestructura Física</t>
        </is>
      </c>
      <c r="D990" s="5" t="inlineStr">
        <is>
          <t>Trimestral</t>
        </is>
      </c>
      <c r="E990" s="5" t="inlineStr">
        <is>
          <t>Positivo</t>
        </is>
      </c>
      <c r="F990" s="109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95</v>
      </c>
      <c r="K990" s="5" t="n">
        <v>100</v>
      </c>
      <c r="L990" s="74" t="n">
        <v>1.052631578947368</v>
      </c>
      <c r="M990" s="14" t="n">
        <v>1.052631578947368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340-2024-12-31</t>
        </is>
      </c>
    </row>
    <row r="991" hidden="1">
      <c r="A991" s="26" t="n">
        <v>341</v>
      </c>
      <c r="B991" s="5" t="inlineStr">
        <is>
          <t>Monto total de ahorro en gestión de abastecimiento</t>
        </is>
      </c>
      <c r="C991" s="5" t="inlineStr">
        <is>
          <t>GESTIÓN DE ABASTECIMIENTO</t>
        </is>
      </c>
      <c r="D991" s="5" t="inlineStr">
        <is>
          <t>Semestral</t>
        </is>
      </c>
      <c r="E991" s="5" t="inlineStr">
        <is>
          <t>Positivo</t>
        </is>
      </c>
      <c r="F991" s="109" t="n">
        <v>45107</v>
      </c>
      <c r="G991" s="5" t="n">
        <v>2023</v>
      </c>
      <c r="H991" s="5" t="inlineStr">
        <is>
          <t>Junio</t>
        </is>
      </c>
      <c r="I991" s="6" t="inlineStr">
        <is>
          <t>2023-1</t>
        </is>
      </c>
      <c r="J991" s="5" t="n">
        <v>100</v>
      </c>
      <c r="K991" s="5" t="n">
        <v>123.86966666667</v>
      </c>
      <c r="L991" s="74" t="n">
        <v>1.2386966666667</v>
      </c>
      <c r="M991" s="14" t="n">
        <v>1.2386966666667</v>
      </c>
      <c r="N991" s="5" t="inlineStr">
        <is>
          <t>$</t>
        </is>
      </c>
      <c r="O991" s="5" t="inlineStr">
        <is>
          <t>$</t>
        </is>
      </c>
      <c r="P991" s="5" t="n">
        <v>0</v>
      </c>
      <c r="Q991" s="5" t="n">
        <v>0</v>
      </c>
      <c r="R991" s="5" t="inlineStr">
        <is>
          <t>341-2023-06-30</t>
        </is>
      </c>
    </row>
    <row r="992" hidden="1">
      <c r="A992" s="5" t="n">
        <v>341</v>
      </c>
      <c r="B992" s="5" t="inlineStr">
        <is>
          <t>Monto total de ahorro en gestión de abastecimiento</t>
        </is>
      </c>
      <c r="C992" s="5" t="inlineStr">
        <is>
          <t>GESTIÓN DE ABASTECIMIENTO</t>
        </is>
      </c>
      <c r="D992" s="5" t="inlineStr">
        <is>
          <t>Semestral</t>
        </is>
      </c>
      <c r="E992" s="5" t="inlineStr">
        <is>
          <t>Positivo</t>
        </is>
      </c>
      <c r="F992" s="109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>
        <v>100</v>
      </c>
      <c r="K992" s="5" t="n">
        <v>130.57</v>
      </c>
      <c r="L992" s="14" t="n">
        <v>1.3</v>
      </c>
      <c r="M992" s="14" t="n">
        <v>1.3057</v>
      </c>
      <c r="N992" s="5" t="inlineStr">
        <is>
          <t>$</t>
        </is>
      </c>
      <c r="O992" s="5" t="inlineStr">
        <is>
          <t>$</t>
        </is>
      </c>
      <c r="P992" s="5" t="n">
        <v>0</v>
      </c>
      <c r="Q992" s="5" t="n">
        <v>0</v>
      </c>
      <c r="R992" s="5" t="inlineStr">
        <is>
          <t>341-2023-12-31</t>
        </is>
      </c>
    </row>
    <row r="993" hidden="1">
      <c r="A993" s="5" t="n">
        <v>341</v>
      </c>
      <c r="B993" s="5" t="inlineStr">
        <is>
          <t>Reducción de costos en gestión de abastecimiento</t>
        </is>
      </c>
      <c r="C993" s="5" t="inlineStr">
        <is>
          <t>GESTIÓN DE ABASTECIMIENTO</t>
        </is>
      </c>
      <c r="D993" s="5" t="inlineStr">
        <is>
          <t>Semestral</t>
        </is>
      </c>
      <c r="E993" s="5" t="inlineStr">
        <is>
          <t>Positivo</t>
        </is>
      </c>
      <c r="F993" s="109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>
        <v>100</v>
      </c>
      <c r="K993" s="5" t="n">
        <v>125</v>
      </c>
      <c r="L993" s="14" t="n">
        <v>1.25</v>
      </c>
      <c r="M993" s="14" t="n">
        <v>1.25</v>
      </c>
      <c r="N993" s="5" t="inlineStr">
        <is>
          <t>$</t>
        </is>
      </c>
      <c r="O993" s="5" t="inlineStr">
        <is>
          <t>$</t>
        </is>
      </c>
      <c r="P993" s="5" t="n">
        <v>0</v>
      </c>
      <c r="Q993" s="5" t="n">
        <v>0</v>
      </c>
      <c r="R993" s="5" t="inlineStr">
        <is>
          <t>341-2024-06-30</t>
        </is>
      </c>
    </row>
    <row r="994" hidden="1">
      <c r="A994" s="26" t="n">
        <v>341</v>
      </c>
      <c r="B994" s="5" t="inlineStr">
        <is>
          <t>Reducción de costos en gestión de abastecimiento</t>
        </is>
      </c>
      <c r="C994" s="5" t="inlineStr">
        <is>
          <t>GESTIÓN DE ABASTECIMIENTO</t>
        </is>
      </c>
      <c r="D994" s="5" t="inlineStr">
        <is>
          <t>Semestral</t>
        </is>
      </c>
      <c r="E994" s="5" t="inlineStr">
        <is>
          <t>Positivo</t>
        </is>
      </c>
      <c r="F994" s="109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100</v>
      </c>
      <c r="K994" s="5" t="n">
        <v>102.44</v>
      </c>
      <c r="L994" s="14" t="n">
        <v>1.0244</v>
      </c>
      <c r="M994" s="14" t="n">
        <v>1.0244</v>
      </c>
      <c r="N994" s="5" t="inlineStr">
        <is>
          <t>$</t>
        </is>
      </c>
      <c r="O994" s="5" t="inlineStr">
        <is>
          <t>$</t>
        </is>
      </c>
      <c r="P994" s="5" t="n">
        <v>0</v>
      </c>
      <c r="Q994" s="5" t="n">
        <v>0</v>
      </c>
      <c r="R994" s="5" t="inlineStr">
        <is>
          <t>341-2024-12-31</t>
        </is>
      </c>
    </row>
    <row r="995" hidden="1">
      <c r="A995" s="5" t="n">
        <v>341</v>
      </c>
      <c r="B995" s="5" t="inlineStr">
        <is>
          <t>Reducción de costos en gestión de abastecimiento</t>
        </is>
      </c>
      <c r="C995" s="5" t="inlineStr">
        <is>
          <t>GESTIÓN DE ABASTECIMIENTO</t>
        </is>
      </c>
      <c r="D995" s="5" t="inlineStr">
        <is>
          <t>Semestral</t>
        </is>
      </c>
      <c r="E995" s="5" t="inlineStr">
        <is>
          <t>Positivo</t>
        </is>
      </c>
      <c r="F995" s="109" t="n">
        <v>45838</v>
      </c>
      <c r="G995" s="5" t="n">
        <v>2025</v>
      </c>
      <c r="H995" s="5" t="inlineStr">
        <is>
          <t>Junio</t>
        </is>
      </c>
      <c r="I995" s="6" t="inlineStr">
        <is>
          <t>2025-1</t>
        </is>
      </c>
      <c r="J995" s="5" t="n">
        <v>100</v>
      </c>
      <c r="K995" s="5" t="n">
        <v>102.25</v>
      </c>
      <c r="L995" s="14" t="n">
        <v>1.0225</v>
      </c>
      <c r="M995" s="14" t="n">
        <v>1.0225</v>
      </c>
      <c r="N995" s="5" t="inlineStr">
        <is>
          <t>$</t>
        </is>
      </c>
      <c r="O995" s="5" t="inlineStr">
        <is>
          <t>$</t>
        </is>
      </c>
      <c r="P995" s="5" t="n">
        <v>0</v>
      </c>
      <c r="Q995" s="5" t="n">
        <v>0</v>
      </c>
      <c r="R995" s="5" t="inlineStr">
        <is>
          <t>341-2025-06-30</t>
        </is>
      </c>
    </row>
    <row r="996" hidden="1">
      <c r="A996" s="5" t="n">
        <v>341</v>
      </c>
      <c r="B996" s="5" t="inlineStr">
        <is>
          <t>Eficiencia en la reducción de costos en la gestión del abastecimiento</t>
        </is>
      </c>
      <c r="C996" s="5" t="inlineStr">
        <is>
          <t>GESTIÓN DE ABASTECIMIENTO</t>
        </is>
      </c>
      <c r="D996" s="5" t="inlineStr">
        <is>
          <t>Trimestral</t>
        </is>
      </c>
      <c r="E996" s="5" t="inlineStr">
        <is>
          <t>Positivo</t>
        </is>
      </c>
      <c r="F996" s="109" t="n">
        <v>46022</v>
      </c>
      <c r="G996" s="5" t="n">
        <v>2025</v>
      </c>
      <c r="H996" s="5" t="inlineStr">
        <is>
          <t>Diciembre</t>
        </is>
      </c>
      <c r="I996" s="6" t="inlineStr">
        <is>
          <t>2025-2</t>
        </is>
      </c>
      <c r="J996" s="5" t="n">
        <v>100</v>
      </c>
      <c r="K996" s="5" t="n">
        <v>102.65</v>
      </c>
      <c r="L996" s="14" t="n">
        <v>1.0265</v>
      </c>
      <c r="M996" s="14" t="n">
        <v>1.0265</v>
      </c>
      <c r="N996" s="5" t="inlineStr">
        <is>
          <t>$</t>
        </is>
      </c>
      <c r="O996" s="5" t="inlineStr">
        <is>
          <t>$</t>
        </is>
      </c>
      <c r="P996" s="5" t="n">
        <v>0</v>
      </c>
      <c r="Q996" s="5" t="n">
        <v>0</v>
      </c>
      <c r="R996" s="5" t="inlineStr">
        <is>
          <t>341-2025-12-31</t>
        </is>
      </c>
    </row>
    <row r="997" hidden="1">
      <c r="A997" s="26" t="n">
        <v>344</v>
      </c>
      <c r="B997" s="5" t="inlineStr">
        <is>
          <t>Cumplimiento del plan de Inducción institucional</t>
        </is>
      </c>
      <c r="C997" s="5" t="inlineStr">
        <is>
          <t>GESTIÓN Y DESARROLLO DEL TALENTO HUMANO</t>
        </is>
      </c>
      <c r="D997" s="5" t="inlineStr">
        <is>
          <t>Semestral</t>
        </is>
      </c>
      <c r="E997" s="5" t="inlineStr">
        <is>
          <t>Positivo</t>
        </is>
      </c>
      <c r="F997" s="109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90</v>
      </c>
      <c r="K997" s="5" t="n">
        <v>97.74436090225601</v>
      </c>
      <c r="L997" s="74" t="n">
        <v>1.086048454469511</v>
      </c>
      <c r="M997" s="14" t="n">
        <v>1.086048454469511</v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344-2023-06-30</t>
        </is>
      </c>
    </row>
    <row r="998" hidden="1">
      <c r="A998" s="5" t="n">
        <v>344</v>
      </c>
      <c r="B998" s="5" t="inlineStr">
        <is>
          <t>Cumplimiento del plan de Inducción institucional</t>
        </is>
      </c>
      <c r="C998" s="5" t="inlineStr">
        <is>
          <t>GESTIÓN Y DESARROLLO DEL TALENTO HUMANO</t>
        </is>
      </c>
      <c r="D998" s="5" t="inlineStr">
        <is>
          <t>Semestral</t>
        </is>
      </c>
      <c r="E998" s="5" t="inlineStr">
        <is>
          <t>Positivo</t>
        </is>
      </c>
      <c r="F998" s="109" t="n">
        <v>45291</v>
      </c>
      <c r="G998" s="5" t="n">
        <v>2023</v>
      </c>
      <c r="H998" s="5" t="inlineStr">
        <is>
          <t>Diciembre</t>
        </is>
      </c>
      <c r="I998" s="6" t="inlineStr">
        <is>
          <t>2023-2</t>
        </is>
      </c>
      <c r="J998" s="5" t="n">
        <v>90</v>
      </c>
      <c r="K998" s="5" t="n">
        <v>97.76000000000001</v>
      </c>
      <c r="L998" s="14" t="n">
        <v>1.086222222222222</v>
      </c>
      <c r="M998" s="14" t="n">
        <v>1.086222222222222</v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344-2023-12-31</t>
        </is>
      </c>
    </row>
    <row r="999" hidden="1">
      <c r="A999" s="26" t="n">
        <v>344</v>
      </c>
      <c r="B999" s="5" t="inlineStr">
        <is>
          <t>Cumplimiento del plan de Inducción institucional</t>
        </is>
      </c>
      <c r="C999" s="5" t="inlineStr">
        <is>
          <t>GESTIÓN Y DESARROLLO DEL TALENTO HUMANO</t>
        </is>
      </c>
      <c r="D999" s="5" t="inlineStr">
        <is>
          <t>Semestral</t>
        </is>
      </c>
      <c r="E999" s="5" t="inlineStr">
        <is>
          <t>Positivo</t>
        </is>
      </c>
      <c r="F999" s="109" t="n">
        <v>45473</v>
      </c>
      <c r="G999" s="5" t="n">
        <v>2024</v>
      </c>
      <c r="H999" s="5" t="inlineStr">
        <is>
          <t>Junio</t>
        </is>
      </c>
      <c r="I999" s="6" t="inlineStr">
        <is>
          <t>2024-1</t>
        </is>
      </c>
      <c r="J999" s="5" t="n">
        <v>93</v>
      </c>
      <c r="K999" s="5" t="n">
        <v>97.34</v>
      </c>
      <c r="L999" s="74" t="n">
        <v>1.046666666666667</v>
      </c>
      <c r="M999" s="14" t="n">
        <v>1.046666666666667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344-2024-06-30</t>
        </is>
      </c>
    </row>
    <row r="1000" hidden="1">
      <c r="A1000" s="26" t="n">
        <v>344</v>
      </c>
      <c r="B1000" s="5" t="inlineStr">
        <is>
          <t>Cumplimiento del plan de Inducción institucional</t>
        </is>
      </c>
      <c r="C1000" s="5" t="inlineStr">
        <is>
          <t>GESTIÓN Y DESARROLLO DEL TALENTO HUMANO</t>
        </is>
      </c>
      <c r="D1000" s="5" t="inlineStr">
        <is>
          <t>Semestral</t>
        </is>
      </c>
      <c r="E1000" s="5" t="inlineStr">
        <is>
          <t>Positivo</t>
        </is>
      </c>
      <c r="F1000" s="109" t="n">
        <v>45657</v>
      </c>
      <c r="G1000" s="5" t="n">
        <v>2024</v>
      </c>
      <c r="H1000" s="5" t="inlineStr">
        <is>
          <t>Diciembre</t>
        </is>
      </c>
      <c r="I1000" s="6" t="inlineStr">
        <is>
          <t>2024-2</t>
        </is>
      </c>
      <c r="J1000" s="5" t="n">
        <v>93</v>
      </c>
      <c r="K1000" s="5" t="n">
        <v>99.19</v>
      </c>
      <c r="L1000" s="74" t="n">
        <v>1.066559139784946</v>
      </c>
      <c r="M1000" s="14" t="n">
        <v>1.066559139784946</v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344-2024-12-31</t>
        </is>
      </c>
    </row>
    <row r="1001" hidden="1">
      <c r="A1001" s="5" t="n">
        <v>344</v>
      </c>
      <c r="B1001" s="5" t="inlineStr">
        <is>
          <t>Cumplimiento del plan de Inducción institucional</t>
        </is>
      </c>
      <c r="C1001" s="5" t="inlineStr">
        <is>
          <t>GESTIÓN Y DESARROLLO DEL TALENTO HUMANO</t>
        </is>
      </c>
      <c r="D1001" s="5" t="inlineStr">
        <is>
          <t>Trimestral</t>
        </is>
      </c>
      <c r="E1001" s="5" t="inlineStr">
        <is>
          <t>Positivo</t>
        </is>
      </c>
      <c r="F1001" s="109" t="n">
        <v>45838</v>
      </c>
      <c r="G1001" s="5" t="n">
        <v>2025</v>
      </c>
      <c r="H1001" s="5" t="inlineStr">
        <is>
          <t>Junio</t>
        </is>
      </c>
      <c r="I1001" s="6" t="inlineStr">
        <is>
          <t>2025-1</t>
        </is>
      </c>
      <c r="J1001" s="5" t="n">
        <v>93</v>
      </c>
      <c r="K1001" s="5" t="n">
        <v>99.43000000000001</v>
      </c>
      <c r="L1001" s="14" t="n">
        <v>1.069139784946237</v>
      </c>
      <c r="M1001" s="14" t="n">
        <v>1.069139784946237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 t="inlineStr">
        <is>
          <t>344-2025-06-30</t>
        </is>
      </c>
    </row>
    <row r="1002" hidden="1">
      <c r="A1002" s="5" t="n">
        <v>344</v>
      </c>
      <c r="B1002" s="5" t="inlineStr">
        <is>
          <t>Cumplimiento del plan de Inducción institucional</t>
        </is>
      </c>
      <c r="C1002" s="5" t="inlineStr">
        <is>
          <t>GESTIÓN Y DESARROLLO DEL TALENTO HUMANO</t>
        </is>
      </c>
      <c r="D1002" s="5" t="inlineStr">
        <is>
          <t>Trimestral</t>
        </is>
      </c>
      <c r="E1002" s="5" t="inlineStr">
        <is>
          <t>Positivo</t>
        </is>
      </c>
      <c r="F1002" s="109" t="n">
        <v>46022</v>
      </c>
      <c r="G1002" s="5" t="n">
        <v>2025</v>
      </c>
      <c r="H1002" s="5" t="inlineStr">
        <is>
          <t>Diciembre</t>
        </is>
      </c>
      <c r="I1002" s="6" t="inlineStr">
        <is>
          <t>2025-2</t>
        </is>
      </c>
      <c r="J1002" s="5" t="n">
        <v>93</v>
      </c>
      <c r="K1002" s="5" t="n">
        <v>100</v>
      </c>
      <c r="L1002" s="14" t="n">
        <v>1.075268817204301</v>
      </c>
      <c r="M1002" s="14" t="n">
        <v>1.075268817204301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0</v>
      </c>
      <c r="R1002" s="5" t="inlineStr">
        <is>
          <t>344-2025-12-31</t>
        </is>
      </c>
    </row>
    <row r="1003" hidden="1">
      <c r="A1003" s="26" t="n">
        <v>345</v>
      </c>
      <c r="B1003" s="5" t="inlineStr">
        <is>
          <t>% de profesores impactados plan de desarrollo docente</t>
        </is>
      </c>
      <c r="C1003" s="5" t="inlineStr">
        <is>
          <t>GESTIÓN Y DESARROLLO DEL TALENTO HUMANO</t>
        </is>
      </c>
      <c r="D1003" s="5" t="inlineStr">
        <is>
          <t>Anual</t>
        </is>
      </c>
      <c r="E1003" s="5" t="inlineStr">
        <is>
          <t>Positivo</t>
        </is>
      </c>
      <c r="F1003" s="109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/>
      <c r="K1003" s="5" t="n">
        <v>94.84999999999999</v>
      </c>
      <c r="L1003" s="74" t="n"/>
      <c r="M1003" s="14" t="n"/>
      <c r="N1003" s="5" t="inlineStr">
        <is>
          <t>Linea base</t>
        </is>
      </c>
      <c r="O1003" s="5" t="inlineStr">
        <is>
          <t>%</t>
        </is>
      </c>
      <c r="P1003" s="5" t="n">
        <v>0</v>
      </c>
      <c r="Q1003" s="5" t="n">
        <v>0</v>
      </c>
      <c r="R1003" s="5" t="inlineStr">
        <is>
          <t>345-2023-12-31</t>
        </is>
      </c>
    </row>
    <row r="1004" hidden="1">
      <c r="A1004" s="5" t="n">
        <v>346</v>
      </c>
      <c r="B1004" s="5" t="inlineStr">
        <is>
          <t>% de profesores impactados en actividades de Bienestar</t>
        </is>
      </c>
      <c r="C1004" s="5" t="inlineStr">
        <is>
          <t>GESTIÓN Y DESARROLLO DEL TALENTO HUMANO</t>
        </is>
      </c>
      <c r="D1004" s="5" t="inlineStr">
        <is>
          <t>Anual</t>
        </is>
      </c>
      <c r="E1004" s="5" t="inlineStr">
        <is>
          <t>Positivo</t>
        </is>
      </c>
      <c r="F1004" s="109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/>
      <c r="K1004" s="5" t="n">
        <v>83.91608391608392</v>
      </c>
      <c r="L1004" s="14" t="n"/>
      <c r="M1004" s="14" t="n"/>
      <c r="N1004" s="5" t="inlineStr">
        <is>
          <t>Linea base</t>
        </is>
      </c>
      <c r="O1004" s="5" t="inlineStr">
        <is>
          <t>%</t>
        </is>
      </c>
      <c r="P1004" s="5" t="n">
        <v>0</v>
      </c>
      <c r="Q1004" s="5" t="n">
        <v>0</v>
      </c>
      <c r="R1004" s="5" t="inlineStr">
        <is>
          <t>346-2023-12-31</t>
        </is>
      </c>
    </row>
    <row r="1005" hidden="1">
      <c r="A1005" s="5" t="n">
        <v>346</v>
      </c>
      <c r="B1005" s="5" t="inlineStr">
        <is>
          <t>% de profesores impactados en actividades de Bienestar</t>
        </is>
      </c>
      <c r="C1005" s="5" t="inlineStr">
        <is>
          <t>GESTIÓN Y DESARROLLO DEL TALENTO HUMANO</t>
        </is>
      </c>
      <c r="D1005" s="5" t="inlineStr">
        <is>
          <t>Anual</t>
        </is>
      </c>
      <c r="E1005" s="5" t="inlineStr">
        <is>
          <t>Positivo</t>
        </is>
      </c>
      <c r="F1005" s="109" t="n">
        <v>45657</v>
      </c>
      <c r="G1005" s="5" t="n">
        <v>2024</v>
      </c>
      <c r="H1005" s="5" t="inlineStr">
        <is>
          <t>Diciembre</t>
        </is>
      </c>
      <c r="I1005" s="6" t="inlineStr">
        <is>
          <t>2024-2</t>
        </is>
      </c>
      <c r="J1005" s="5" t="n">
        <v>85</v>
      </c>
      <c r="K1005" s="5" t="n">
        <v>91.88</v>
      </c>
      <c r="L1005" s="14" t="n">
        <v>1.080941176470588</v>
      </c>
      <c r="M1005" s="14" t="n">
        <v>1.080941176470588</v>
      </c>
      <c r="N1005" s="5" t="n"/>
      <c r="O1005" s="5" t="n"/>
      <c r="P1005" s="5" t="n">
        <v>0</v>
      </c>
      <c r="Q1005" s="5" t="n">
        <v>0</v>
      </c>
      <c r="R1005" s="5" t="inlineStr">
        <is>
          <t>346-2024-12-31</t>
        </is>
      </c>
    </row>
    <row r="1006" hidden="1">
      <c r="A1006" s="5" t="n">
        <v>346</v>
      </c>
      <c r="B1006" s="5" t="inlineStr">
        <is>
          <t>% de profesores impactados en actividades de Bienestar</t>
        </is>
      </c>
      <c r="C1006" s="5" t="inlineStr">
        <is>
          <t>GESTIÓN Y DESARROLLO DEL TALENTO HUMANO</t>
        </is>
      </c>
      <c r="D1006" s="5" t="inlineStr">
        <is>
          <t>Anual</t>
        </is>
      </c>
      <c r="E1006" s="5" t="inlineStr">
        <is>
          <t>Positivo</t>
        </is>
      </c>
      <c r="F1006" s="109" t="n">
        <v>46022</v>
      </c>
      <c r="G1006" s="5" t="n">
        <v>2025</v>
      </c>
      <c r="H1006" s="5" t="inlineStr">
        <is>
          <t>Diciembre</t>
        </is>
      </c>
      <c r="I1006" s="6" t="inlineStr">
        <is>
          <t>2025-2</t>
        </is>
      </c>
      <c r="J1006" s="5" t="n">
        <v>85</v>
      </c>
      <c r="K1006" s="5" t="n">
        <v>97.28</v>
      </c>
      <c r="L1006" s="14" t="n">
        <v>1.144470588235294</v>
      </c>
      <c r="M1006" s="14" t="n">
        <v>1.144470588235294</v>
      </c>
      <c r="N1006" s="5" t="inlineStr">
        <is>
          <t>Linea Base</t>
        </is>
      </c>
      <c r="O1006" s="5" t="inlineStr">
        <is>
          <t>%</t>
        </is>
      </c>
      <c r="P1006" s="5" t="n">
        <v>0</v>
      </c>
      <c r="Q1006" s="5" t="n">
        <v>0</v>
      </c>
      <c r="R1006" s="5" t="inlineStr">
        <is>
          <t>346-2025-12-31</t>
        </is>
      </c>
    </row>
    <row r="1007" hidden="1">
      <c r="A1007" s="5" t="n">
        <v>347</v>
      </c>
      <c r="B1007" s="5" t="inlineStr">
        <is>
          <t>Legalizaciones y anticipos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09" t="n">
        <v>45107</v>
      </c>
      <c r="G1007" s="5" t="n">
        <v>2023</v>
      </c>
      <c r="H1007" s="5" t="inlineStr">
        <is>
          <t>Junio</t>
        </is>
      </c>
      <c r="I1007" s="6" t="inlineStr">
        <is>
          <t>2023-1</t>
        </is>
      </c>
      <c r="J1007" s="5" t="n">
        <v>0</v>
      </c>
      <c r="K1007" s="5" t="n">
        <v>6.5</v>
      </c>
      <c r="L1007" s="14" t="n"/>
      <c r="M1007" s="14" t="n"/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0</v>
      </c>
      <c r="R1007" s="5" t="inlineStr">
        <is>
          <t>347-2023-06-30</t>
        </is>
      </c>
    </row>
    <row r="1008" hidden="1">
      <c r="A1008" s="5" t="n">
        <v>347</v>
      </c>
      <c r="B1008" s="5" t="inlineStr">
        <is>
          <t>Legalizaciones y anticipos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Negativo</t>
        </is>
      </c>
      <c r="F1008" s="109" t="n">
        <v>45291</v>
      </c>
      <c r="G1008" s="5" t="n">
        <v>2023</v>
      </c>
      <c r="H1008" s="5" t="inlineStr">
        <is>
          <t>Diciembre</t>
        </is>
      </c>
      <c r="I1008" s="6" t="inlineStr">
        <is>
          <t>2023-2</t>
        </is>
      </c>
      <c r="J1008" s="5" t="n">
        <v>0</v>
      </c>
      <c r="K1008" s="5" t="n">
        <v>7</v>
      </c>
      <c r="L1008" s="14" t="n"/>
      <c r="M1008" s="14" t="n"/>
      <c r="N1008" s="5" t="inlineStr">
        <is>
          <t>ENT</t>
        </is>
      </c>
      <c r="O1008" s="5" t="inlineStr">
        <is>
          <t>ENT</t>
        </is>
      </c>
      <c r="P1008" s="5" t="n">
        <v>0</v>
      </c>
      <c r="Q1008" s="5" t="n">
        <v>0</v>
      </c>
      <c r="R1008" s="5" t="inlineStr">
        <is>
          <t>347-2023-12-31</t>
        </is>
      </c>
    </row>
    <row r="1009" hidden="1">
      <c r="A1009" s="5" t="n">
        <v>347</v>
      </c>
      <c r="B1009" s="5" t="inlineStr">
        <is>
          <t>Legalizaciones y anticipos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09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5</v>
      </c>
      <c r="K1009" s="5" t="n">
        <v>1.5</v>
      </c>
      <c r="L1009" s="14" t="n">
        <v>1.3</v>
      </c>
      <c r="M1009" s="14" t="n">
        <v>3.333333333333333</v>
      </c>
      <c r="N1009" s="5" t="inlineStr">
        <is>
          <t>ENT</t>
        </is>
      </c>
      <c r="O1009" s="5" t="inlineStr">
        <is>
          <t>ENT</t>
        </is>
      </c>
      <c r="P1009" s="5" t="n">
        <v>0</v>
      </c>
      <c r="Q1009" s="5" t="n">
        <v>0</v>
      </c>
      <c r="R1009" s="5" t="inlineStr">
        <is>
          <t>347-2024-06-30</t>
        </is>
      </c>
    </row>
    <row r="1010" hidden="1">
      <c r="A1010" s="5" t="n">
        <v>347</v>
      </c>
      <c r="B1010" s="5" t="inlineStr">
        <is>
          <t>Legalizaciones y anticipos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09" t="n">
        <v>45657</v>
      </c>
      <c r="G1010" s="5" t="n">
        <v>2024</v>
      </c>
      <c r="H1010" s="5" t="inlineStr">
        <is>
          <t>Diciembre</t>
        </is>
      </c>
      <c r="I1010" s="6" t="inlineStr">
        <is>
          <t>2024-2</t>
        </is>
      </c>
      <c r="J1010" s="5" t="n">
        <v>5</v>
      </c>
      <c r="K1010" s="5" t="n">
        <v>0</v>
      </c>
      <c r="L1010" s="14" t="n">
        <v>1</v>
      </c>
      <c r="M1010" s="14" t="n">
        <v>1</v>
      </c>
      <c r="N1010" s="5" t="inlineStr">
        <is>
          <t>ENT</t>
        </is>
      </c>
      <c r="O1010" s="5" t="inlineStr">
        <is>
          <t>ENT</t>
        </is>
      </c>
      <c r="P1010" s="5" t="n">
        <v>0</v>
      </c>
      <c r="Q1010" s="5" t="n">
        <v>0</v>
      </c>
      <c r="R1010" s="5" t="inlineStr">
        <is>
          <t>347-2024-12-31</t>
        </is>
      </c>
    </row>
    <row r="1011" hidden="1">
      <c r="A1011" s="5" t="n">
        <v>347</v>
      </c>
      <c r="B1011" s="5" t="inlineStr">
        <is>
          <t>Legalizaciones y anticipos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09" t="n">
        <v>45838</v>
      </c>
      <c r="G1011" s="5" t="n">
        <v>2025</v>
      </c>
      <c r="H1011" s="5" t="inlineStr">
        <is>
          <t>Junio</t>
        </is>
      </c>
      <c r="I1011" s="6" t="inlineStr">
        <is>
          <t>2025-1</t>
        </is>
      </c>
      <c r="J1011" s="5" t="n">
        <v>5</v>
      </c>
      <c r="K1011" s="5" t="n">
        <v>1</v>
      </c>
      <c r="L1011" s="14" t="n">
        <v>1.3</v>
      </c>
      <c r="M1011" s="14" t="n">
        <v>5</v>
      </c>
      <c r="N1011" s="5" t="inlineStr">
        <is>
          <t>ENT</t>
        </is>
      </c>
      <c r="O1011" s="5" t="inlineStr">
        <is>
          <t>ENT</t>
        </is>
      </c>
      <c r="P1011" s="5" t="n">
        <v>0</v>
      </c>
      <c r="Q1011" s="5" t="n">
        <v>0</v>
      </c>
      <c r="R1011" s="5" t="inlineStr">
        <is>
          <t>347-2025-06-30</t>
        </is>
      </c>
    </row>
    <row r="1012" hidden="1">
      <c r="A1012" s="5" t="n">
        <v>347</v>
      </c>
      <c r="B1012" s="5" t="inlineStr">
        <is>
          <t>Legalizaciones y anticipos</t>
        </is>
      </c>
      <c r="C1012" s="5" t="inlineStr">
        <is>
          <t>Contabilidad</t>
        </is>
      </c>
      <c r="D1012" s="5" t="inlineStr">
        <is>
          <t>Semestral</t>
        </is>
      </c>
      <c r="E1012" s="5" t="inlineStr">
        <is>
          <t>Negativo</t>
        </is>
      </c>
      <c r="F1012" s="109" t="n">
        <v>46022</v>
      </c>
      <c r="G1012" s="5" t="n">
        <v>2025</v>
      </c>
      <c r="H1012" s="5" t="inlineStr">
        <is>
          <t>Diciembre</t>
        </is>
      </c>
      <c r="I1012" s="6" t="inlineStr">
        <is>
          <t>2025-2</t>
        </is>
      </c>
      <c r="J1012" s="5" t="n">
        <v>5</v>
      </c>
      <c r="K1012" s="5" t="n">
        <v>3.5</v>
      </c>
      <c r="L1012" s="14" t="n">
        <v>1.3</v>
      </c>
      <c r="M1012" s="14" t="n">
        <v>1.428571428571429</v>
      </c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0</v>
      </c>
      <c r="R1012" s="5" t="inlineStr">
        <is>
          <t>347-2025-12-31</t>
        </is>
      </c>
    </row>
    <row r="1013" hidden="1">
      <c r="A1013" s="5" t="n">
        <v>347</v>
      </c>
      <c r="B1013" s="5" t="inlineStr">
        <is>
          <t>Legalizaciones y anticipos</t>
        </is>
      </c>
      <c r="C1013" s="5" t="inlineStr">
        <is>
          <t>Contabilidad</t>
        </is>
      </c>
      <c r="D1013" s="5" t="inlineStr">
        <is>
          <t>Semestral</t>
        </is>
      </c>
      <c r="E1013" s="5" t="inlineStr">
        <is>
          <t>Negativo</t>
        </is>
      </c>
      <c r="F1013" s="109" t="n">
        <v>46203</v>
      </c>
      <c r="G1013" s="5" t="n">
        <v>2026</v>
      </c>
      <c r="H1013" s="5" t="inlineStr">
        <is>
          <t>Junio</t>
        </is>
      </c>
      <c r="I1013" s="6" t="inlineStr">
        <is>
          <t>2026-1</t>
        </is>
      </c>
      <c r="J1013" s="5" t="n">
        <v>5</v>
      </c>
      <c r="K1013" s="5" t="n">
        <v>1</v>
      </c>
      <c r="L1013" s="14" t="n">
        <v>1.3</v>
      </c>
      <c r="M1013" s="14" t="n">
        <v>5</v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 t="inlineStr">
        <is>
          <t>347-2026-06-30</t>
        </is>
      </c>
    </row>
    <row r="1014" hidden="1">
      <c r="A1014" s="5" t="n">
        <v>348</v>
      </c>
      <c r="B1014" s="5" t="inlineStr">
        <is>
          <t>Cuentas por pagar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Positivo</t>
        </is>
      </c>
      <c r="F1014" s="109" t="n">
        <v>45016</v>
      </c>
      <c r="G1014" s="5" t="n">
        <v>2023</v>
      </c>
      <c r="H1014" s="5" t="inlineStr">
        <is>
          <t>Marzo</t>
        </is>
      </c>
      <c r="I1014" s="6" t="inlineStr">
        <is>
          <t>2023-1</t>
        </is>
      </c>
      <c r="J1014" s="5" t="n">
        <v>99</v>
      </c>
      <c r="K1014" s="5" t="n">
        <v>99.81769557994599</v>
      </c>
      <c r="L1014" s="14" t="n">
        <v>1.008259551312586</v>
      </c>
      <c r="M1014" s="14" t="n">
        <v>1.008259551312586</v>
      </c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1</v>
      </c>
      <c r="R1014" s="5" t="inlineStr">
        <is>
          <t>348-2023-03-31</t>
        </is>
      </c>
    </row>
    <row r="1015" hidden="1">
      <c r="A1015" s="5" t="n">
        <v>348</v>
      </c>
      <c r="B1015" s="5" t="inlineStr">
        <is>
          <t>Cuentas por pagar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Positivo</t>
        </is>
      </c>
      <c r="F1015" s="109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99</v>
      </c>
      <c r="K1015" s="5" t="n">
        <v>99.81769557994599</v>
      </c>
      <c r="L1015" s="14" t="n">
        <v>1.008259551312586</v>
      </c>
      <c r="M1015" s="14" t="n">
        <v>1.008259551312586</v>
      </c>
      <c r="N1015" s="5" t="inlineStr">
        <is>
          <t>%</t>
        </is>
      </c>
      <c r="O1015" s="5" t="inlineStr">
        <is>
          <t>%</t>
        </is>
      </c>
      <c r="P1015" s="5" t="n">
        <v>0</v>
      </c>
      <c r="Q1015" s="5" t="n">
        <v>1</v>
      </c>
      <c r="R1015" s="5" t="inlineStr">
        <is>
          <t>348-2023-06-30</t>
        </is>
      </c>
    </row>
    <row r="1016" hidden="1">
      <c r="A1016" s="5" t="n">
        <v>348</v>
      </c>
      <c r="B1016" s="5" t="inlineStr">
        <is>
          <t>Cuentas por pagar</t>
        </is>
      </c>
      <c r="C1016" s="5" t="inlineStr">
        <is>
          <t>Contabilidad</t>
        </is>
      </c>
      <c r="D1016" s="5" t="inlineStr">
        <is>
          <t>Trimestral</t>
        </is>
      </c>
      <c r="E1016" s="5" t="inlineStr">
        <is>
          <t>Positivo</t>
        </is>
      </c>
      <c r="F1016" s="109" t="n">
        <v>45199</v>
      </c>
      <c r="G1016" s="5" t="n">
        <v>2023</v>
      </c>
      <c r="H1016" s="5" t="inlineStr">
        <is>
          <t>Septiembre</t>
        </is>
      </c>
      <c r="I1016" s="6" t="inlineStr">
        <is>
          <t>2023-2</t>
        </is>
      </c>
      <c r="J1016" s="5" t="n">
        <v>99</v>
      </c>
      <c r="K1016" s="5" t="n">
        <v>100</v>
      </c>
      <c r="L1016" s="14" t="n">
        <v>1.01010101010101</v>
      </c>
      <c r="M1016" s="14" t="n">
        <v>1.01010101010101</v>
      </c>
      <c r="N1016" s="5" t="inlineStr">
        <is>
          <t>%</t>
        </is>
      </c>
      <c r="O1016" s="5" t="inlineStr">
        <is>
          <t>%</t>
        </is>
      </c>
      <c r="P1016" s="5" t="n">
        <v>0</v>
      </c>
      <c r="Q1016" s="5" t="n">
        <v>1</v>
      </c>
      <c r="R1016" s="5" t="inlineStr">
        <is>
          <t>348-2023-09-30</t>
        </is>
      </c>
    </row>
    <row r="1017" hidden="1">
      <c r="A1017" s="5" t="n">
        <v>348</v>
      </c>
      <c r="B1017" s="5" t="inlineStr">
        <is>
          <t>Cuentas por pagar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Positivo</t>
        </is>
      </c>
      <c r="F1017" s="109" t="n">
        <v>45291</v>
      </c>
      <c r="G1017" s="5" t="n">
        <v>2023</v>
      </c>
      <c r="H1017" s="5" t="inlineStr">
        <is>
          <t>Diciembre</t>
        </is>
      </c>
      <c r="I1017" s="6" t="inlineStr">
        <is>
          <t>2023-2</t>
        </is>
      </c>
      <c r="J1017" s="5" t="n">
        <v>99</v>
      </c>
      <c r="K1017" s="5" t="n">
        <v>100</v>
      </c>
      <c r="L1017" s="14" t="n">
        <v>1.01010101010101</v>
      </c>
      <c r="M1017" s="14" t="n">
        <v>1.01010101010101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1</v>
      </c>
      <c r="R1017" s="5" t="inlineStr">
        <is>
          <t>348-2023-12-31</t>
        </is>
      </c>
    </row>
    <row r="1018" hidden="1">
      <c r="A1018" s="5" t="n">
        <v>348</v>
      </c>
      <c r="B1018" s="5" t="inlineStr">
        <is>
          <t>Cuentas por pagar</t>
        </is>
      </c>
      <c r="C1018" s="5" t="inlineStr">
        <is>
          <t>Contabilidad</t>
        </is>
      </c>
      <c r="D1018" s="5" t="inlineStr">
        <is>
          <t>Trimestral</t>
        </is>
      </c>
      <c r="E1018" s="5" t="inlineStr">
        <is>
          <t>Positivo</t>
        </is>
      </c>
      <c r="F1018" s="109" t="n">
        <v>45473</v>
      </c>
      <c r="G1018" s="5" t="n">
        <v>2024</v>
      </c>
      <c r="H1018" s="5" t="inlineStr">
        <is>
          <t>Junio</t>
        </is>
      </c>
      <c r="I1018" s="6" t="inlineStr">
        <is>
          <t>2024-1</t>
        </is>
      </c>
      <c r="J1018" s="5" t="n">
        <v>99</v>
      </c>
      <c r="K1018" s="5" t="n">
        <v>99.92500000000001</v>
      </c>
      <c r="L1018" s="14" t="n">
        <v>1.009343434343434</v>
      </c>
      <c r="M1018" s="14" t="n">
        <v>1.009343434343434</v>
      </c>
      <c r="N1018" s="5" t="inlineStr">
        <is>
          <t>%</t>
        </is>
      </c>
      <c r="O1018" s="5" t="inlineStr">
        <is>
          <t>%</t>
        </is>
      </c>
      <c r="P1018" s="5" t="n">
        <v>0</v>
      </c>
      <c r="Q1018" s="5" t="n">
        <v>0</v>
      </c>
      <c r="R1018" s="5" t="inlineStr">
        <is>
          <t>348-2024-06-30</t>
        </is>
      </c>
    </row>
    <row r="1019" hidden="1">
      <c r="A1019" s="5" t="n">
        <v>348</v>
      </c>
      <c r="B1019" s="5" t="inlineStr">
        <is>
          <t>Cuentas por pagar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Positivo</t>
        </is>
      </c>
      <c r="F1019" s="109" t="n">
        <v>45657</v>
      </c>
      <c r="G1019" s="5" t="n">
        <v>2024</v>
      </c>
      <c r="H1019" s="5" t="inlineStr">
        <is>
          <t>Diciembre</t>
        </is>
      </c>
      <c r="I1019" s="6" t="inlineStr">
        <is>
          <t>2024-2</t>
        </is>
      </c>
      <c r="J1019" s="5" t="n">
        <v>99</v>
      </c>
      <c r="K1019" s="5" t="n">
        <v>100</v>
      </c>
      <c r="L1019" s="14" t="n">
        <v>1.01010101010101</v>
      </c>
      <c r="M1019" s="14" t="n">
        <v>1.01010101010101</v>
      </c>
      <c r="N1019" s="5" t="inlineStr">
        <is>
          <t>%</t>
        </is>
      </c>
      <c r="O1019" s="5" t="inlineStr">
        <is>
          <t>%</t>
        </is>
      </c>
      <c r="P1019" s="5" t="n">
        <v>0</v>
      </c>
      <c r="Q1019" s="5" t="n">
        <v>0</v>
      </c>
      <c r="R1019" s="5" t="inlineStr">
        <is>
          <t>348-2024-12-31</t>
        </is>
      </c>
    </row>
    <row r="1020" hidden="1">
      <c r="A1020" s="5" t="n">
        <v>348</v>
      </c>
      <c r="B1020" s="5" t="inlineStr">
        <is>
          <t>Cuentas por pagar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Positivo</t>
        </is>
      </c>
      <c r="F1020" s="109" t="n">
        <v>45838</v>
      </c>
      <c r="G1020" s="5" t="n">
        <v>2025</v>
      </c>
      <c r="H1020" s="5" t="inlineStr">
        <is>
          <t>Junio</t>
        </is>
      </c>
      <c r="I1020" s="6" t="inlineStr">
        <is>
          <t>2025-1</t>
        </is>
      </c>
      <c r="J1020" s="5" t="n">
        <v>99</v>
      </c>
      <c r="K1020" s="5" t="n">
        <v>100</v>
      </c>
      <c r="L1020" s="14" t="n">
        <v>1.01010101010101</v>
      </c>
      <c r="M1020" s="14" t="n">
        <v>1.01010101010101</v>
      </c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0</v>
      </c>
      <c r="R1020" s="5" t="inlineStr">
        <is>
          <t>348-2025-06-30</t>
        </is>
      </c>
    </row>
    <row r="1021" hidden="1">
      <c r="A1021" s="5" t="n">
        <v>348</v>
      </c>
      <c r="B1021" s="5" t="inlineStr">
        <is>
          <t>Cuentas por pagar</t>
        </is>
      </c>
      <c r="C1021" s="5" t="inlineStr">
        <is>
          <t>Contabilidad</t>
        </is>
      </c>
      <c r="D1021" s="5" t="inlineStr">
        <is>
          <t>Semestral</t>
        </is>
      </c>
      <c r="E1021" s="5" t="inlineStr">
        <is>
          <t>Positivo</t>
        </is>
      </c>
      <c r="F1021" s="109" t="n">
        <v>46022</v>
      </c>
      <c r="G1021" s="5" t="n">
        <v>2025</v>
      </c>
      <c r="H1021" s="5" t="inlineStr">
        <is>
          <t>Diciembre</t>
        </is>
      </c>
      <c r="I1021" s="6" t="inlineStr">
        <is>
          <t>2025-2</t>
        </is>
      </c>
      <c r="J1021" s="5" t="n">
        <v>99</v>
      </c>
      <c r="K1021" s="5" t="n">
        <v>100</v>
      </c>
      <c r="L1021" s="14" t="n">
        <v>1.01010101010101</v>
      </c>
      <c r="M1021" s="14" t="n">
        <v>1.01010101010101</v>
      </c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348-2025-12-31</t>
        </is>
      </c>
    </row>
    <row r="1022" hidden="1">
      <c r="A1022" s="5" t="n">
        <v>348</v>
      </c>
      <c r="B1022" s="5" t="inlineStr">
        <is>
          <t>Cuentas por pagar</t>
        </is>
      </c>
      <c r="C1022" s="5" t="inlineStr">
        <is>
          <t>Contabilidad</t>
        </is>
      </c>
      <c r="D1022" s="5" t="inlineStr">
        <is>
          <t>Semestral</t>
        </is>
      </c>
      <c r="E1022" s="5" t="inlineStr">
        <is>
          <t>Positivo</t>
        </is>
      </c>
      <c r="F1022" s="109" t="n">
        <v>46203</v>
      </c>
      <c r="G1022" s="5" t="n">
        <v>2026</v>
      </c>
      <c r="H1022" s="5" t="inlineStr">
        <is>
          <t>Junio</t>
        </is>
      </c>
      <c r="I1022" s="6" t="inlineStr">
        <is>
          <t>2026-1</t>
        </is>
      </c>
      <c r="J1022" s="5" t="n">
        <v>99</v>
      </c>
      <c r="K1022" s="5" t="n">
        <v>100</v>
      </c>
      <c r="L1022" s="14" t="n">
        <v>1.01010101010101</v>
      </c>
      <c r="M1022" s="14" t="n">
        <v>1.01010101010101</v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348-2026-06-30</t>
        </is>
      </c>
    </row>
    <row r="1023" hidden="1">
      <c r="A1023" s="5" t="n">
        <v>349</v>
      </c>
      <c r="B1023" s="5" t="inlineStr">
        <is>
          <t>Número de redes de investigación</t>
        </is>
      </c>
      <c r="C1023" s="5" t="inlineStr">
        <is>
          <t>Investigación, desarrollo tecnológico, innovación y creación</t>
        </is>
      </c>
      <c r="D1023" s="5" t="inlineStr">
        <is>
          <t>Anual</t>
        </is>
      </c>
      <c r="E1023" s="5" t="inlineStr">
        <is>
          <t>Positivo</t>
        </is>
      </c>
      <c r="F1023" s="109" t="n">
        <v>45291</v>
      </c>
      <c r="G1023" s="5" t="n">
        <v>2023</v>
      </c>
      <c r="H1023" s="5" t="inlineStr">
        <is>
          <t>Diciembre</t>
        </is>
      </c>
      <c r="I1023" s="6" t="inlineStr">
        <is>
          <t>2023-2</t>
        </is>
      </c>
      <c r="J1023" s="5" t="n"/>
      <c r="K1023" s="5" t="n">
        <v>0</v>
      </c>
      <c r="L1023" s="14" t="n"/>
      <c r="M1023" s="14" t="n"/>
      <c r="N1023" s="5" t="n"/>
      <c r="O1023" s="5" t="n"/>
      <c r="P1023" s="5" t="n">
        <v>0</v>
      </c>
      <c r="Q1023" s="5" t="n">
        <v>0</v>
      </c>
      <c r="R1023" s="5" t="inlineStr">
        <is>
          <t>349-2023-12-31</t>
        </is>
      </c>
    </row>
    <row r="1024" hidden="1">
      <c r="A1024" s="5" t="n">
        <v>350</v>
      </c>
      <c r="B1024" s="5" t="inlineStr">
        <is>
          <t>Centros de investigación, ciencia y de apoyo a CTI en consolidación</t>
        </is>
      </c>
      <c r="C1024" s="5" t="inlineStr">
        <is>
          <t>Investigación, desarrollo tecnológico, innovación y creación</t>
        </is>
      </c>
      <c r="D1024" s="5" t="inlineStr">
        <is>
          <t>Anual</t>
        </is>
      </c>
      <c r="E1024" s="5" t="inlineStr">
        <is>
          <t>Positivo</t>
        </is>
      </c>
      <c r="F1024" s="109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/>
      <c r="K1024" s="5" t="n">
        <v>0</v>
      </c>
      <c r="L1024" s="14" t="n"/>
      <c r="M1024" s="14" t="n"/>
      <c r="N1024" s="5" t="n"/>
      <c r="O1024" s="5" t="n"/>
      <c r="P1024" s="5" t="n">
        <v>0</v>
      </c>
      <c r="Q1024" s="5" t="n">
        <v>0</v>
      </c>
      <c r="R1024" s="5" t="inlineStr">
        <is>
          <t>350-2023-12-31</t>
        </is>
      </c>
    </row>
    <row r="1025" hidden="1">
      <c r="A1025" s="5" t="n">
        <v>351</v>
      </c>
      <c r="B1025" s="5" t="inlineStr">
        <is>
          <t>Partidas conciliatorias de bancos</t>
        </is>
      </c>
      <c r="C1025" s="5" t="inlineStr">
        <is>
          <t>Contabilidad</t>
        </is>
      </c>
      <c r="D1025" s="5" t="inlineStr">
        <is>
          <t>Trimestral</t>
        </is>
      </c>
      <c r="E1025" s="5" t="inlineStr">
        <is>
          <t>Negativo</t>
        </is>
      </c>
      <c r="F1025" s="109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0</v>
      </c>
      <c r="K1025" s="5" t="n">
        <v>9.826042041491526</v>
      </c>
      <c r="L1025" s="14" t="n"/>
      <c r="M1025" s="14" t="n"/>
      <c r="N1025" s="5" t="inlineStr">
        <is>
          <t>ENT</t>
        </is>
      </c>
      <c r="O1025" s="5" t="inlineStr">
        <is>
          <t>ENT</t>
        </is>
      </c>
      <c r="P1025" s="5" t="n">
        <v>0</v>
      </c>
      <c r="Q1025" s="5" t="n">
        <v>1</v>
      </c>
      <c r="R1025" s="5" t="inlineStr">
        <is>
          <t>351-2023-06-30</t>
        </is>
      </c>
    </row>
    <row r="1026" hidden="1">
      <c r="A1026" s="5" t="n">
        <v>351</v>
      </c>
      <c r="B1026" s="5" t="inlineStr">
        <is>
          <t>Partidas conciliatorias de bancos</t>
        </is>
      </c>
      <c r="C1026" s="5" t="inlineStr">
        <is>
          <t>Contabilidad</t>
        </is>
      </c>
      <c r="D1026" s="5" t="inlineStr">
        <is>
          <t>Trimestral</t>
        </is>
      </c>
      <c r="E1026" s="5" t="inlineStr">
        <is>
          <t>Negativo</t>
        </is>
      </c>
      <c r="F1026" s="109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0</v>
      </c>
      <c r="K1026" s="5" t="n">
        <v>6.921122099497337</v>
      </c>
      <c r="L1026" s="14" t="n"/>
      <c r="M1026" s="14" t="n"/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1</v>
      </c>
      <c r="R1026" s="5" t="inlineStr">
        <is>
          <t>351-2023-12-31</t>
        </is>
      </c>
    </row>
    <row r="1027" hidden="1">
      <c r="A1027" s="5" t="n">
        <v>351</v>
      </c>
      <c r="B1027" s="5" t="inlineStr">
        <is>
          <t>Partidas conciliatorias de bancos</t>
        </is>
      </c>
      <c r="C1027" s="5" t="inlineStr">
        <is>
          <t>Contabilidad</t>
        </is>
      </c>
      <c r="D1027" s="5" t="inlineStr">
        <is>
          <t>Trimestral</t>
        </is>
      </c>
      <c r="E1027" s="5" t="inlineStr">
        <is>
          <t>Negativo</t>
        </is>
      </c>
      <c r="F1027" s="109" t="n">
        <v>45473</v>
      </c>
      <c r="G1027" s="5" t="n">
        <v>2024</v>
      </c>
      <c r="H1027" s="5" t="inlineStr">
        <is>
          <t>Junio</t>
        </is>
      </c>
      <c r="I1027" s="6" t="inlineStr">
        <is>
          <t>2024-1</t>
        </is>
      </c>
      <c r="J1027" s="5" t="n">
        <v>0</v>
      </c>
      <c r="K1027" s="5" t="n">
        <v>8.764600983830958</v>
      </c>
      <c r="L1027" s="14" t="n"/>
      <c r="M1027" s="14" t="n"/>
      <c r="N1027" s="5" t="inlineStr">
        <is>
          <t>ENT</t>
        </is>
      </c>
      <c r="O1027" s="5" t="inlineStr">
        <is>
          <t>ENT</t>
        </is>
      </c>
      <c r="P1027" s="5" t="n">
        <v>0</v>
      </c>
      <c r="Q1027" s="5" t="n">
        <v>1</v>
      </c>
      <c r="R1027" s="5" t="inlineStr">
        <is>
          <t>351-2024-06-30</t>
        </is>
      </c>
    </row>
    <row r="1028" hidden="1">
      <c r="A1028" s="5" t="n">
        <v>351</v>
      </c>
      <c r="B1028" s="5" t="inlineStr">
        <is>
          <t>Partidas conciliatorias de bancos</t>
        </is>
      </c>
      <c r="C1028" s="5" t="inlineStr">
        <is>
          <t>Contabilidad</t>
        </is>
      </c>
      <c r="D1028" s="5" t="inlineStr">
        <is>
          <t>Trimestral</t>
        </is>
      </c>
      <c r="E1028" s="5" t="inlineStr">
        <is>
          <t>Negativo</t>
        </is>
      </c>
      <c r="F1028" s="109" t="n">
        <v>45657</v>
      </c>
      <c r="G1028" s="5" t="n">
        <v>2024</v>
      </c>
      <c r="H1028" s="5" t="inlineStr">
        <is>
          <t>Diciembre</t>
        </is>
      </c>
      <c r="I1028" s="6" t="inlineStr">
        <is>
          <t>2024-2</t>
        </is>
      </c>
      <c r="J1028" s="5" t="n">
        <v>0</v>
      </c>
      <c r="K1028" s="5" t="n">
        <v>2.338777826654054</v>
      </c>
      <c r="L1028" s="14" t="n"/>
      <c r="M1028" s="14" t="n"/>
      <c r="N1028" s="5" t="inlineStr">
        <is>
          <t>ENT</t>
        </is>
      </c>
      <c r="O1028" s="5" t="inlineStr">
        <is>
          <t>ENT</t>
        </is>
      </c>
      <c r="P1028" s="5" t="n">
        <v>0</v>
      </c>
      <c r="Q1028" s="5" t="n">
        <v>1</v>
      </c>
      <c r="R1028" s="5" t="inlineStr">
        <is>
          <t>351-2024-12-31</t>
        </is>
      </c>
    </row>
    <row r="1029" hidden="1">
      <c r="A1029" s="5" t="n">
        <v>351</v>
      </c>
      <c r="B1029" s="5" t="inlineStr">
        <is>
          <t>Partidas conciliatorias de bancos</t>
        </is>
      </c>
      <c r="C1029" s="5" t="inlineStr">
        <is>
          <t>Contabilidad</t>
        </is>
      </c>
      <c r="D1029" s="5" t="inlineStr">
        <is>
          <t>Trimestral</t>
        </is>
      </c>
      <c r="E1029" s="5" t="inlineStr">
        <is>
          <t>Negativo</t>
        </is>
      </c>
      <c r="F1029" s="109" t="n">
        <v>45838</v>
      </c>
      <c r="G1029" s="5" t="n">
        <v>2025</v>
      </c>
      <c r="H1029" s="5" t="inlineStr">
        <is>
          <t>Junio</t>
        </is>
      </c>
      <c r="I1029" s="6" t="inlineStr">
        <is>
          <t>2025-1</t>
        </is>
      </c>
      <c r="J1029" s="5" t="n">
        <v>0</v>
      </c>
      <c r="K1029" s="5" t="n">
        <v>0.5600000000000001</v>
      </c>
      <c r="L1029" s="14" t="n"/>
      <c r="M1029" s="14" t="n"/>
      <c r="N1029" s="5" t="inlineStr">
        <is>
          <t>ENT</t>
        </is>
      </c>
      <c r="O1029" s="5" t="inlineStr">
        <is>
          <t>ENT</t>
        </is>
      </c>
      <c r="P1029" s="5" t="n">
        <v>0</v>
      </c>
      <c r="Q1029" s="5" t="n">
        <v>1</v>
      </c>
      <c r="R1029" s="5" t="inlineStr">
        <is>
          <t>351-2025-06-30</t>
        </is>
      </c>
    </row>
    <row r="1030" hidden="1">
      <c r="A1030" s="5" t="n">
        <v>351</v>
      </c>
      <c r="B1030" s="5" t="inlineStr">
        <is>
          <t>Partidas conciliatorias de bancos</t>
        </is>
      </c>
      <c r="C1030" s="5" t="inlineStr">
        <is>
          <t>Contabilidad</t>
        </is>
      </c>
      <c r="D1030" s="5" t="inlineStr">
        <is>
          <t>Semestral</t>
        </is>
      </c>
      <c r="E1030" s="5" t="inlineStr">
        <is>
          <t>Negativo</t>
        </is>
      </c>
      <c r="F1030" s="109" t="n">
        <v>46022</v>
      </c>
      <c r="G1030" s="5" t="n">
        <v>2025</v>
      </c>
      <c r="H1030" s="5" t="inlineStr">
        <is>
          <t>Diciembre</t>
        </is>
      </c>
      <c r="I1030" s="6" t="inlineStr">
        <is>
          <t>2025-2</t>
        </is>
      </c>
      <c r="J1030" s="5" t="n">
        <v>0</v>
      </c>
      <c r="K1030" s="5" t="n">
        <v>0.26</v>
      </c>
      <c r="L1030" s="14" t="n"/>
      <c r="M1030" s="14" t="n"/>
      <c r="N1030" s="5" t="inlineStr">
        <is>
          <t>ENT</t>
        </is>
      </c>
      <c r="O1030" s="5" t="inlineStr">
        <is>
          <t>DEC</t>
        </is>
      </c>
      <c r="P1030" s="5" t="n">
        <v>0</v>
      </c>
      <c r="Q1030" s="5" t="n">
        <v>1</v>
      </c>
      <c r="R1030" s="5" t="inlineStr">
        <is>
          <t>351-2025-12-31</t>
        </is>
      </c>
    </row>
    <row r="1031" hidden="1">
      <c r="A1031" s="5" t="n">
        <v>351</v>
      </c>
      <c r="B1031" s="5" t="inlineStr">
        <is>
          <t>Partidas conciliatorias de bancos</t>
        </is>
      </c>
      <c r="C1031" s="5" t="inlineStr">
        <is>
          <t>Contabilidad</t>
        </is>
      </c>
      <c r="D1031" s="5" t="inlineStr">
        <is>
          <t>Semestral</t>
        </is>
      </c>
      <c r="E1031" s="5" t="inlineStr">
        <is>
          <t>Negativo</t>
        </is>
      </c>
      <c r="F1031" s="109" t="n">
        <v>46203</v>
      </c>
      <c r="G1031" s="5" t="n">
        <v>2026</v>
      </c>
      <c r="H1031" s="5" t="inlineStr">
        <is>
          <t>Junio</t>
        </is>
      </c>
      <c r="I1031" s="6" t="inlineStr">
        <is>
          <t>2026-1</t>
        </is>
      </c>
      <c r="J1031" s="5" t="n">
        <v>0</v>
      </c>
      <c r="K1031" s="5" t="n">
        <v>0</v>
      </c>
      <c r="L1031" s="14" t="n">
        <v>1</v>
      </c>
      <c r="M1031" s="14" t="n">
        <v>1</v>
      </c>
      <c r="N1031" s="5" t="inlineStr">
        <is>
          <t>%</t>
        </is>
      </c>
      <c r="O1031" s="5" t="inlineStr">
        <is>
          <t>%</t>
        </is>
      </c>
      <c r="P1031" s="5" t="n">
        <v>0</v>
      </c>
      <c r="Q1031" s="5" t="n">
        <v>1</v>
      </c>
      <c r="R1031" s="5" t="inlineStr">
        <is>
          <t>351-2026-06-30</t>
        </is>
      </c>
    </row>
    <row r="1032" hidden="1">
      <c r="A1032" s="5" t="n">
        <v>352</v>
      </c>
      <c r="B1032" s="5" t="inlineStr">
        <is>
          <t>Nivel de facturas generadas con error</t>
        </is>
      </c>
      <c r="C1032" s="5" t="inlineStr">
        <is>
          <t>Contabilidad</t>
        </is>
      </c>
      <c r="D1032" s="5" t="inlineStr">
        <is>
          <t>Trimestral</t>
        </is>
      </c>
      <c r="E1032" s="5" t="inlineStr">
        <is>
          <t>Negativo</t>
        </is>
      </c>
      <c r="F1032" s="109" t="n">
        <v>45107</v>
      </c>
      <c r="G1032" s="5" t="n">
        <v>2023</v>
      </c>
      <c r="H1032" s="5" t="inlineStr">
        <is>
          <t>Junio</t>
        </is>
      </c>
      <c r="I1032" s="6" t="inlineStr">
        <is>
          <t>2023-1</t>
        </is>
      </c>
      <c r="J1032" s="5" t="n">
        <v>0</v>
      </c>
      <c r="K1032" s="5" t="n">
        <v>0.01904339979070545</v>
      </c>
      <c r="L1032" s="14" t="n"/>
      <c r="M1032" s="14" t="n"/>
      <c r="N1032" s="5" t="inlineStr">
        <is>
          <t>%</t>
        </is>
      </c>
      <c r="O1032" s="5" t="inlineStr">
        <is>
          <t>%</t>
        </is>
      </c>
      <c r="P1032" s="5" t="n">
        <v>2</v>
      </c>
      <c r="Q1032" s="5" t="n">
        <v>2</v>
      </c>
      <c r="R1032" s="5" t="inlineStr">
        <is>
          <t>352-2023-06-30</t>
        </is>
      </c>
    </row>
    <row r="1033" hidden="1">
      <c r="A1033" s="5" t="n">
        <v>352</v>
      </c>
      <c r="B1033" s="5" t="inlineStr">
        <is>
          <t>Nivel de facturas generadas con error</t>
        </is>
      </c>
      <c r="C1033" s="5" t="inlineStr">
        <is>
          <t>Contabilidad</t>
        </is>
      </c>
      <c r="D1033" s="5" t="inlineStr">
        <is>
          <t>Trimestral</t>
        </is>
      </c>
      <c r="E1033" s="5" t="inlineStr">
        <is>
          <t>Negativo</t>
        </is>
      </c>
      <c r="F1033" s="109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5" t="n">
        <v>0</v>
      </c>
      <c r="K1033" s="5" t="n">
        <v>0.1541960807832302</v>
      </c>
      <c r="L1033" s="14" t="n"/>
      <c r="M1033" s="14" t="n"/>
      <c r="N1033" s="5" t="inlineStr">
        <is>
          <t>%</t>
        </is>
      </c>
      <c r="O1033" s="5" t="inlineStr">
        <is>
          <t>%</t>
        </is>
      </c>
      <c r="P1033" s="5" t="n">
        <v>2</v>
      </c>
      <c r="Q1033" s="5" t="n">
        <v>2</v>
      </c>
      <c r="R1033" s="5" t="inlineStr">
        <is>
          <t>352-2023-12-31</t>
        </is>
      </c>
    </row>
    <row r="1034" hidden="1">
      <c r="A1034" s="5" t="n">
        <v>352</v>
      </c>
      <c r="B1034" s="5" t="inlineStr">
        <is>
          <t>Nivel de facturas generadas con error</t>
        </is>
      </c>
      <c r="C1034" s="5" t="inlineStr">
        <is>
          <t>Contabilidad</t>
        </is>
      </c>
      <c r="D1034" s="5" t="inlineStr">
        <is>
          <t>Trimestral</t>
        </is>
      </c>
      <c r="E1034" s="5" t="inlineStr">
        <is>
          <t>Negativo</t>
        </is>
      </c>
      <c r="F1034" s="109" t="n">
        <v>45473</v>
      </c>
      <c r="G1034" s="5" t="n">
        <v>2024</v>
      </c>
      <c r="H1034" s="5" t="inlineStr">
        <is>
          <t>Junio</t>
        </is>
      </c>
      <c r="I1034" s="6" t="inlineStr">
        <is>
          <t>2024-1</t>
        </is>
      </c>
      <c r="J1034" s="5" t="n">
        <v>0</v>
      </c>
      <c r="K1034" s="5" t="n">
        <v>0.0866016801252273</v>
      </c>
      <c r="L1034" s="14" t="n"/>
      <c r="M1034" s="14" t="n"/>
      <c r="N1034" s="5" t="inlineStr">
        <is>
          <t>%</t>
        </is>
      </c>
      <c r="O1034" s="5" t="inlineStr">
        <is>
          <t>%</t>
        </is>
      </c>
      <c r="P1034" s="5" t="n">
        <v>0</v>
      </c>
      <c r="Q1034" s="5" t="n">
        <v>0</v>
      </c>
      <c r="R1034" s="5" t="inlineStr">
        <is>
          <t>352-2024-06-30</t>
        </is>
      </c>
    </row>
    <row r="1035" hidden="1">
      <c r="A1035" s="5" t="n">
        <v>352</v>
      </c>
      <c r="B1035" s="5" t="inlineStr">
        <is>
          <t>Nivel de facturas generadas con error</t>
        </is>
      </c>
      <c r="C1035" s="5" t="inlineStr">
        <is>
          <t>Contabilidad</t>
        </is>
      </c>
      <c r="D1035" s="5" t="inlineStr">
        <is>
          <t>Trimestral</t>
        </is>
      </c>
      <c r="E1035" s="5" t="inlineStr">
        <is>
          <t>Negativo</t>
        </is>
      </c>
      <c r="F1035" s="109" t="n">
        <v>45657</v>
      </c>
      <c r="G1035" s="5" t="n">
        <v>2024</v>
      </c>
      <c r="H1035" s="5" t="inlineStr">
        <is>
          <t>Diciembre</t>
        </is>
      </c>
      <c r="I1035" s="6" t="inlineStr">
        <is>
          <t>2024-2</t>
        </is>
      </c>
      <c r="J1035" s="5" t="n">
        <v>0</v>
      </c>
      <c r="K1035" s="5" t="n">
        <v>0.00048259287499875</v>
      </c>
      <c r="L1035" s="14" t="n"/>
      <c r="M1035" s="14" t="n"/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352-2024-12-31</t>
        </is>
      </c>
    </row>
    <row r="1036" hidden="1">
      <c r="A1036" s="5" t="n">
        <v>352</v>
      </c>
      <c r="B1036" s="5" t="inlineStr">
        <is>
          <t>Nivel de facturas generadas con error</t>
        </is>
      </c>
      <c r="C1036" s="5" t="inlineStr">
        <is>
          <t>Contabilidad</t>
        </is>
      </c>
      <c r="D1036" s="5" t="inlineStr">
        <is>
          <t>Trimestral</t>
        </is>
      </c>
      <c r="E1036" s="5" t="inlineStr">
        <is>
          <t>Negativo</t>
        </is>
      </c>
      <c r="F1036" s="109" t="n">
        <v>45838</v>
      </c>
      <c r="G1036" s="5" t="n">
        <v>2025</v>
      </c>
      <c r="H1036" s="5" t="inlineStr">
        <is>
          <t>Junio</t>
        </is>
      </c>
      <c r="I1036" s="6" t="inlineStr">
        <is>
          <t>2025-1</t>
        </is>
      </c>
      <c r="J1036" s="5" t="n">
        <v>0</v>
      </c>
      <c r="K1036" s="5" t="n">
        <v>0.005</v>
      </c>
      <c r="L1036" s="14" t="n"/>
      <c r="M1036" s="14" t="n"/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352-2025-06-30</t>
        </is>
      </c>
    </row>
    <row r="1037" hidden="1">
      <c r="A1037" s="5" t="n">
        <v>352</v>
      </c>
      <c r="B1037" s="5" t="inlineStr">
        <is>
          <t>Nivel de facturas generadas con error</t>
        </is>
      </c>
      <c r="C1037" s="5" t="inlineStr">
        <is>
          <t>Contabilidad</t>
        </is>
      </c>
      <c r="D1037" s="5" t="inlineStr">
        <is>
          <t>Semestral</t>
        </is>
      </c>
      <c r="E1037" s="5" t="inlineStr">
        <is>
          <t>Negativo</t>
        </is>
      </c>
      <c r="F1037" s="109" t="n">
        <v>46022</v>
      </c>
      <c r="G1037" s="5" t="n">
        <v>2025</v>
      </c>
      <c r="H1037" s="5" t="inlineStr">
        <is>
          <t>Diciembre</t>
        </is>
      </c>
      <c r="I1037" s="6" t="inlineStr">
        <is>
          <t>2025-2</t>
        </is>
      </c>
      <c r="J1037" s="5" t="n">
        <v>0</v>
      </c>
      <c r="K1037" s="5" t="n">
        <v>0.01</v>
      </c>
      <c r="L1037" s="14" t="n"/>
      <c r="M1037" s="14" t="n"/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2</v>
      </c>
      <c r="R1037" s="5" t="inlineStr">
        <is>
          <t>352-2025-12-31</t>
        </is>
      </c>
    </row>
    <row r="1038" hidden="1">
      <c r="A1038" s="5" t="n">
        <v>352</v>
      </c>
      <c r="B1038" s="5" t="inlineStr">
        <is>
          <t>Nivel de facturas generadas con error</t>
        </is>
      </c>
      <c r="C1038" s="5" t="inlineStr">
        <is>
          <t>Contabilidad</t>
        </is>
      </c>
      <c r="D1038" s="5" t="inlineStr">
        <is>
          <t>Semestral</t>
        </is>
      </c>
      <c r="E1038" s="5" t="inlineStr">
        <is>
          <t>Negativo</t>
        </is>
      </c>
      <c r="F1038" s="109" t="n">
        <v>46203</v>
      </c>
      <c r="G1038" s="5" t="n">
        <v>2026</v>
      </c>
      <c r="H1038" s="5" t="inlineStr">
        <is>
          <t>Junio</t>
        </is>
      </c>
      <c r="I1038" s="6" t="inlineStr">
        <is>
          <t>2026-1</t>
        </is>
      </c>
      <c r="J1038" s="5" t="n">
        <v>0</v>
      </c>
      <c r="K1038" s="5" t="n">
        <v>0.01</v>
      </c>
      <c r="L1038" s="14" t="n"/>
      <c r="M1038" s="14" t="n"/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2</v>
      </c>
      <c r="R1038" s="5" t="inlineStr">
        <is>
          <t>352-2026-06-30</t>
        </is>
      </c>
    </row>
    <row r="1039" hidden="1">
      <c r="A1039" s="5" t="n">
        <v>353</v>
      </c>
      <c r="B1039" s="5" t="inlineStr">
        <is>
          <t>Cobertura de tableros BI en procesos</t>
        </is>
      </c>
      <c r="C1039" s="5" t="inlineStr">
        <is>
          <t>DATOS Y ANALÍTICA</t>
        </is>
      </c>
      <c r="D1039" s="5" t="inlineStr">
        <is>
          <t>Semestral</t>
        </is>
      </c>
      <c r="E1039" s="5" t="inlineStr">
        <is>
          <t>Positivo</t>
        </is>
      </c>
      <c r="F1039" s="109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25</v>
      </c>
      <c r="K1039" s="5" t="n">
        <v>40.3846153846154</v>
      </c>
      <c r="L1039" s="14" t="n">
        <v>1.3</v>
      </c>
      <c r="M1039" s="14" t="n">
        <v>1.615384615384616</v>
      </c>
      <c r="N1039" s="5" t="n"/>
      <c r="O1039" s="5" t="n"/>
      <c r="P1039" s="5" t="n">
        <v>1</v>
      </c>
      <c r="Q1039" s="5" t="n">
        <v>1</v>
      </c>
      <c r="R1039" s="5" t="inlineStr">
        <is>
          <t>353-2023-06-30</t>
        </is>
      </c>
    </row>
    <row r="1040" hidden="1">
      <c r="A1040" s="5" t="n">
        <v>353</v>
      </c>
      <c r="B1040" s="5" t="inlineStr">
        <is>
          <t>Cobertura de tableros BI en procesos</t>
        </is>
      </c>
      <c r="C1040" s="5" t="inlineStr">
        <is>
          <t>DATOS Y ANALÍTICA</t>
        </is>
      </c>
      <c r="D1040" s="5" t="inlineStr">
        <is>
          <t>Semestral</t>
        </is>
      </c>
      <c r="E1040" s="5" t="inlineStr">
        <is>
          <t>Positivo</t>
        </is>
      </c>
      <c r="F1040" s="109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35</v>
      </c>
      <c r="K1040" s="5" t="n">
        <v>40.3846153846154</v>
      </c>
      <c r="L1040" s="14" t="n">
        <v>1.153846153846154</v>
      </c>
      <c r="M1040" s="14" t="n">
        <v>1.153846153846154</v>
      </c>
      <c r="N1040" s="5" t="n"/>
      <c r="O1040" s="5" t="n"/>
      <c r="P1040" s="5" t="n">
        <v>1</v>
      </c>
      <c r="Q1040" s="5" t="n">
        <v>1</v>
      </c>
      <c r="R1040" s="5" t="inlineStr">
        <is>
          <t>353-2023-12-31</t>
        </is>
      </c>
    </row>
    <row r="1041" hidden="1">
      <c r="A1041" s="5" t="n">
        <v>354</v>
      </c>
      <c r="B1041" s="5" t="inlineStr">
        <is>
          <t>Plan de formación en analitica</t>
        </is>
      </c>
      <c r="C1041" s="5" t="inlineStr">
        <is>
          <t>DATOS Y ANALÍTICA</t>
        </is>
      </c>
      <c r="D1041" s="5" t="inlineStr">
        <is>
          <t>Semestral</t>
        </is>
      </c>
      <c r="E1041" s="5" t="inlineStr">
        <is>
          <t>Positivo</t>
        </is>
      </c>
      <c r="F1041" s="109" t="n">
        <v>45107</v>
      </c>
      <c r="G1041" s="5" t="n">
        <v>2023</v>
      </c>
      <c r="H1041" s="5" t="inlineStr">
        <is>
          <t>Junio</t>
        </is>
      </c>
      <c r="I1041" s="6" t="inlineStr">
        <is>
          <t>2023-1</t>
        </is>
      </c>
      <c r="J1041" s="5" t="n">
        <v>10</v>
      </c>
      <c r="K1041" s="5" t="n">
        <v>5.07</v>
      </c>
      <c r="L1041" s="14" t="n">
        <v>0.507</v>
      </c>
      <c r="M1041" s="14" t="n">
        <v>0.507</v>
      </c>
      <c r="N1041" s="5" t="n"/>
      <c r="O1041" s="5" t="n"/>
      <c r="P1041" s="5" t="n">
        <v>1</v>
      </c>
      <c r="Q1041" s="5" t="n">
        <v>1</v>
      </c>
      <c r="R1041" s="5" t="inlineStr">
        <is>
          <t>354-2023-06-30</t>
        </is>
      </c>
    </row>
    <row r="1042" hidden="1">
      <c r="A1042" s="5" t="n">
        <v>354</v>
      </c>
      <c r="B1042" s="5" t="inlineStr">
        <is>
          <t>Plan de formación en analitica</t>
        </is>
      </c>
      <c r="C1042" s="5" t="inlineStr">
        <is>
          <t>DATOS Y ANALÍTICA</t>
        </is>
      </c>
      <c r="D1042" s="5" t="inlineStr">
        <is>
          <t>Semestral</t>
        </is>
      </c>
      <c r="E1042" s="5" t="inlineStr">
        <is>
          <t>Positivo</t>
        </is>
      </c>
      <c r="F1042" s="109" t="n">
        <v>45291</v>
      </c>
      <c r="G1042" s="5" t="n">
        <v>2023</v>
      </c>
      <c r="H1042" s="5" t="inlineStr">
        <is>
          <t>Diciembre</t>
        </is>
      </c>
      <c r="I1042" s="6" t="inlineStr">
        <is>
          <t>2023-2</t>
        </is>
      </c>
      <c r="J1042" s="5" t="n">
        <v>10</v>
      </c>
      <c r="K1042" s="5" t="n">
        <v>31.77</v>
      </c>
      <c r="L1042" s="14" t="n">
        <v>1.3</v>
      </c>
      <c r="M1042" s="14" t="n">
        <v>3.177</v>
      </c>
      <c r="N1042" s="5" t="n"/>
      <c r="O1042" s="5" t="n"/>
      <c r="P1042" s="5" t="n">
        <v>1</v>
      </c>
      <c r="Q1042" s="5" t="n">
        <v>1</v>
      </c>
      <c r="R1042" s="5" t="inlineStr">
        <is>
          <t>354-2023-12-31</t>
        </is>
      </c>
    </row>
    <row r="1043" hidden="1">
      <c r="A1043" s="5" t="n">
        <v>355</v>
      </c>
      <c r="B1043" s="5" t="inlineStr">
        <is>
          <t>Indice de liquidez</t>
        </is>
      </c>
      <c r="C1043" s="5" t="inlineStr">
        <is>
          <t>Tesorería</t>
        </is>
      </c>
      <c r="D1043" s="5" t="inlineStr">
        <is>
          <t>Anual</t>
        </is>
      </c>
      <c r="E1043" s="5" t="inlineStr">
        <is>
          <t>Positivo</t>
        </is>
      </c>
      <c r="F1043" s="109" t="n">
        <v>45107</v>
      </c>
      <c r="G1043" s="5" t="n">
        <v>2023</v>
      </c>
      <c r="H1043" s="5" t="inlineStr">
        <is>
          <t>Junio</t>
        </is>
      </c>
      <c r="I1043" s="6" t="inlineStr">
        <is>
          <t>2023-1</t>
        </is>
      </c>
      <c r="J1043" s="5" t="n">
        <v>1</v>
      </c>
      <c r="K1043" s="5" t="n">
        <v>0.31754780991781</v>
      </c>
      <c r="L1043" s="14" t="n">
        <v>0.31754780991781</v>
      </c>
      <c r="M1043" s="14" t="n">
        <v>0.31754780991781</v>
      </c>
      <c r="N1043" s="5" t="inlineStr">
        <is>
          <t>ENT</t>
        </is>
      </c>
      <c r="O1043" s="5" t="inlineStr">
        <is>
          <t>DEC</t>
        </is>
      </c>
      <c r="P1043" s="5" t="n">
        <v>1</v>
      </c>
      <c r="Q1043" s="5" t="n">
        <v>1</v>
      </c>
      <c r="R1043" s="5" t="inlineStr">
        <is>
          <t>355-2023-06-30</t>
        </is>
      </c>
    </row>
    <row r="1044" hidden="1">
      <c r="A1044" s="5" t="n">
        <v>355</v>
      </c>
      <c r="B1044" s="5" t="inlineStr">
        <is>
          <t>Indice de liquidez</t>
        </is>
      </c>
      <c r="C1044" s="5" t="inlineStr">
        <is>
          <t>Tesorería</t>
        </is>
      </c>
      <c r="D1044" s="5" t="inlineStr">
        <is>
          <t>Anual</t>
        </is>
      </c>
      <c r="E1044" s="5" t="inlineStr">
        <is>
          <t>Positivo</t>
        </is>
      </c>
      <c r="F1044" s="109" t="n">
        <v>45291</v>
      </c>
      <c r="G1044" s="5" t="n">
        <v>2023</v>
      </c>
      <c r="H1044" s="5" t="inlineStr">
        <is>
          <t>Diciembre</t>
        </is>
      </c>
      <c r="I1044" s="6" t="inlineStr">
        <is>
          <t>2023-2</t>
        </is>
      </c>
      <c r="J1044" s="5" t="n">
        <v>1</v>
      </c>
      <c r="K1044" s="5" t="n">
        <v>1.64916004403234</v>
      </c>
      <c r="L1044" s="14" t="n">
        <v>1.3</v>
      </c>
      <c r="M1044" s="14" t="n">
        <v>1.64916004403234</v>
      </c>
      <c r="N1044" s="5" t="n"/>
      <c r="O1044" s="5" t="n"/>
      <c r="P1044" s="5" t="n">
        <v>1</v>
      </c>
      <c r="Q1044" s="5" t="n">
        <v>1</v>
      </c>
      <c r="R1044" s="5" t="inlineStr">
        <is>
          <t>355-2023-12-31</t>
        </is>
      </c>
    </row>
    <row r="1045" hidden="1">
      <c r="A1045" s="5" t="n">
        <v>355</v>
      </c>
      <c r="B1045" s="5" t="inlineStr">
        <is>
          <t>Indice de liquidez</t>
        </is>
      </c>
      <c r="C1045" s="5" t="inlineStr">
        <is>
          <t>Tesorería</t>
        </is>
      </c>
      <c r="D1045" s="5" t="inlineStr">
        <is>
          <t>Anual</t>
        </is>
      </c>
      <c r="E1045" s="5" t="inlineStr">
        <is>
          <t>Positivo</t>
        </is>
      </c>
      <c r="F1045" s="109" t="n">
        <v>45657</v>
      </c>
      <c r="G1045" s="5" t="n">
        <v>2024</v>
      </c>
      <c r="H1045" s="5" t="inlineStr">
        <is>
          <t>Diciembre</t>
        </is>
      </c>
      <c r="I1045" s="6" t="inlineStr">
        <is>
          <t>2024-2</t>
        </is>
      </c>
      <c r="J1045" s="5" t="n">
        <v>1.7</v>
      </c>
      <c r="K1045" s="5" t="n">
        <v>1.69</v>
      </c>
      <c r="L1045" s="14" t="n">
        <v>0.9941176470588236</v>
      </c>
      <c r="M1045" s="14" t="n">
        <v>0.9941176470588236</v>
      </c>
      <c r="N1045" s="5" t="n"/>
      <c r="O1045" s="5" t="n"/>
      <c r="P1045" s="5" t="n">
        <v>0</v>
      </c>
      <c r="Q1045" s="5" t="n">
        <v>0</v>
      </c>
      <c r="R1045" s="5" t="inlineStr">
        <is>
          <t>355-2024-12-31</t>
        </is>
      </c>
    </row>
    <row r="1046" hidden="1">
      <c r="A1046" s="5" t="n">
        <v>355</v>
      </c>
      <c r="B1046" s="5" t="inlineStr">
        <is>
          <t>Indice de liquidez</t>
        </is>
      </c>
      <c r="C1046" s="5" t="inlineStr">
        <is>
          <t>Tesorería</t>
        </is>
      </c>
      <c r="D1046" s="5" t="inlineStr">
        <is>
          <t>Anual</t>
        </is>
      </c>
      <c r="E1046" s="5" t="inlineStr">
        <is>
          <t>Positivo</t>
        </is>
      </c>
      <c r="F1046" s="109" t="n">
        <v>46022</v>
      </c>
      <c r="G1046" s="5" t="n">
        <v>2025</v>
      </c>
      <c r="H1046" s="5" t="inlineStr">
        <is>
          <t>Diciembre</t>
        </is>
      </c>
      <c r="I1046" s="6" t="inlineStr">
        <is>
          <t>2025-2</t>
        </is>
      </c>
      <c r="J1046" s="5" t="n">
        <v>1.4</v>
      </c>
      <c r="K1046" s="5" t="n">
        <v>1.56</v>
      </c>
      <c r="L1046" s="14" t="n">
        <v>1.114285714285714</v>
      </c>
      <c r="M1046" s="14" t="n">
        <v>1.114285714285714</v>
      </c>
      <c r="N1046" s="5" t="inlineStr">
        <is>
          <t>ENT</t>
        </is>
      </c>
      <c r="O1046" s="5" t="inlineStr">
        <is>
          <t>DEC</t>
        </is>
      </c>
      <c r="P1046" s="5" t="n">
        <v>1</v>
      </c>
      <c r="Q1046" s="5" t="n">
        <v>1</v>
      </c>
      <c r="R1046" s="5" t="inlineStr">
        <is>
          <t>355-2025-12-31</t>
        </is>
      </c>
    </row>
    <row r="1047" hidden="1">
      <c r="A1047" s="5" t="n">
        <v>356</v>
      </c>
      <c r="B1047" s="5" t="inlineStr">
        <is>
          <t>Indice de Endeudamiento</t>
        </is>
      </c>
      <c r="C1047" s="5" t="inlineStr">
        <is>
          <t>Tesorería</t>
        </is>
      </c>
      <c r="D1047" s="5" t="inlineStr">
        <is>
          <t>Semestral</t>
        </is>
      </c>
      <c r="E1047" s="5" t="inlineStr">
        <is>
          <t>Negativo</t>
        </is>
      </c>
      <c r="F1047" s="109" t="n">
        <v>45107</v>
      </c>
      <c r="G1047" s="5" t="n">
        <v>2023</v>
      </c>
      <c r="H1047" s="5" t="inlineStr">
        <is>
          <t>Junio</t>
        </is>
      </c>
      <c r="I1047" s="6" t="inlineStr">
        <is>
          <t>2023-1</t>
        </is>
      </c>
      <c r="J1047" s="5" t="n">
        <v>60</v>
      </c>
      <c r="K1047" s="5" t="n">
        <v>49.213961407602</v>
      </c>
      <c r="L1047" s="14" t="n">
        <v>1.219166234212796</v>
      </c>
      <c r="M1047" s="14" t="n">
        <v>1.219166234212796</v>
      </c>
      <c r="N1047" s="5" t="inlineStr">
        <is>
          <t>%</t>
        </is>
      </c>
      <c r="O1047" s="5" t="inlineStr">
        <is>
          <t>%</t>
        </is>
      </c>
      <c r="P1047" s="5" t="n">
        <v>1</v>
      </c>
      <c r="Q1047" s="5" t="n">
        <v>1</v>
      </c>
      <c r="R1047" s="5" t="inlineStr">
        <is>
          <t>356-2023-06-30</t>
        </is>
      </c>
    </row>
    <row r="1048" hidden="1">
      <c r="A1048" s="5" t="n">
        <v>356</v>
      </c>
      <c r="B1048" s="5" t="inlineStr">
        <is>
          <t>Indice de Endeudamiento</t>
        </is>
      </c>
      <c r="C1048" s="5" t="inlineStr">
        <is>
          <t>Tesorería</t>
        </is>
      </c>
      <c r="D1048" s="5" t="inlineStr">
        <is>
          <t>Semestral</t>
        </is>
      </c>
      <c r="E1048" s="5" t="inlineStr">
        <is>
          <t>Negativo</t>
        </is>
      </c>
      <c r="F1048" s="109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60</v>
      </c>
      <c r="K1048" s="5" t="n">
        <v>61.54</v>
      </c>
      <c r="L1048" s="14" t="n">
        <v>0.9749756256093598</v>
      </c>
      <c r="M1048" s="14" t="n">
        <v>0.9749756256093598</v>
      </c>
      <c r="N1048" s="5" t="inlineStr">
        <is>
          <t>%</t>
        </is>
      </c>
      <c r="O1048" s="5" t="inlineStr">
        <is>
          <t>%</t>
        </is>
      </c>
      <c r="P1048" s="5" t="n">
        <v>1</v>
      </c>
      <c r="Q1048" s="5" t="n">
        <v>1</v>
      </c>
      <c r="R1048" s="5" t="inlineStr">
        <is>
          <t>356-2023-12-31</t>
        </is>
      </c>
    </row>
    <row r="1049" hidden="1">
      <c r="A1049" s="5" t="n">
        <v>356</v>
      </c>
      <c r="B1049" s="5" t="inlineStr">
        <is>
          <t>Indice de Endeudamiento</t>
        </is>
      </c>
      <c r="C1049" s="5" t="inlineStr">
        <is>
          <t>Tesorería</t>
        </is>
      </c>
      <c r="D1049" s="5" t="inlineStr">
        <is>
          <t>Semestral</t>
        </is>
      </c>
      <c r="E1049" s="5" t="inlineStr">
        <is>
          <t>Negativo</t>
        </is>
      </c>
      <c r="F1049" s="109" t="n">
        <v>45473</v>
      </c>
      <c r="G1049" s="5" t="n">
        <v>2024</v>
      </c>
      <c r="H1049" s="5" t="inlineStr">
        <is>
          <t>Junio</t>
        </is>
      </c>
      <c r="I1049" s="6" t="inlineStr">
        <is>
          <t>2024-1</t>
        </is>
      </c>
      <c r="J1049" s="5" t="n">
        <v>60</v>
      </c>
      <c r="K1049" s="5" t="n">
        <v>54.08</v>
      </c>
      <c r="L1049" s="14" t="n">
        <v>1.109467455621302</v>
      </c>
      <c r="M1049" s="14" t="n">
        <v>1.109467455621302</v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356-2024-06-30</t>
        </is>
      </c>
    </row>
    <row r="1050" hidden="1">
      <c r="A1050" s="5" t="n">
        <v>356</v>
      </c>
      <c r="B1050" s="5" t="inlineStr">
        <is>
          <t>Indice de Endeudamiento</t>
        </is>
      </c>
      <c r="C1050" s="5" t="inlineStr">
        <is>
          <t>Tesorería</t>
        </is>
      </c>
      <c r="D1050" s="5" t="inlineStr">
        <is>
          <t>Semestral</t>
        </is>
      </c>
      <c r="E1050" s="5" t="inlineStr">
        <is>
          <t>Negativo</t>
        </is>
      </c>
      <c r="F1050" s="109" t="n">
        <v>45657</v>
      </c>
      <c r="G1050" s="5" t="n">
        <v>2024</v>
      </c>
      <c r="H1050" s="5" t="inlineStr">
        <is>
          <t>Diciembre</t>
        </is>
      </c>
      <c r="I1050" s="6" t="inlineStr">
        <is>
          <t>2024-2</t>
        </is>
      </c>
      <c r="J1050" s="5" t="n">
        <v>60</v>
      </c>
      <c r="K1050" s="5" t="n">
        <v>65.55</v>
      </c>
      <c r="L1050" s="14" t="n">
        <v>0.9153318077803204</v>
      </c>
      <c r="M1050" s="14" t="n">
        <v>0.9153318077803204</v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356-2024-12-31</t>
        </is>
      </c>
    </row>
    <row r="1051" hidden="1">
      <c r="A1051" s="5" t="n">
        <v>356</v>
      </c>
      <c r="B1051" s="5" t="inlineStr">
        <is>
          <t>Indice de Endeudamiento</t>
        </is>
      </c>
      <c r="C1051" s="5" t="inlineStr">
        <is>
          <t>Tesorería</t>
        </is>
      </c>
      <c r="D1051" s="5" t="inlineStr">
        <is>
          <t>Semestral</t>
        </is>
      </c>
      <c r="E1051" s="5" t="inlineStr">
        <is>
          <t>Negativo</t>
        </is>
      </c>
      <c r="F1051" s="109" t="n">
        <v>45838</v>
      </c>
      <c r="G1051" s="5" t="n">
        <v>2025</v>
      </c>
      <c r="H1051" s="5" t="inlineStr">
        <is>
          <t>Junio</t>
        </is>
      </c>
      <c r="I1051" s="6" t="inlineStr">
        <is>
          <t>2025-1</t>
        </is>
      </c>
      <c r="J1051" s="5" t="n">
        <v>60</v>
      </c>
      <c r="K1051" s="5" t="n">
        <v>49.14</v>
      </c>
      <c r="L1051" s="14" t="n">
        <v>1.221001221001221</v>
      </c>
      <c r="M1051" s="14" t="n">
        <v>1.221001221001221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356-2025-06-30</t>
        </is>
      </c>
    </row>
    <row r="1052" hidden="1">
      <c r="A1052" s="5" t="n">
        <v>356</v>
      </c>
      <c r="B1052" s="5" t="inlineStr">
        <is>
          <t>Indice de Endeudamiento</t>
        </is>
      </c>
      <c r="C1052" s="5" t="inlineStr">
        <is>
          <t>Tesorería</t>
        </is>
      </c>
      <c r="D1052" s="5" t="inlineStr">
        <is>
          <t>Trimestral</t>
        </is>
      </c>
      <c r="E1052" s="5" t="inlineStr">
        <is>
          <t>Negativo</t>
        </is>
      </c>
      <c r="F1052" s="109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60</v>
      </c>
      <c r="K1052" s="5" t="n">
        <v>64.77</v>
      </c>
      <c r="L1052" s="14" t="n">
        <v>0.9263547938860585</v>
      </c>
      <c r="M1052" s="14" t="n">
        <v>0.9263547938860585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1</v>
      </c>
      <c r="R1052" s="5" t="inlineStr">
        <is>
          <t>356-2025-12-31</t>
        </is>
      </c>
    </row>
    <row r="1053" hidden="1">
      <c r="A1053" s="5" t="n">
        <v>357</v>
      </c>
      <c r="B1053" s="5" t="inlineStr">
        <is>
          <t>Cartera</t>
        </is>
      </c>
      <c r="C1053" s="5" t="inlineStr">
        <is>
          <t>Tesorería</t>
        </is>
      </c>
      <c r="D1053" s="5" t="inlineStr">
        <is>
          <t>Semestral</t>
        </is>
      </c>
      <c r="E1053" s="5" t="inlineStr">
        <is>
          <t>Positivo</t>
        </is>
      </c>
      <c r="F1053" s="109" t="n">
        <v>45107</v>
      </c>
      <c r="G1053" s="5" t="n">
        <v>2023</v>
      </c>
      <c r="H1053" s="5" t="inlineStr">
        <is>
          <t>Junio</t>
        </is>
      </c>
      <c r="I1053" s="6" t="inlineStr">
        <is>
          <t>2023-1</t>
        </is>
      </c>
      <c r="J1053" s="5" t="n"/>
      <c r="K1053" s="5" t="n">
        <v>3.0055354363176</v>
      </c>
      <c r="L1053" s="14" t="n"/>
      <c r="M1053" s="14" t="n"/>
      <c r="N1053" s="5" t="inlineStr">
        <is>
          <t>Metrica</t>
        </is>
      </c>
      <c r="O1053" s="5" t="n"/>
      <c r="P1053" s="5" t="n">
        <v>0</v>
      </c>
      <c r="Q1053" s="5" t="n">
        <v>2</v>
      </c>
      <c r="R1053" s="5" t="inlineStr">
        <is>
          <t>357-2023-06-30</t>
        </is>
      </c>
    </row>
    <row r="1054" hidden="1">
      <c r="A1054" s="5" t="n">
        <v>357</v>
      </c>
      <c r="B1054" s="5" t="inlineStr">
        <is>
          <t>Cartera</t>
        </is>
      </c>
      <c r="C1054" s="5" t="inlineStr">
        <is>
          <t>Tesorería</t>
        </is>
      </c>
      <c r="D1054" s="5" t="inlineStr">
        <is>
          <t>Semestral</t>
        </is>
      </c>
      <c r="E1054" s="5" t="inlineStr">
        <is>
          <t>Positivo</t>
        </is>
      </c>
      <c r="F1054" s="109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5" t="n"/>
      <c r="K1054" s="5" t="n">
        <v>4.45</v>
      </c>
      <c r="L1054" s="14" t="n"/>
      <c r="M1054" s="14" t="n"/>
      <c r="N1054" s="5" t="inlineStr">
        <is>
          <t>Metrica</t>
        </is>
      </c>
      <c r="O1054" s="5" t="n"/>
      <c r="P1054" s="5" t="n">
        <v>0</v>
      </c>
      <c r="Q1054" s="5" t="n">
        <v>2</v>
      </c>
      <c r="R1054" s="5" t="inlineStr">
        <is>
          <t>357-2023-12-31</t>
        </is>
      </c>
    </row>
    <row r="1055" hidden="1">
      <c r="A1055" s="5" t="n">
        <v>357</v>
      </c>
      <c r="B1055" s="5" t="inlineStr">
        <is>
          <t>Cartera</t>
        </is>
      </c>
      <c r="C1055" s="5" t="inlineStr">
        <is>
          <t>Tesorería</t>
        </is>
      </c>
      <c r="D1055" s="5" t="inlineStr">
        <is>
          <t>Semestral</t>
        </is>
      </c>
      <c r="E1055" s="5" t="inlineStr">
        <is>
          <t>Positivo</t>
        </is>
      </c>
      <c r="F1055" s="109" t="n">
        <v>45473</v>
      </c>
      <c r="G1055" s="5" t="n">
        <v>2024</v>
      </c>
      <c r="H1055" s="5" t="inlineStr">
        <is>
          <t>Junio</t>
        </is>
      </c>
      <c r="I1055" s="6" t="inlineStr">
        <is>
          <t>2024-1</t>
        </is>
      </c>
      <c r="J1055" s="5" t="n"/>
      <c r="K1055" s="5" t="n">
        <v>3.87</v>
      </c>
      <c r="L1055" s="14" t="n"/>
      <c r="M1055" s="14" t="n"/>
      <c r="N1055" s="5" t="inlineStr">
        <is>
          <t>Metrica</t>
        </is>
      </c>
      <c r="O1055" s="5" t="n"/>
      <c r="P1055" s="5" t="n">
        <v>0</v>
      </c>
      <c r="Q1055" s="5" t="n">
        <v>2</v>
      </c>
      <c r="R1055" s="5" t="inlineStr">
        <is>
          <t>357-2024-06-30</t>
        </is>
      </c>
    </row>
    <row r="1056" hidden="1">
      <c r="A1056" s="5" t="n">
        <v>357</v>
      </c>
      <c r="B1056" s="5" t="inlineStr">
        <is>
          <t>Cartera</t>
        </is>
      </c>
      <c r="C1056" s="5" t="inlineStr">
        <is>
          <t>Tesorería</t>
        </is>
      </c>
      <c r="D1056" s="5" t="inlineStr">
        <is>
          <t>Semestral</t>
        </is>
      </c>
      <c r="E1056" s="5" t="inlineStr">
        <is>
          <t>Positivo</t>
        </is>
      </c>
      <c r="F1056" s="109" t="n">
        <v>45657</v>
      </c>
      <c r="G1056" s="5" t="n">
        <v>2024</v>
      </c>
      <c r="H1056" s="5" t="inlineStr">
        <is>
          <t>Diciembre</t>
        </is>
      </c>
      <c r="I1056" s="6" t="inlineStr">
        <is>
          <t>2024-2</t>
        </is>
      </c>
      <c r="J1056" s="5" t="n"/>
      <c r="K1056" s="5" t="n">
        <v>0.51</v>
      </c>
      <c r="L1056" s="14" t="n"/>
      <c r="M1056" s="14" t="n"/>
      <c r="N1056" s="5" t="inlineStr">
        <is>
          <t>Metrica</t>
        </is>
      </c>
      <c r="O1056" s="5" t="n"/>
      <c r="P1056" s="5" t="n">
        <v>0</v>
      </c>
      <c r="Q1056" s="5" t="n">
        <v>2</v>
      </c>
      <c r="R1056" s="5" t="inlineStr">
        <is>
          <t>357-2024-12-31</t>
        </is>
      </c>
    </row>
    <row r="1057" hidden="1">
      <c r="A1057" s="5" t="n">
        <v>357</v>
      </c>
      <c r="B1057" s="5" t="inlineStr">
        <is>
          <t>Cartera</t>
        </is>
      </c>
      <c r="C1057" s="5" t="inlineStr">
        <is>
          <t>Tesorería</t>
        </is>
      </c>
      <c r="D1057" s="5" t="inlineStr">
        <is>
          <t>Semestral</t>
        </is>
      </c>
      <c r="E1057" s="5" t="inlineStr">
        <is>
          <t>Positivo</t>
        </is>
      </c>
      <c r="F1057" s="109" t="n">
        <v>45838</v>
      </c>
      <c r="G1057" s="5" t="n">
        <v>2025</v>
      </c>
      <c r="H1057" s="5" t="inlineStr">
        <is>
          <t>Junio</t>
        </is>
      </c>
      <c r="I1057" s="6" t="inlineStr">
        <is>
          <t>2025-1</t>
        </is>
      </c>
      <c r="J1057" s="5" t="n"/>
      <c r="K1057" s="5" t="n">
        <v>0.85</v>
      </c>
      <c r="L1057" s="14" t="n"/>
      <c r="M1057" s="14" t="n"/>
      <c r="N1057" s="5" t="inlineStr">
        <is>
          <t>Metrica</t>
        </is>
      </c>
      <c r="O1057" s="5" t="n"/>
      <c r="P1057" s="5" t="n">
        <v>0</v>
      </c>
      <c r="Q1057" s="5" t="n">
        <v>2</v>
      </c>
      <c r="R1057" s="5" t="inlineStr">
        <is>
          <t>357-2025-06-30</t>
        </is>
      </c>
    </row>
    <row r="1058" hidden="1">
      <c r="A1058" s="21" t="n">
        <v>357</v>
      </c>
      <c r="B1058" s="20" t="inlineStr">
        <is>
          <t>Cartera - Metrica</t>
        </is>
      </c>
      <c r="C1058" s="5" t="inlineStr">
        <is>
          <t>Tesorería</t>
        </is>
      </c>
      <c r="D1058" s="5" t="inlineStr">
        <is>
          <t>Trimestral</t>
        </is>
      </c>
      <c r="E1058" s="5" t="inlineStr">
        <is>
          <t>Positivo</t>
        </is>
      </c>
      <c r="F1058" s="109" t="n">
        <v>46022</v>
      </c>
      <c r="G1058" s="5" t="n">
        <v>2025</v>
      </c>
      <c r="H1058" s="5" t="inlineStr">
        <is>
          <t>Diciembre</t>
        </is>
      </c>
      <c r="I1058" s="6" t="inlineStr">
        <is>
          <t>2025-2</t>
        </is>
      </c>
      <c r="J1058" s="5" t="n">
        <v>10049277970</v>
      </c>
      <c r="K1058" s="52" t="n">
        <v>0.44</v>
      </c>
      <c r="L1058" s="14" t="n">
        <v>4.378424015272811e-11</v>
      </c>
      <c r="M1058" s="14" t="n">
        <v>4.378424015272811e-11</v>
      </c>
      <c r="N1058" s="5" t="inlineStr">
        <is>
          <t>Metrica</t>
        </is>
      </c>
      <c r="O1058" s="5" t="n"/>
      <c r="P1058" s="5" t="n">
        <v>0</v>
      </c>
      <c r="Q1058" s="5" t="n">
        <v>2</v>
      </c>
      <c r="R1058" s="5" t="inlineStr">
        <is>
          <t>357-2025-12-31</t>
        </is>
      </c>
      <c r="S1058" t="inlineStr">
        <is>
          <t>Metrica</t>
        </is>
      </c>
    </row>
    <row r="1059" hidden="1">
      <c r="A1059" s="5" t="n">
        <v>358</v>
      </c>
      <c r="B1059" s="5" t="inlineStr">
        <is>
          <t>Acompañamiento a estudiantes en practicas</t>
        </is>
      </c>
      <c r="C1059" s="5" t="inlineStr">
        <is>
          <t>Prácticas</t>
        </is>
      </c>
      <c r="D1059" s="5" t="inlineStr">
        <is>
          <t>Semestral</t>
        </is>
      </c>
      <c r="E1059" s="5" t="inlineStr">
        <is>
          <t>Positivo</t>
        </is>
      </c>
      <c r="F1059" s="109" t="n">
        <v>45107</v>
      </c>
      <c r="G1059" s="5" t="n">
        <v>2023</v>
      </c>
      <c r="H1059" s="5" t="inlineStr">
        <is>
          <t>Junio</t>
        </is>
      </c>
      <c r="I1059" s="6" t="inlineStr">
        <is>
          <t>2023-1</t>
        </is>
      </c>
      <c r="J1059" s="5" t="n">
        <v>87</v>
      </c>
      <c r="K1059" s="15" t="n">
        <v>86.98453608247399</v>
      </c>
      <c r="L1059" s="14" t="n">
        <v>0.9998222538215401</v>
      </c>
      <c r="M1059" s="14" t="n">
        <v>0.9998222538215401</v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358-2023-06-30</t>
        </is>
      </c>
    </row>
    <row r="1060" hidden="1">
      <c r="A1060" s="5" t="n">
        <v>358</v>
      </c>
      <c r="B1060" s="5" t="inlineStr">
        <is>
          <t>Acompañamiento a estudiantes en practicas</t>
        </is>
      </c>
      <c r="C1060" s="5" t="inlineStr">
        <is>
          <t>Prácticas</t>
        </is>
      </c>
      <c r="D1060" s="5" t="inlineStr">
        <is>
          <t>Semestral</t>
        </is>
      </c>
      <c r="E1060" s="5" t="inlineStr">
        <is>
          <t>Positivo</t>
        </is>
      </c>
      <c r="F1060" s="109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87</v>
      </c>
      <c r="K1060" s="5" t="n">
        <v>95</v>
      </c>
      <c r="L1060" s="14" t="n">
        <v>1.091954022988506</v>
      </c>
      <c r="M1060" s="14" t="n">
        <v>1.091954022988506</v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358-2023-12-31</t>
        </is>
      </c>
    </row>
    <row r="1061" hidden="1">
      <c r="A1061" s="5" t="n">
        <v>358</v>
      </c>
      <c r="B1061" s="5" t="inlineStr">
        <is>
          <t>Acompañamiento a estudiantes en practicas</t>
        </is>
      </c>
      <c r="C1061" s="5" t="inlineStr">
        <is>
          <t>Prácticas</t>
        </is>
      </c>
      <c r="D1061" s="5" t="inlineStr">
        <is>
          <t>Semestral</t>
        </is>
      </c>
      <c r="E1061" s="5" t="inlineStr">
        <is>
          <t>Positivo</t>
        </is>
      </c>
      <c r="F1061" s="109" t="n">
        <v>45473</v>
      </c>
      <c r="G1061" s="5" t="n">
        <v>2024</v>
      </c>
      <c r="H1061" s="5" t="inlineStr">
        <is>
          <t>Junio</t>
        </is>
      </c>
      <c r="I1061" s="6" t="inlineStr">
        <is>
          <t>2024-1</t>
        </is>
      </c>
      <c r="J1061" s="5" t="n">
        <v>87</v>
      </c>
      <c r="K1061" s="5" t="n">
        <v>97.98999999999999</v>
      </c>
      <c r="L1061" s="14" t="n">
        <v>1.12632183908046</v>
      </c>
      <c r="M1061" s="14" t="n">
        <v>1.12632183908046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358-2024-06-30</t>
        </is>
      </c>
    </row>
    <row r="1062" hidden="1">
      <c r="A1062" s="5" t="n">
        <v>358</v>
      </c>
      <c r="B1062" s="5" t="inlineStr">
        <is>
          <t>Acompañamiento a estudiantes en practicas</t>
        </is>
      </c>
      <c r="C1062" s="5" t="inlineStr">
        <is>
          <t>Prácticas</t>
        </is>
      </c>
      <c r="D1062" s="5" t="inlineStr">
        <is>
          <t>Semestral</t>
        </is>
      </c>
      <c r="E1062" s="5" t="inlineStr">
        <is>
          <t>Positivo</t>
        </is>
      </c>
      <c r="F1062" s="109" t="n">
        <v>45657</v>
      </c>
      <c r="G1062" s="5" t="n">
        <v>2024</v>
      </c>
      <c r="H1062" s="5" t="inlineStr">
        <is>
          <t>Diciembre</t>
        </is>
      </c>
      <c r="I1062" s="6" t="inlineStr">
        <is>
          <t>2024-2</t>
        </is>
      </c>
      <c r="J1062" s="5" t="n">
        <v>87</v>
      </c>
      <c r="K1062" s="5" t="n">
        <v>100</v>
      </c>
      <c r="L1062" s="14" t="n">
        <v>1.149425287356322</v>
      </c>
      <c r="M1062" s="14" t="n">
        <v>1.149425287356322</v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358-2024-12-31</t>
        </is>
      </c>
    </row>
    <row r="1063" hidden="1">
      <c r="A1063" s="5" t="n">
        <v>358</v>
      </c>
      <c r="B1063" s="5" t="inlineStr">
        <is>
          <t>Acompañamiento a estudiantes en practicas</t>
        </is>
      </c>
      <c r="C1063" s="5" t="inlineStr">
        <is>
          <t>Prácticas</t>
        </is>
      </c>
      <c r="D1063" s="5" t="inlineStr">
        <is>
          <t>Semestral</t>
        </is>
      </c>
      <c r="E1063" s="5" t="inlineStr">
        <is>
          <t>Positivo</t>
        </is>
      </c>
      <c r="F1063" s="109" t="n">
        <v>45838</v>
      </c>
      <c r="G1063" s="5" t="n">
        <v>2025</v>
      </c>
      <c r="H1063" s="5" t="inlineStr">
        <is>
          <t>Junio</t>
        </is>
      </c>
      <c r="I1063" s="6" t="inlineStr">
        <is>
          <t>2025-1</t>
        </is>
      </c>
      <c r="J1063" s="5" t="n">
        <v>100</v>
      </c>
      <c r="K1063" s="5" t="n">
        <v>100</v>
      </c>
      <c r="L1063" s="14" t="n">
        <v>1</v>
      </c>
      <c r="M1063" s="14" t="n">
        <v>1</v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358-2025-06-30</t>
        </is>
      </c>
    </row>
    <row r="1064" hidden="1">
      <c r="A1064" s="5" t="n">
        <v>358</v>
      </c>
      <c r="B1064" s="5" t="inlineStr">
        <is>
          <t>Nivel de acompañamiento a estudiantes en práctica</t>
        </is>
      </c>
      <c r="C1064" s="5" t="inlineStr">
        <is>
          <t>Prácticas</t>
        </is>
      </c>
      <c r="D1064" s="5" t="inlineStr">
        <is>
          <t>Trimestral</t>
        </is>
      </c>
      <c r="E1064" s="5" t="inlineStr">
        <is>
          <t>Positivo</t>
        </is>
      </c>
      <c r="F1064" s="109" t="n">
        <v>46022</v>
      </c>
      <c r="G1064" s="5" t="n">
        <v>2025</v>
      </c>
      <c r="H1064" s="5" t="inlineStr">
        <is>
          <t>Diciembre</t>
        </is>
      </c>
      <c r="I1064" s="6" t="inlineStr">
        <is>
          <t>2025-2</t>
        </is>
      </c>
      <c r="J1064" s="5" t="n">
        <v>100</v>
      </c>
      <c r="K1064" s="5" t="n">
        <v>100</v>
      </c>
      <c r="L1064" s="14" t="n">
        <v>1</v>
      </c>
      <c r="M1064" s="14" t="n">
        <v>1</v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358-2025-12-31</t>
        </is>
      </c>
    </row>
    <row r="1065" hidden="1">
      <c r="A1065" s="5" t="n">
        <v>359</v>
      </c>
      <c r="B1065" s="5" t="inlineStr">
        <is>
          <t>Porcentaje Iniciativas aprobadas</t>
        </is>
      </c>
      <c r="C1065" s="5" t="inlineStr">
        <is>
          <t>EXPERIENCIA INSTITUCIONAL</t>
        </is>
      </c>
      <c r="D1065" s="5" t="inlineStr">
        <is>
          <t>Anual</t>
        </is>
      </c>
      <c r="E1065" s="5" t="inlineStr">
        <is>
          <t>Positivo</t>
        </is>
      </c>
      <c r="F1065" s="109" t="n">
        <v>45291</v>
      </c>
      <c r="G1065" s="5" t="n">
        <v>2023</v>
      </c>
      <c r="H1065" s="5" t="inlineStr">
        <is>
          <t>Diciembre</t>
        </is>
      </c>
      <c r="I1065" s="6" t="inlineStr">
        <is>
          <t>2023-2</t>
        </is>
      </c>
      <c r="J1065" s="5" t="n"/>
      <c r="K1065" s="5" t="n">
        <v>0</v>
      </c>
      <c r="L1065" s="14" t="n"/>
      <c r="M1065" s="14" t="n"/>
      <c r="N1065" s="5" t="n"/>
      <c r="O1065" s="5" t="n"/>
      <c r="P1065" s="5" t="n">
        <v>0</v>
      </c>
      <c r="Q1065" s="5" t="n">
        <v>0</v>
      </c>
      <c r="R1065" s="5" t="inlineStr">
        <is>
          <t>359-2023-12-31</t>
        </is>
      </c>
    </row>
    <row r="1066" hidden="1">
      <c r="A1066" s="5" t="n">
        <v>359</v>
      </c>
      <c r="B1066" s="5" t="inlineStr">
        <is>
          <t>Satisfacción Institucional CSAT</t>
        </is>
      </c>
      <c r="C1066" s="5" t="inlineStr">
        <is>
          <t>EXPERIENCIA INSTITUCIONAL</t>
        </is>
      </c>
      <c r="D1066" s="5" t="inlineStr">
        <is>
          <t>Trimestral</t>
        </is>
      </c>
      <c r="E1066" s="5" t="inlineStr">
        <is>
          <t>Positivo</t>
        </is>
      </c>
      <c r="F1066" s="109" t="n">
        <v>45473</v>
      </c>
      <c r="G1066" s="5" t="n">
        <v>2024</v>
      </c>
      <c r="H1066" s="5" t="inlineStr">
        <is>
          <t>Junio</t>
        </is>
      </c>
      <c r="I1066" s="6" t="inlineStr">
        <is>
          <t>2024-1</t>
        </is>
      </c>
      <c r="J1066" s="5" t="n">
        <v>80</v>
      </c>
      <c r="K1066" s="5" t="n">
        <v>0</v>
      </c>
      <c r="L1066" s="14" t="n">
        <v>0</v>
      </c>
      <c r="M1066" s="14" t="n">
        <v>0</v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 t="inlineStr">
        <is>
          <t>359-2024-06-30</t>
        </is>
      </c>
    </row>
    <row r="1067" hidden="1">
      <c r="A1067" s="5" t="n">
        <v>359</v>
      </c>
      <c r="B1067" s="5" t="inlineStr">
        <is>
          <t>Satisfacción Institucional</t>
        </is>
      </c>
      <c r="C1067" s="5" t="inlineStr">
        <is>
          <t>EXPERIENCIA INSTITUCIONAL</t>
        </is>
      </c>
      <c r="D1067" s="5" t="inlineStr">
        <is>
          <t>Semestral</t>
        </is>
      </c>
      <c r="E1067" s="5" t="inlineStr">
        <is>
          <t>Positivo</t>
        </is>
      </c>
      <c r="F1067" s="109" t="n">
        <v>45657</v>
      </c>
      <c r="G1067" s="5" t="n">
        <v>2024</v>
      </c>
      <c r="H1067" s="5" t="inlineStr">
        <is>
          <t>Diciembre</t>
        </is>
      </c>
      <c r="I1067" s="6" t="inlineStr">
        <is>
          <t>2024-2</t>
        </is>
      </c>
      <c r="J1067" s="5" t="n">
        <v>80</v>
      </c>
      <c r="K1067" s="5" t="n">
        <v>86</v>
      </c>
      <c r="L1067" s="14" t="n">
        <v>1.075</v>
      </c>
      <c r="M1067" s="14" t="n">
        <v>1.075</v>
      </c>
      <c r="N1067" s="5" t="inlineStr">
        <is>
          <t>%</t>
        </is>
      </c>
      <c r="O1067" s="5" t="inlineStr">
        <is>
          <t>%</t>
        </is>
      </c>
      <c r="P1067" s="5" t="n">
        <v>0</v>
      </c>
      <c r="Q1067" s="5" t="n">
        <v>0</v>
      </c>
      <c r="R1067" s="5" t="inlineStr">
        <is>
          <t>359-2024-12-31</t>
        </is>
      </c>
    </row>
    <row r="1068" hidden="1">
      <c r="A1068" s="5" t="n">
        <v>359</v>
      </c>
      <c r="B1068" s="5" t="inlineStr">
        <is>
          <t>Satisfacción Institucional</t>
        </is>
      </c>
      <c r="C1068" s="5" t="inlineStr">
        <is>
          <t>EXPERIENCIA INSTITUCIONAL</t>
        </is>
      </c>
      <c r="D1068" s="5" t="inlineStr">
        <is>
          <t>Semestral</t>
        </is>
      </c>
      <c r="E1068" s="5" t="inlineStr">
        <is>
          <t>Positivo</t>
        </is>
      </c>
      <c r="F1068" s="109" t="n">
        <v>45838</v>
      </c>
      <c r="G1068" s="5" t="n">
        <v>2025</v>
      </c>
      <c r="H1068" s="5" t="inlineStr">
        <is>
          <t>Junio</t>
        </is>
      </c>
      <c r="I1068" s="6" t="inlineStr">
        <is>
          <t>2025-1</t>
        </is>
      </c>
      <c r="J1068" s="5" t="n">
        <v>80</v>
      </c>
      <c r="K1068" s="5" t="n">
        <v>90</v>
      </c>
      <c r="L1068" s="14" t="n">
        <v>1.125</v>
      </c>
      <c r="M1068" s="14" t="n">
        <v>1.125</v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359-2025-06-30</t>
        </is>
      </c>
    </row>
    <row r="1069" hidden="1">
      <c r="A1069" s="5" t="n">
        <v>359</v>
      </c>
      <c r="B1069" s="5" t="inlineStr">
        <is>
          <t>Satisfacción Institucional CSAT</t>
        </is>
      </c>
      <c r="C1069" s="5" t="inlineStr">
        <is>
          <t>EXPERIENCIA INSTITUCIONAL</t>
        </is>
      </c>
      <c r="D1069" s="5" t="inlineStr">
        <is>
          <t>Trimestral</t>
        </is>
      </c>
      <c r="E1069" s="5" t="inlineStr">
        <is>
          <t>Positivo</t>
        </is>
      </c>
      <c r="F1069" s="109" t="n">
        <v>46022</v>
      </c>
      <c r="G1069" s="5" t="n">
        <v>2025</v>
      </c>
      <c r="H1069" s="5" t="inlineStr">
        <is>
          <t>Diciembre</t>
        </is>
      </c>
      <c r="I1069" s="6" t="inlineStr">
        <is>
          <t>2025-2</t>
        </is>
      </c>
      <c r="J1069" s="5" t="n">
        <v>85</v>
      </c>
      <c r="K1069" s="5" t="n">
        <v>89.90000000000001</v>
      </c>
      <c r="L1069" s="14" t="n">
        <v>1.057647058823529</v>
      </c>
      <c r="M1069" s="14" t="n">
        <v>1.057647058823529</v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359-2025-12-31</t>
        </is>
      </c>
    </row>
    <row r="1070" hidden="1">
      <c r="A1070" s="5" t="n">
        <v>360</v>
      </c>
      <c r="B1070" s="5" t="inlineStr">
        <is>
          <t>Cumplimiento de cronogramas</t>
        </is>
      </c>
      <c r="C1070" s="5" t="inlineStr">
        <is>
          <t>EXPERIENCIA INSTITUCIONAL</t>
        </is>
      </c>
      <c r="D1070" s="5" t="inlineStr">
        <is>
          <t>Semestral</t>
        </is>
      </c>
      <c r="E1070" s="5" t="inlineStr">
        <is>
          <t>Positivo</t>
        </is>
      </c>
      <c r="F1070" s="109" t="n">
        <v>45107</v>
      </c>
      <c r="G1070" s="5" t="n">
        <v>2023</v>
      </c>
      <c r="H1070" s="5" t="inlineStr">
        <is>
          <t>Junio</t>
        </is>
      </c>
      <c r="I1070" s="6" t="inlineStr">
        <is>
          <t>2023-1</t>
        </is>
      </c>
      <c r="J1070" s="5" t="n">
        <v>0</v>
      </c>
      <c r="K1070" s="5" t="n">
        <v>0</v>
      </c>
      <c r="L1070" s="14" t="n">
        <v>1</v>
      </c>
      <c r="M1070" s="14" t="n">
        <v>1</v>
      </c>
      <c r="N1070" s="5" t="n"/>
      <c r="O1070" s="5" t="n"/>
      <c r="P1070" s="5" t="n">
        <v>0</v>
      </c>
      <c r="Q1070" s="5" t="n">
        <v>0</v>
      </c>
      <c r="R1070" s="5" t="inlineStr">
        <is>
          <t>360-2023-06-30</t>
        </is>
      </c>
    </row>
    <row r="1071" hidden="1">
      <c r="A1071" s="5" t="n">
        <v>360</v>
      </c>
      <c r="B1071" s="5" t="inlineStr">
        <is>
          <t>Cumplimiento de cronogramas</t>
        </is>
      </c>
      <c r="C1071" s="5" t="inlineStr">
        <is>
          <t>EXPERIENCIA INSTITUCIONAL</t>
        </is>
      </c>
      <c r="D1071" s="5" t="inlineStr">
        <is>
          <t>Semestral</t>
        </is>
      </c>
      <c r="E1071" s="5" t="inlineStr">
        <is>
          <t>Positivo</t>
        </is>
      </c>
      <c r="F1071" s="109" t="n">
        <v>45291</v>
      </c>
      <c r="G1071" s="5" t="n">
        <v>2023</v>
      </c>
      <c r="H1071" s="5" t="inlineStr">
        <is>
          <t>Diciembre</t>
        </is>
      </c>
      <c r="I1071" s="6" t="inlineStr">
        <is>
          <t>2023-2</t>
        </is>
      </c>
      <c r="J1071" s="5" t="n">
        <v>0</v>
      </c>
      <c r="K1071" s="5" t="n">
        <v>0</v>
      </c>
      <c r="L1071" s="14" t="n">
        <v>1</v>
      </c>
      <c r="M1071" s="14" t="n">
        <v>1</v>
      </c>
      <c r="N1071" s="5" t="n"/>
      <c r="O1071" s="5" t="n"/>
      <c r="P1071" s="5" t="n">
        <v>0</v>
      </c>
      <c r="Q1071" s="5" t="n">
        <v>0</v>
      </c>
      <c r="R1071" s="5" t="inlineStr">
        <is>
          <t>360-2023-12-31</t>
        </is>
      </c>
    </row>
    <row r="1072" hidden="1">
      <c r="A1072" s="5" t="n">
        <v>361</v>
      </c>
      <c r="B1072" s="5" t="inlineStr">
        <is>
          <t>Inclusión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09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4.5</v>
      </c>
      <c r="K1072" s="5" t="n">
        <v>4.56</v>
      </c>
      <c r="L1072" s="14" t="n">
        <v>1.013333333333333</v>
      </c>
      <c r="M1072" s="14" t="n">
        <v>1.013333333333333</v>
      </c>
      <c r="N1072" s="5" t="n"/>
      <c r="O1072" s="5" t="n"/>
      <c r="P1072" s="5" t="n">
        <v>2</v>
      </c>
      <c r="Q1072" s="5" t="n">
        <v>2</v>
      </c>
      <c r="R1072" s="5" t="inlineStr">
        <is>
          <t>361-2023-12-31</t>
        </is>
      </c>
    </row>
    <row r="1073" hidden="1">
      <c r="A1073" s="5" t="n">
        <v>361</v>
      </c>
      <c r="B1073" s="5" t="inlineStr">
        <is>
          <t>Inclusión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09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0</v>
      </c>
      <c r="K1073" s="5" t="n"/>
      <c r="L1073" s="14" t="n"/>
      <c r="M1073" s="14" t="n"/>
      <c r="N1073" s="5" t="inlineStr">
        <is>
          <t>ENT</t>
        </is>
      </c>
      <c r="O1073" s="5" t="inlineStr">
        <is>
          <t>N/A</t>
        </is>
      </c>
      <c r="P1073" s="5" t="n">
        <v>0</v>
      </c>
      <c r="Q1073" s="5" t="n">
        <v>0</v>
      </c>
      <c r="R1073" s="5" t="inlineStr">
        <is>
          <t>361-2024-12-31</t>
        </is>
      </c>
    </row>
    <row r="1074" hidden="1">
      <c r="A1074" s="5" t="n">
        <v>361</v>
      </c>
      <c r="B1074" s="5" t="inlineStr">
        <is>
          <t>Índice de Inclusión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09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4.6</v>
      </c>
      <c r="K1074" s="5" t="n">
        <v>4.78</v>
      </c>
      <c r="L1074" s="14" t="n">
        <v>1.039130434782609</v>
      </c>
      <c r="M1074" s="14" t="n">
        <v>1.039130434782609</v>
      </c>
      <c r="N1074" s="5" t="inlineStr">
        <is>
          <t>DEC</t>
        </is>
      </c>
      <c r="O1074" s="5" t="inlineStr">
        <is>
          <t>DEC</t>
        </is>
      </c>
      <c r="P1074" s="5" t="n">
        <v>1</v>
      </c>
      <c r="Q1074" s="5" t="n">
        <v>2</v>
      </c>
      <c r="R1074" s="5" t="inlineStr">
        <is>
          <t>361-2025-12-31</t>
        </is>
      </c>
    </row>
    <row r="1075" hidden="1">
      <c r="A1075" s="5" t="n">
        <v>362</v>
      </c>
      <c r="B1075" s="5" t="inlineStr">
        <is>
          <t>Aseguramiento de matricula académica presencial</t>
        </is>
      </c>
      <c r="C1075" s="5" t="inlineStr">
        <is>
          <t>Operaciones Académica pregrado y posgrado presencial.</t>
        </is>
      </c>
      <c r="D1075" s="5" t="inlineStr">
        <is>
          <t>Semestral</t>
        </is>
      </c>
      <c r="E1075" s="5" t="inlineStr">
        <is>
          <t>Positivo</t>
        </is>
      </c>
      <c r="F1075" s="109" t="n">
        <v>45291</v>
      </c>
      <c r="G1075" s="5" t="n">
        <v>2023</v>
      </c>
      <c r="H1075" s="5" t="inlineStr">
        <is>
          <t>Diciembre</t>
        </is>
      </c>
      <c r="I1075" s="6" t="inlineStr">
        <is>
          <t>2023-2</t>
        </is>
      </c>
      <c r="J1075" s="5" t="n">
        <v>100</v>
      </c>
      <c r="K1075" s="5" t="n">
        <v>99.156641448592</v>
      </c>
      <c r="L1075" s="14" t="n">
        <v>0.99156641448592</v>
      </c>
      <c r="M1075" s="14" t="n">
        <v>0.99156641448592</v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362-2023-12-31</t>
        </is>
      </c>
    </row>
    <row r="1076" hidden="1">
      <c r="A1076" s="5" t="n">
        <v>362</v>
      </c>
      <c r="B1076" s="5" t="inlineStr">
        <is>
          <t>Aseguramiento de matricula académica presencial</t>
        </is>
      </c>
      <c r="C1076" s="5" t="inlineStr">
        <is>
          <t>Operaciones Académicas</t>
        </is>
      </c>
      <c r="D1076" s="5" t="inlineStr">
        <is>
          <t>Semestral</t>
        </is>
      </c>
      <c r="E1076" s="5" t="inlineStr">
        <is>
          <t>Positivo</t>
        </is>
      </c>
      <c r="F1076" s="109" t="n">
        <v>45473</v>
      </c>
      <c r="G1076" s="5" t="n">
        <v>2024</v>
      </c>
      <c r="H1076" s="5" t="inlineStr">
        <is>
          <t>Junio</t>
        </is>
      </c>
      <c r="I1076" s="6" t="inlineStr">
        <is>
          <t>2024-1</t>
        </is>
      </c>
      <c r="J1076" s="5" t="n">
        <v>98</v>
      </c>
      <c r="K1076" s="5" t="n">
        <v>99.58432304038006</v>
      </c>
      <c r="L1076" s="14" t="n">
        <v>1.016166561636531</v>
      </c>
      <c r="M1076" s="14" t="n">
        <v>1.016166561636531</v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362-2024-06-30</t>
        </is>
      </c>
    </row>
    <row r="1077" hidden="1">
      <c r="A1077" s="5" t="n">
        <v>362</v>
      </c>
      <c r="B1077" s="5" t="inlineStr">
        <is>
          <t>Aseguramiento de matricula académica presencial</t>
        </is>
      </c>
      <c r="C1077" s="5" t="inlineStr">
        <is>
          <t>Operaciones Académicas</t>
        </is>
      </c>
      <c r="D1077" s="5" t="inlineStr">
        <is>
          <t>Semestral</t>
        </is>
      </c>
      <c r="E1077" s="5" t="inlineStr">
        <is>
          <t>Positivo</t>
        </is>
      </c>
      <c r="F1077" s="109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98</v>
      </c>
      <c r="K1077" s="5" t="n">
        <v>99.48999999999999</v>
      </c>
      <c r="L1077" s="14" t="n">
        <v>1.015204081632653</v>
      </c>
      <c r="M1077" s="14" t="n">
        <v>1.015204081632653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362-2024-12-31</t>
        </is>
      </c>
    </row>
    <row r="1078" hidden="1">
      <c r="A1078" s="5" t="n">
        <v>362</v>
      </c>
      <c r="B1078" s="5" t="inlineStr">
        <is>
          <t>Aseguramiento de matricula académica presencial</t>
        </is>
      </c>
      <c r="C1078" s="5" t="inlineStr">
        <is>
          <t>Operaciones Académicas</t>
        </is>
      </c>
      <c r="D1078" s="5" t="inlineStr">
        <is>
          <t>Semestral</t>
        </is>
      </c>
      <c r="E1078" s="5" t="inlineStr">
        <is>
          <t>Positivo</t>
        </is>
      </c>
      <c r="F1078" s="109" t="n">
        <v>45838</v>
      </c>
      <c r="G1078" s="5" t="n">
        <v>2025</v>
      </c>
      <c r="H1078" s="5" t="inlineStr">
        <is>
          <t>Junio</t>
        </is>
      </c>
      <c r="I1078" s="6" t="inlineStr">
        <is>
          <t>2025-1</t>
        </is>
      </c>
      <c r="J1078" s="5" t="n">
        <v>98</v>
      </c>
      <c r="K1078" s="5" t="n">
        <v>99.63</v>
      </c>
      <c r="L1078" s="14" t="n">
        <v>1.016632653061224</v>
      </c>
      <c r="M1078" s="14" t="n">
        <v>1.016632653061224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362-2025-06-30</t>
        </is>
      </c>
    </row>
    <row r="1079" hidden="1">
      <c r="A1079" s="5" t="n">
        <v>362</v>
      </c>
      <c r="B1079" s="5" t="inlineStr">
        <is>
          <t>Aseguramiento de matricula académica presencial</t>
        </is>
      </c>
      <c r="C1079" s="5" t="inlineStr">
        <is>
          <t>Operaciones Académicas</t>
        </is>
      </c>
      <c r="D1079" s="5" t="inlineStr">
        <is>
          <t>Trimestral</t>
        </is>
      </c>
      <c r="E1079" s="5" t="inlineStr">
        <is>
          <t>Positivo</t>
        </is>
      </c>
      <c r="F1079" s="109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98</v>
      </c>
      <c r="K1079" s="5" t="n">
        <v>99.7</v>
      </c>
      <c r="L1079" s="14" t="n">
        <v>1.01734693877551</v>
      </c>
      <c r="M1079" s="14" t="n">
        <v>1.01734693877551</v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362-2025-12-31</t>
        </is>
      </c>
    </row>
    <row r="1080" hidden="1">
      <c r="A1080" s="5" t="n">
        <v>363</v>
      </c>
      <c r="B1080" s="5" t="inlineStr">
        <is>
          <t>Seguimiento a la parametrización de aulas master y secciones de asignaturas</t>
        </is>
      </c>
      <c r="C1080" s="5" t="inlineStr">
        <is>
          <t>Operaciones Académica pregrado y posgrado virtual</t>
        </is>
      </c>
      <c r="D1080" s="5" t="inlineStr">
        <is>
          <t>Semestral</t>
        </is>
      </c>
      <c r="E1080" s="5" t="inlineStr">
        <is>
          <t>Positivo</t>
        </is>
      </c>
      <c r="F1080" s="109" t="n">
        <v>45107</v>
      </c>
      <c r="G1080" s="5" t="n">
        <v>2023</v>
      </c>
      <c r="H1080" s="5" t="inlineStr">
        <is>
          <t>Junio</t>
        </is>
      </c>
      <c r="I1080" s="6" t="inlineStr">
        <is>
          <t>2023-1</t>
        </is>
      </c>
      <c r="J1080" s="5" t="n">
        <v>0</v>
      </c>
      <c r="K1080" s="5" t="n">
        <v>0</v>
      </c>
      <c r="L1080" s="14" t="n">
        <v>1</v>
      </c>
      <c r="M1080" s="14" t="n">
        <v>1</v>
      </c>
      <c r="N1080" s="5" t="n"/>
      <c r="O1080" s="5" t="n"/>
      <c r="P1080" s="5" t="n">
        <v>0</v>
      </c>
      <c r="Q1080" s="5" t="n">
        <v>0</v>
      </c>
      <c r="R1080" s="5" t="inlineStr">
        <is>
          <t>363-2023-06-30</t>
        </is>
      </c>
    </row>
    <row r="1081" hidden="1">
      <c r="A1081" s="5" t="n">
        <v>363</v>
      </c>
      <c r="B1081" s="5" t="inlineStr">
        <is>
          <t>Seguimiento a la parametrización de aulas master y secciones de asignaturas</t>
        </is>
      </c>
      <c r="C1081" s="5" t="inlineStr">
        <is>
          <t>Operaciones Académica pregrado y posgrado virtual</t>
        </is>
      </c>
      <c r="D1081" s="5" t="inlineStr">
        <is>
          <t>Semestral</t>
        </is>
      </c>
      <c r="E1081" s="5" t="inlineStr">
        <is>
          <t>Positivo</t>
        </is>
      </c>
      <c r="F1081" s="109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100</v>
      </c>
      <c r="K1081" s="5" t="n">
        <v>100</v>
      </c>
      <c r="L1081" s="14" t="n">
        <v>1</v>
      </c>
      <c r="M1081" s="14" t="n">
        <v>1</v>
      </c>
      <c r="N1081" s="5" t="n"/>
      <c r="O1081" s="5" t="n"/>
      <c r="P1081" s="5" t="n">
        <v>0</v>
      </c>
      <c r="Q1081" s="5" t="n">
        <v>0</v>
      </c>
      <c r="R1081" s="5" t="inlineStr">
        <is>
          <t>363-2023-12-31</t>
        </is>
      </c>
    </row>
    <row r="1082" hidden="1">
      <c r="A1082" s="5" t="n">
        <v>363</v>
      </c>
      <c r="B1082" s="5" t="inlineStr">
        <is>
          <t>Seguimiento a la parametrización de aulas master y secciones de asignaturas</t>
        </is>
      </c>
      <c r="C1082" s="5" t="inlineStr">
        <is>
          <t>Operaciones Académicas</t>
        </is>
      </c>
      <c r="D1082" s="5" t="inlineStr">
        <is>
          <t>Semestral</t>
        </is>
      </c>
      <c r="E1082" s="5" t="inlineStr">
        <is>
          <t>Positivo</t>
        </is>
      </c>
      <c r="F1082" s="109" t="n">
        <v>45473</v>
      </c>
      <c r="G1082" s="5" t="n">
        <v>2024</v>
      </c>
      <c r="H1082" s="5" t="inlineStr">
        <is>
          <t>Junio</t>
        </is>
      </c>
      <c r="I1082" s="6" t="inlineStr">
        <is>
          <t>2024-1</t>
        </is>
      </c>
      <c r="J1082" s="5" t="n">
        <v>100</v>
      </c>
      <c r="K1082" s="5" t="n">
        <v>100</v>
      </c>
      <c r="L1082" s="14" t="n">
        <v>1</v>
      </c>
      <c r="M1082" s="14" t="n">
        <v>1</v>
      </c>
      <c r="N1082" s="5" t="n"/>
      <c r="O1082" s="5" t="n"/>
      <c r="P1082" s="5" t="n">
        <v>0</v>
      </c>
      <c r="Q1082" s="5" t="n">
        <v>0</v>
      </c>
      <c r="R1082" s="5" t="inlineStr">
        <is>
          <t>363-2024-06-30</t>
        </is>
      </c>
    </row>
    <row r="1083" hidden="1">
      <c r="A1083" s="5" t="n">
        <v>363</v>
      </c>
      <c r="B1083" s="5" t="inlineStr">
        <is>
          <t>Seguimiento a la parametrización de aulas master y secciones de asignaturas</t>
        </is>
      </c>
      <c r="C1083" s="5" t="inlineStr">
        <is>
          <t>Operaciones Académicas</t>
        </is>
      </c>
      <c r="D1083" s="5" t="inlineStr">
        <is>
          <t>Semestral</t>
        </is>
      </c>
      <c r="E1083" s="5" t="inlineStr">
        <is>
          <t>Positivo</t>
        </is>
      </c>
      <c r="F1083" s="109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100</v>
      </c>
      <c r="K1083" s="5" t="n">
        <v>100</v>
      </c>
      <c r="L1083" s="14" t="n">
        <v>1</v>
      </c>
      <c r="M1083" s="14" t="n">
        <v>1</v>
      </c>
      <c r="N1083" s="5" t="n"/>
      <c r="O1083" s="5" t="n"/>
      <c r="P1083" s="5" t="n">
        <v>0</v>
      </c>
      <c r="Q1083" s="5" t="n">
        <v>0</v>
      </c>
      <c r="R1083" s="5" t="inlineStr">
        <is>
          <t>363-2024-12-31</t>
        </is>
      </c>
    </row>
    <row r="1084" hidden="1">
      <c r="A1084" s="5" t="n">
        <v>363</v>
      </c>
      <c r="B1084" s="5" t="inlineStr">
        <is>
          <t>Seguimiento a la parametrización de aulas master y secciones de asignaturas</t>
        </is>
      </c>
      <c r="C1084" s="5" t="inlineStr">
        <is>
          <t>Operaciones Académicas</t>
        </is>
      </c>
      <c r="D1084" s="5" t="inlineStr">
        <is>
          <t>Semestral</t>
        </is>
      </c>
      <c r="E1084" s="5" t="inlineStr">
        <is>
          <t>Positivo</t>
        </is>
      </c>
      <c r="F1084" s="109" t="n">
        <v>45838</v>
      </c>
      <c r="G1084" s="5" t="n">
        <v>2025</v>
      </c>
      <c r="H1084" s="5" t="inlineStr">
        <is>
          <t>Junio</t>
        </is>
      </c>
      <c r="I1084" s="6" t="inlineStr">
        <is>
          <t>2025-1</t>
        </is>
      </c>
      <c r="J1084" s="5" t="n">
        <v>100</v>
      </c>
      <c r="K1084" t="n">
        <v>100</v>
      </c>
      <c r="L1084" s="14" t="n">
        <v>1</v>
      </c>
      <c r="M1084" s="14" t="n">
        <v>1</v>
      </c>
      <c r="N1084" s="5" t="n"/>
      <c r="O1084" s="5" t="n"/>
      <c r="P1084" s="5" t="n">
        <v>0</v>
      </c>
      <c r="Q1084" s="5" t="n">
        <v>0</v>
      </c>
      <c r="R1084" s="5" t="inlineStr">
        <is>
          <t>363-2025-06-30</t>
        </is>
      </c>
    </row>
    <row r="1085" hidden="1">
      <c r="A1085" s="5" t="n">
        <v>363</v>
      </c>
      <c r="B1085" s="5" t="inlineStr">
        <is>
          <t>Seguimiento a la parametrización de aulas master y secciones de asignaturas</t>
        </is>
      </c>
      <c r="C1085" s="5" t="inlineStr">
        <is>
          <t>Operaciones Académicas</t>
        </is>
      </c>
      <c r="D1085" s="5" t="inlineStr">
        <is>
          <t>Trimestral</t>
        </is>
      </c>
      <c r="E1085" s="5" t="inlineStr">
        <is>
          <t>Positivo</t>
        </is>
      </c>
      <c r="F1085" s="109" t="n">
        <v>46022</v>
      </c>
      <c r="G1085" s="5" t="n">
        <v>2025</v>
      </c>
      <c r="H1085" s="5" t="inlineStr">
        <is>
          <t>Diciembre</t>
        </is>
      </c>
      <c r="I1085" s="6" t="inlineStr">
        <is>
          <t>2025-2</t>
        </is>
      </c>
      <c r="J1085" s="5" t="n">
        <v>100</v>
      </c>
      <c r="K1085" t="n">
        <v>100</v>
      </c>
      <c r="L1085" s="14" t="n">
        <v>1</v>
      </c>
      <c r="M1085" s="14" t="n">
        <v>1</v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363-2025-12-31</t>
        </is>
      </c>
    </row>
    <row r="1086" hidden="1">
      <c r="A1086" s="5" t="n">
        <v>364</v>
      </c>
      <c r="B1086" s="5" t="inlineStr">
        <is>
          <t>Impacto de actividades de Responsabilidad y proyección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Negativo</t>
        </is>
      </c>
      <c r="F1086" s="109" t="n">
        <v>45107</v>
      </c>
      <c r="G1086" s="5" t="n">
        <v>2023</v>
      </c>
      <c r="H1086" s="5" t="inlineStr">
        <is>
          <t>Junio</t>
        </is>
      </c>
      <c r="I1086" s="6" t="inlineStr">
        <is>
          <t>2023-1</t>
        </is>
      </c>
      <c r="J1086" s="5" t="n">
        <v>0</v>
      </c>
      <c r="K1086" t="n">
        <v>30244</v>
      </c>
      <c r="L1086" s="14" t="n"/>
      <c r="M1086" s="14" t="n"/>
      <c r="N1086" s="5" t="inlineStr">
        <is>
          <t>Linea base</t>
        </is>
      </c>
      <c r="O1086" s="5" t="inlineStr">
        <is>
          <t>ENT</t>
        </is>
      </c>
      <c r="P1086" s="5" t="n">
        <v>0</v>
      </c>
      <c r="Q1086" s="5" t="n">
        <v>0</v>
      </c>
      <c r="R1086" s="5" t="inlineStr">
        <is>
          <t>364-2023-06-30</t>
        </is>
      </c>
    </row>
    <row r="1087" hidden="1">
      <c r="A1087" s="5" t="n">
        <v>364</v>
      </c>
      <c r="B1087" s="5" t="inlineStr">
        <is>
          <t>Impacto de actividades de Responsabilidad y proyección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Negativo</t>
        </is>
      </c>
      <c r="F1087" s="109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0</v>
      </c>
      <c r="K1087" t="n">
        <v>78450</v>
      </c>
      <c r="L1087" s="14" t="n"/>
      <c r="M1087" s="14" t="n"/>
      <c r="N1087" s="5" t="inlineStr">
        <is>
          <t>Linea base</t>
        </is>
      </c>
      <c r="O1087" s="5" t="inlineStr">
        <is>
          <t>ENT</t>
        </is>
      </c>
      <c r="P1087" s="5" t="n">
        <v>0</v>
      </c>
      <c r="Q1087" s="5" t="n">
        <v>0</v>
      </c>
      <c r="R1087" s="5" t="inlineStr">
        <is>
          <t>364-2023-12-31</t>
        </is>
      </c>
    </row>
    <row r="1088" hidden="1">
      <c r="A1088" s="5" t="n">
        <v>364</v>
      </c>
      <c r="B1088" s="5" t="inlineStr">
        <is>
          <t>Impacto de actividades de Responsabilidad y proyección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09" t="n">
        <v>45473</v>
      </c>
      <c r="G1088" s="5" t="n">
        <v>2024</v>
      </c>
      <c r="H1088" s="5" t="inlineStr">
        <is>
          <t>Junio</t>
        </is>
      </c>
      <c r="I1088" s="6" t="inlineStr">
        <is>
          <t>2024-1</t>
        </is>
      </c>
      <c r="J1088" s="5" t="n">
        <v>100</v>
      </c>
      <c r="K1088" t="n">
        <v>132.73</v>
      </c>
      <c r="L1088" s="14" t="n">
        <v>1.3</v>
      </c>
      <c r="M1088" s="14" t="n">
        <v>1.3273</v>
      </c>
      <c r="N1088" s="5" t="inlineStr">
        <is>
          <t>ENT</t>
        </is>
      </c>
      <c r="O1088" s="5" t="inlineStr">
        <is>
          <t>ENT</t>
        </is>
      </c>
      <c r="P1088" s="5" t="n">
        <v>0</v>
      </c>
      <c r="Q1088" s="5" t="n">
        <v>0</v>
      </c>
      <c r="R1088" s="5" t="inlineStr">
        <is>
          <t>364-2024-06-30</t>
        </is>
      </c>
    </row>
    <row r="1089" hidden="1">
      <c r="A1089" s="5" t="n">
        <v>364</v>
      </c>
      <c r="B1089" s="5" t="inlineStr">
        <is>
          <t>Impacto de actividades de Responsabilidad y proyección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09" t="n">
        <v>45657</v>
      </c>
      <c r="G1089" s="5" t="n">
        <v>2024</v>
      </c>
      <c r="H1089" s="5" t="inlineStr">
        <is>
          <t>Diciembre</t>
        </is>
      </c>
      <c r="I1089" s="6" t="inlineStr">
        <is>
          <t>2024-2</t>
        </is>
      </c>
      <c r="J1089" s="5" t="n">
        <v>100</v>
      </c>
      <c r="K1089" t="n">
        <v>98.09</v>
      </c>
      <c r="L1089" s="14" t="n">
        <v>0.9809</v>
      </c>
      <c r="M1089" s="14" t="n">
        <v>0.9809</v>
      </c>
      <c r="N1089" s="5" t="inlineStr">
        <is>
          <t>ENT</t>
        </is>
      </c>
      <c r="O1089" s="5" t="inlineStr">
        <is>
          <t>ENT</t>
        </is>
      </c>
      <c r="P1089" s="5" t="n">
        <v>0</v>
      </c>
      <c r="Q1089" s="5" t="n">
        <v>0</v>
      </c>
      <c r="R1089" s="5" t="inlineStr">
        <is>
          <t>364-2024-12-31</t>
        </is>
      </c>
    </row>
    <row r="1090" hidden="1">
      <c r="A1090" s="5" t="n">
        <v>364</v>
      </c>
      <c r="B1090" s="5" t="inlineStr">
        <is>
          <t>Impacto de actividades de Responsabilidad y proyección</t>
        </is>
      </c>
      <c r="C1090" s="5" t="inlineStr">
        <is>
          <t>Gestión de la Responsabilidad Social</t>
        </is>
      </c>
      <c r="D1090" s="5" t="inlineStr">
        <is>
          <t>Trimestral</t>
        </is>
      </c>
      <c r="E1090" s="5" t="inlineStr">
        <is>
          <t>Positivo</t>
        </is>
      </c>
      <c r="F1090" s="109" t="n">
        <v>45838</v>
      </c>
      <c r="G1090" s="5" t="n">
        <v>2025</v>
      </c>
      <c r="H1090" s="5" t="inlineStr">
        <is>
          <t>Junio</t>
        </is>
      </c>
      <c r="I1090" s="6" t="inlineStr">
        <is>
          <t>2025-1</t>
        </is>
      </c>
      <c r="J1090" s="5" t="n">
        <v>100</v>
      </c>
      <c r="K1090" s="5" t="n">
        <v>93.89</v>
      </c>
      <c r="L1090" s="14" t="n">
        <v>0.9389</v>
      </c>
      <c r="M1090" s="14" t="n">
        <v>0.9389</v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364-2025-06-30</t>
        </is>
      </c>
    </row>
    <row r="1091" hidden="1">
      <c r="A1091" s="5" t="n">
        <v>364</v>
      </c>
      <c r="B1091" s="5" t="inlineStr">
        <is>
          <t>Impacto de actividades de Responsabilidad y proyección</t>
        </is>
      </c>
      <c r="C1091" s="5" t="inlineStr">
        <is>
          <t>Gestión de la Responsabilidad Social</t>
        </is>
      </c>
      <c r="D1091" s="5" t="inlineStr">
        <is>
          <t>Trimestral</t>
        </is>
      </c>
      <c r="E1091" s="5" t="inlineStr">
        <is>
          <t>Positivo</t>
        </is>
      </c>
      <c r="F1091" s="109" t="n">
        <v>46022</v>
      </c>
      <c r="G1091" s="5" t="n">
        <v>2025</v>
      </c>
      <c r="H1091" s="5" t="inlineStr">
        <is>
          <t>Diciembre</t>
        </is>
      </c>
      <c r="I1091" s="6" t="inlineStr">
        <is>
          <t>2025-2</t>
        </is>
      </c>
      <c r="J1091" s="5" t="n">
        <v>100</v>
      </c>
      <c r="K1091" s="5" t="n">
        <v>78.11</v>
      </c>
      <c r="L1091" s="14" t="n">
        <v>0.7811</v>
      </c>
      <c r="M1091" s="14" t="n">
        <v>0.7811</v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364-2025-12-31</t>
        </is>
      </c>
    </row>
    <row r="1092" hidden="1">
      <c r="A1092" s="5" t="n">
        <v>365</v>
      </c>
      <c r="B1092" s="5" t="inlineStr">
        <is>
          <t>Seguimiento de asignación docente a NRC Pregrado-Posgrado Presencial</t>
        </is>
      </c>
      <c r="C1092" s="5" t="inlineStr">
        <is>
          <t>Operaciones Académica pregrado y posgrado presencial.</t>
        </is>
      </c>
      <c r="D1092" s="5" t="inlineStr">
        <is>
          <t>Semestral</t>
        </is>
      </c>
      <c r="E1092" s="5" t="inlineStr">
        <is>
          <t>Positivo</t>
        </is>
      </c>
      <c r="F1092" s="109" t="n">
        <v>45291</v>
      </c>
      <c r="G1092" s="5" t="n">
        <v>2023</v>
      </c>
      <c r="H1092" s="5" t="inlineStr">
        <is>
          <t>Diciembre</t>
        </is>
      </c>
      <c r="I1092" s="6" t="inlineStr">
        <is>
          <t>2023-2</t>
        </is>
      </c>
      <c r="J1092" s="5" t="n">
        <v>100</v>
      </c>
      <c r="K1092" s="5" t="n">
        <v>100</v>
      </c>
      <c r="L1092" s="14" t="n">
        <v>1</v>
      </c>
      <c r="M1092" s="14" t="n">
        <v>1</v>
      </c>
      <c r="N1092" s="5" t="inlineStr">
        <is>
          <t>%</t>
        </is>
      </c>
      <c r="O1092" s="5" t="inlineStr">
        <is>
          <t>%</t>
        </is>
      </c>
      <c r="P1092" s="5" t="n">
        <v>0</v>
      </c>
      <c r="Q1092" s="5" t="n">
        <v>0</v>
      </c>
      <c r="R1092" s="5" t="inlineStr">
        <is>
          <t>365-2023-12-31</t>
        </is>
      </c>
    </row>
    <row r="1093" hidden="1">
      <c r="A1093" s="5" t="n">
        <v>366</v>
      </c>
      <c r="B1093" s="5" t="inlineStr">
        <is>
          <t>Normalización de cobros pecuniarios</t>
        </is>
      </c>
      <c r="C1093" s="5" t="inlineStr">
        <is>
          <t>Operaciones Académica pregrado y posgrado presencial.</t>
        </is>
      </c>
      <c r="D1093" s="5" t="inlineStr">
        <is>
          <t>Anual</t>
        </is>
      </c>
      <c r="E1093" s="5" t="inlineStr">
        <is>
          <t>Positivo</t>
        </is>
      </c>
      <c r="F1093" s="109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100</v>
      </c>
      <c r="K1093" s="5" t="n">
        <v>100</v>
      </c>
      <c r="L1093" s="14" t="n">
        <v>1</v>
      </c>
      <c r="M1093" s="14" t="n">
        <v>1</v>
      </c>
      <c r="N1093" s="5" t="n"/>
      <c r="O1093" s="5" t="n"/>
      <c r="P1093" s="5" t="n">
        <v>0</v>
      </c>
      <c r="Q1093" s="5" t="n">
        <v>0</v>
      </c>
      <c r="R1093" s="5" t="inlineStr">
        <is>
          <t>366-2023-12-31</t>
        </is>
      </c>
    </row>
    <row r="1094" hidden="1">
      <c r="A1094" s="5" t="n">
        <v>366</v>
      </c>
      <c r="B1094" s="5" t="inlineStr">
        <is>
          <t>Normalización de cobros pecuniarios</t>
        </is>
      </c>
      <c r="C1094" s="5" t="inlineStr">
        <is>
          <t>Operaciones Académicas</t>
        </is>
      </c>
      <c r="D1094" s="5" t="inlineStr">
        <is>
          <t>Anual</t>
        </is>
      </c>
      <c r="E1094" s="5" t="inlineStr">
        <is>
          <t>Positivo</t>
        </is>
      </c>
      <c r="F1094" s="109" t="n">
        <v>45657</v>
      </c>
      <c r="G1094" s="5" t="n">
        <v>2024</v>
      </c>
      <c r="H1094" s="5" t="inlineStr">
        <is>
          <t>Diciembre</t>
        </is>
      </c>
      <c r="I1094" s="6" t="inlineStr">
        <is>
          <t>2024-2</t>
        </is>
      </c>
      <c r="J1094" s="5" t="n">
        <v>100</v>
      </c>
      <c r="K1094" s="5" t="n">
        <v>100</v>
      </c>
      <c r="L1094" s="14" t="n">
        <v>1</v>
      </c>
      <c r="M1094" s="14" t="n">
        <v>1</v>
      </c>
      <c r="N1094" s="5" t="n"/>
      <c r="O1094" s="5" t="n"/>
      <c r="P1094" s="5" t="n">
        <v>0</v>
      </c>
      <c r="Q1094" s="5" t="n">
        <v>0</v>
      </c>
      <c r="R1094" s="5" t="inlineStr">
        <is>
          <t>366-2024-12-31</t>
        </is>
      </c>
    </row>
    <row r="1095" hidden="1">
      <c r="A1095" s="5" t="n">
        <v>366</v>
      </c>
      <c r="B1095" s="5" t="inlineStr">
        <is>
          <t>Normalización de cobros pecuniarios</t>
        </is>
      </c>
      <c r="C1095" s="5" t="inlineStr">
        <is>
          <t>Operaciones Académicas</t>
        </is>
      </c>
      <c r="D1095" s="5" t="inlineStr">
        <is>
          <t>Anual</t>
        </is>
      </c>
      <c r="E1095" s="5" t="inlineStr">
        <is>
          <t>Positivo</t>
        </is>
      </c>
      <c r="F1095" s="109" t="n">
        <v>46022</v>
      </c>
      <c r="G1095" s="5" t="n">
        <v>2025</v>
      </c>
      <c r="H1095" s="5" t="inlineStr">
        <is>
          <t>Diciembre</t>
        </is>
      </c>
      <c r="I1095" s="6" t="inlineStr">
        <is>
          <t>2025-2</t>
        </is>
      </c>
      <c r="J1095" s="5" t="n">
        <v>100</v>
      </c>
      <c r="K1095" s="5" t="n">
        <v>100</v>
      </c>
      <c r="L1095" s="14" t="n">
        <v>1</v>
      </c>
      <c r="M1095" s="14" t="n">
        <v>1</v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366-2025-12-31</t>
        </is>
      </c>
    </row>
    <row r="1096" hidden="1">
      <c r="A1096" s="5" t="n">
        <v>367</v>
      </c>
      <c r="B1096" s="5" t="inlineStr">
        <is>
          <t>Estudiantes con Becas</t>
        </is>
      </c>
      <c r="C1096" s="5" t="inlineStr">
        <is>
          <t>Gestión de la Responsabilidad Social</t>
        </is>
      </c>
      <c r="D1096" s="5" t="inlineStr">
        <is>
          <t>Anual</t>
        </is>
      </c>
      <c r="E1096" s="5" t="inlineStr">
        <is>
          <t>Positivo</t>
        </is>
      </c>
      <c r="F1096" s="109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5</v>
      </c>
      <c r="K1096" s="5" t="n">
        <v>6.249756705204562</v>
      </c>
      <c r="L1096" s="14" t="n">
        <v>1.249951341040912</v>
      </c>
      <c r="M1096" s="14" t="n">
        <v>1.249951341040912</v>
      </c>
      <c r="N1096" s="5" t="inlineStr">
        <is>
          <t>%</t>
        </is>
      </c>
      <c r="O1096" s="5" t="inlineStr">
        <is>
          <t>%</t>
        </is>
      </c>
      <c r="P1096" s="5" t="n">
        <v>2</v>
      </c>
      <c r="Q1096" s="5" t="n">
        <v>2</v>
      </c>
      <c r="R1096" s="5" t="inlineStr">
        <is>
          <t>367-2023-12-31</t>
        </is>
      </c>
    </row>
    <row r="1097" hidden="1">
      <c r="A1097" s="5" t="n">
        <v>367</v>
      </c>
      <c r="B1097" s="5" t="inlineStr">
        <is>
          <t>Estudiantes con Becas</t>
        </is>
      </c>
      <c r="C1097" s="5" t="inlineStr">
        <is>
          <t>Gestión de la Responsabilidad Social</t>
        </is>
      </c>
      <c r="D1097" s="5" t="inlineStr">
        <is>
          <t>Anual</t>
        </is>
      </c>
      <c r="E1097" s="5" t="inlineStr">
        <is>
          <t>Positivo</t>
        </is>
      </c>
      <c r="F1097" s="109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5</v>
      </c>
      <c r="K1097" s="5" t="n">
        <v>4.96</v>
      </c>
      <c r="L1097" s="14" t="n">
        <v>0.992</v>
      </c>
      <c r="M1097" s="14" t="n">
        <v>0.992</v>
      </c>
      <c r="N1097" s="5" t="inlineStr">
        <is>
          <t>%</t>
        </is>
      </c>
      <c r="O1097" s="5" t="inlineStr">
        <is>
          <t>%</t>
        </is>
      </c>
      <c r="P1097" s="5" t="n">
        <v>2</v>
      </c>
      <c r="Q1097" s="5" t="n">
        <v>2</v>
      </c>
      <c r="R1097" s="5" t="inlineStr">
        <is>
          <t>367-2024-12-31</t>
        </is>
      </c>
    </row>
    <row r="1098" hidden="1">
      <c r="A1098" s="5" t="n">
        <v>367</v>
      </c>
      <c r="B1098" s="5" t="inlineStr">
        <is>
          <t>Estudiantes con Becas</t>
        </is>
      </c>
      <c r="C1098" s="5" t="inlineStr">
        <is>
          <t>Gestión de la Responsabilidad Social</t>
        </is>
      </c>
      <c r="D1098" s="5" t="inlineStr">
        <is>
          <t>Anual</t>
        </is>
      </c>
      <c r="E1098" s="5" t="inlineStr">
        <is>
          <t>Positivo</t>
        </is>
      </c>
      <c r="F1098" s="109" t="n">
        <v>46022</v>
      </c>
      <c r="G1098" s="5" t="n">
        <v>2025</v>
      </c>
      <c r="H1098" s="5" t="inlineStr">
        <is>
          <t>Diciembre</t>
        </is>
      </c>
      <c r="I1098" s="6" t="inlineStr">
        <is>
          <t>2025-2</t>
        </is>
      </c>
      <c r="J1098" s="5" t="n">
        <v>5</v>
      </c>
      <c r="K1098" s="5" t="n">
        <v>3.82</v>
      </c>
      <c r="L1098" s="14" t="n">
        <v>0.764</v>
      </c>
      <c r="M1098" s="14" t="n">
        <v>0.764</v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2</v>
      </c>
      <c r="R1098" s="5" t="inlineStr">
        <is>
          <t>367-2025-12-31</t>
        </is>
      </c>
    </row>
    <row r="1099" hidden="1">
      <c r="A1099" s="5" t="n">
        <v>368</v>
      </c>
      <c r="B1099" s="5" t="inlineStr">
        <is>
          <t>Satisfacción de los estudiantes de Educación para toda la vida</t>
        </is>
      </c>
      <c r="C1099" s="5" t="inlineStr">
        <is>
          <t>Operación de Educación no Formal</t>
        </is>
      </c>
      <c r="D1099" s="5" t="inlineStr">
        <is>
          <t>Trimestral</t>
        </is>
      </c>
      <c r="E1099" s="5" t="inlineStr">
        <is>
          <t>Positivo</t>
        </is>
      </c>
      <c r="F1099" s="109" t="n">
        <v>45291</v>
      </c>
      <c r="G1099" s="5" t="n">
        <v>2023</v>
      </c>
      <c r="H1099" s="5" t="inlineStr">
        <is>
          <t>Diciembre</t>
        </is>
      </c>
      <c r="I1099" s="6" t="inlineStr">
        <is>
          <t>2023-2</t>
        </is>
      </c>
      <c r="J1099" s="5" t="n">
        <v>90</v>
      </c>
      <c r="K1099" s="5" t="n">
        <v>94.5</v>
      </c>
      <c r="L1099" s="14" t="n">
        <v>1.05</v>
      </c>
      <c r="M1099" s="14" t="n">
        <v>1.05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368-2023-12-31</t>
        </is>
      </c>
    </row>
    <row r="1100" hidden="1">
      <c r="A1100" s="5" t="n">
        <v>368</v>
      </c>
      <c r="B1100" s="5" t="inlineStr">
        <is>
          <t>Satisfacción de los estudiantes de Educación para toda la vida</t>
        </is>
      </c>
      <c r="C1100" s="5" t="inlineStr">
        <is>
          <t>Operación de Educación no Formal</t>
        </is>
      </c>
      <c r="D1100" s="5" t="inlineStr">
        <is>
          <t>Trimestral</t>
        </is>
      </c>
      <c r="E1100" s="5" t="inlineStr">
        <is>
          <t>Positivo</t>
        </is>
      </c>
      <c r="F1100" s="109" t="n">
        <v>45473</v>
      </c>
      <c r="G1100" s="5" t="n">
        <v>2024</v>
      </c>
      <c r="H1100" s="5" t="inlineStr">
        <is>
          <t>Junio</t>
        </is>
      </c>
      <c r="I1100" s="6" t="inlineStr">
        <is>
          <t>2024-1</t>
        </is>
      </c>
      <c r="J1100" s="5" t="n">
        <v>90</v>
      </c>
      <c r="K1100" s="5" t="n">
        <v>94.5</v>
      </c>
      <c r="L1100" s="14" t="n">
        <v>1.05</v>
      </c>
      <c r="M1100" s="14" t="n">
        <v>1.05</v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368-2024-06-30</t>
        </is>
      </c>
    </row>
    <row r="1101" hidden="1">
      <c r="A1101" s="5" t="n">
        <v>368</v>
      </c>
      <c r="B1101" s="5" t="inlineStr">
        <is>
          <t>Satisfacción de los estudiantes de Educación para toda la vida</t>
        </is>
      </c>
      <c r="C1101" s="5" t="inlineStr">
        <is>
          <t>Operación de Educación no Formal</t>
        </is>
      </c>
      <c r="D1101" s="5" t="inlineStr">
        <is>
          <t>Trimestral</t>
        </is>
      </c>
      <c r="E1101" s="5" t="inlineStr">
        <is>
          <t>Positivo</t>
        </is>
      </c>
      <c r="F1101" s="109" t="n">
        <v>45657</v>
      </c>
      <c r="G1101" s="5" t="n">
        <v>2024</v>
      </c>
      <c r="H1101" s="5" t="inlineStr">
        <is>
          <t>Diciembre</t>
        </is>
      </c>
      <c r="I1101" s="6" t="inlineStr">
        <is>
          <t>2024-2</t>
        </is>
      </c>
      <c r="J1101" s="5" t="n">
        <v>90</v>
      </c>
      <c r="K1101" s="5" t="n">
        <v>94</v>
      </c>
      <c r="L1101" s="14" t="n">
        <v>1.044444444444445</v>
      </c>
      <c r="M1101" s="14" t="n">
        <v>1.044444444444445</v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368-2024-12-31</t>
        </is>
      </c>
    </row>
    <row r="1102" hidden="1">
      <c r="A1102" s="5" t="n">
        <v>368</v>
      </c>
      <c r="B1102" s="5" t="inlineStr">
        <is>
          <t>Satisfacción de los estudiantes de Educación para toda la vida</t>
        </is>
      </c>
      <c r="C1102" s="5" t="inlineStr">
        <is>
          <t>Operación de Educación no Formal</t>
        </is>
      </c>
      <c r="D1102" s="5" t="inlineStr">
        <is>
          <t>Trimestral</t>
        </is>
      </c>
      <c r="E1102" s="5" t="inlineStr">
        <is>
          <t>Positivo</t>
        </is>
      </c>
      <c r="F1102" s="109" t="n">
        <v>45838</v>
      </c>
      <c r="G1102" s="5" t="n">
        <v>2025</v>
      </c>
      <c r="H1102" s="5" t="inlineStr">
        <is>
          <t>Junio</t>
        </is>
      </c>
      <c r="I1102" s="6" t="inlineStr">
        <is>
          <t>2025-1</t>
        </is>
      </c>
      <c r="J1102" s="5" t="n">
        <v>93</v>
      </c>
      <c r="K1102" s="5" t="n">
        <v>95</v>
      </c>
      <c r="L1102" s="14" t="n">
        <v>1.021505376344086</v>
      </c>
      <c r="M1102" s="14" t="n">
        <v>1.021505376344086</v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368-2025-06-30</t>
        </is>
      </c>
    </row>
    <row r="1103" hidden="1">
      <c r="A1103" s="5" t="n">
        <v>368</v>
      </c>
      <c r="B1103" s="5" t="inlineStr">
        <is>
          <t>Satisfacción de los estudiantes de Educación para toda la vida</t>
        </is>
      </c>
      <c r="C1103" s="5" t="inlineStr">
        <is>
          <t>Operación de nuevos negocios y CI</t>
        </is>
      </c>
      <c r="D1103" s="5" t="inlineStr">
        <is>
          <t>Semestral</t>
        </is>
      </c>
      <c r="E1103" s="5" t="inlineStr">
        <is>
          <t>Positivo</t>
        </is>
      </c>
      <c r="F1103" s="109" t="n">
        <v>46022</v>
      </c>
      <c r="G1103" s="5" t="n">
        <v>2025</v>
      </c>
      <c r="H1103" s="5" t="inlineStr">
        <is>
          <t>Diciembre</t>
        </is>
      </c>
      <c r="I1103" s="6" t="inlineStr">
        <is>
          <t>2025-2</t>
        </is>
      </c>
      <c r="J1103" s="5" t="n">
        <v>93</v>
      </c>
      <c r="K1103" s="5" t="n">
        <v>95</v>
      </c>
      <c r="L1103" s="14" t="n">
        <v>1.021505376344086</v>
      </c>
      <c r="M1103" s="14" t="n">
        <v>1.021505376344086</v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368-2025-12-31</t>
        </is>
      </c>
    </row>
    <row r="1104" hidden="1">
      <c r="A1104" s="5" t="n">
        <v>369</v>
      </c>
      <c r="B1104" s="5" t="inlineStr">
        <is>
          <t>Participación de POLI- voluntariados (Estudiantes- Colaboradores)</t>
        </is>
      </c>
      <c r="C1104" s="5" t="inlineStr">
        <is>
          <t>Gestión de la Responsabilidad Social</t>
        </is>
      </c>
      <c r="D1104" s="5" t="inlineStr">
        <is>
          <t>Semestral</t>
        </is>
      </c>
      <c r="E1104" s="5" t="inlineStr">
        <is>
          <t>Positivo</t>
        </is>
      </c>
      <c r="F1104" s="109" t="n">
        <v>45107</v>
      </c>
      <c r="G1104" s="5" t="n">
        <v>2023</v>
      </c>
      <c r="H1104" s="5" t="inlineStr">
        <is>
          <t>Junio</t>
        </is>
      </c>
      <c r="I1104" s="6" t="inlineStr">
        <is>
          <t>2023-1</t>
        </is>
      </c>
      <c r="J1104" s="5" t="n">
        <v>0</v>
      </c>
      <c r="K1104" s="5" t="n">
        <v>78</v>
      </c>
      <c r="L1104" s="14" t="n"/>
      <c r="M1104" s="14" t="n"/>
      <c r="N1104" s="5" t="inlineStr">
        <is>
          <t>Linea Base</t>
        </is>
      </c>
      <c r="O1104" s="5" t="inlineStr">
        <is>
          <t>ENT</t>
        </is>
      </c>
      <c r="P1104" s="5" t="n">
        <v>0</v>
      </c>
      <c r="Q1104" s="5" t="n">
        <v>0</v>
      </c>
      <c r="R1104" s="5" t="inlineStr">
        <is>
          <t>369-2023-06-30</t>
        </is>
      </c>
    </row>
    <row r="1105" hidden="1">
      <c r="A1105" s="5" t="n">
        <v>369</v>
      </c>
      <c r="B1105" s="5" t="inlineStr">
        <is>
          <t>Participación de POLI- voluntariados (Estudiantes- Colaboradores)</t>
        </is>
      </c>
      <c r="C1105" s="5" t="inlineStr">
        <is>
          <t>Gestión de la Responsabilidad Social</t>
        </is>
      </c>
      <c r="D1105" s="5" t="inlineStr">
        <is>
          <t>Semestral</t>
        </is>
      </c>
      <c r="E1105" s="5" t="inlineStr">
        <is>
          <t>Positivo</t>
        </is>
      </c>
      <c r="F1105" s="109" t="n">
        <v>45291</v>
      </c>
      <c r="G1105" s="5" t="n">
        <v>2023</v>
      </c>
      <c r="H1105" s="5" t="inlineStr">
        <is>
          <t>Diciembre</t>
        </is>
      </c>
      <c r="I1105" s="6" t="inlineStr">
        <is>
          <t>2023-2</t>
        </is>
      </c>
      <c r="J1105" s="5" t="n">
        <v>0</v>
      </c>
      <c r="K1105" s="10" t="n">
        <v>96</v>
      </c>
      <c r="L1105" s="14" t="n"/>
      <c r="M1105" s="14" t="n"/>
      <c r="N1105" s="5" t="inlineStr">
        <is>
          <t>Linea Base</t>
        </is>
      </c>
      <c r="O1105" s="5" t="inlineStr">
        <is>
          <t>ENT</t>
        </is>
      </c>
      <c r="P1105" s="5" t="n">
        <v>0</v>
      </c>
      <c r="Q1105" s="5" t="n">
        <v>0</v>
      </c>
      <c r="R1105" s="5" t="inlineStr">
        <is>
          <t>369-2023-12-31</t>
        </is>
      </c>
    </row>
    <row r="1106" hidden="1">
      <c r="A1106" s="5" t="n">
        <v>369</v>
      </c>
      <c r="B1106" s="5" t="inlineStr">
        <is>
          <t>Participación de POLI- voluntariados (Estudiantes- Colaboradores)</t>
        </is>
      </c>
      <c r="C1106" s="5" t="inlineStr">
        <is>
          <t>Gestión de la Responsabilidad Social</t>
        </is>
      </c>
      <c r="D1106" s="5" t="inlineStr">
        <is>
          <t>Semestral</t>
        </is>
      </c>
      <c r="E1106" s="5" t="inlineStr">
        <is>
          <t>Positivo</t>
        </is>
      </c>
      <c r="F1106" s="109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100</v>
      </c>
      <c r="K1106" s="10" t="n">
        <v>76.25</v>
      </c>
      <c r="L1106" s="14" t="n">
        <v>0.7625</v>
      </c>
      <c r="M1106" s="14" t="n">
        <v>0.7625</v>
      </c>
      <c r="N1106" s="5" t="inlineStr">
        <is>
          <t>ENT</t>
        </is>
      </c>
      <c r="O1106" s="5" t="inlineStr">
        <is>
          <t>ENT</t>
        </is>
      </c>
      <c r="P1106" s="5" t="n">
        <v>0</v>
      </c>
      <c r="Q1106" s="5" t="n">
        <v>0</v>
      </c>
      <c r="R1106" s="5" t="inlineStr">
        <is>
          <t>369-2024-06-30</t>
        </is>
      </c>
    </row>
    <row r="1107" hidden="1">
      <c r="A1107" s="26" t="n">
        <v>369</v>
      </c>
      <c r="B1107" s="5" t="inlineStr">
        <is>
          <t>Participación de POLI- voluntariados (Estudiantes- Colaboradores)</t>
        </is>
      </c>
      <c r="C1107" s="5" t="inlineStr">
        <is>
          <t>Gestión de la Responsabilidad Social</t>
        </is>
      </c>
      <c r="D1107" s="5" t="inlineStr">
        <is>
          <t>Semestral</t>
        </is>
      </c>
      <c r="E1107" s="5" t="inlineStr">
        <is>
          <t>Positivo</t>
        </is>
      </c>
      <c r="F1107" s="109" t="n">
        <v>45657</v>
      </c>
      <c r="G1107" s="15" t="n">
        <v>2024</v>
      </c>
      <c r="H1107" s="6" t="inlineStr">
        <is>
          <t>Diciembre</t>
        </is>
      </c>
      <c r="I1107" s="6" t="inlineStr">
        <is>
          <t>2024-2</t>
        </is>
      </c>
      <c r="J1107" s="5" t="n">
        <v>100</v>
      </c>
      <c r="K1107" s="5" t="n">
        <v>71.3</v>
      </c>
      <c r="L1107" s="14" t="n">
        <v>0.713</v>
      </c>
      <c r="M1107" s="14" t="n">
        <v>0.713</v>
      </c>
      <c r="N1107" s="5" t="inlineStr">
        <is>
          <t>ENT</t>
        </is>
      </c>
      <c r="O1107" s="5" t="inlineStr">
        <is>
          <t>ENT</t>
        </is>
      </c>
      <c r="P1107" s="5" t="n">
        <v>0</v>
      </c>
      <c r="Q1107" s="5" t="n">
        <v>0</v>
      </c>
      <c r="R1107" s="5" t="inlineStr">
        <is>
          <t>369-2024-12-31</t>
        </is>
      </c>
    </row>
    <row r="1108" hidden="1">
      <c r="A1108" s="26" t="n">
        <v>369</v>
      </c>
      <c r="B1108" s="5" t="inlineStr">
        <is>
          <t>Participación de POLI- voluntariados (Estudiantes- Colaboradores)</t>
        </is>
      </c>
      <c r="C1108" s="5" t="inlineStr">
        <is>
          <t>Gestión de la Responsabilidad Social</t>
        </is>
      </c>
      <c r="D1108" s="5" t="inlineStr">
        <is>
          <t>Trimestral</t>
        </is>
      </c>
      <c r="E1108" s="5" t="inlineStr">
        <is>
          <t>Positivo</t>
        </is>
      </c>
      <c r="F1108" s="109" t="n">
        <v>45838</v>
      </c>
      <c r="G1108" s="15" t="n">
        <v>2025</v>
      </c>
      <c r="H1108" s="6" t="inlineStr">
        <is>
          <t>Junio</t>
        </is>
      </c>
      <c r="I1108" s="6" t="inlineStr">
        <is>
          <t>2025-1</t>
        </is>
      </c>
      <c r="J1108" s="5" t="n">
        <v>100</v>
      </c>
      <c r="K1108" s="5" t="n">
        <v>88.89</v>
      </c>
      <c r="L1108" s="14" t="n">
        <v>0.8889</v>
      </c>
      <c r="M1108" s="14" t="n">
        <v>0.8889</v>
      </c>
      <c r="N1108" s="5" t="inlineStr">
        <is>
          <t>ENT</t>
        </is>
      </c>
      <c r="O1108" s="5" t="inlineStr">
        <is>
          <t>ENT</t>
        </is>
      </c>
      <c r="P1108" s="5" t="n">
        <v>0</v>
      </c>
      <c r="Q1108" s="5" t="n">
        <v>0</v>
      </c>
      <c r="R1108" s="5" t="inlineStr">
        <is>
          <t>369-2025-06-30</t>
        </is>
      </c>
    </row>
    <row r="1109" hidden="1">
      <c r="A1109" s="5" t="n">
        <v>369</v>
      </c>
      <c r="B1109" s="5" t="inlineStr">
        <is>
          <t>Participación de POLI- voluntariados (Estudiantes- Colaboradores)</t>
        </is>
      </c>
      <c r="C1109" s="5" t="inlineStr">
        <is>
          <t>Gestión de la Responsabilidad Social</t>
        </is>
      </c>
      <c r="D1109" s="5" t="inlineStr">
        <is>
          <t>Trimestral</t>
        </is>
      </c>
      <c r="E1109" s="5" t="inlineStr">
        <is>
          <t>Positivo</t>
        </is>
      </c>
      <c r="F1109" s="109" t="n">
        <v>46022</v>
      </c>
      <c r="G1109" s="15" t="n">
        <v>2025</v>
      </c>
      <c r="H1109" s="6" t="inlineStr">
        <is>
          <t>Diciembre</t>
        </is>
      </c>
      <c r="I1109" s="6" t="inlineStr">
        <is>
          <t>2025-2</t>
        </is>
      </c>
      <c r="J1109" s="5" t="n">
        <v>100</v>
      </c>
      <c r="K1109" s="5" t="n">
        <v>108.26</v>
      </c>
      <c r="L1109" s="14" t="n">
        <v>1.0826</v>
      </c>
      <c r="M1109" s="14" t="n">
        <v>1.0826</v>
      </c>
      <c r="N1109" s="5" t="inlineStr">
        <is>
          <t>ENT</t>
        </is>
      </c>
      <c r="O1109" s="5" t="inlineStr">
        <is>
          <t>ENT</t>
        </is>
      </c>
      <c r="P1109" s="5" t="n">
        <v>0</v>
      </c>
      <c r="Q1109" s="5" t="n">
        <v>0</v>
      </c>
      <c r="R1109" s="5" t="inlineStr">
        <is>
          <t>369-2025-12-31</t>
        </is>
      </c>
    </row>
    <row r="1110" hidden="1">
      <c r="A1110" s="5" t="n">
        <v>370</v>
      </c>
      <c r="B1110" s="5" t="inlineStr">
        <is>
          <t>Oportunidades de mejora - Huella Verde</t>
        </is>
      </c>
      <c r="C1110" s="5" t="inlineStr">
        <is>
          <t>Gestión de la Responsabilidad Social</t>
        </is>
      </c>
      <c r="D1110" s="5" t="inlineStr">
        <is>
          <t>Semestral</t>
        </is>
      </c>
      <c r="E1110" s="5" t="inlineStr">
        <is>
          <t>Positivo</t>
        </is>
      </c>
      <c r="F1110" s="109" t="n">
        <v>45107</v>
      </c>
      <c r="G1110" s="15" t="n">
        <v>2023</v>
      </c>
      <c r="H1110" s="6" t="inlineStr">
        <is>
          <t>Junio</t>
        </is>
      </c>
      <c r="I1110" s="6" t="inlineStr">
        <is>
          <t>2023-1</t>
        </is>
      </c>
      <c r="J1110" s="5" t="n">
        <v>0</v>
      </c>
      <c r="K1110" s="5" t="n">
        <v>0</v>
      </c>
      <c r="L1110" s="14" t="n">
        <v>1</v>
      </c>
      <c r="M1110" s="14" t="n">
        <v>1</v>
      </c>
      <c r="N1110" s="5" t="n"/>
      <c r="O1110" s="5" t="n"/>
      <c r="P1110" s="5" t="n">
        <v>0</v>
      </c>
      <c r="Q1110" s="5" t="n">
        <v>0</v>
      </c>
      <c r="R1110" s="5" t="inlineStr">
        <is>
          <t>370-2023-06-30</t>
        </is>
      </c>
    </row>
    <row r="1111" hidden="1">
      <c r="A1111" s="5" t="n">
        <v>370</v>
      </c>
      <c r="B1111" s="5" t="inlineStr">
        <is>
          <t>Oportunidades de mejora - Huella Verde</t>
        </is>
      </c>
      <c r="C1111" s="5" t="inlineStr">
        <is>
          <t>Gestión de la Responsabilidad Social</t>
        </is>
      </c>
      <c r="D1111" s="5" t="inlineStr">
        <is>
          <t>Semestral</t>
        </is>
      </c>
      <c r="E1111" s="5" t="inlineStr">
        <is>
          <t>Positivo</t>
        </is>
      </c>
      <c r="F1111" s="109" t="n">
        <v>45291</v>
      </c>
      <c r="G1111" s="15" t="n">
        <v>2023</v>
      </c>
      <c r="H1111" s="6" t="inlineStr">
        <is>
          <t>Diciembre</t>
        </is>
      </c>
      <c r="I1111" s="6" t="inlineStr">
        <is>
          <t>2023-2</t>
        </is>
      </c>
      <c r="J1111" s="5" t="n">
        <v>0</v>
      </c>
      <c r="K1111" s="5" t="n">
        <v>0</v>
      </c>
      <c r="L1111" s="14" t="n">
        <v>1</v>
      </c>
      <c r="M1111" s="14" t="n">
        <v>1</v>
      </c>
      <c r="N1111" s="5" t="n"/>
      <c r="O1111" s="5" t="n"/>
      <c r="P1111" s="5" t="n">
        <v>0</v>
      </c>
      <c r="Q1111" s="5" t="n">
        <v>0</v>
      </c>
      <c r="R1111" s="5" t="inlineStr">
        <is>
          <t>370-2023-12-31</t>
        </is>
      </c>
    </row>
    <row r="1112" hidden="1">
      <c r="A1112" s="5" t="n">
        <v>371</v>
      </c>
      <c r="B1112" s="5" t="inlineStr">
        <is>
          <t>Recaudación de fondos</t>
        </is>
      </c>
      <c r="C1112" s="5" t="inlineStr">
        <is>
          <t>Gestión de la Responsabilidad Social</t>
        </is>
      </c>
      <c r="D1112" s="5" t="inlineStr">
        <is>
          <t>Semestral</t>
        </is>
      </c>
      <c r="E1112" s="5" t="inlineStr">
        <is>
          <t>Positivo</t>
        </is>
      </c>
      <c r="F1112" s="109" t="n">
        <v>45107</v>
      </c>
      <c r="G1112" s="15" t="n">
        <v>2023</v>
      </c>
      <c r="H1112" s="6" t="inlineStr">
        <is>
          <t>Junio</t>
        </is>
      </c>
      <c r="I1112" s="6" t="inlineStr">
        <is>
          <t>2023-1</t>
        </is>
      </c>
      <c r="J1112" s="5" t="n">
        <v>100</v>
      </c>
      <c r="K1112" s="5" t="n">
        <v>157.50274243636</v>
      </c>
      <c r="L1112" s="14" t="n">
        <v>1.3</v>
      </c>
      <c r="M1112" s="14" t="n">
        <v>1.5750274243636</v>
      </c>
      <c r="N1112" s="5" t="inlineStr">
        <is>
          <t>$</t>
        </is>
      </c>
      <c r="O1112" s="5" t="inlineStr">
        <is>
          <t>$</t>
        </is>
      </c>
      <c r="P1112" s="5" t="n">
        <v>0</v>
      </c>
      <c r="Q1112" s="5" t="n">
        <v>0</v>
      </c>
      <c r="R1112" s="5" t="inlineStr">
        <is>
          <t>371-2023-06-30</t>
        </is>
      </c>
    </row>
    <row r="1113" hidden="1">
      <c r="A1113" s="5" t="n">
        <v>371</v>
      </c>
      <c r="B1113" s="5" t="inlineStr">
        <is>
          <t>Recaudación de fondos</t>
        </is>
      </c>
      <c r="C1113" s="5" t="inlineStr">
        <is>
          <t>Gestión de la Responsabilidad Social</t>
        </is>
      </c>
      <c r="D1113" s="5" t="inlineStr">
        <is>
          <t>Semestral</t>
        </is>
      </c>
      <c r="E1113" s="5" t="inlineStr">
        <is>
          <t>Positivo</t>
        </is>
      </c>
      <c r="F1113" s="109" t="n">
        <v>45291</v>
      </c>
      <c r="G1113" s="15" t="n">
        <v>2023</v>
      </c>
      <c r="H1113" s="6" t="inlineStr">
        <is>
          <t>Diciembre</t>
        </is>
      </c>
      <c r="I1113" s="6" t="inlineStr">
        <is>
          <t>2023-2</t>
        </is>
      </c>
      <c r="J1113" s="5" t="n">
        <v>100</v>
      </c>
      <c r="K1113" s="10" t="n">
        <v>173.07</v>
      </c>
      <c r="L1113" s="14" t="n">
        <v>1.3</v>
      </c>
      <c r="M1113" s="14" t="n">
        <v>1.7307</v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371-2023-12-31</t>
        </is>
      </c>
    </row>
    <row r="1114" hidden="1">
      <c r="A1114" s="26" t="n">
        <v>371</v>
      </c>
      <c r="B1114" s="5" t="inlineStr">
        <is>
          <t>Recaudación de fondos</t>
        </is>
      </c>
      <c r="C1114" s="5" t="inlineStr">
        <is>
          <t>Gestión de la Responsabilidad Social</t>
        </is>
      </c>
      <c r="D1114" s="5" t="inlineStr">
        <is>
          <t>Semestral</t>
        </is>
      </c>
      <c r="E1114" s="5" t="inlineStr">
        <is>
          <t>Positivo</t>
        </is>
      </c>
      <c r="F1114" s="108" t="n">
        <v>45473</v>
      </c>
      <c r="G1114" s="15" t="n">
        <v>2024</v>
      </c>
      <c r="H1114" s="6" t="inlineStr">
        <is>
          <t>Junio</t>
        </is>
      </c>
      <c r="I1114" s="6" t="inlineStr">
        <is>
          <t>2024-1</t>
        </is>
      </c>
      <c r="J1114" s="5" t="n">
        <v>100</v>
      </c>
      <c r="K1114" s="5" t="n">
        <v>149.72</v>
      </c>
      <c r="L1114" s="14" t="n">
        <v>1.3</v>
      </c>
      <c r="M1114" s="14" t="n">
        <v>1.4972</v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371-2024-06-30</t>
        </is>
      </c>
    </row>
    <row r="1115" hidden="1">
      <c r="A1115" s="5" t="n">
        <v>371</v>
      </c>
      <c r="B1115" s="5" t="inlineStr">
        <is>
          <t>Recaudación de fondos</t>
        </is>
      </c>
      <c r="C1115" s="5" t="inlineStr">
        <is>
          <t>Gestión de la Responsabilidad Social</t>
        </is>
      </c>
      <c r="D1115" s="5" t="inlineStr">
        <is>
          <t>Semestral</t>
        </is>
      </c>
      <c r="E1115" s="5" t="inlineStr">
        <is>
          <t>Positivo</t>
        </is>
      </c>
      <c r="F1115" s="109" t="n">
        <v>45657</v>
      </c>
      <c r="G1115" s="15" t="n">
        <v>2024</v>
      </c>
      <c r="H1115" s="6" t="inlineStr">
        <is>
          <t>Diciembre</t>
        </is>
      </c>
      <c r="I1115" s="6" t="inlineStr">
        <is>
          <t>2024-2</t>
        </is>
      </c>
      <c r="J1115" s="5" t="n">
        <v>100</v>
      </c>
      <c r="K1115" s="5" t="n">
        <v>96.98999999999999</v>
      </c>
      <c r="L1115" s="14" t="n">
        <v>0.9699</v>
      </c>
      <c r="M1115" s="14" t="n">
        <v>0.9699</v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371-2024-12-31</t>
        </is>
      </c>
    </row>
    <row r="1116" hidden="1">
      <c r="A1116" s="5" t="n">
        <v>371</v>
      </c>
      <c r="B1116" s="5" t="inlineStr">
        <is>
          <t>Recaudación de fondos</t>
        </is>
      </c>
      <c r="C1116" s="5" t="inlineStr">
        <is>
          <t>Gestión de la Responsabilidad Social</t>
        </is>
      </c>
      <c r="D1116" s="5" t="inlineStr">
        <is>
          <t>Semestral</t>
        </is>
      </c>
      <c r="E1116" s="5" t="inlineStr">
        <is>
          <t>Positivo</t>
        </is>
      </c>
      <c r="F1116" s="109" t="n">
        <v>45838</v>
      </c>
      <c r="G1116" s="15" t="n">
        <v>2025</v>
      </c>
      <c r="H1116" s="6" t="inlineStr">
        <is>
          <t>Junio</t>
        </is>
      </c>
      <c r="I1116" s="6" t="inlineStr">
        <is>
          <t>2025-1</t>
        </is>
      </c>
      <c r="J1116" s="5" t="n">
        <v>100</v>
      </c>
      <c r="K1116" s="10" t="n">
        <v>73.69</v>
      </c>
      <c r="L1116" s="14" t="n">
        <v>0.7369</v>
      </c>
      <c r="M1116" s="14" t="n">
        <v>0.7369</v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371-2025-06-30</t>
        </is>
      </c>
    </row>
    <row r="1117" hidden="1">
      <c r="A1117" s="5" t="n">
        <v>371</v>
      </c>
      <c r="B1117" s="5" t="inlineStr">
        <is>
          <t>Recaudación de fondos</t>
        </is>
      </c>
      <c r="C1117" s="5" t="inlineStr">
        <is>
          <t>Gestión de la Responsabilidad Social</t>
        </is>
      </c>
      <c r="D1117" s="5" t="inlineStr">
        <is>
          <t>Trimestral</t>
        </is>
      </c>
      <c r="E1117" s="5" t="inlineStr">
        <is>
          <t>Positivo</t>
        </is>
      </c>
      <c r="F1117" s="109" t="n">
        <v>46022</v>
      </c>
      <c r="G1117" s="15" t="n">
        <v>2025</v>
      </c>
      <c r="H1117" s="6" t="inlineStr">
        <is>
          <t>Diciembre</t>
        </is>
      </c>
      <c r="I1117" s="6" t="inlineStr">
        <is>
          <t>2025-2</t>
        </is>
      </c>
      <c r="J1117" s="5" t="n">
        <v>100</v>
      </c>
      <c r="K1117" s="15" t="n">
        <v>83.42</v>
      </c>
      <c r="L1117" s="14" t="n">
        <v>0.8342000000000001</v>
      </c>
      <c r="M1117" s="14" t="n">
        <v>0.8342000000000001</v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371-2025-12-31</t>
        </is>
      </c>
    </row>
    <row r="1118" hidden="1">
      <c r="A1118" s="5" t="n">
        <v>372</v>
      </c>
      <c r="B1118" s="5" t="inlineStr">
        <is>
          <t>Satisfacción de los clientes corporativos Educación para toda la vida</t>
        </is>
      </c>
      <c r="C1118" s="5" t="inlineStr">
        <is>
          <t>Operación de Educación no Formal</t>
        </is>
      </c>
      <c r="D1118" s="5" t="inlineStr">
        <is>
          <t>Trimestral</t>
        </is>
      </c>
      <c r="E1118" s="5" t="inlineStr">
        <is>
          <t>Positivo</t>
        </is>
      </c>
      <c r="F1118" s="109" t="n">
        <v>45199</v>
      </c>
      <c r="G1118" s="15" t="n">
        <v>2023</v>
      </c>
      <c r="H1118" s="6" t="inlineStr">
        <is>
          <t>Septiembre</t>
        </is>
      </c>
      <c r="I1118" s="6" t="inlineStr">
        <is>
          <t>2023-2</t>
        </is>
      </c>
      <c r="J1118" s="5" t="n">
        <v>87</v>
      </c>
      <c r="K1118" s="5" t="n">
        <v>95.5</v>
      </c>
      <c r="L1118" s="14" t="n">
        <v>1.097701149425287</v>
      </c>
      <c r="M1118" s="14" t="n">
        <v>1.097701149425287</v>
      </c>
      <c r="N1118" s="5" t="inlineStr">
        <is>
          <t>%</t>
        </is>
      </c>
      <c r="O1118" s="5" t="inlineStr">
        <is>
          <t>%</t>
        </is>
      </c>
      <c r="P1118" s="5" t="n">
        <v>0</v>
      </c>
      <c r="Q1118" s="5" t="n">
        <v>0</v>
      </c>
      <c r="R1118" s="5" t="inlineStr">
        <is>
          <t>372-2023-09-30</t>
        </is>
      </c>
    </row>
    <row r="1119" hidden="1">
      <c r="A1119" s="5" t="n">
        <v>372</v>
      </c>
      <c r="B1119" s="5" t="inlineStr">
        <is>
          <t>Satisfacción de los clientes corporativos Educación para toda la vida</t>
        </is>
      </c>
      <c r="C1119" s="5" t="inlineStr">
        <is>
          <t>Operación de Educación no Formal</t>
        </is>
      </c>
      <c r="D1119" s="5" t="inlineStr">
        <is>
          <t>Trimestral</t>
        </is>
      </c>
      <c r="E1119" s="5" t="inlineStr">
        <is>
          <t>Positivo</t>
        </is>
      </c>
      <c r="F1119" s="109" t="n">
        <v>45291</v>
      </c>
      <c r="G1119" s="15" t="n">
        <v>2023</v>
      </c>
      <c r="H1119" s="6" t="inlineStr">
        <is>
          <t>Diciembre</t>
        </is>
      </c>
      <c r="I1119" s="6" t="inlineStr">
        <is>
          <t>2023-2</t>
        </is>
      </c>
      <c r="J1119" s="5" t="n">
        <v>87</v>
      </c>
      <c r="K1119" s="5" t="n">
        <v>95.5</v>
      </c>
      <c r="L1119" s="14" t="n">
        <v>1.097701149425287</v>
      </c>
      <c r="M1119" s="14" t="n">
        <v>1.097701149425287</v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372-2023-12-31</t>
        </is>
      </c>
    </row>
    <row r="1120" hidden="1">
      <c r="A1120" s="5" t="n">
        <v>372</v>
      </c>
      <c r="B1120" s="5" t="inlineStr">
        <is>
          <t>Satisfacción de los clientes corporativos Educación para toda la vida</t>
        </is>
      </c>
      <c r="C1120" s="5" t="inlineStr">
        <is>
          <t>Operación de Educación no Formal</t>
        </is>
      </c>
      <c r="D1120" s="5" t="inlineStr">
        <is>
          <t>Trimestral</t>
        </is>
      </c>
      <c r="E1120" s="5" t="inlineStr">
        <is>
          <t>Positivo</t>
        </is>
      </c>
      <c r="F1120" s="109" t="n">
        <v>45473</v>
      </c>
      <c r="G1120" s="15" t="n">
        <v>2024</v>
      </c>
      <c r="H1120" s="6" t="inlineStr">
        <is>
          <t>Junio</t>
        </is>
      </c>
      <c r="I1120" s="6" t="inlineStr">
        <is>
          <t>2024-1</t>
        </is>
      </c>
      <c r="J1120" s="5" t="n">
        <v>87</v>
      </c>
      <c r="K1120" s="5" t="n">
        <v>91.5</v>
      </c>
      <c r="L1120" s="14" t="n">
        <v>1.051724137931034</v>
      </c>
      <c r="M1120" s="14" t="n">
        <v>1.051724137931034</v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372-2024-06-30</t>
        </is>
      </c>
    </row>
    <row r="1121" hidden="1">
      <c r="A1121" s="5" t="n">
        <v>372</v>
      </c>
      <c r="B1121" s="5" t="inlineStr">
        <is>
          <t>Satisfacción de los clientes corporativos Educación para toda la vida</t>
        </is>
      </c>
      <c r="C1121" s="5" t="inlineStr">
        <is>
          <t>Operación de Educación no Formal</t>
        </is>
      </c>
      <c r="D1121" s="5" t="inlineStr">
        <is>
          <t>Trimestral</t>
        </is>
      </c>
      <c r="E1121" s="5" t="inlineStr">
        <is>
          <t>Positivo</t>
        </is>
      </c>
      <c r="F1121" s="109" t="n">
        <v>45657</v>
      </c>
      <c r="G1121" s="15" t="n">
        <v>2024</v>
      </c>
      <c r="H1121" s="6" t="inlineStr">
        <is>
          <t>Diciembre</t>
        </is>
      </c>
      <c r="I1121" s="6" t="inlineStr">
        <is>
          <t>2024-2</t>
        </is>
      </c>
      <c r="J1121" s="5" t="n">
        <v>87</v>
      </c>
      <c r="K1121" s="5" t="n">
        <v>92</v>
      </c>
      <c r="L1121" s="14" t="n">
        <v>1.057471264367816</v>
      </c>
      <c r="M1121" s="14" t="n">
        <v>1.057471264367816</v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372-2024-12-31</t>
        </is>
      </c>
    </row>
    <row r="1122" hidden="1">
      <c r="A1122" s="5" t="n">
        <v>372</v>
      </c>
      <c r="B1122" s="5" t="inlineStr">
        <is>
          <t>Satisfacción de los clientes corporativos Educación para toda la vida</t>
        </is>
      </c>
      <c r="C1122" s="5" t="inlineStr">
        <is>
          <t>Operación de Educación no Formal</t>
        </is>
      </c>
      <c r="D1122" s="5" t="inlineStr">
        <is>
          <t>Trimestral</t>
        </is>
      </c>
      <c r="E1122" s="5" t="inlineStr">
        <is>
          <t>Positivo</t>
        </is>
      </c>
      <c r="F1122" s="109" t="n">
        <v>45838</v>
      </c>
      <c r="G1122" s="15" t="n">
        <v>2025</v>
      </c>
      <c r="H1122" s="6" t="inlineStr">
        <is>
          <t>Junio</t>
        </is>
      </c>
      <c r="I1122" s="6" t="inlineStr">
        <is>
          <t>2025-1</t>
        </is>
      </c>
      <c r="J1122" s="5" t="n">
        <v>90</v>
      </c>
      <c r="K1122" s="5" t="n">
        <v>94</v>
      </c>
      <c r="L1122" s="14" t="n">
        <v>1.044444444444445</v>
      </c>
      <c r="M1122" s="14" t="n">
        <v>1.044444444444445</v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372-2025-06-30</t>
        </is>
      </c>
    </row>
    <row r="1123" hidden="1">
      <c r="A1123" s="5" t="n">
        <v>372</v>
      </c>
      <c r="B1123" s="5" t="inlineStr">
        <is>
          <t>Satisfacción de los clientes corporativos Educación para toda la vida</t>
        </is>
      </c>
      <c r="C1123" s="5" t="inlineStr">
        <is>
          <t>Operación de nuevos negocios y CI</t>
        </is>
      </c>
      <c r="D1123" s="5" t="inlineStr">
        <is>
          <t>Semestral</t>
        </is>
      </c>
      <c r="E1123" s="5" t="inlineStr">
        <is>
          <t>Positivo</t>
        </is>
      </c>
      <c r="F1123" s="109" t="n">
        <v>46022</v>
      </c>
      <c r="G1123" s="15" t="n">
        <v>2025</v>
      </c>
      <c r="H1123" s="6" t="inlineStr">
        <is>
          <t>Diciembre</t>
        </is>
      </c>
      <c r="I1123" s="6" t="inlineStr">
        <is>
          <t>2025-2</t>
        </is>
      </c>
      <c r="J1123" s="5" t="n">
        <v>90</v>
      </c>
      <c r="K1123" s="5" t="n">
        <v>97</v>
      </c>
      <c r="L1123" s="14" t="n">
        <v>1.077777777777778</v>
      </c>
      <c r="M1123" s="14" t="n">
        <v>1.077777777777778</v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 t="inlineStr">
        <is>
          <t>372-2025-12-31</t>
        </is>
      </c>
    </row>
    <row r="1124" hidden="1">
      <c r="A1124" s="5" t="n">
        <v>373</v>
      </c>
      <c r="B1124" s="5" t="inlineStr">
        <is>
          <t>Cumplimiento de planes anuales por líneas</t>
        </is>
      </c>
      <c r="C1124" s="5" t="inlineStr">
        <is>
          <t>Planeación Estratégica</t>
        </is>
      </c>
      <c r="D1124" s="5" t="inlineStr">
        <is>
          <t>Trimestral</t>
        </is>
      </c>
      <c r="E1124" s="5" t="inlineStr">
        <is>
          <t>Positivo</t>
        </is>
      </c>
      <c r="F1124" s="109" t="n">
        <v>45107</v>
      </c>
      <c r="G1124" s="15" t="n">
        <v>2023</v>
      </c>
      <c r="H1124" s="6" t="inlineStr">
        <is>
          <t>Junio</t>
        </is>
      </c>
      <c r="I1124" s="6" t="inlineStr">
        <is>
          <t>2023-1</t>
        </is>
      </c>
      <c r="J1124" s="5" t="n">
        <v>100</v>
      </c>
      <c r="K1124" s="5" t="n">
        <v>53.585833333335</v>
      </c>
      <c r="L1124" s="14" t="n">
        <v>0.53585833333335</v>
      </c>
      <c r="M1124" s="14" t="n">
        <v>0.53585833333335</v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373-2023-06-30</t>
        </is>
      </c>
    </row>
    <row r="1125" hidden="1">
      <c r="A1125" s="5" t="n">
        <v>373</v>
      </c>
      <c r="B1125" s="5" t="inlineStr">
        <is>
          <t>Cumplimiento de planes anuales por líneas</t>
        </is>
      </c>
      <c r="C1125" s="5" t="inlineStr">
        <is>
          <t>Planeación Estratégica</t>
        </is>
      </c>
      <c r="D1125" s="5" t="inlineStr">
        <is>
          <t>Trimestral</t>
        </is>
      </c>
      <c r="E1125" s="5" t="inlineStr">
        <is>
          <t>Positivo</t>
        </is>
      </c>
      <c r="F1125" s="109" t="n">
        <v>45291</v>
      </c>
      <c r="G1125" s="15" t="n">
        <v>2023</v>
      </c>
      <c r="H1125" s="6" t="inlineStr">
        <is>
          <t>Diciembre</t>
        </is>
      </c>
      <c r="I1125" s="6" t="inlineStr">
        <is>
          <t>2023-2</t>
        </is>
      </c>
      <c r="J1125" s="5" t="n">
        <v>100</v>
      </c>
      <c r="K1125" s="5" t="n">
        <v>94.33750000000001</v>
      </c>
      <c r="L1125" s="14" t="n">
        <v>0.9433750000000001</v>
      </c>
      <c r="M1125" s="14" t="n">
        <v>0.9433750000000001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373-2023-12-31</t>
        </is>
      </c>
    </row>
    <row r="1126" hidden="1">
      <c r="A1126" s="5" t="n">
        <v>373</v>
      </c>
      <c r="B1126" s="5" t="inlineStr">
        <is>
          <t>Cumplimiento de planes anuales por líneas</t>
        </is>
      </c>
      <c r="C1126" s="5" t="inlineStr">
        <is>
          <t>Planeación Estratégica</t>
        </is>
      </c>
      <c r="D1126" s="5" t="inlineStr">
        <is>
          <t>Trimestral</t>
        </is>
      </c>
      <c r="E1126" s="5" t="inlineStr">
        <is>
          <t>Positivo</t>
        </is>
      </c>
      <c r="F1126" s="109" t="n">
        <v>45473</v>
      </c>
      <c r="G1126" s="5" t="n">
        <v>2024</v>
      </c>
      <c r="H1126" s="5" t="inlineStr">
        <is>
          <t>Junio</t>
        </is>
      </c>
      <c r="I1126" s="6" t="inlineStr">
        <is>
          <t>2024-1</t>
        </is>
      </c>
      <c r="J1126" s="5" t="n">
        <v>100</v>
      </c>
      <c r="K1126" s="10" t="n">
        <v>97.91</v>
      </c>
      <c r="L1126" s="14" t="n">
        <v>0.9791</v>
      </c>
      <c r="M1126" s="14" t="n">
        <v>0.9791</v>
      </c>
      <c r="N1126" s="5" t="inlineStr">
        <is>
          <t>%</t>
        </is>
      </c>
      <c r="O1126" s="5" t="inlineStr">
        <is>
          <t>%</t>
        </is>
      </c>
      <c r="P1126" s="5" t="n">
        <v>0</v>
      </c>
      <c r="Q1126" s="5" t="n">
        <v>0</v>
      </c>
      <c r="R1126" s="5" t="inlineStr">
        <is>
          <t>373-2024-06-30</t>
        </is>
      </c>
    </row>
    <row r="1127" hidden="1">
      <c r="A1127" s="5" t="n">
        <v>373</v>
      </c>
      <c r="B1127" s="5" t="inlineStr">
        <is>
          <t>Cumplimiento de planes anuales por líneas</t>
        </is>
      </c>
      <c r="C1127" s="5" t="inlineStr">
        <is>
          <t>Planeación Estratégica</t>
        </is>
      </c>
      <c r="D1127" s="5" t="inlineStr">
        <is>
          <t>Trimestral</t>
        </is>
      </c>
      <c r="E1127" s="5" t="inlineStr">
        <is>
          <t>Positivo</t>
        </is>
      </c>
      <c r="F1127" s="109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100</v>
      </c>
      <c r="K1127" s="5" t="n">
        <v>99.14</v>
      </c>
      <c r="L1127" s="14" t="n">
        <v>0.9914000000000001</v>
      </c>
      <c r="M1127" s="14" t="n">
        <v>0.9914000000000001</v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 t="inlineStr">
        <is>
          <t>373-2024-12-31</t>
        </is>
      </c>
    </row>
    <row r="1128" hidden="1">
      <c r="A1128" s="5" t="n">
        <v>373</v>
      </c>
      <c r="B1128" s="5" t="inlineStr">
        <is>
          <t>Cumplimiento de planes anuales por líneas</t>
        </is>
      </c>
      <c r="C1128" s="5" t="inlineStr">
        <is>
          <t>Planeación Estratégica</t>
        </is>
      </c>
      <c r="D1128" s="5" t="inlineStr">
        <is>
          <t>Semestral</t>
        </is>
      </c>
      <c r="E1128" s="5" t="inlineStr">
        <is>
          <t>Positivo</t>
        </is>
      </c>
      <c r="F1128" s="109" t="n">
        <v>45838</v>
      </c>
      <c r="G1128" s="5" t="n">
        <v>2025</v>
      </c>
      <c r="H1128" s="5" t="inlineStr">
        <is>
          <t>Junio</t>
        </is>
      </c>
      <c r="I1128" s="6" t="inlineStr">
        <is>
          <t>2025-1</t>
        </is>
      </c>
      <c r="J1128" s="5" t="n">
        <v>100</v>
      </c>
      <c r="K1128" s="5" t="n">
        <v>104.605</v>
      </c>
      <c r="L1128" s="74" t="n">
        <v>1.04605</v>
      </c>
      <c r="M1128" s="14" t="n">
        <v>1.04605</v>
      </c>
      <c r="N1128" s="5" t="inlineStr">
        <is>
          <t>%</t>
        </is>
      </c>
      <c r="O1128" s="5" t="inlineStr">
        <is>
          <t>%</t>
        </is>
      </c>
      <c r="P1128" s="5" t="n">
        <v>0</v>
      </c>
      <c r="Q1128" s="5" t="n">
        <v>0</v>
      </c>
      <c r="R1128" s="5" t="inlineStr">
        <is>
          <t>373-2025-06-30</t>
        </is>
      </c>
    </row>
    <row r="1129" hidden="1">
      <c r="A1129" s="5" t="n">
        <v>373</v>
      </c>
      <c r="B1129" s="5" t="inlineStr">
        <is>
          <t>Cumplimiento de planes anuales por líneas</t>
        </is>
      </c>
      <c r="C1129" s="5" t="inlineStr">
        <is>
          <t>Planeación Estratégica</t>
        </is>
      </c>
      <c r="D1129" s="5" t="inlineStr">
        <is>
          <t>Semestral</t>
        </is>
      </c>
      <c r="E1129" s="5" t="inlineStr">
        <is>
          <t>Positivo</t>
        </is>
      </c>
      <c r="F1129" s="109" t="n">
        <v>46022</v>
      </c>
      <c r="G1129" s="5" t="n">
        <v>2025</v>
      </c>
      <c r="H1129" s="5" t="inlineStr">
        <is>
          <t>Diciembre</t>
        </is>
      </c>
      <c r="I1129" s="6" t="inlineStr">
        <is>
          <t>2025-2</t>
        </is>
      </c>
      <c r="J1129" s="5" t="n">
        <v>100</v>
      </c>
      <c r="K1129" s="10" t="n">
        <v>97.82499999999999</v>
      </c>
      <c r="L1129" s="14" t="n">
        <v>0.9782499999999998</v>
      </c>
      <c r="M1129" s="14" t="n">
        <v>0.9782499999999998</v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 t="inlineStr">
        <is>
          <t>373-2025-12-31</t>
        </is>
      </c>
    </row>
    <row r="1130" hidden="1">
      <c r="A1130" s="5" t="n">
        <v>374</v>
      </c>
      <c r="B1130" s="5" t="inlineStr">
        <is>
          <t>Disponibilidad de máster modalidad virtual</t>
        </is>
      </c>
      <c r="C1130" s="5" t="inlineStr">
        <is>
          <t>Operaciones Académica pregrado y posgrado virtual</t>
        </is>
      </c>
      <c r="D1130" s="5" t="inlineStr">
        <is>
          <t>Semestral</t>
        </is>
      </c>
      <c r="E1130" s="5" t="inlineStr">
        <is>
          <t>Positivo</t>
        </is>
      </c>
      <c r="F1130" s="109" t="n">
        <v>45291</v>
      </c>
      <c r="G1130" s="5" t="n">
        <v>2023</v>
      </c>
      <c r="H1130" s="5" t="inlineStr">
        <is>
          <t>Diciembre</t>
        </is>
      </c>
      <c r="I1130" s="6" t="inlineStr">
        <is>
          <t>2023-2</t>
        </is>
      </c>
      <c r="J1130" s="73" t="n">
        <v>100</v>
      </c>
      <c r="K1130" s="9" t="n">
        <v>100</v>
      </c>
      <c r="L1130" s="14" t="n">
        <v>1</v>
      </c>
      <c r="M1130" s="14" t="n">
        <v>1</v>
      </c>
      <c r="N1130" s="9" t="n"/>
      <c r="O1130" s="9" t="n"/>
      <c r="P1130" s="5" t="n">
        <v>0</v>
      </c>
      <c r="Q1130" s="5" t="n">
        <v>0</v>
      </c>
      <c r="R1130" s="5" t="inlineStr">
        <is>
          <t>374-2023-12-31</t>
        </is>
      </c>
    </row>
    <row r="1131" hidden="1">
      <c r="A1131" s="5" t="n">
        <v>375</v>
      </c>
      <c r="B1131" s="5" t="inlineStr">
        <is>
          <t>Disponibilidad de catálogo de asignaturas pregrado y posgrado presencial</t>
        </is>
      </c>
      <c r="C1131" s="5" t="inlineStr">
        <is>
          <t>Operaciones Académicas</t>
        </is>
      </c>
      <c r="D1131" s="5" t="inlineStr">
        <is>
          <t>Trimestral</t>
        </is>
      </c>
      <c r="E1131" s="5" t="inlineStr">
        <is>
          <t>Positivo</t>
        </is>
      </c>
      <c r="F1131" s="109" t="n">
        <v>45107</v>
      </c>
      <c r="G1131" s="5" t="n">
        <v>2023</v>
      </c>
      <c r="H1131" s="5" t="inlineStr">
        <is>
          <t>Junio</t>
        </is>
      </c>
      <c r="I1131" s="6" t="inlineStr">
        <is>
          <t>2023-1</t>
        </is>
      </c>
      <c r="J1131" s="5" t="n">
        <v>100</v>
      </c>
      <c r="K1131" s="5" t="n">
        <v>0</v>
      </c>
      <c r="L1131" s="14" t="n">
        <v>0</v>
      </c>
      <c r="M1131" s="14" t="n">
        <v>0</v>
      </c>
      <c r="N1131" s="5" t="inlineStr">
        <is>
          <t>%</t>
        </is>
      </c>
      <c r="O1131" s="5" t="inlineStr">
        <is>
          <t>%</t>
        </is>
      </c>
      <c r="P1131" s="5" t="n">
        <v>0</v>
      </c>
      <c r="Q1131" s="5" t="n">
        <v>0</v>
      </c>
      <c r="R1131" s="5" t="inlineStr">
        <is>
          <t>375-2023-06-30</t>
        </is>
      </c>
    </row>
    <row r="1132" hidden="1">
      <c r="A1132" s="5" t="n">
        <v>375</v>
      </c>
      <c r="B1132" s="5" t="inlineStr">
        <is>
          <t>Disponibilidad de catálogo de asignaturas pregrado y posgrado presencial</t>
        </is>
      </c>
      <c r="C1132" s="5" t="inlineStr">
        <is>
          <t>Operaciones Académica pregrado y posgrado presencial.</t>
        </is>
      </c>
      <c r="D1132" s="5" t="inlineStr">
        <is>
          <t>Semestral</t>
        </is>
      </c>
      <c r="E1132" s="5" t="inlineStr">
        <is>
          <t>Positivo</t>
        </is>
      </c>
      <c r="F1132" s="109" t="n">
        <v>45291</v>
      </c>
      <c r="G1132" s="5" t="n">
        <v>2023</v>
      </c>
      <c r="H1132" s="5" t="inlineStr">
        <is>
          <t>Diciembre</t>
        </is>
      </c>
      <c r="I1132" s="6" t="inlineStr">
        <is>
          <t>2023-2</t>
        </is>
      </c>
      <c r="J1132" s="5" t="n">
        <v>100</v>
      </c>
      <c r="K1132" s="5" t="n">
        <v>100</v>
      </c>
      <c r="L1132" s="14" t="n">
        <v>1</v>
      </c>
      <c r="M1132" s="14" t="n">
        <v>1</v>
      </c>
      <c r="N1132" s="5" t="inlineStr">
        <is>
          <t>%</t>
        </is>
      </c>
      <c r="O1132" s="5" t="inlineStr">
        <is>
          <t>%</t>
        </is>
      </c>
      <c r="P1132" s="5" t="n">
        <v>0</v>
      </c>
      <c r="Q1132" s="5" t="n">
        <v>0</v>
      </c>
      <c r="R1132" s="5" t="inlineStr">
        <is>
          <t>375-2023-12-31</t>
        </is>
      </c>
    </row>
    <row r="1133" hidden="1">
      <c r="A1133" s="5" t="n">
        <v>375</v>
      </c>
      <c r="B1133" s="5" t="inlineStr">
        <is>
          <t>Disponibilidad de catálogo de asignaturas pregrado y posgrado presencial</t>
        </is>
      </c>
      <c r="C1133" s="5" t="inlineStr">
        <is>
          <t>Operaciones Académicas</t>
        </is>
      </c>
      <c r="D1133" s="5" t="inlineStr">
        <is>
          <t>Semestral</t>
        </is>
      </c>
      <c r="E1133" s="5" t="inlineStr">
        <is>
          <t>Positivo</t>
        </is>
      </c>
      <c r="F1133" s="109" t="n">
        <v>45473</v>
      </c>
      <c r="G1133" s="5" t="n">
        <v>2024</v>
      </c>
      <c r="H1133" s="5" t="inlineStr">
        <is>
          <t>Junio</t>
        </is>
      </c>
      <c r="I1133" s="6" t="inlineStr">
        <is>
          <t>2024-1</t>
        </is>
      </c>
      <c r="J1133" s="5" t="n">
        <v>100</v>
      </c>
      <c r="K1133" s="5" t="n">
        <v>100</v>
      </c>
      <c r="L1133" s="14" t="n">
        <v>1</v>
      </c>
      <c r="M1133" s="14" t="n">
        <v>1</v>
      </c>
      <c r="N1133" s="5" t="inlineStr">
        <is>
          <t>%</t>
        </is>
      </c>
      <c r="O1133" s="5" t="inlineStr">
        <is>
          <t>%</t>
        </is>
      </c>
      <c r="P1133" s="5" t="n">
        <v>0</v>
      </c>
      <c r="Q1133" s="5" t="n">
        <v>0</v>
      </c>
      <c r="R1133" s="5" t="inlineStr">
        <is>
          <t>375-2024-06-30</t>
        </is>
      </c>
    </row>
    <row r="1134" hidden="1">
      <c r="A1134" s="5" t="n">
        <v>375</v>
      </c>
      <c r="B1134" s="5" t="inlineStr">
        <is>
          <t>Disponibilidad de catálogo de asignaturas pregrado y posgrado presencial</t>
        </is>
      </c>
      <c r="C1134" s="5" t="inlineStr">
        <is>
          <t>Operaciones Académicas</t>
        </is>
      </c>
      <c r="D1134" s="5" t="inlineStr">
        <is>
          <t>Semestral</t>
        </is>
      </c>
      <c r="E1134" s="5" t="inlineStr">
        <is>
          <t>Positivo</t>
        </is>
      </c>
      <c r="F1134" s="109" t="n">
        <v>45657</v>
      </c>
      <c r="G1134" s="5" t="n">
        <v>2024</v>
      </c>
      <c r="H1134" s="5" t="inlineStr">
        <is>
          <t>Diciembre</t>
        </is>
      </c>
      <c r="I1134" s="6" t="inlineStr">
        <is>
          <t>2024-2</t>
        </is>
      </c>
      <c r="J1134" s="5" t="n">
        <v>100</v>
      </c>
      <c r="K1134" s="5" t="n">
        <v>100</v>
      </c>
      <c r="L1134" s="14" t="n">
        <v>1</v>
      </c>
      <c r="M1134" s="14" t="n">
        <v>1</v>
      </c>
      <c r="N1134" s="5" t="inlineStr">
        <is>
          <t>%</t>
        </is>
      </c>
      <c r="O1134" s="5" t="inlineStr">
        <is>
          <t>%</t>
        </is>
      </c>
      <c r="P1134" s="5" t="n">
        <v>0</v>
      </c>
      <c r="Q1134" s="5" t="n">
        <v>0</v>
      </c>
      <c r="R1134" s="5" t="inlineStr">
        <is>
          <t>375-2024-12-31</t>
        </is>
      </c>
    </row>
    <row r="1135" hidden="1">
      <c r="A1135" s="5" t="n">
        <v>375</v>
      </c>
      <c r="B1135" s="5" t="inlineStr">
        <is>
          <t>Disponibilidad de catálogo de asignaturas pregrado y posgrado presencial</t>
        </is>
      </c>
      <c r="C1135" s="5" t="inlineStr">
        <is>
          <t>Operaciones Académicas</t>
        </is>
      </c>
      <c r="D1135" s="5" t="inlineStr">
        <is>
          <t>Semestral</t>
        </is>
      </c>
      <c r="E1135" s="5" t="inlineStr">
        <is>
          <t>Positivo</t>
        </is>
      </c>
      <c r="F1135" s="109" t="n">
        <v>45838</v>
      </c>
      <c r="G1135" s="5" t="n">
        <v>2025</v>
      </c>
      <c r="H1135" s="5" t="inlineStr">
        <is>
          <t>Junio</t>
        </is>
      </c>
      <c r="I1135" s="6" t="inlineStr">
        <is>
          <t>2025-1</t>
        </is>
      </c>
      <c r="J1135" s="5" t="n">
        <v>100</v>
      </c>
      <c r="K1135" s="5" t="n">
        <v>100</v>
      </c>
      <c r="L1135" s="14" t="n">
        <v>1</v>
      </c>
      <c r="M1135" s="14" t="n">
        <v>1</v>
      </c>
      <c r="N1135" s="5" t="inlineStr">
        <is>
          <t>%</t>
        </is>
      </c>
      <c r="O1135" s="5" t="inlineStr">
        <is>
          <t>%</t>
        </is>
      </c>
      <c r="P1135" s="5" t="n">
        <v>0</v>
      </c>
      <c r="Q1135" s="5" t="n">
        <v>0</v>
      </c>
      <c r="R1135" s="5" t="inlineStr">
        <is>
          <t>375-2025-06-30</t>
        </is>
      </c>
    </row>
    <row r="1136" hidden="1">
      <c r="A1136" s="5" t="n">
        <v>375</v>
      </c>
      <c r="B1136" s="5" t="inlineStr">
        <is>
          <t>Disponibilidad de catálogo de asignaturas pregrado y posgrado presencial</t>
        </is>
      </c>
      <c r="C1136" s="5" t="inlineStr">
        <is>
          <t>Operaciones Académicas</t>
        </is>
      </c>
      <c r="D1136" s="5" t="inlineStr">
        <is>
          <t>Trimestral</t>
        </is>
      </c>
      <c r="E1136" s="5" t="inlineStr">
        <is>
          <t>Positivo</t>
        </is>
      </c>
      <c r="F1136" s="109" t="n">
        <v>46022</v>
      </c>
      <c r="G1136" s="5" t="n">
        <v>2025</v>
      </c>
      <c r="H1136" s="5" t="inlineStr">
        <is>
          <t>Diciembre</t>
        </is>
      </c>
      <c r="I1136" s="6" t="inlineStr">
        <is>
          <t>2025-2</t>
        </is>
      </c>
      <c r="J1136" s="5" t="n">
        <v>100</v>
      </c>
      <c r="K1136" s="5" t="n">
        <v>100</v>
      </c>
      <c r="L1136" s="14" t="n">
        <v>1</v>
      </c>
      <c r="M1136" s="14" t="n">
        <v>1</v>
      </c>
      <c r="N1136" s="5" t="inlineStr">
        <is>
          <t>%</t>
        </is>
      </c>
      <c r="O1136" s="5" t="inlineStr">
        <is>
          <t>%</t>
        </is>
      </c>
      <c r="P1136" s="5" t="n">
        <v>0</v>
      </c>
      <c r="Q1136" s="5" t="n">
        <v>0</v>
      </c>
      <c r="R1136" s="5" t="inlineStr">
        <is>
          <t>375-2025-12-31</t>
        </is>
      </c>
    </row>
    <row r="1137" hidden="1">
      <c r="A1137" s="5" t="n">
        <v>376</v>
      </c>
      <c r="B1137" s="5" t="inlineStr">
        <is>
          <t>Cumplimiento EBIDTA</t>
        </is>
      </c>
      <c r="C1137" s="5" t="inlineStr">
        <is>
          <t>Planeación Financiera</t>
        </is>
      </c>
      <c r="D1137" s="5" t="inlineStr">
        <is>
          <t>Semestral</t>
        </is>
      </c>
      <c r="E1137" s="5" t="inlineStr">
        <is>
          <t>Positivo</t>
        </is>
      </c>
      <c r="F1137" s="109" t="n">
        <v>45107</v>
      </c>
      <c r="G1137" s="5" t="n">
        <v>2023</v>
      </c>
      <c r="H1137" s="5" t="inlineStr">
        <is>
          <t>Junio</t>
        </is>
      </c>
      <c r="I1137" s="6" t="inlineStr">
        <is>
          <t>2023-1</t>
        </is>
      </c>
      <c r="J1137" s="5" t="n">
        <v>95</v>
      </c>
      <c r="K1137" s="5" t="n">
        <v>149.7223763395</v>
      </c>
      <c r="L1137" s="14" t="n">
        <v>1.3</v>
      </c>
      <c r="M1137" s="14" t="n">
        <v>1.5760250141</v>
      </c>
      <c r="N1137" s="5" t="inlineStr">
        <is>
          <t>$</t>
        </is>
      </c>
      <c r="O1137" s="5" t="inlineStr">
        <is>
          <t>$</t>
        </is>
      </c>
      <c r="P1137" s="5" t="n">
        <v>0</v>
      </c>
      <c r="Q1137" s="5" t="n">
        <v>0</v>
      </c>
      <c r="R1137" s="5" t="inlineStr">
        <is>
          <t>376-2023-06-30</t>
        </is>
      </c>
    </row>
    <row r="1138" hidden="1">
      <c r="A1138" s="5" t="n">
        <v>376</v>
      </c>
      <c r="B1138" s="5" t="inlineStr">
        <is>
          <t>Cumplimiento EBIDTA</t>
        </is>
      </c>
      <c r="C1138" s="5" t="inlineStr">
        <is>
          <t>Planeación Financiera</t>
        </is>
      </c>
      <c r="D1138" s="5" t="inlineStr">
        <is>
          <t>Semestral</t>
        </is>
      </c>
      <c r="E1138" s="5" t="inlineStr">
        <is>
          <t>Positivo</t>
        </is>
      </c>
      <c r="F1138" s="109" t="n">
        <v>45291</v>
      </c>
      <c r="G1138" s="5" t="n">
        <v>2023</v>
      </c>
      <c r="H1138" s="5" t="inlineStr">
        <is>
          <t>Diciembre</t>
        </is>
      </c>
      <c r="I1138" s="6" t="inlineStr">
        <is>
          <t>2023-2</t>
        </is>
      </c>
      <c r="J1138" s="5" t="n">
        <v>95</v>
      </c>
      <c r="K1138" s="5" t="n">
        <v>101.26</v>
      </c>
      <c r="L1138" s="14" t="n">
        <v>1.065894736842105</v>
      </c>
      <c r="M1138" s="14" t="n">
        <v>1.065894736842105</v>
      </c>
      <c r="N1138" s="5" t="inlineStr">
        <is>
          <t>$</t>
        </is>
      </c>
      <c r="O1138" s="5" t="inlineStr">
        <is>
          <t>$</t>
        </is>
      </c>
      <c r="P1138" s="5" t="n">
        <v>0</v>
      </c>
      <c r="Q1138" s="5" t="n">
        <v>0</v>
      </c>
      <c r="R1138" s="5" t="inlineStr">
        <is>
          <t>376-2023-12-31</t>
        </is>
      </c>
    </row>
    <row r="1139" hidden="1">
      <c r="A1139" s="5" t="n">
        <v>376</v>
      </c>
      <c r="B1139" s="5" t="inlineStr">
        <is>
          <t>Cumplimiento EBIDTA</t>
        </is>
      </c>
      <c r="C1139" s="5" t="inlineStr">
        <is>
          <t>Planeación Financiera</t>
        </is>
      </c>
      <c r="D1139" s="5" t="inlineStr">
        <is>
          <t>Semestral</t>
        </is>
      </c>
      <c r="E1139" s="5" t="inlineStr">
        <is>
          <t>Positivo</t>
        </is>
      </c>
      <c r="F1139" s="109" t="n">
        <v>45473</v>
      </c>
      <c r="G1139" s="5" t="n">
        <v>2024</v>
      </c>
      <c r="H1139" s="5" t="inlineStr">
        <is>
          <t>Junio</t>
        </is>
      </c>
      <c r="I1139" s="6" t="inlineStr">
        <is>
          <t>2024-1</t>
        </is>
      </c>
      <c r="J1139" s="5" t="n">
        <v>95</v>
      </c>
      <c r="K1139" s="10" t="n">
        <v>104</v>
      </c>
      <c r="L1139" s="14" t="n">
        <v>1.094736842105263</v>
      </c>
      <c r="M1139" s="14" t="n">
        <v>1.094736842105263</v>
      </c>
      <c r="N1139" s="5" t="inlineStr">
        <is>
          <t>$</t>
        </is>
      </c>
      <c r="O1139" s="5" t="inlineStr">
        <is>
          <t>$</t>
        </is>
      </c>
      <c r="P1139" s="5" t="n">
        <v>0</v>
      </c>
      <c r="Q1139" s="5" t="n">
        <v>0</v>
      </c>
      <c r="R1139" s="5" t="inlineStr">
        <is>
          <t>376-2024-06-30</t>
        </is>
      </c>
    </row>
    <row r="1140" hidden="1">
      <c r="A1140" s="5" t="n">
        <v>376</v>
      </c>
      <c r="B1140" s="5" t="inlineStr">
        <is>
          <t>Cumplimiento EBIDTA</t>
        </is>
      </c>
      <c r="C1140" s="5" t="inlineStr">
        <is>
          <t>Planeación Financiera</t>
        </is>
      </c>
      <c r="D1140" s="5" t="inlineStr">
        <is>
          <t>Semestral</t>
        </is>
      </c>
      <c r="E1140" s="5" t="inlineStr">
        <is>
          <t>Positivo</t>
        </is>
      </c>
      <c r="F1140" s="109" t="n">
        <v>45657</v>
      </c>
      <c r="G1140" s="5" t="n">
        <v>2024</v>
      </c>
      <c r="H1140" s="5" t="inlineStr">
        <is>
          <t>Diciembre</t>
        </is>
      </c>
      <c r="I1140" s="6" t="inlineStr">
        <is>
          <t>2024-2</t>
        </is>
      </c>
      <c r="J1140" s="5" t="n">
        <v>95</v>
      </c>
      <c r="K1140" s="5" t="n">
        <v>109.1</v>
      </c>
      <c r="L1140" s="14" t="n">
        <v>1.148421052631579</v>
      </c>
      <c r="M1140" s="14" t="n">
        <v>1.148421052631579</v>
      </c>
      <c r="N1140" s="5" t="inlineStr">
        <is>
          <t>$</t>
        </is>
      </c>
      <c r="O1140" s="5" t="inlineStr">
        <is>
          <t>$</t>
        </is>
      </c>
      <c r="P1140" s="5" t="n">
        <v>0</v>
      </c>
      <c r="Q1140" s="5" t="n">
        <v>0</v>
      </c>
      <c r="R1140" s="5" t="inlineStr">
        <is>
          <t>376-2024-12-31</t>
        </is>
      </c>
    </row>
    <row r="1141" hidden="1">
      <c r="A1141" s="5" t="n">
        <v>376</v>
      </c>
      <c r="B1141" s="5" t="inlineStr">
        <is>
          <t>Cumplimiento EBIDTA</t>
        </is>
      </c>
      <c r="C1141" s="5" t="inlineStr">
        <is>
          <t>Planeación Financiera</t>
        </is>
      </c>
      <c r="D1141" s="5" t="inlineStr">
        <is>
          <t>Semestral</t>
        </is>
      </c>
      <c r="E1141" s="5" t="inlineStr">
        <is>
          <t>Positivo</t>
        </is>
      </c>
      <c r="F1141" s="109" t="n">
        <v>45838</v>
      </c>
      <c r="G1141" s="5" t="n">
        <v>2025</v>
      </c>
      <c r="H1141" s="5" t="inlineStr">
        <is>
          <t>Junio</t>
        </is>
      </c>
      <c r="I1141" s="6" t="inlineStr">
        <is>
          <t>2025-1</t>
        </is>
      </c>
      <c r="J1141" s="76" t="n">
        <v>95</v>
      </c>
      <c r="K1141" s="10" t="n">
        <v>117.87</v>
      </c>
      <c r="L1141" s="14" t="n">
        <v>1.240736842105263</v>
      </c>
      <c r="M1141" s="14" t="n">
        <v>1.240736842105263</v>
      </c>
      <c r="N1141" s="5" t="inlineStr">
        <is>
          <t>$</t>
        </is>
      </c>
      <c r="O1141" s="5" t="inlineStr">
        <is>
          <t>$</t>
        </is>
      </c>
      <c r="P1141" s="5" t="n">
        <v>0</v>
      </c>
      <c r="Q1141" s="5" t="n">
        <v>0</v>
      </c>
      <c r="R1141" s="5" t="inlineStr">
        <is>
          <t>376-2025-06-30</t>
        </is>
      </c>
    </row>
    <row r="1142" hidden="1">
      <c r="A1142" s="5" t="n">
        <v>376</v>
      </c>
      <c r="B1142" s="5" t="inlineStr">
        <is>
          <t>Cumplimiento EBITDA</t>
        </is>
      </c>
      <c r="C1142" s="5" t="inlineStr">
        <is>
          <t>Planeación Financiera</t>
        </is>
      </c>
      <c r="D1142" s="5" t="inlineStr">
        <is>
          <t>Trimestral</t>
        </is>
      </c>
      <c r="E1142" s="5" t="inlineStr">
        <is>
          <t>Positivo</t>
        </is>
      </c>
      <c r="F1142" s="109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5" t="n">
        <v>95</v>
      </c>
      <c r="K1142" s="9" t="n">
        <v>117.51</v>
      </c>
      <c r="L1142" s="14" t="n">
        <v>1.236947368421053</v>
      </c>
      <c r="M1142" s="14" t="n">
        <v>1.236947368421053</v>
      </c>
      <c r="N1142" s="5" t="inlineStr">
        <is>
          <t>$</t>
        </is>
      </c>
      <c r="O1142" s="5" t="inlineStr">
        <is>
          <t>$</t>
        </is>
      </c>
      <c r="P1142" s="5" t="n">
        <v>0</v>
      </c>
      <c r="Q1142" s="5" t="n">
        <v>0</v>
      </c>
      <c r="R1142" s="5" t="inlineStr">
        <is>
          <t>376-2025-12-31</t>
        </is>
      </c>
    </row>
    <row r="1143" hidden="1">
      <c r="A1143" s="5" t="n">
        <v>377</v>
      </c>
      <c r="B1143" s="5" t="inlineStr">
        <is>
          <t>CAPEX</t>
        </is>
      </c>
      <c r="C1143" s="5" t="inlineStr">
        <is>
          <t>Planeación Financiera</t>
        </is>
      </c>
      <c r="D1143" s="5" t="inlineStr">
        <is>
          <t>Semestral</t>
        </is>
      </c>
      <c r="E1143" s="5" t="inlineStr">
        <is>
          <t>Negativo</t>
        </is>
      </c>
      <c r="F1143" s="109" t="n">
        <v>45107</v>
      </c>
      <c r="G1143" s="5" t="n">
        <v>2023</v>
      </c>
      <c r="H1143" s="5" t="inlineStr">
        <is>
          <t>Junio</t>
        </is>
      </c>
      <c r="I1143" s="6" t="inlineStr">
        <is>
          <t>2023-1</t>
        </is>
      </c>
      <c r="J1143" s="5" t="n">
        <v>100</v>
      </c>
      <c r="K1143" s="10" t="n">
        <v>22.314798348502</v>
      </c>
      <c r="L1143" s="14" t="n">
        <v>1.3</v>
      </c>
      <c r="M1143" s="14" t="n">
        <v>4.481331107646467</v>
      </c>
      <c r="N1143" s="5" t="inlineStr">
        <is>
          <t>$</t>
        </is>
      </c>
      <c r="O1143" s="5" t="inlineStr">
        <is>
          <t>$</t>
        </is>
      </c>
      <c r="P1143" s="5" t="n">
        <v>0</v>
      </c>
      <c r="Q1143" s="5" t="n">
        <v>0</v>
      </c>
      <c r="R1143" s="5" t="inlineStr">
        <is>
          <t>377-2023-06-30</t>
        </is>
      </c>
    </row>
    <row r="1144" hidden="1">
      <c r="A1144" s="5" t="n">
        <v>377</v>
      </c>
      <c r="B1144" s="5" t="inlineStr">
        <is>
          <t>CAPEX</t>
        </is>
      </c>
      <c r="C1144" s="5" t="inlineStr">
        <is>
          <t>Planeación Financiera</t>
        </is>
      </c>
      <c r="D1144" s="5" t="inlineStr">
        <is>
          <t>Semestral</t>
        </is>
      </c>
      <c r="E1144" s="5" t="inlineStr">
        <is>
          <t>Negativo</t>
        </is>
      </c>
      <c r="F1144" s="109" t="n">
        <v>45291</v>
      </c>
      <c r="G1144" s="5" t="n">
        <v>2023</v>
      </c>
      <c r="H1144" s="5" t="inlineStr">
        <is>
          <t>Diciembre</t>
        </is>
      </c>
      <c r="I1144" s="6" t="inlineStr">
        <is>
          <t>2023-2</t>
        </is>
      </c>
      <c r="J1144" s="5" t="n">
        <v>100</v>
      </c>
      <c r="K1144" s="11" t="n">
        <v>60.77</v>
      </c>
      <c r="L1144" s="14" t="n">
        <v>1.3</v>
      </c>
      <c r="M1144" s="14" t="n">
        <v>1.645548790521639</v>
      </c>
      <c r="N1144" s="5" t="inlineStr">
        <is>
          <t>$</t>
        </is>
      </c>
      <c r="O1144" s="5" t="inlineStr">
        <is>
          <t>$</t>
        </is>
      </c>
      <c r="P1144" s="5" t="n">
        <v>0</v>
      </c>
      <c r="Q1144" s="5" t="n">
        <v>0</v>
      </c>
      <c r="R1144" s="5" t="inlineStr">
        <is>
          <t>377-2023-12-31</t>
        </is>
      </c>
    </row>
    <row r="1145" hidden="1">
      <c r="A1145" s="5" t="n">
        <v>377</v>
      </c>
      <c r="B1145" s="5" t="inlineStr">
        <is>
          <t>CAPEX</t>
        </is>
      </c>
      <c r="C1145" s="5" t="inlineStr">
        <is>
          <t>Planeación Financiera</t>
        </is>
      </c>
      <c r="D1145" s="5" t="inlineStr">
        <is>
          <t>Semestral</t>
        </is>
      </c>
      <c r="E1145" s="5" t="inlineStr">
        <is>
          <t>Negativo</t>
        </is>
      </c>
      <c r="F1145" s="109" t="n">
        <v>45473</v>
      </c>
      <c r="G1145" s="5" t="n">
        <v>2024</v>
      </c>
      <c r="H1145" s="5" t="inlineStr">
        <is>
          <t>Junio</t>
        </is>
      </c>
      <c r="I1145" s="6" t="inlineStr">
        <is>
          <t>2024-1</t>
        </is>
      </c>
      <c r="J1145" s="5" t="n">
        <v>100</v>
      </c>
      <c r="K1145" s="5" t="n">
        <v>48.24</v>
      </c>
      <c r="L1145" s="14" t="n">
        <v>1.3</v>
      </c>
      <c r="M1145" s="14" t="n">
        <v>2.072968490878939</v>
      </c>
      <c r="N1145" s="5" t="inlineStr">
        <is>
          <t>$</t>
        </is>
      </c>
      <c r="O1145" s="5" t="inlineStr">
        <is>
          <t>$</t>
        </is>
      </c>
      <c r="P1145" s="5" t="n">
        <v>0</v>
      </c>
      <c r="Q1145" s="5" t="n">
        <v>0</v>
      </c>
      <c r="R1145" s="5" t="inlineStr">
        <is>
          <t>377-2024-06-30</t>
        </is>
      </c>
    </row>
    <row r="1146" hidden="1">
      <c r="A1146" s="5" t="n">
        <v>377</v>
      </c>
      <c r="B1146" s="5" t="inlineStr">
        <is>
          <t>CAPEX</t>
        </is>
      </c>
      <c r="C1146" s="5" t="inlineStr">
        <is>
          <t>Planeación Financiera</t>
        </is>
      </c>
      <c r="D1146" s="5" t="inlineStr">
        <is>
          <t>Semestral</t>
        </is>
      </c>
      <c r="E1146" s="5" t="inlineStr">
        <is>
          <t>Negativo</t>
        </is>
      </c>
      <c r="F1146" s="109" t="n">
        <v>45657</v>
      </c>
      <c r="G1146" s="5" t="n">
        <v>2024</v>
      </c>
      <c r="H1146" s="5" t="inlineStr">
        <is>
          <t>Diciembre</t>
        </is>
      </c>
      <c r="I1146" s="6" t="inlineStr">
        <is>
          <t>2024-2</t>
        </is>
      </c>
      <c r="J1146" s="5" t="n">
        <v>100</v>
      </c>
      <c r="K1146" s="5" t="n">
        <v>125.01</v>
      </c>
      <c r="L1146" s="14" t="n">
        <v>0.7999360051195904</v>
      </c>
      <c r="M1146" s="14" t="n">
        <v>0.7999360051195904</v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377-2024-12-31</t>
        </is>
      </c>
    </row>
    <row r="1147" hidden="1">
      <c r="A1147" s="5" t="n">
        <v>377</v>
      </c>
      <c r="B1147" s="5" t="inlineStr">
        <is>
          <t>CAPEX</t>
        </is>
      </c>
      <c r="C1147" s="5" t="inlineStr">
        <is>
          <t>Planeación Financiera</t>
        </is>
      </c>
      <c r="D1147" s="5" t="inlineStr">
        <is>
          <t>Anual</t>
        </is>
      </c>
      <c r="E1147" s="5" t="inlineStr">
        <is>
          <t>Positivo</t>
        </is>
      </c>
      <c r="F1147" s="109" t="n">
        <v>46022</v>
      </c>
      <c r="G1147" s="5" t="n">
        <v>2025</v>
      </c>
      <c r="H1147" s="5" t="inlineStr">
        <is>
          <t>Diciembre</t>
        </is>
      </c>
      <c r="I1147" s="6" t="inlineStr">
        <is>
          <t>2025-2</t>
        </is>
      </c>
      <c r="J1147" s="5" t="n">
        <v>100</v>
      </c>
      <c r="K1147" s="5" t="n">
        <v>107.11</v>
      </c>
      <c r="L1147" s="14" t="n">
        <v>1.0711</v>
      </c>
      <c r="M1147" s="14" t="n">
        <v>1.0711</v>
      </c>
      <c r="N1147" s="5" t="inlineStr">
        <is>
          <t>$</t>
        </is>
      </c>
      <c r="O1147" s="5" t="inlineStr">
        <is>
          <t>$</t>
        </is>
      </c>
      <c r="P1147" s="5" t="n">
        <v>0</v>
      </c>
      <c r="Q1147" s="5" t="n">
        <v>0</v>
      </c>
      <c r="R1147" s="5" t="inlineStr">
        <is>
          <t>377-2025-12-31</t>
        </is>
      </c>
    </row>
    <row r="1148" hidden="1">
      <c r="A1148" s="5" t="n">
        <v>378</v>
      </c>
      <c r="B1148" s="5" t="inlineStr">
        <is>
          <t>Proyectos tecnológicos</t>
        </is>
      </c>
      <c r="C1148" s="5" t="inlineStr">
        <is>
          <t>GESTIÓN DE LA TECNOLOGÍA E INNOVACIÓN DIGITAL</t>
        </is>
      </c>
      <c r="D1148" s="5" t="inlineStr">
        <is>
          <t>Mensual</t>
        </is>
      </c>
      <c r="E1148" s="5" t="inlineStr">
        <is>
          <t>Positivo</t>
        </is>
      </c>
      <c r="F1148" s="109" t="n">
        <v>45107</v>
      </c>
      <c r="G1148" s="5" t="n">
        <v>2023</v>
      </c>
      <c r="H1148" s="5" t="inlineStr">
        <is>
          <t>Junio</t>
        </is>
      </c>
      <c r="I1148" s="6" t="inlineStr">
        <is>
          <t>2023-1</t>
        </is>
      </c>
      <c r="J1148" s="5" t="n">
        <v>92</v>
      </c>
      <c r="K1148" s="5" t="n">
        <v>93.83</v>
      </c>
      <c r="L1148" s="14" t="n">
        <v>1.019891304347826</v>
      </c>
      <c r="M1148" s="14" t="n">
        <v>1.019891304347826</v>
      </c>
      <c r="N1148" s="5" t="inlineStr">
        <is>
          <t>%</t>
        </is>
      </c>
      <c r="O1148" s="5" t="inlineStr">
        <is>
          <t>%</t>
        </is>
      </c>
      <c r="P1148" s="5" t="n">
        <v>0</v>
      </c>
      <c r="Q1148" s="5" t="n">
        <v>0</v>
      </c>
      <c r="R1148" s="5" t="inlineStr">
        <is>
          <t>378-2023-06-30</t>
        </is>
      </c>
    </row>
    <row r="1149" hidden="1">
      <c r="A1149" s="5" t="n">
        <v>378</v>
      </c>
      <c r="B1149" s="5" t="inlineStr">
        <is>
          <t>Proyectos tecnológicos</t>
        </is>
      </c>
      <c r="C1149" s="5" t="inlineStr">
        <is>
          <t>GESTIÓN DE LA TECNOLOGÍA E INNOVACIÓN DIGITAL</t>
        </is>
      </c>
      <c r="D1149" s="5" t="inlineStr">
        <is>
          <t>Mensual</t>
        </is>
      </c>
      <c r="E1149" s="5" t="inlineStr">
        <is>
          <t>Positivo</t>
        </is>
      </c>
      <c r="F1149" s="109" t="n">
        <v>45291</v>
      </c>
      <c r="G1149" s="5" t="n">
        <v>2023</v>
      </c>
      <c r="H1149" s="5" t="inlineStr">
        <is>
          <t>Diciembre</t>
        </is>
      </c>
      <c r="I1149" s="6" t="inlineStr">
        <is>
          <t>2023-2</t>
        </is>
      </c>
      <c r="J1149" s="5" t="n">
        <v>92</v>
      </c>
      <c r="K1149" s="5" t="n">
        <v>97.3</v>
      </c>
      <c r="L1149" s="14" t="n">
        <v>1.057608695652174</v>
      </c>
      <c r="M1149" s="14" t="n">
        <v>1.057608695652174</v>
      </c>
      <c r="N1149" s="5" t="inlineStr">
        <is>
          <t>%</t>
        </is>
      </c>
      <c r="O1149" s="5" t="inlineStr">
        <is>
          <t>%</t>
        </is>
      </c>
      <c r="P1149" s="5" t="n">
        <v>0</v>
      </c>
      <c r="Q1149" s="5" t="n">
        <v>0</v>
      </c>
      <c r="R1149" s="5" t="inlineStr">
        <is>
          <t>378-2023-12-31</t>
        </is>
      </c>
    </row>
    <row r="1150" hidden="1">
      <c r="A1150" s="26" t="n">
        <v>378</v>
      </c>
      <c r="B1150" s="5" t="inlineStr">
        <is>
          <t>Proyectos tecnológicos</t>
        </is>
      </c>
      <c r="C1150" s="5" t="inlineStr">
        <is>
          <t>GESTIÓN DE LA TECNOLOGÍA E INNOVACIÓN DIGITAL</t>
        </is>
      </c>
      <c r="D1150" s="5" t="inlineStr">
        <is>
          <t>Mensual</t>
        </is>
      </c>
      <c r="E1150" s="5" t="inlineStr">
        <is>
          <t>Positivo</t>
        </is>
      </c>
      <c r="F1150" s="109" t="n">
        <v>45473</v>
      </c>
      <c r="G1150" s="5" t="n">
        <v>2024</v>
      </c>
      <c r="H1150" s="5" t="inlineStr">
        <is>
          <t>Junio</t>
        </is>
      </c>
      <c r="I1150" s="6" t="inlineStr">
        <is>
          <t>2024-1</t>
        </is>
      </c>
      <c r="J1150" s="5" t="n">
        <v>92</v>
      </c>
      <c r="K1150" s="5" t="n">
        <v>98.5</v>
      </c>
      <c r="L1150" s="14" t="n">
        <v>1.070652173913043</v>
      </c>
      <c r="M1150" s="14" t="n">
        <v>1.070652173913043</v>
      </c>
      <c r="N1150" s="5" t="n"/>
      <c r="O1150" s="5" t="n"/>
      <c r="P1150" s="5" t="n">
        <v>0</v>
      </c>
      <c r="Q1150" s="5" t="n">
        <v>0</v>
      </c>
      <c r="R1150" s="5" t="inlineStr">
        <is>
          <t>378-2024-06-30</t>
        </is>
      </c>
    </row>
    <row r="1151" hidden="1">
      <c r="A1151" s="5" t="n">
        <v>378</v>
      </c>
      <c r="B1151" s="5" t="inlineStr">
        <is>
          <t>Proyectos tecnológicos</t>
        </is>
      </c>
      <c r="C1151" s="5" t="inlineStr">
        <is>
          <t>GESTIÓN DE LA TECNOLOGÍA E INNOVACIÓN DIGITAL</t>
        </is>
      </c>
      <c r="D1151" s="5" t="inlineStr">
        <is>
          <t>Mensual</t>
        </is>
      </c>
      <c r="E1151" s="5" t="inlineStr">
        <is>
          <t>Positivo</t>
        </is>
      </c>
      <c r="F1151" s="109" t="n">
        <v>45657</v>
      </c>
      <c r="G1151" s="5" t="n">
        <v>2024</v>
      </c>
      <c r="H1151" s="5" t="inlineStr">
        <is>
          <t>Diciembre</t>
        </is>
      </c>
      <c r="I1151" s="6" t="inlineStr">
        <is>
          <t>2024-2</t>
        </is>
      </c>
      <c r="J1151" s="5" t="n">
        <v>0</v>
      </c>
      <c r="K1151" s="10" t="n">
        <v>0</v>
      </c>
      <c r="L1151" s="14" t="n">
        <v>1</v>
      </c>
      <c r="M1151" s="14" t="n">
        <v>1</v>
      </c>
      <c r="N1151" s="5" t="n"/>
      <c r="O1151" s="5" t="n"/>
      <c r="P1151" s="5" t="n">
        <v>0</v>
      </c>
      <c r="Q1151" s="5" t="n">
        <v>0</v>
      </c>
      <c r="R1151" s="5" t="inlineStr">
        <is>
          <t>378-2024-12-31</t>
        </is>
      </c>
    </row>
    <row r="1152" hidden="1">
      <c r="A1152" s="5" t="n">
        <v>379</v>
      </c>
      <c r="B1152" s="5" t="inlineStr">
        <is>
          <t>Total estudiantes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09" t="n">
        <v>45107</v>
      </c>
      <c r="G1152" s="5" t="n">
        <v>2023</v>
      </c>
      <c r="H1152" s="5" t="inlineStr">
        <is>
          <t>Junio</t>
        </is>
      </c>
      <c r="I1152" s="6" t="inlineStr">
        <is>
          <t>2023-1</t>
        </is>
      </c>
      <c r="J1152" s="5" t="n">
        <v>100</v>
      </c>
      <c r="K1152" s="5" t="n">
        <v>102.72877164056</v>
      </c>
      <c r="L1152" s="14" t="n">
        <v>1.0272877164056</v>
      </c>
      <c r="M1152" s="14" t="n">
        <v>1.0272877164056</v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379-2023-06-30</t>
        </is>
      </c>
    </row>
    <row r="1153" hidden="1">
      <c r="A1153" s="5" t="n">
        <v>379</v>
      </c>
      <c r="B1153" s="5" t="inlineStr">
        <is>
          <t>Total estudiantes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09" t="n">
        <v>45291</v>
      </c>
      <c r="G1153" s="5" t="n">
        <v>2023</v>
      </c>
      <c r="H1153" s="5" t="inlineStr">
        <is>
          <t>Diciembre</t>
        </is>
      </c>
      <c r="I1153" s="6" t="inlineStr">
        <is>
          <t>2023-2</t>
        </is>
      </c>
      <c r="J1153" s="5" t="n">
        <v>100</v>
      </c>
      <c r="K1153" s="10" t="n">
        <v>108.65</v>
      </c>
      <c r="L1153" s="14" t="n">
        <v>1.0865</v>
      </c>
      <c r="M1153" s="14" t="n">
        <v>1.0865</v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379-2023-12-31</t>
        </is>
      </c>
    </row>
    <row r="1154" hidden="1">
      <c r="A1154" s="5" t="n">
        <v>379</v>
      </c>
      <c r="B1154" s="5" t="inlineStr">
        <is>
          <t>Total estudiantes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09" t="n">
        <v>45473</v>
      </c>
      <c r="G1154" s="5" t="n">
        <v>2024</v>
      </c>
      <c r="H1154" s="5" t="inlineStr">
        <is>
          <t>Junio</t>
        </is>
      </c>
      <c r="I1154" s="6" t="inlineStr">
        <is>
          <t>2024-1</t>
        </is>
      </c>
      <c r="J1154" s="5" t="n">
        <v>100</v>
      </c>
      <c r="K1154" s="5" t="n">
        <v>95.92</v>
      </c>
      <c r="L1154" s="14" t="n">
        <v>0.9592000000000001</v>
      </c>
      <c r="M1154" s="14" t="n">
        <v>0.9592000000000001</v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379-2024-06-30</t>
        </is>
      </c>
    </row>
    <row r="1155" hidden="1">
      <c r="A1155" s="5" t="n">
        <v>379</v>
      </c>
      <c r="B1155" s="5" t="inlineStr">
        <is>
          <t>Total estudiantes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09" t="n">
        <v>45657</v>
      </c>
      <c r="G1155" s="5" t="n">
        <v>2024</v>
      </c>
      <c r="H1155" s="5" t="inlineStr">
        <is>
          <t>Diciembre</t>
        </is>
      </c>
      <c r="I1155" s="6" t="inlineStr">
        <is>
          <t>2024-2</t>
        </is>
      </c>
      <c r="J1155" s="5" t="n">
        <v>100</v>
      </c>
      <c r="K1155" s="5" t="n">
        <v>99.31</v>
      </c>
      <c r="L1155" s="14" t="n">
        <v>0.9931</v>
      </c>
      <c r="M1155" s="14" t="n">
        <v>0.9931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379-2024-12-31</t>
        </is>
      </c>
    </row>
    <row r="1156" hidden="1">
      <c r="A1156" s="5" t="n">
        <v>379</v>
      </c>
      <c r="B1156" s="5" t="inlineStr">
        <is>
          <t>Total estudiantes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9" t="n">
        <v>45838</v>
      </c>
      <c r="G1156" s="5" t="n">
        <v>2025</v>
      </c>
      <c r="H1156" s="5" t="inlineStr">
        <is>
          <t>Junio</t>
        </is>
      </c>
      <c r="I1156" s="6" t="inlineStr">
        <is>
          <t>2025-1</t>
        </is>
      </c>
      <c r="J1156" s="5" t="n">
        <v>100</v>
      </c>
      <c r="K1156" s="5" t="n">
        <v>104.11</v>
      </c>
      <c r="L1156" s="14" t="n">
        <v>1.0411</v>
      </c>
      <c r="M1156" s="14" t="n">
        <v>1.0411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379-2025-06-30</t>
        </is>
      </c>
    </row>
    <row r="1157" hidden="1">
      <c r="A1157" s="5" t="n">
        <v>379</v>
      </c>
      <c r="B1157" s="5" t="inlineStr">
        <is>
          <t>Total estudiantes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9" t="n">
        <v>46022</v>
      </c>
      <c r="G1157" s="5" t="n">
        <v>2025</v>
      </c>
      <c r="H1157" s="5" t="inlineStr">
        <is>
          <t>Diciembre</t>
        </is>
      </c>
      <c r="I1157" s="6" t="inlineStr">
        <is>
          <t>2025-2</t>
        </is>
      </c>
      <c r="J1157" s="5" t="n">
        <v>100</v>
      </c>
      <c r="K1157" s="5" t="n">
        <v>102.41</v>
      </c>
      <c r="L1157" s="14" t="n">
        <v>1.0241</v>
      </c>
      <c r="M1157" s="14" t="n">
        <v>1.0241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379-2025-12-31</t>
        </is>
      </c>
    </row>
    <row r="1158" hidden="1">
      <c r="A1158" s="5" t="n">
        <v>380</v>
      </c>
      <c r="B1158" s="5" t="inlineStr">
        <is>
          <t>Ingresos de matriculas de estudiantes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9" t="n">
        <v>45107</v>
      </c>
      <c r="G1158" s="5" t="n">
        <v>2023</v>
      </c>
      <c r="H1158" s="5" t="inlineStr">
        <is>
          <t>Junio</t>
        </is>
      </c>
      <c r="I1158" s="6" t="inlineStr">
        <is>
          <t>2023-1</t>
        </is>
      </c>
      <c r="J1158" s="5" t="n">
        <v>24659.314309</v>
      </c>
      <c r="K1158" s="5" t="n">
        <v>25754.085546</v>
      </c>
      <c r="L1158" s="14" t="n">
        <v>1.044395850723247</v>
      </c>
      <c r="M1158" s="14" t="n">
        <v>1.044395850723247</v>
      </c>
      <c r="N1158" s="5" t="inlineStr">
        <is>
          <t>$</t>
        </is>
      </c>
      <c r="O1158" s="5" t="inlineStr">
        <is>
          <t>$</t>
        </is>
      </c>
      <c r="P1158" s="5" t="n">
        <v>0</v>
      </c>
      <c r="Q1158" s="5" t="n">
        <v>0</v>
      </c>
      <c r="R1158" s="5" t="inlineStr">
        <is>
          <t>380-2023-06-30</t>
        </is>
      </c>
    </row>
    <row r="1159" hidden="1">
      <c r="A1159" s="5" t="n">
        <v>380</v>
      </c>
      <c r="B1159" s="5" t="inlineStr">
        <is>
          <t>Ingresos de matriculas de estudiantes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09" t="n">
        <v>45291</v>
      </c>
      <c r="G1159" s="5" t="n">
        <v>2023</v>
      </c>
      <c r="H1159" s="5" t="inlineStr">
        <is>
          <t>Diciembre</t>
        </is>
      </c>
      <c r="I1159" s="6" t="inlineStr">
        <is>
          <t>2023-2</t>
        </is>
      </c>
      <c r="J1159" s="81" t="n">
        <v>24724.802794</v>
      </c>
      <c r="K1159" s="51" t="n">
        <v>25340.546506</v>
      </c>
      <c r="L1159" s="14" t="n">
        <v>1.02490388769246</v>
      </c>
      <c r="M1159" s="14" t="n">
        <v>1.02490388769246</v>
      </c>
      <c r="N1159" s="5" t="inlineStr">
        <is>
          <t>$</t>
        </is>
      </c>
      <c r="O1159" s="5" t="inlineStr">
        <is>
          <t>$</t>
        </is>
      </c>
      <c r="P1159" s="5" t="n">
        <v>0</v>
      </c>
      <c r="Q1159" s="5" t="n">
        <v>0</v>
      </c>
      <c r="R1159" s="5" t="inlineStr">
        <is>
          <t>380-2023-12-31</t>
        </is>
      </c>
    </row>
    <row r="1160" hidden="1">
      <c r="A1160" s="26" t="n">
        <v>380</v>
      </c>
      <c r="B1160" s="5" t="inlineStr">
        <is>
          <t>Ingresos de matriculas de estudiantes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08" t="n">
        <v>45473</v>
      </c>
      <c r="G1160" s="5" t="n">
        <v>2024</v>
      </c>
      <c r="H1160" s="5" t="inlineStr">
        <is>
          <t>Junio</t>
        </is>
      </c>
      <c r="I1160" s="6" t="inlineStr">
        <is>
          <t>2024-1</t>
        </is>
      </c>
      <c r="J1160" s="5" t="n">
        <v>29596.26987</v>
      </c>
      <c r="K1160" s="5" t="n">
        <v>28449.632913</v>
      </c>
      <c r="L1160" s="14" t="n">
        <v>0.9612573827027345</v>
      </c>
      <c r="M1160" s="14" t="n">
        <v>0.9612573827027345</v>
      </c>
      <c r="N1160" s="5" t="inlineStr">
        <is>
          <t>$</t>
        </is>
      </c>
      <c r="O1160" s="5" t="inlineStr">
        <is>
          <t>$</t>
        </is>
      </c>
      <c r="P1160" s="5" t="n">
        <v>0</v>
      </c>
      <c r="Q1160" s="5" t="n">
        <v>0</v>
      </c>
      <c r="R1160" s="5" t="inlineStr">
        <is>
          <t>380-2024-06-30</t>
        </is>
      </c>
    </row>
    <row r="1161" hidden="1">
      <c r="A1161" s="5" t="n">
        <v>380</v>
      </c>
      <c r="B1161" s="5" t="inlineStr">
        <is>
          <t>Ingresos de matriculas de estudiantes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09" t="n">
        <v>45657</v>
      </c>
      <c r="G1161" s="5" t="n">
        <v>2024</v>
      </c>
      <c r="H1161" s="5" t="inlineStr">
        <is>
          <t>Diciembre</t>
        </is>
      </c>
      <c r="I1161" s="6" t="inlineStr">
        <is>
          <t>2024-2</t>
        </is>
      </c>
      <c r="J1161" s="5" t="n">
        <v>100</v>
      </c>
      <c r="K1161" s="5" t="n">
        <v>78.92</v>
      </c>
      <c r="L1161" s="14" t="n">
        <v>0.7892</v>
      </c>
      <c r="M1161" s="14" t="n">
        <v>0.7892</v>
      </c>
      <c r="N1161" s="11" t="n"/>
      <c r="O1161" s="11" t="n"/>
      <c r="P1161" s="5" t="n">
        <v>0</v>
      </c>
      <c r="Q1161" s="5" t="n">
        <v>0</v>
      </c>
      <c r="R1161" s="5" t="inlineStr">
        <is>
          <t>380-2024-12-31</t>
        </is>
      </c>
    </row>
    <row r="1162" hidden="1">
      <c r="A1162" s="5" t="n">
        <v>381</v>
      </c>
      <c r="B1162" s="5" t="inlineStr">
        <is>
          <t>Cumplimiento de matrículas pregrado presencial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09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5" t="n">
        <v>104.27170868347</v>
      </c>
      <c r="L1162" s="14" t="n">
        <v>1.0427170868347</v>
      </c>
      <c r="M1162" s="14" t="n">
        <v>1.0427170868347</v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381-2023-06-30</t>
        </is>
      </c>
    </row>
    <row r="1163" hidden="1">
      <c r="A1163" s="5" t="n">
        <v>381</v>
      </c>
      <c r="B1163" s="5" t="inlineStr">
        <is>
          <t>Cumplimiento de matrículas pregrado presencial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09" t="n">
        <v>45291</v>
      </c>
      <c r="G1163" s="5" t="n">
        <v>2023</v>
      </c>
      <c r="H1163" s="5" t="inlineStr">
        <is>
          <t>Diciembre</t>
        </is>
      </c>
      <c r="I1163" s="6" t="inlineStr">
        <is>
          <t>2023-2</t>
        </is>
      </c>
      <c r="J1163" s="5" t="n">
        <v>100</v>
      </c>
      <c r="K1163" s="5" t="n">
        <v>113.7</v>
      </c>
      <c r="L1163" s="14" t="n">
        <v>1.137</v>
      </c>
      <c r="M1163" s="14" t="n">
        <v>1.137</v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381-2023-12-31</t>
        </is>
      </c>
    </row>
    <row r="1164" hidden="1">
      <c r="A1164" s="5" t="n">
        <v>381</v>
      </c>
      <c r="B1164" s="5" t="inlineStr">
        <is>
          <t>Cumplimiento de matrículas pregrado presencial nuevos</t>
        </is>
      </c>
      <c r="C1164" s="5" t="inlineStr">
        <is>
          <t>Inscripción, admisión y matrícula de estudiantes nuevos</t>
        </is>
      </c>
      <c r="D1164" s="5" t="inlineStr">
        <is>
          <t>Semestral</t>
        </is>
      </c>
      <c r="E1164" s="5" t="inlineStr">
        <is>
          <t>Positivo</t>
        </is>
      </c>
      <c r="F1164" s="109" t="n">
        <v>45473</v>
      </c>
      <c r="G1164" s="5" t="n">
        <v>2024</v>
      </c>
      <c r="H1164" s="5" t="inlineStr">
        <is>
          <t>Junio</t>
        </is>
      </c>
      <c r="I1164" s="6" t="inlineStr">
        <is>
          <t>2024-1</t>
        </is>
      </c>
      <c r="J1164" s="5" t="n">
        <v>100</v>
      </c>
      <c r="K1164" s="10" t="n">
        <v>105.26</v>
      </c>
      <c r="L1164" s="14" t="n">
        <v>1.0526</v>
      </c>
      <c r="M1164" s="14" t="n">
        <v>1.0526</v>
      </c>
      <c r="N1164" s="5" t="inlineStr">
        <is>
          <t>ENT</t>
        </is>
      </c>
      <c r="O1164" s="5" t="inlineStr">
        <is>
          <t>ENT</t>
        </is>
      </c>
      <c r="P1164" s="5" t="n">
        <v>0</v>
      </c>
      <c r="Q1164" s="5" t="n">
        <v>0</v>
      </c>
      <c r="R1164" s="5" t="inlineStr">
        <is>
          <t>381-2024-06-30</t>
        </is>
      </c>
    </row>
    <row r="1165" hidden="1">
      <c r="A1165" s="5" t="n">
        <v>381</v>
      </c>
      <c r="B1165" s="5" t="inlineStr">
        <is>
          <t>Cumplimiento de matrículas pregrado presencial nuevos</t>
        </is>
      </c>
      <c r="C1165" s="5" t="inlineStr">
        <is>
          <t>Inscripción, admisión y matrícula de estudiantes nuevos</t>
        </is>
      </c>
      <c r="D1165" s="5" t="inlineStr">
        <is>
          <t>Semestral</t>
        </is>
      </c>
      <c r="E1165" s="5" t="inlineStr">
        <is>
          <t>Positivo</t>
        </is>
      </c>
      <c r="F1165" s="109" t="n">
        <v>45657</v>
      </c>
      <c r="G1165" s="5" t="n">
        <v>2024</v>
      </c>
      <c r="H1165" s="5" t="inlineStr">
        <is>
          <t>Diciembre</t>
        </is>
      </c>
      <c r="I1165" s="6" t="inlineStr">
        <is>
          <t>2024-2</t>
        </is>
      </c>
      <c r="J1165" s="5" t="n">
        <v>100</v>
      </c>
      <c r="K1165" s="5" t="n">
        <v>89.19</v>
      </c>
      <c r="L1165" s="14" t="n">
        <v>0.8919</v>
      </c>
      <c r="M1165" s="14" t="n">
        <v>0.8919</v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381-2024-12-31</t>
        </is>
      </c>
    </row>
    <row r="1166" hidden="1">
      <c r="A1166" s="5" t="n">
        <v>381</v>
      </c>
      <c r="B1166" s="5" t="inlineStr">
        <is>
          <t>Cumplimiento de matrículas pregrado presencial nuevos</t>
        </is>
      </c>
      <c r="C1166" s="5" t="inlineStr">
        <is>
          <t>Inscripción, admisión y matrícula de estudiantes nuevos</t>
        </is>
      </c>
      <c r="D1166" s="5" t="inlineStr">
        <is>
          <t>Semestral</t>
        </is>
      </c>
      <c r="E1166" s="5" t="inlineStr">
        <is>
          <t>Positivo</t>
        </is>
      </c>
      <c r="F1166" s="109" t="n">
        <v>45838</v>
      </c>
      <c r="G1166" s="5" t="n">
        <v>2025</v>
      </c>
      <c r="H1166" s="5" t="inlineStr">
        <is>
          <t>Junio</t>
        </is>
      </c>
      <c r="I1166" s="6" t="inlineStr">
        <is>
          <t>2025-1</t>
        </is>
      </c>
      <c r="J1166" s="5" t="n">
        <v>100</v>
      </c>
      <c r="K1166" s="5" t="n">
        <v>98.22</v>
      </c>
      <c r="L1166" s="14" t="n">
        <v>0.9822</v>
      </c>
      <c r="M1166" s="14" t="n">
        <v>0.9822</v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381-2025-06-30</t>
        </is>
      </c>
    </row>
    <row r="1167" hidden="1">
      <c r="A1167" s="5" t="n">
        <v>381</v>
      </c>
      <c r="B1167" s="5" t="inlineStr">
        <is>
          <t>Cumplimiento de matrículas pregrado presencial nuevos</t>
        </is>
      </c>
      <c r="C1167" s="5" t="inlineStr">
        <is>
          <t>Inscripción, admisión y matrícula de estudiantes nuevos</t>
        </is>
      </c>
      <c r="D1167" s="5" t="inlineStr">
        <is>
          <t>Trimestral</t>
        </is>
      </c>
      <c r="E1167" s="5" t="inlineStr">
        <is>
          <t>Positivo</t>
        </is>
      </c>
      <c r="F1167" s="109" t="n">
        <v>46022</v>
      </c>
      <c r="G1167" s="5" t="n">
        <v>2025</v>
      </c>
      <c r="H1167" s="5" t="inlineStr">
        <is>
          <t>Diciembre</t>
        </is>
      </c>
      <c r="I1167" s="6" t="inlineStr">
        <is>
          <t>2025-2</t>
        </is>
      </c>
      <c r="J1167" s="5" t="n">
        <v>100</v>
      </c>
      <c r="K1167" s="5" t="n">
        <v>113.66</v>
      </c>
      <c r="L1167" s="14" t="n">
        <v>1.1366</v>
      </c>
      <c r="M1167" s="14" t="n">
        <v>1.1366</v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381-2025-12-31</t>
        </is>
      </c>
    </row>
    <row r="1168" hidden="1">
      <c r="A1168" s="5" t="n">
        <v>382</v>
      </c>
      <c r="B1168" s="5" t="inlineStr">
        <is>
          <t>Cumplimiento de matrículas pregrado virtual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09" t="n">
        <v>45107</v>
      </c>
      <c r="G1168" s="5" t="n">
        <v>2023</v>
      </c>
      <c r="H1168" s="5" t="inlineStr">
        <is>
          <t>Junio</t>
        </is>
      </c>
      <c r="I1168" s="6" t="inlineStr">
        <is>
          <t>2023-1</t>
        </is>
      </c>
      <c r="J1168" s="5" t="n">
        <v>100</v>
      </c>
      <c r="K1168" s="5" t="n">
        <v>101.25041131951</v>
      </c>
      <c r="L1168" s="14" t="n">
        <v>1.0125041131951</v>
      </c>
      <c r="M1168" s="14" t="n">
        <v>1.0125041131951</v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382-2023-06-30</t>
        </is>
      </c>
    </row>
    <row r="1169" hidden="1">
      <c r="A1169" s="5" t="n">
        <v>382</v>
      </c>
      <c r="B1169" s="5" t="inlineStr">
        <is>
          <t>Cumplimiento de matrículas pregrado virtual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09" t="n">
        <v>45291</v>
      </c>
      <c r="G1169" s="5" t="n">
        <v>2023</v>
      </c>
      <c r="H1169" s="5" t="inlineStr">
        <is>
          <t>Diciembre</t>
        </is>
      </c>
      <c r="I1169" s="6" t="inlineStr">
        <is>
          <t>2023-2</t>
        </is>
      </c>
      <c r="J1169" s="5" t="n">
        <v>100</v>
      </c>
      <c r="K1169" s="10" t="n">
        <v>103.01</v>
      </c>
      <c r="L1169" s="14" t="n">
        <v>1.0301</v>
      </c>
      <c r="M1169" s="14" t="n">
        <v>1.0301</v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382-2023-12-31</t>
        </is>
      </c>
    </row>
    <row r="1170" hidden="1">
      <c r="A1170" s="5" t="n">
        <v>382</v>
      </c>
      <c r="B1170" s="5" t="inlineStr">
        <is>
          <t>Cumplimiento de matrículas pregrado virtual nuevos</t>
        </is>
      </c>
      <c r="C1170" s="5" t="inlineStr">
        <is>
          <t>Inscripción, admisión y matrícula de estudiantes nuevos</t>
        </is>
      </c>
      <c r="D1170" s="5" t="inlineStr">
        <is>
          <t>Semestral</t>
        </is>
      </c>
      <c r="E1170" s="5" t="inlineStr">
        <is>
          <t>Positivo</t>
        </is>
      </c>
      <c r="F1170" s="109" t="n">
        <v>45473</v>
      </c>
      <c r="G1170" s="5" t="n">
        <v>2024</v>
      </c>
      <c r="H1170" s="5" t="inlineStr">
        <is>
          <t>Junio</t>
        </is>
      </c>
      <c r="I1170" s="6" t="inlineStr">
        <is>
          <t>2024-1</t>
        </is>
      </c>
      <c r="J1170" s="5" t="n">
        <v>100</v>
      </c>
      <c r="K1170" s="5" t="n">
        <v>93.7</v>
      </c>
      <c r="L1170" s="14" t="n">
        <v>0.9370000000000001</v>
      </c>
      <c r="M1170" s="14" t="n">
        <v>0.9370000000000001</v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382-2024-06-30</t>
        </is>
      </c>
    </row>
    <row r="1171" hidden="1">
      <c r="A1171" s="28" t="n">
        <v>382</v>
      </c>
      <c r="B1171" s="5" t="inlineStr">
        <is>
          <t>Cumplimiento de matrículas pregrado virtual nuevos</t>
        </is>
      </c>
      <c r="C1171" s="5" t="inlineStr">
        <is>
          <t>Inscripción, admisión y matrícula de estudiantes nuevos</t>
        </is>
      </c>
      <c r="D1171" s="5" t="inlineStr">
        <is>
          <t>Semestral</t>
        </is>
      </c>
      <c r="E1171" s="5" t="inlineStr">
        <is>
          <t>Positivo</t>
        </is>
      </c>
      <c r="F1171" s="109" t="n">
        <v>45657</v>
      </c>
      <c r="G1171" s="5" t="n">
        <v>2024</v>
      </c>
      <c r="H1171" s="5" t="inlineStr">
        <is>
          <t>Diciembre</t>
        </is>
      </c>
      <c r="I1171" s="6" t="inlineStr">
        <is>
          <t>2024-2</t>
        </is>
      </c>
      <c r="J1171" s="5" t="n">
        <v>100</v>
      </c>
      <c r="K1171" s="5" t="n">
        <v>98.13</v>
      </c>
      <c r="L1171" s="74" t="n">
        <v>0.9813</v>
      </c>
      <c r="M1171" s="14" t="n">
        <v>0.9813</v>
      </c>
      <c r="N1171" s="5" t="inlineStr">
        <is>
          <t>ENT</t>
        </is>
      </c>
      <c r="O1171" s="5" t="inlineStr">
        <is>
          <t>ENT</t>
        </is>
      </c>
      <c r="P1171" s="5" t="n">
        <v>0</v>
      </c>
      <c r="Q1171" s="5" t="n">
        <v>0</v>
      </c>
      <c r="R1171" s="5" t="inlineStr">
        <is>
          <t>382-2024-12-31</t>
        </is>
      </c>
    </row>
    <row r="1172" hidden="1">
      <c r="A1172" s="5" t="n">
        <v>382</v>
      </c>
      <c r="B1172" s="5" t="inlineStr">
        <is>
          <t>Cumplimiento de matrículas pregrado virtual nuevos</t>
        </is>
      </c>
      <c r="C1172" s="5" t="inlineStr">
        <is>
          <t>Inscripción, admisión y matrícula de estudiantes nuevos</t>
        </is>
      </c>
      <c r="D1172" s="5" t="inlineStr">
        <is>
          <t>Semestral</t>
        </is>
      </c>
      <c r="E1172" s="5" t="inlineStr">
        <is>
          <t>Positivo</t>
        </is>
      </c>
      <c r="F1172" s="109" t="n">
        <v>45838</v>
      </c>
      <c r="G1172" s="5" t="n">
        <v>2025</v>
      </c>
      <c r="H1172" s="5" t="inlineStr">
        <is>
          <t>Junio</t>
        </is>
      </c>
      <c r="I1172" s="6" t="inlineStr">
        <is>
          <t>2025-1</t>
        </is>
      </c>
      <c r="J1172" s="73" t="n">
        <v>100</v>
      </c>
      <c r="K1172" s="9" t="n">
        <v>99.84999999999999</v>
      </c>
      <c r="L1172" s="14" t="n">
        <v>0.9984999999999999</v>
      </c>
      <c r="M1172" s="14" t="n">
        <v>0.9984999999999999</v>
      </c>
      <c r="N1172" s="5" t="inlineStr">
        <is>
          <t>ENT</t>
        </is>
      </c>
      <c r="O1172" s="5" t="inlineStr">
        <is>
          <t>ENT</t>
        </is>
      </c>
      <c r="P1172" s="5" t="n">
        <v>0</v>
      </c>
      <c r="Q1172" s="5" t="n">
        <v>0</v>
      </c>
      <c r="R1172" s="5" t="inlineStr">
        <is>
          <t>382-2025-06-30</t>
        </is>
      </c>
    </row>
    <row r="1173" hidden="1">
      <c r="A1173" s="5" t="n">
        <v>382</v>
      </c>
      <c r="B1173" s="5" t="inlineStr">
        <is>
          <t>Cumplimiento de matrículas pregrado virtual nuevos</t>
        </is>
      </c>
      <c r="C1173" s="5" t="inlineStr">
        <is>
          <t>Inscripción, admisión y matrícula de estudiantes nuevos</t>
        </is>
      </c>
      <c r="D1173" s="5" t="inlineStr">
        <is>
          <t>Trimestral</t>
        </is>
      </c>
      <c r="E1173" s="5" t="inlineStr">
        <is>
          <t>Positivo</t>
        </is>
      </c>
      <c r="F1173" s="109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5" t="n">
        <v>97.20999999999999</v>
      </c>
      <c r="L1173" s="14" t="n">
        <v>0.9721</v>
      </c>
      <c r="M1173" s="14" t="n">
        <v>0.9721</v>
      </c>
      <c r="N1173" s="5" t="inlineStr">
        <is>
          <t>ENT</t>
        </is>
      </c>
      <c r="O1173" s="5" t="inlineStr">
        <is>
          <t>ENT</t>
        </is>
      </c>
      <c r="P1173" s="5" t="n">
        <v>0</v>
      </c>
      <c r="Q1173" s="5" t="n">
        <v>0</v>
      </c>
      <c r="R1173" s="5" t="inlineStr">
        <is>
          <t>382-2025-12-31</t>
        </is>
      </c>
    </row>
    <row r="1174" hidden="1">
      <c r="A1174" s="5" t="n">
        <v>383</v>
      </c>
      <c r="B1174" s="5" t="inlineStr">
        <is>
          <t>Cumplimiento de matrículas posgrado virtual nuevos</t>
        </is>
      </c>
      <c r="C1174" s="5" t="inlineStr">
        <is>
          <t>Inscripción, admisión y matrícula de estudiantes nuevos</t>
        </is>
      </c>
      <c r="D1174" s="5" t="inlineStr">
        <is>
          <t>Semestral</t>
        </is>
      </c>
      <c r="E1174" s="5" t="inlineStr">
        <is>
          <t>Positivo</t>
        </is>
      </c>
      <c r="F1174" s="109" t="n">
        <v>45107</v>
      </c>
      <c r="G1174" s="5" t="n">
        <v>2023</v>
      </c>
      <c r="H1174" s="5" t="inlineStr">
        <is>
          <t>Junio</t>
        </is>
      </c>
      <c r="I1174" s="6" t="inlineStr">
        <is>
          <t>2023-1</t>
        </is>
      </c>
      <c r="J1174" s="5" t="n">
        <v>100</v>
      </c>
      <c r="K1174" s="5" t="n">
        <v>109.38232994527</v>
      </c>
      <c r="L1174" s="14" t="n">
        <v>1.0938232994527</v>
      </c>
      <c r="M1174" s="14" t="n">
        <v>1.0938232994527</v>
      </c>
      <c r="N1174" s="5" t="inlineStr">
        <is>
          <t>ENT</t>
        </is>
      </c>
      <c r="O1174" s="5" t="inlineStr">
        <is>
          <t>ENT</t>
        </is>
      </c>
      <c r="P1174" s="5" t="n">
        <v>0</v>
      </c>
      <c r="Q1174" s="5" t="n">
        <v>0</v>
      </c>
      <c r="R1174" s="5" t="inlineStr">
        <is>
          <t>383-2023-06-30</t>
        </is>
      </c>
    </row>
    <row r="1175" hidden="1">
      <c r="A1175" s="5" t="n">
        <v>383</v>
      </c>
      <c r="B1175" s="5" t="inlineStr">
        <is>
          <t>Cumplimiento de matrículas posgrado virtual nuevos</t>
        </is>
      </c>
      <c r="C1175" s="5" t="inlineStr">
        <is>
          <t>Inscripción, admisión y matrícula de estudiantes nuevos</t>
        </is>
      </c>
      <c r="D1175" s="5" t="inlineStr">
        <is>
          <t>Semestral</t>
        </is>
      </c>
      <c r="E1175" s="5" t="inlineStr">
        <is>
          <t>Positivo</t>
        </is>
      </c>
      <c r="F1175" s="109" t="n">
        <v>45291</v>
      </c>
      <c r="G1175" s="5" t="n">
        <v>2023</v>
      </c>
      <c r="H1175" s="5" t="inlineStr">
        <is>
          <t>Diciembre</t>
        </is>
      </c>
      <c r="I1175" s="6" t="inlineStr">
        <is>
          <t>2023-2</t>
        </is>
      </c>
      <c r="J1175" s="5" t="n">
        <v>100</v>
      </c>
      <c r="K1175" s="5" t="n">
        <v>148.66</v>
      </c>
      <c r="L1175" s="14" t="n">
        <v>1.3</v>
      </c>
      <c r="M1175" s="14" t="n">
        <v>1.4866</v>
      </c>
      <c r="N1175" s="5" t="inlineStr">
        <is>
          <t>ENT</t>
        </is>
      </c>
      <c r="O1175" s="5" t="inlineStr">
        <is>
          <t>ENT</t>
        </is>
      </c>
      <c r="P1175" s="5" t="n">
        <v>0</v>
      </c>
      <c r="Q1175" s="5" t="n">
        <v>0</v>
      </c>
      <c r="R1175" s="5" t="inlineStr">
        <is>
          <t>383-2023-12-31</t>
        </is>
      </c>
    </row>
    <row r="1176" hidden="1">
      <c r="A1176" s="5" t="n">
        <v>383</v>
      </c>
      <c r="B1176" s="5" t="inlineStr">
        <is>
          <t>Cumplimiento de matrículas posgrado virtual nuevos</t>
        </is>
      </c>
      <c r="C1176" s="5" t="inlineStr">
        <is>
          <t>Inscripción, admisión y matrícula de estudiantes nuevos</t>
        </is>
      </c>
      <c r="D1176" s="5" t="inlineStr">
        <is>
          <t>Semestral</t>
        </is>
      </c>
      <c r="E1176" s="5" t="inlineStr">
        <is>
          <t>Positivo</t>
        </is>
      </c>
      <c r="F1176" s="109" t="n">
        <v>45473</v>
      </c>
      <c r="G1176" s="5" t="n">
        <v>2024</v>
      </c>
      <c r="H1176" s="5" t="inlineStr">
        <is>
          <t>Junio</t>
        </is>
      </c>
      <c r="I1176" s="6" t="inlineStr">
        <is>
          <t>2024-1</t>
        </is>
      </c>
      <c r="J1176" s="5" t="n">
        <v>100</v>
      </c>
      <c r="K1176" s="5" t="n">
        <v>100.2</v>
      </c>
      <c r="L1176" s="14" t="n">
        <v>1.002</v>
      </c>
      <c r="M1176" s="14" t="n">
        <v>1.002</v>
      </c>
      <c r="N1176" s="5" t="inlineStr">
        <is>
          <t>ENT</t>
        </is>
      </c>
      <c r="O1176" s="5" t="inlineStr">
        <is>
          <t>ENT</t>
        </is>
      </c>
      <c r="P1176" s="5" t="n">
        <v>0</v>
      </c>
      <c r="Q1176" s="5" t="n">
        <v>0</v>
      </c>
      <c r="R1176" s="5" t="inlineStr">
        <is>
          <t>383-2024-06-30</t>
        </is>
      </c>
    </row>
    <row r="1177" hidden="1">
      <c r="A1177" s="5" t="n">
        <v>383</v>
      </c>
      <c r="B1177" s="5" t="inlineStr">
        <is>
          <t>Cumplimiento de matrículas posgrado virtual nuevos</t>
        </is>
      </c>
      <c r="C1177" s="5" t="inlineStr">
        <is>
          <t>Inscripción, admisión y matrícula de estudiantes nuevos</t>
        </is>
      </c>
      <c r="D1177" s="5" t="inlineStr">
        <is>
          <t>Semestral</t>
        </is>
      </c>
      <c r="E1177" s="5" t="inlineStr">
        <is>
          <t>Positivo</t>
        </is>
      </c>
      <c r="F1177" s="109" t="n">
        <v>45657</v>
      </c>
      <c r="G1177" s="5" t="n">
        <v>2024</v>
      </c>
      <c r="H1177" s="5" t="inlineStr">
        <is>
          <t>Diciembre</t>
        </is>
      </c>
      <c r="I1177" s="6" t="inlineStr">
        <is>
          <t>2024-2</t>
        </is>
      </c>
      <c r="J1177" s="5" t="n">
        <v>100</v>
      </c>
      <c r="K1177" s="5" t="n">
        <v>120.71</v>
      </c>
      <c r="L1177" s="14" t="n">
        <v>1.2071</v>
      </c>
      <c r="M1177" s="14" t="n">
        <v>1.2071</v>
      </c>
      <c r="N1177" s="5" t="inlineStr">
        <is>
          <t>ENT</t>
        </is>
      </c>
      <c r="O1177" s="5" t="inlineStr">
        <is>
          <t>ENT</t>
        </is>
      </c>
      <c r="P1177" s="5" t="n">
        <v>0</v>
      </c>
      <c r="Q1177" s="5" t="n">
        <v>0</v>
      </c>
      <c r="R1177" s="5" t="inlineStr">
        <is>
          <t>383-2024-12-31</t>
        </is>
      </c>
    </row>
    <row r="1178" hidden="1">
      <c r="A1178" s="5" t="n">
        <v>383</v>
      </c>
      <c r="B1178" s="5" t="inlineStr">
        <is>
          <t>Cumplimiento de matrículas posgrado virtual nuevos</t>
        </is>
      </c>
      <c r="C1178" s="5" t="inlineStr">
        <is>
          <t>Inscripción, admisión y matrícula de estudiantes nuevos</t>
        </is>
      </c>
      <c r="D1178" s="5" t="inlineStr">
        <is>
          <t>Trimestral</t>
        </is>
      </c>
      <c r="E1178" s="5" t="inlineStr">
        <is>
          <t>Positivo</t>
        </is>
      </c>
      <c r="F1178" s="109" t="n">
        <v>45838</v>
      </c>
      <c r="G1178" s="5" t="n">
        <v>2025</v>
      </c>
      <c r="H1178" s="5" t="inlineStr">
        <is>
          <t>Junio</t>
        </is>
      </c>
      <c r="I1178" s="6" t="inlineStr">
        <is>
          <t>2025-1</t>
        </is>
      </c>
      <c r="J1178" s="5" t="n">
        <v>100</v>
      </c>
      <c r="K1178" s="5" t="n">
        <v>136.96</v>
      </c>
      <c r="L1178" s="14" t="n">
        <v>1.3</v>
      </c>
      <c r="M1178" s="14" t="n">
        <v>1.3696</v>
      </c>
      <c r="N1178" s="5" t="inlineStr">
        <is>
          <t>ENT</t>
        </is>
      </c>
      <c r="O1178" s="5" t="inlineStr">
        <is>
          <t>ENT</t>
        </is>
      </c>
      <c r="P1178" s="5" t="n">
        <v>0</v>
      </c>
      <c r="Q1178" s="5" t="n">
        <v>0</v>
      </c>
      <c r="R1178" s="5" t="inlineStr">
        <is>
          <t>383-2025-06-30</t>
        </is>
      </c>
    </row>
    <row r="1179" hidden="1">
      <c r="A1179" s="5" t="n">
        <v>383</v>
      </c>
      <c r="B1179" s="5" t="inlineStr">
        <is>
          <t>Cumplimiento de matrículas posgrado virtual nuevos</t>
        </is>
      </c>
      <c r="C1179" s="5" t="inlineStr">
        <is>
          <t>Inscripción, admisión y matrícula de estudiantes nuevos</t>
        </is>
      </c>
      <c r="D1179" s="5" t="inlineStr">
        <is>
          <t>Trimestral</t>
        </is>
      </c>
      <c r="E1179" s="5" t="inlineStr">
        <is>
          <t>Positivo</t>
        </is>
      </c>
      <c r="F1179" s="109" t="n">
        <v>46022</v>
      </c>
      <c r="G1179" s="5" t="n">
        <v>2025</v>
      </c>
      <c r="H1179" s="5" t="inlineStr">
        <is>
          <t>Diciembre</t>
        </is>
      </c>
      <c r="I1179" s="6" t="inlineStr">
        <is>
          <t>2025-2</t>
        </is>
      </c>
      <c r="J1179" s="5" t="n">
        <v>100</v>
      </c>
      <c r="K1179" s="5" t="n">
        <v>127.87</v>
      </c>
      <c r="L1179" s="14" t="n">
        <v>1.2787</v>
      </c>
      <c r="M1179" s="14" t="n">
        <v>1.2787</v>
      </c>
      <c r="N1179" s="5" t="inlineStr">
        <is>
          <t>ENT</t>
        </is>
      </c>
      <c r="O1179" s="5" t="inlineStr">
        <is>
          <t>ENT</t>
        </is>
      </c>
      <c r="P1179" s="5" t="n">
        <v>0</v>
      </c>
      <c r="Q1179" s="5" t="n">
        <v>0</v>
      </c>
      <c r="R1179" s="5" t="inlineStr">
        <is>
          <t>383-2025-12-31</t>
        </is>
      </c>
    </row>
    <row r="1180" hidden="1">
      <c r="A1180" s="5" t="n">
        <v>384</v>
      </c>
      <c r="B1180" s="5" t="inlineStr">
        <is>
          <t>Cumplimiento de matrículas posgrado presencial nuevos</t>
        </is>
      </c>
      <c r="C1180" s="5" t="inlineStr">
        <is>
          <t>Inscripción, admisión y matrícula de estudiantes nuevos</t>
        </is>
      </c>
      <c r="D1180" s="5" t="inlineStr">
        <is>
          <t>Semestral</t>
        </is>
      </c>
      <c r="E1180" s="5" t="inlineStr">
        <is>
          <t>Positivo</t>
        </is>
      </c>
      <c r="F1180" s="109" t="n">
        <v>45107</v>
      </c>
      <c r="G1180" s="5" t="n">
        <v>2023</v>
      </c>
      <c r="H1180" s="5" t="inlineStr">
        <is>
          <t>Junio</t>
        </is>
      </c>
      <c r="I1180" s="6" t="inlineStr">
        <is>
          <t>2023-1</t>
        </is>
      </c>
      <c r="J1180" s="5" t="n">
        <v>100</v>
      </c>
      <c r="K1180" s="5" t="n">
        <v>111.76470588235</v>
      </c>
      <c r="L1180" s="14" t="n">
        <v>1.1176470588235</v>
      </c>
      <c r="M1180" s="14" t="n">
        <v>1.1176470588235</v>
      </c>
      <c r="N1180" s="5" t="inlineStr">
        <is>
          <t>ENT</t>
        </is>
      </c>
      <c r="O1180" s="5" t="inlineStr">
        <is>
          <t>ENT</t>
        </is>
      </c>
      <c r="P1180" s="5" t="n">
        <v>0</v>
      </c>
      <c r="Q1180" s="5" t="n">
        <v>0</v>
      </c>
      <c r="R1180" s="5" t="inlineStr">
        <is>
          <t>384-2023-06-30</t>
        </is>
      </c>
    </row>
    <row r="1181" hidden="1">
      <c r="A1181" s="5" t="n">
        <v>384</v>
      </c>
      <c r="B1181" s="5" t="inlineStr">
        <is>
          <t>Cumplimiento de matrículas posgrado presencial nuevos</t>
        </is>
      </c>
      <c r="C1181" s="5" t="inlineStr">
        <is>
          <t>Inscripción, admisión y matrícula de estudiantes nuevos</t>
        </is>
      </c>
      <c r="D1181" s="5" t="inlineStr">
        <is>
          <t>Semestral</t>
        </is>
      </c>
      <c r="E1181" s="5" t="inlineStr">
        <is>
          <t>Positivo</t>
        </is>
      </c>
      <c r="F1181" s="109" t="n">
        <v>45291</v>
      </c>
      <c r="G1181" s="5" t="n">
        <v>2023</v>
      </c>
      <c r="H1181" s="5" t="inlineStr">
        <is>
          <t>Diciembre</t>
        </is>
      </c>
      <c r="I1181" s="6" t="inlineStr">
        <is>
          <t>2023-2</t>
        </is>
      </c>
      <c r="J1181" s="5" t="n">
        <v>100</v>
      </c>
      <c r="K1181" s="5" t="n">
        <v>115.38</v>
      </c>
      <c r="L1181" s="14" t="n">
        <v>1.1538</v>
      </c>
      <c r="M1181" s="14" t="n">
        <v>1.1538</v>
      </c>
      <c r="N1181" s="5" t="inlineStr">
        <is>
          <t>ENT</t>
        </is>
      </c>
      <c r="O1181" s="5" t="inlineStr">
        <is>
          <t>ENT</t>
        </is>
      </c>
      <c r="P1181" s="5" t="n">
        <v>0</v>
      </c>
      <c r="Q1181" s="5" t="n">
        <v>0</v>
      </c>
      <c r="R1181" s="5" t="inlineStr">
        <is>
          <t>384-2023-12-31</t>
        </is>
      </c>
    </row>
    <row r="1182" hidden="1">
      <c r="A1182" s="5" t="n">
        <v>384</v>
      </c>
      <c r="B1182" s="5" t="inlineStr">
        <is>
          <t>Cumplimiento de matrículas posgrado presencial nuevos</t>
        </is>
      </c>
      <c r="C1182" s="5" t="inlineStr">
        <is>
          <t>Inscripción, admisión y matrícula de estudiantes nuevos</t>
        </is>
      </c>
      <c r="D1182" s="5" t="inlineStr">
        <is>
          <t>Semestral</t>
        </is>
      </c>
      <c r="E1182" s="5" t="inlineStr">
        <is>
          <t>Positivo</t>
        </is>
      </c>
      <c r="F1182" s="109" t="n">
        <v>45473</v>
      </c>
      <c r="G1182" s="5" t="n">
        <v>2024</v>
      </c>
      <c r="H1182" s="5" t="inlineStr">
        <is>
          <t>Junio</t>
        </is>
      </c>
      <c r="I1182" s="6" t="inlineStr">
        <is>
          <t>2024-1</t>
        </is>
      </c>
      <c r="J1182" s="5" t="n">
        <v>100</v>
      </c>
      <c r="K1182" s="5" t="n">
        <v>102.2</v>
      </c>
      <c r="L1182" s="14" t="n">
        <v>1.022</v>
      </c>
      <c r="M1182" s="14" t="n">
        <v>1.022</v>
      </c>
      <c r="N1182" s="5" t="inlineStr">
        <is>
          <t>ENT</t>
        </is>
      </c>
      <c r="O1182" s="5" t="inlineStr">
        <is>
          <t>ENT</t>
        </is>
      </c>
      <c r="P1182" s="5" t="n">
        <v>0</v>
      </c>
      <c r="Q1182" s="5" t="n">
        <v>0</v>
      </c>
      <c r="R1182" s="5" t="inlineStr">
        <is>
          <t>384-2024-06-30</t>
        </is>
      </c>
    </row>
    <row r="1183" hidden="1">
      <c r="A1183" s="5" t="n">
        <v>384</v>
      </c>
      <c r="B1183" s="5" t="inlineStr">
        <is>
          <t>Cumplimiento de matrículas posgrado presencial nuevos</t>
        </is>
      </c>
      <c r="C1183" s="5" t="inlineStr">
        <is>
          <t>Inscripción, admisión y matrícula de estudiantes nuevos</t>
        </is>
      </c>
      <c r="D1183" s="5" t="inlineStr">
        <is>
          <t>Semestral</t>
        </is>
      </c>
      <c r="E1183" s="5" t="inlineStr">
        <is>
          <t>Positivo</t>
        </is>
      </c>
      <c r="F1183" s="109" t="n">
        <v>45657</v>
      </c>
      <c r="G1183" s="5" t="n">
        <v>2024</v>
      </c>
      <c r="H1183" s="5" t="inlineStr">
        <is>
          <t>Diciembre</t>
        </is>
      </c>
      <c r="I1183" s="6" t="inlineStr">
        <is>
          <t>2024-2</t>
        </is>
      </c>
      <c r="J1183" s="5" t="n">
        <v>100</v>
      </c>
      <c r="K1183" s="5" t="n">
        <v>87.90000000000001</v>
      </c>
      <c r="L1183" s="14" t="n">
        <v>0.879</v>
      </c>
      <c r="M1183" s="14" t="n">
        <v>0.879</v>
      </c>
      <c r="N1183" s="5" t="inlineStr">
        <is>
          <t>ENT</t>
        </is>
      </c>
      <c r="O1183" s="5" t="inlineStr">
        <is>
          <t>ENT</t>
        </is>
      </c>
      <c r="P1183" s="5" t="n">
        <v>0</v>
      </c>
      <c r="Q1183" s="5" t="n">
        <v>0</v>
      </c>
      <c r="R1183" s="5" t="inlineStr">
        <is>
          <t>384-2024-12-31</t>
        </is>
      </c>
    </row>
    <row r="1184" hidden="1">
      <c r="A1184" s="5" t="n">
        <v>384</v>
      </c>
      <c r="B1184" s="5" t="inlineStr">
        <is>
          <t>Cumplimiento de matrículas posgrado presencial nuevos</t>
        </is>
      </c>
      <c r="C1184" s="5" t="inlineStr">
        <is>
          <t>Inscripción, admisión y matrícula de estudiantes nuevos</t>
        </is>
      </c>
      <c r="D1184" s="5" t="inlineStr">
        <is>
          <t>Semestral</t>
        </is>
      </c>
      <c r="E1184" s="5" t="inlineStr">
        <is>
          <t>Positivo</t>
        </is>
      </c>
      <c r="F1184" s="109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100</v>
      </c>
      <c r="K1184" s="10" t="n">
        <v>103.23</v>
      </c>
      <c r="L1184" s="14" t="n">
        <v>1.0323</v>
      </c>
      <c r="M1184" s="14" t="n">
        <v>1.0323</v>
      </c>
      <c r="N1184" s="5" t="inlineStr">
        <is>
          <t>ENT</t>
        </is>
      </c>
      <c r="O1184" s="5" t="inlineStr">
        <is>
          <t>ENT</t>
        </is>
      </c>
      <c r="P1184" s="5" t="n">
        <v>0</v>
      </c>
      <c r="Q1184" s="5" t="n">
        <v>0</v>
      </c>
      <c r="R1184" s="5" t="inlineStr">
        <is>
          <t>384-2025-06-30</t>
        </is>
      </c>
    </row>
    <row r="1185" hidden="1">
      <c r="A1185" s="5" t="n">
        <v>384</v>
      </c>
      <c r="B1185" s="5" t="inlineStr">
        <is>
          <t>Cumplimiento de matrículas posgrado presencial nuevos</t>
        </is>
      </c>
      <c r="C1185" s="5" t="inlineStr">
        <is>
          <t>Inscripción, admisión y matrícula de estudiantes nuevos</t>
        </is>
      </c>
      <c r="D1185" s="5" t="inlineStr">
        <is>
          <t>Trimestral</t>
        </is>
      </c>
      <c r="E1185" s="5" t="inlineStr">
        <is>
          <t>Positivo</t>
        </is>
      </c>
      <c r="F1185" s="109" t="n">
        <v>46022</v>
      </c>
      <c r="G1185" s="5" t="n">
        <v>2025</v>
      </c>
      <c r="H1185" s="5" t="inlineStr">
        <is>
          <t>Diciembre</t>
        </is>
      </c>
      <c r="I1185" s="6" t="inlineStr">
        <is>
          <t>2025-2</t>
        </is>
      </c>
      <c r="J1185" s="5" t="n">
        <v>100</v>
      </c>
      <c r="K1185" s="5" t="n">
        <v>100.93</v>
      </c>
      <c r="L1185" s="14" t="n">
        <v>1.0093</v>
      </c>
      <c r="M1185" s="14" t="n">
        <v>1.0093</v>
      </c>
      <c r="N1185" s="5" t="inlineStr">
        <is>
          <t>ENT</t>
        </is>
      </c>
      <c r="O1185" s="5" t="inlineStr">
        <is>
          <t>ENT</t>
        </is>
      </c>
      <c r="P1185" s="5" t="n">
        <v>0</v>
      </c>
      <c r="Q1185" s="5" t="n">
        <v>0</v>
      </c>
      <c r="R1185" s="5" t="inlineStr">
        <is>
          <t>384-2025-12-31</t>
        </is>
      </c>
    </row>
    <row r="1186" hidden="1">
      <c r="A1186" s="5" t="n">
        <v>385</v>
      </c>
      <c r="B1186" s="5" t="inlineStr">
        <is>
          <t>Ingresos totales de educación para la vida</t>
        </is>
      </c>
      <c r="C1186" s="5" t="inlineStr">
        <is>
          <t>Mercadeo y venta de educación para la vida</t>
        </is>
      </c>
      <c r="D1186" s="5" t="inlineStr">
        <is>
          <t>Semestral</t>
        </is>
      </c>
      <c r="E1186" s="5" t="inlineStr">
        <is>
          <t>Positivo</t>
        </is>
      </c>
      <c r="F1186" s="109" t="n">
        <v>45107</v>
      </c>
      <c r="G1186" s="5" t="n">
        <v>2023</v>
      </c>
      <c r="H1186" s="5" t="inlineStr">
        <is>
          <t>Junio</t>
        </is>
      </c>
      <c r="I1186" s="6" t="inlineStr">
        <is>
          <t>2023-1</t>
        </is>
      </c>
      <c r="J1186" s="5" t="n">
        <v>100</v>
      </c>
      <c r="K1186" s="5" t="n">
        <v>102.98486566654</v>
      </c>
      <c r="L1186" s="14" t="n">
        <v>1.0298486566654</v>
      </c>
      <c r="M1186" s="14" t="n">
        <v>1.0298486566654</v>
      </c>
      <c r="N1186" s="5" t="inlineStr">
        <is>
          <t>$</t>
        </is>
      </c>
      <c r="O1186" s="5" t="inlineStr">
        <is>
          <t>$</t>
        </is>
      </c>
      <c r="P1186" s="5" t="n">
        <v>0</v>
      </c>
      <c r="Q1186" s="5" t="n">
        <v>0</v>
      </c>
      <c r="R1186" s="5" t="inlineStr">
        <is>
          <t>385-2023-06-30</t>
        </is>
      </c>
    </row>
    <row r="1187" hidden="1">
      <c r="A1187" s="5" t="n">
        <v>385</v>
      </c>
      <c r="B1187" s="5" t="inlineStr">
        <is>
          <t>Ingresos totales de educación para la vida</t>
        </is>
      </c>
      <c r="C1187" s="5" t="inlineStr">
        <is>
          <t>Mercadeo y venta de educación para la vida</t>
        </is>
      </c>
      <c r="D1187" s="5" t="inlineStr">
        <is>
          <t>Semestral</t>
        </is>
      </c>
      <c r="E1187" s="5" t="inlineStr">
        <is>
          <t>Positivo</t>
        </is>
      </c>
      <c r="F1187" s="109" t="n">
        <v>45291</v>
      </c>
      <c r="G1187" s="5" t="n">
        <v>2023</v>
      </c>
      <c r="H1187" s="5" t="inlineStr">
        <is>
          <t>Diciembre</t>
        </is>
      </c>
      <c r="I1187" s="6" t="inlineStr">
        <is>
          <t>2023-2</t>
        </is>
      </c>
      <c r="J1187" s="5" t="n">
        <v>100</v>
      </c>
      <c r="K1187" s="11" t="n">
        <v>124.93</v>
      </c>
      <c r="L1187" s="14" t="n">
        <v>1.2493</v>
      </c>
      <c r="M1187" s="14" t="n">
        <v>1.2493</v>
      </c>
      <c r="N1187" s="5" t="inlineStr">
        <is>
          <t>$</t>
        </is>
      </c>
      <c r="O1187" s="5" t="inlineStr">
        <is>
          <t>$</t>
        </is>
      </c>
      <c r="P1187" s="5" t="n">
        <v>0</v>
      </c>
      <c r="Q1187" s="5" t="n">
        <v>0</v>
      </c>
      <c r="R1187" s="5" t="inlineStr">
        <is>
          <t>385-2023-12-31</t>
        </is>
      </c>
    </row>
    <row r="1188" hidden="1">
      <c r="A1188" s="5" t="n">
        <v>385</v>
      </c>
      <c r="B1188" s="5" t="inlineStr">
        <is>
          <t>Ingresos totales de educación para la vida</t>
        </is>
      </c>
      <c r="C1188" s="5" t="inlineStr">
        <is>
          <t>Mercadeo y venta de educación para la vida</t>
        </is>
      </c>
      <c r="D1188" s="5" t="inlineStr">
        <is>
          <t>Semestral</t>
        </is>
      </c>
      <c r="E1188" s="5" t="inlineStr">
        <is>
          <t>Positivo</t>
        </is>
      </c>
      <c r="F1188" s="109" t="n">
        <v>45473</v>
      </c>
      <c r="G1188" s="5" t="n">
        <v>2024</v>
      </c>
      <c r="H1188" s="5" t="inlineStr">
        <is>
          <t>Junio</t>
        </is>
      </c>
      <c r="I1188" s="6" t="inlineStr">
        <is>
          <t>2024-1</t>
        </is>
      </c>
      <c r="J1188" s="5" t="n">
        <v>100</v>
      </c>
      <c r="K1188" s="5" t="n">
        <v>113.63</v>
      </c>
      <c r="L1188" s="14" t="n">
        <v>1.1363</v>
      </c>
      <c r="M1188" s="14" t="n">
        <v>1.1363</v>
      </c>
      <c r="N1188" s="5" t="inlineStr">
        <is>
          <t>$</t>
        </is>
      </c>
      <c r="O1188" s="5" t="inlineStr">
        <is>
          <t>$</t>
        </is>
      </c>
      <c r="P1188" s="5" t="n">
        <v>0</v>
      </c>
      <c r="Q1188" s="5" t="n">
        <v>0</v>
      </c>
      <c r="R1188" s="5" t="inlineStr">
        <is>
          <t>385-2024-06-30</t>
        </is>
      </c>
    </row>
    <row r="1189" hidden="1">
      <c r="A1189" s="26" t="n">
        <v>385</v>
      </c>
      <c r="B1189" s="5" t="inlineStr">
        <is>
          <t>Ingresos totales de educación para la vida</t>
        </is>
      </c>
      <c r="C1189" s="5" t="inlineStr">
        <is>
          <t>Mercadeo y venta de educación para la vida</t>
        </is>
      </c>
      <c r="D1189" s="5" t="inlineStr">
        <is>
          <t>Semestral</t>
        </is>
      </c>
      <c r="E1189" s="5" t="inlineStr">
        <is>
          <t>Positivo</t>
        </is>
      </c>
      <c r="F1189" s="109" t="n">
        <v>45657</v>
      </c>
      <c r="G1189" s="5" t="n">
        <v>2024</v>
      </c>
      <c r="H1189" s="5" t="inlineStr">
        <is>
          <t>Diciembre</t>
        </is>
      </c>
      <c r="I1189" s="6" t="inlineStr">
        <is>
          <t>2024-2</t>
        </is>
      </c>
      <c r="J1189" s="5" t="n">
        <v>100</v>
      </c>
      <c r="K1189" s="5" t="n">
        <v>88.56</v>
      </c>
      <c r="L1189" s="74" t="n">
        <v>0.8856000000000001</v>
      </c>
      <c r="M1189" s="14" t="n">
        <v>0.8856000000000001</v>
      </c>
      <c r="N1189" s="5" t="inlineStr">
        <is>
          <t>$</t>
        </is>
      </c>
      <c r="O1189" s="5" t="inlineStr">
        <is>
          <t>$</t>
        </is>
      </c>
      <c r="P1189" s="5" t="n">
        <v>0</v>
      </c>
      <c r="Q1189" s="5" t="n">
        <v>0</v>
      </c>
      <c r="R1189" s="5" t="inlineStr">
        <is>
          <t>385-2024-12-31</t>
        </is>
      </c>
    </row>
    <row r="1190" hidden="1">
      <c r="A1190" s="26" t="n">
        <v>385</v>
      </c>
      <c r="B1190" s="5" t="inlineStr">
        <is>
          <t>Ingresos totales de educación para la vida</t>
        </is>
      </c>
      <c r="C1190" s="5" t="inlineStr">
        <is>
          <t>Mercadeo y venta de educación para la vida</t>
        </is>
      </c>
      <c r="D1190" s="5" t="inlineStr">
        <is>
          <t>Semestral</t>
        </is>
      </c>
      <c r="E1190" s="5" t="inlineStr">
        <is>
          <t>Positivo</t>
        </is>
      </c>
      <c r="F1190" s="109" t="n">
        <v>45838</v>
      </c>
      <c r="G1190" s="5" t="n">
        <v>2025</v>
      </c>
      <c r="H1190" s="5" t="inlineStr">
        <is>
          <t>Junio</t>
        </is>
      </c>
      <c r="I1190" s="6" t="inlineStr">
        <is>
          <t>2025-1</t>
        </is>
      </c>
      <c r="J1190" s="5" t="n">
        <v>100</v>
      </c>
      <c r="K1190" s="9" t="n">
        <v>118.92</v>
      </c>
      <c r="L1190" s="74" t="n">
        <v>1.1892</v>
      </c>
      <c r="M1190" s="14" t="n">
        <v>1.1892</v>
      </c>
      <c r="N1190" s="5" t="inlineStr">
        <is>
          <t>$</t>
        </is>
      </c>
      <c r="O1190" s="5" t="inlineStr">
        <is>
          <t>$</t>
        </is>
      </c>
      <c r="P1190" s="5" t="n">
        <v>0</v>
      </c>
      <c r="Q1190" s="5" t="n">
        <v>0</v>
      </c>
      <c r="R1190" s="5" t="inlineStr">
        <is>
          <t>385-2025-06-30</t>
        </is>
      </c>
    </row>
    <row r="1191" hidden="1">
      <c r="A1191" s="26" t="n">
        <v>385</v>
      </c>
      <c r="B1191" s="5" t="inlineStr">
        <is>
          <t>Ingresos totales de educación para la vida</t>
        </is>
      </c>
      <c r="C1191" s="5" t="inlineStr">
        <is>
          <t>Mercadeo y venta de educación para la vida</t>
        </is>
      </c>
      <c r="D1191" s="5" t="inlineStr">
        <is>
          <t>Trimestral</t>
        </is>
      </c>
      <c r="E1191" s="5" t="inlineStr">
        <is>
          <t>Positivo</t>
        </is>
      </c>
      <c r="F1191" s="109" t="n">
        <v>46022</v>
      </c>
      <c r="G1191" s="5" t="n">
        <v>2025</v>
      </c>
      <c r="H1191" s="5" t="inlineStr">
        <is>
          <t>Diciembre</t>
        </is>
      </c>
      <c r="I1191" s="6" t="inlineStr">
        <is>
          <t>2025-2</t>
        </is>
      </c>
      <c r="J1191" s="5" t="n">
        <v>100</v>
      </c>
      <c r="K1191" s="10" t="n">
        <v>108.89</v>
      </c>
      <c r="L1191" s="14" t="n">
        <v>1.0889</v>
      </c>
      <c r="M1191" s="14" t="n">
        <v>1.0889</v>
      </c>
      <c r="N1191" s="5" t="inlineStr">
        <is>
          <t>$</t>
        </is>
      </c>
      <c r="O1191" s="5" t="inlineStr">
        <is>
          <t>$</t>
        </is>
      </c>
      <c r="P1191" s="5" t="n">
        <v>0</v>
      </c>
      <c r="Q1191" s="5" t="n">
        <v>0</v>
      </c>
      <c r="R1191" s="5" t="inlineStr">
        <is>
          <t>385-2025-12-31</t>
        </is>
      </c>
    </row>
    <row r="1192" hidden="1">
      <c r="A1192" s="5" t="n">
        <v>386</v>
      </c>
      <c r="B1192" s="5" t="inlineStr">
        <is>
          <t>Cumplimiento Meta comercial Educación para toda la vida por linea</t>
        </is>
      </c>
      <c r="C1192" s="5" t="inlineStr">
        <is>
          <t>Mercadeo y venta de educación para la vida</t>
        </is>
      </c>
      <c r="D1192" s="5" t="inlineStr">
        <is>
          <t>Semestral</t>
        </is>
      </c>
      <c r="E1192" s="5" t="inlineStr">
        <is>
          <t>Positivo</t>
        </is>
      </c>
      <c r="F1192" s="109" t="n">
        <v>45107</v>
      </c>
      <c r="G1192" s="5" t="n">
        <v>2023</v>
      </c>
      <c r="H1192" s="5" t="inlineStr">
        <is>
          <t>Junio</t>
        </is>
      </c>
      <c r="I1192" s="6" t="inlineStr">
        <is>
          <t>2023-1</t>
        </is>
      </c>
      <c r="J1192" s="73" t="n">
        <v>100</v>
      </c>
      <c r="K1192" s="9" t="n">
        <v>102.98486566654</v>
      </c>
      <c r="L1192" s="14" t="n">
        <v>1.0298486566654</v>
      </c>
      <c r="M1192" s="14" t="n">
        <v>1.0298486566654</v>
      </c>
      <c r="N1192" s="5" t="inlineStr">
        <is>
          <t>$</t>
        </is>
      </c>
      <c r="O1192" s="5" t="inlineStr">
        <is>
          <t>$</t>
        </is>
      </c>
      <c r="P1192" s="5" t="n">
        <v>0</v>
      </c>
      <c r="Q1192" s="5" t="n">
        <v>0</v>
      </c>
      <c r="R1192" s="5" t="inlineStr">
        <is>
          <t>386-2023-06-30</t>
        </is>
      </c>
    </row>
    <row r="1193" hidden="1">
      <c r="A1193" s="5" t="n">
        <v>386</v>
      </c>
      <c r="B1193" s="5" t="inlineStr">
        <is>
          <t>Cumplimiento Meta comercial Educación para toda la vida por linea</t>
        </is>
      </c>
      <c r="C1193" s="5" t="inlineStr">
        <is>
          <t>Mercadeo y venta de educación para la vida</t>
        </is>
      </c>
      <c r="D1193" s="5" t="inlineStr">
        <is>
          <t>Semestral</t>
        </is>
      </c>
      <c r="E1193" s="5" t="inlineStr">
        <is>
          <t>Positivo</t>
        </is>
      </c>
      <c r="F1193" s="109" t="n">
        <v>45291</v>
      </c>
      <c r="G1193" s="5" t="n">
        <v>2023</v>
      </c>
      <c r="H1193" s="5" t="inlineStr">
        <is>
          <t>Diciembre</t>
        </is>
      </c>
      <c r="I1193" s="6" t="inlineStr">
        <is>
          <t>2023-2</t>
        </is>
      </c>
      <c r="J1193" s="5" t="n">
        <v>100</v>
      </c>
      <c r="K1193" s="10" t="n">
        <v>138.22</v>
      </c>
      <c r="L1193" s="14" t="n">
        <v>1.3</v>
      </c>
      <c r="M1193" s="14" t="n">
        <v>1.3822</v>
      </c>
      <c r="N1193" s="5" t="inlineStr">
        <is>
          <t>$</t>
        </is>
      </c>
      <c r="O1193" s="5" t="inlineStr">
        <is>
          <t>$</t>
        </is>
      </c>
      <c r="P1193" s="5" t="n">
        <v>0</v>
      </c>
      <c r="Q1193" s="5" t="n">
        <v>0</v>
      </c>
      <c r="R1193" s="5" t="inlineStr">
        <is>
          <t>386-2023-12-31</t>
        </is>
      </c>
    </row>
    <row r="1194" hidden="1">
      <c r="A1194" s="5" t="n">
        <v>386</v>
      </c>
      <c r="B1194" s="5" t="inlineStr">
        <is>
          <t>Cumplimiento Meta comercial Educación para toda la vida por linea</t>
        </is>
      </c>
      <c r="C1194" s="5" t="inlineStr">
        <is>
          <t>Mercadeo y venta de educación para la vida</t>
        </is>
      </c>
      <c r="D1194" s="5" t="inlineStr">
        <is>
          <t>Semestral</t>
        </is>
      </c>
      <c r="E1194" s="5" t="inlineStr">
        <is>
          <t>Positivo</t>
        </is>
      </c>
      <c r="F1194" s="109" t="n">
        <v>45473</v>
      </c>
      <c r="G1194" s="5" t="n">
        <v>2024</v>
      </c>
      <c r="H1194" s="5" t="inlineStr">
        <is>
          <t>Junio</t>
        </is>
      </c>
      <c r="I1194" s="6" t="inlineStr">
        <is>
          <t>2024-1</t>
        </is>
      </c>
      <c r="J1194" s="5" t="n">
        <v>100</v>
      </c>
      <c r="K1194" s="5" t="n">
        <v>113.63</v>
      </c>
      <c r="L1194" s="14" t="n">
        <v>1.1363</v>
      </c>
      <c r="M1194" s="14" t="n">
        <v>1.1363</v>
      </c>
      <c r="N1194" s="5" t="inlineStr">
        <is>
          <t>$</t>
        </is>
      </c>
      <c r="O1194" s="5" t="inlineStr">
        <is>
          <t>$</t>
        </is>
      </c>
      <c r="P1194" s="5" t="n">
        <v>0</v>
      </c>
      <c r="Q1194" s="5" t="n">
        <v>0</v>
      </c>
      <c r="R1194" s="5" t="inlineStr">
        <is>
          <t>386-2024-06-30</t>
        </is>
      </c>
    </row>
    <row r="1195" hidden="1">
      <c r="A1195" s="26" t="n">
        <v>386</v>
      </c>
      <c r="B1195" s="5" t="inlineStr">
        <is>
          <t>Cumplimiento Meta comercial Educación para toda la vida por linea</t>
        </is>
      </c>
      <c r="C1195" s="5" t="inlineStr">
        <is>
          <t>Mercadeo y venta de educación para la vida</t>
        </is>
      </c>
      <c r="D1195" s="5" t="inlineStr">
        <is>
          <t>Semestral</t>
        </is>
      </c>
      <c r="E1195" s="5" t="inlineStr">
        <is>
          <t>Positivo</t>
        </is>
      </c>
      <c r="F1195" s="109" t="n">
        <v>45657</v>
      </c>
      <c r="G1195" s="5" t="n">
        <v>2024</v>
      </c>
      <c r="H1195" s="5" t="inlineStr">
        <is>
          <t>Diciembre</t>
        </is>
      </c>
      <c r="I1195" s="6" t="inlineStr">
        <is>
          <t>2024-2</t>
        </is>
      </c>
      <c r="J1195" s="5" t="n">
        <v>100</v>
      </c>
      <c r="K1195" s="97" t="n">
        <v>75.01000000000001</v>
      </c>
      <c r="L1195" s="74" t="n">
        <v>0.7501000000000001</v>
      </c>
      <c r="M1195" s="14" t="n">
        <v>0.7501000000000001</v>
      </c>
      <c r="N1195" s="5" t="inlineStr">
        <is>
          <t>$</t>
        </is>
      </c>
      <c r="O1195" s="5" t="inlineStr">
        <is>
          <t>$</t>
        </is>
      </c>
      <c r="P1195" s="5" t="n">
        <v>0</v>
      </c>
      <c r="Q1195" s="5" t="n">
        <v>0</v>
      </c>
      <c r="R1195" s="5" t="inlineStr">
        <is>
          <t>386-2024-12-31</t>
        </is>
      </c>
    </row>
    <row r="1196" hidden="1">
      <c r="A1196" s="26" t="n">
        <v>386</v>
      </c>
      <c r="B1196" s="5" t="inlineStr">
        <is>
          <t>Cumplimiento Meta comercial Educación para toda la vida por linea</t>
        </is>
      </c>
      <c r="C1196" s="5" t="inlineStr">
        <is>
          <t>Mercadeo y venta de educación para la vida</t>
        </is>
      </c>
      <c r="D1196" s="5" t="inlineStr">
        <is>
          <t>Semestral</t>
        </is>
      </c>
      <c r="E1196" s="5" t="inlineStr">
        <is>
          <t>Positivo</t>
        </is>
      </c>
      <c r="F1196" s="109" t="n">
        <v>45838</v>
      </c>
      <c r="G1196" s="5" t="n">
        <v>2025</v>
      </c>
      <c r="H1196" s="5" t="inlineStr">
        <is>
          <t>Junio</t>
        </is>
      </c>
      <c r="I1196" s="6" t="inlineStr">
        <is>
          <t>2025-1</t>
        </is>
      </c>
      <c r="J1196" s="5" t="n">
        <v>100</v>
      </c>
      <c r="K1196" s="5" t="n">
        <v>118.92</v>
      </c>
      <c r="L1196" s="74" t="n">
        <v>1.1892</v>
      </c>
      <c r="M1196" s="14" t="n">
        <v>1.1892</v>
      </c>
      <c r="N1196" s="5" t="inlineStr">
        <is>
          <t>$</t>
        </is>
      </c>
      <c r="O1196" s="5" t="inlineStr">
        <is>
          <t>$</t>
        </is>
      </c>
      <c r="P1196" s="5" t="n">
        <v>0</v>
      </c>
      <c r="Q1196" s="5" t="n">
        <v>0</v>
      </c>
      <c r="R1196" s="5" t="inlineStr">
        <is>
          <t>386-2025-06-30</t>
        </is>
      </c>
    </row>
    <row r="1197" hidden="1">
      <c r="A1197" s="26" t="n">
        <v>386</v>
      </c>
      <c r="B1197" s="5" t="inlineStr">
        <is>
          <t>Cumplimiento Meta comercial Educación para toda la vida por linea</t>
        </is>
      </c>
      <c r="C1197" s="5" t="inlineStr">
        <is>
          <t>Mercadeo y venta de educación para la vida</t>
        </is>
      </c>
      <c r="D1197" s="5" t="inlineStr">
        <is>
          <t>Trimestral</t>
        </is>
      </c>
      <c r="E1197" s="5" t="inlineStr">
        <is>
          <t>Positivo</t>
        </is>
      </c>
      <c r="F1197" s="109" t="n">
        <v>46022</v>
      </c>
      <c r="G1197" s="5" t="n">
        <v>2025</v>
      </c>
      <c r="H1197" s="5" t="inlineStr">
        <is>
          <t>Diciembre</t>
        </is>
      </c>
      <c r="I1197" s="6" t="inlineStr">
        <is>
          <t>2025-2</t>
        </is>
      </c>
      <c r="J1197" s="5" t="n">
        <v>100</v>
      </c>
      <c r="K1197" s="10" t="n">
        <v>106.54</v>
      </c>
      <c r="L1197" s="74" t="n">
        <v>1.0654</v>
      </c>
      <c r="M1197" s="14" t="n">
        <v>1.0654</v>
      </c>
      <c r="N1197" s="5" t="inlineStr">
        <is>
          <t>%</t>
        </is>
      </c>
      <c r="O1197" s="5" t="inlineStr">
        <is>
          <t>%</t>
        </is>
      </c>
      <c r="P1197" s="5" t="n">
        <v>0</v>
      </c>
      <c r="Q1197" s="5" t="n">
        <v>0</v>
      </c>
      <c r="R1197" s="5" t="inlineStr">
        <is>
          <t>386-2025-12-31</t>
        </is>
      </c>
    </row>
    <row r="1198" hidden="1">
      <c r="A1198" s="5" t="n">
        <v>387</v>
      </c>
      <c r="B1198" t="inlineStr">
        <is>
          <t>Programas con reforzamiento curricular por escuela</t>
        </is>
      </c>
      <c r="C1198" s="5" t="inlineStr">
        <is>
          <t>Gestión, Evaluación e Innovación Curricular</t>
        </is>
      </c>
      <c r="D1198" s="5" t="inlineStr">
        <is>
          <t>Semestral</t>
        </is>
      </c>
      <c r="E1198" s="5" t="inlineStr">
        <is>
          <t>Positivo</t>
        </is>
      </c>
      <c r="F1198" s="109" t="n">
        <v>45107</v>
      </c>
      <c r="G1198" s="5" t="n">
        <v>2023</v>
      </c>
      <c r="H1198" s="5" t="inlineStr">
        <is>
          <t>Junio</t>
        </is>
      </c>
      <c r="I1198" s="6" t="inlineStr">
        <is>
          <t>2023-1</t>
        </is>
      </c>
      <c r="J1198" s="5" t="n">
        <v>38</v>
      </c>
      <c r="K1198" s="5" t="n">
        <v>38</v>
      </c>
      <c r="L1198" s="14" t="n">
        <v>1</v>
      </c>
      <c r="M1198" s="14" t="n">
        <v>1</v>
      </c>
      <c r="N1198" s="5" t="n"/>
      <c r="O1198" s="5" t="n"/>
      <c r="P1198" s="5" t="n">
        <v>0</v>
      </c>
      <c r="Q1198" s="5" t="n">
        <v>0</v>
      </c>
      <c r="R1198" s="5" t="inlineStr">
        <is>
          <t>387-2023-06-30</t>
        </is>
      </c>
    </row>
    <row r="1199" hidden="1">
      <c r="A1199" s="5" t="n">
        <v>387</v>
      </c>
      <c r="B1199" s="5" t="inlineStr">
        <is>
          <t>Programas con reforzamiento curricular por escuela</t>
        </is>
      </c>
      <c r="C1199" s="5" t="inlineStr">
        <is>
          <t>Gestión, Evaluación e Innovación Curricular</t>
        </is>
      </c>
      <c r="D1199" s="5" t="inlineStr">
        <is>
          <t>Semestral</t>
        </is>
      </c>
      <c r="E1199" s="5" t="inlineStr">
        <is>
          <t>Positivo</t>
        </is>
      </c>
      <c r="F1199" s="109" t="n">
        <v>45291</v>
      </c>
      <c r="G1199" s="5" t="n">
        <v>2023</v>
      </c>
      <c r="H1199" s="5" t="inlineStr">
        <is>
          <t>Diciembre</t>
        </is>
      </c>
      <c r="I1199" s="6" t="inlineStr">
        <is>
          <t>2023-2</t>
        </is>
      </c>
      <c r="J1199" s="5" t="n"/>
      <c r="K1199" s="5" t="n"/>
      <c r="L1199" s="14" t="n"/>
      <c r="M1199" s="14" t="n"/>
      <c r="N1199" s="5" t="n"/>
      <c r="O1199" s="5" t="n"/>
      <c r="P1199" s="5" t="n">
        <v>0</v>
      </c>
      <c r="Q1199" s="5" t="n">
        <v>0</v>
      </c>
      <c r="R1199" s="5" t="inlineStr">
        <is>
          <t>387-2023-12-31</t>
        </is>
      </c>
    </row>
    <row r="1200" hidden="1">
      <c r="A1200" s="5" t="n">
        <v>388</v>
      </c>
      <c r="B1200" s="5" t="inlineStr">
        <is>
          <t>Programas con matriz de resultados de aprendizaje por escuela</t>
        </is>
      </c>
      <c r="C1200" s="5" t="inlineStr">
        <is>
          <t>Gestión, Evaluación e Innovación Curricular</t>
        </is>
      </c>
      <c r="D1200" s="5" t="inlineStr">
        <is>
          <t>Semestral</t>
        </is>
      </c>
      <c r="E1200" s="5" t="inlineStr">
        <is>
          <t>Positivo</t>
        </is>
      </c>
      <c r="F1200" s="109" t="n">
        <v>45107</v>
      </c>
      <c r="G1200" s="5" t="n">
        <v>2023</v>
      </c>
      <c r="H1200" s="5" t="inlineStr">
        <is>
          <t>Junio</t>
        </is>
      </c>
      <c r="I1200" s="6" t="inlineStr">
        <is>
          <t>2023-1</t>
        </is>
      </c>
      <c r="J1200" s="5" t="n">
        <v>77</v>
      </c>
      <c r="K1200" s="5" t="n">
        <v>77</v>
      </c>
      <c r="L1200" s="14" t="n">
        <v>1</v>
      </c>
      <c r="M1200" s="14" t="n">
        <v>1</v>
      </c>
      <c r="N1200" s="5" t="n"/>
      <c r="O1200" s="5" t="n"/>
      <c r="P1200" s="5" t="n">
        <v>0</v>
      </c>
      <c r="Q1200" s="5" t="n">
        <v>0</v>
      </c>
      <c r="R1200" s="5" t="inlineStr">
        <is>
          <t>388-2023-06-30</t>
        </is>
      </c>
    </row>
    <row r="1201" hidden="1">
      <c r="A1201" s="5" t="n">
        <v>388</v>
      </c>
      <c r="B1201" s="5" t="inlineStr">
        <is>
          <t>Programas con matriz de resultados de aprendizaje por escuela</t>
        </is>
      </c>
      <c r="C1201" s="5" t="inlineStr">
        <is>
          <t>Gestión, Evaluación e Innovación Curricular</t>
        </is>
      </c>
      <c r="D1201" s="5" t="inlineStr">
        <is>
          <t>Semestral</t>
        </is>
      </c>
      <c r="E1201" s="5" t="inlineStr">
        <is>
          <t>Positivo</t>
        </is>
      </c>
      <c r="F1201" s="109" t="n">
        <v>45291</v>
      </c>
      <c r="G1201" s="5" t="n">
        <v>2023</v>
      </c>
      <c r="H1201" s="5" t="inlineStr">
        <is>
          <t>Diciembre</t>
        </is>
      </c>
      <c r="I1201" s="6" t="inlineStr">
        <is>
          <t>2023-2</t>
        </is>
      </c>
      <c r="J1201" s="5" t="n">
        <v>16</v>
      </c>
      <c r="K1201" s="10" t="n">
        <v>16</v>
      </c>
      <c r="L1201" s="14" t="n">
        <v>1</v>
      </c>
      <c r="M1201" s="14" t="n">
        <v>1</v>
      </c>
      <c r="N1201" s="5" t="n"/>
      <c r="O1201" s="5" t="n"/>
      <c r="P1201" s="5" t="n">
        <v>0</v>
      </c>
      <c r="Q1201" s="5" t="n">
        <v>0</v>
      </c>
      <c r="R1201" s="5" t="inlineStr">
        <is>
          <t>388-2023-12-31</t>
        </is>
      </c>
    </row>
    <row r="1202" hidden="1">
      <c r="A1202" s="5" t="n">
        <v>389</v>
      </c>
      <c r="B1202" s="5" t="inlineStr">
        <is>
          <t>Permanencia por escuela</t>
        </is>
      </c>
      <c r="C1202" s="5" t="inlineStr">
        <is>
          <t>Permanencia</t>
        </is>
      </c>
      <c r="D1202" s="5" t="inlineStr">
        <is>
          <t>Semestral</t>
        </is>
      </c>
      <c r="E1202" s="5" t="inlineStr">
        <is>
          <t>Positivo</t>
        </is>
      </c>
      <c r="F1202" s="109" t="n">
        <v>45107</v>
      </c>
      <c r="G1202" s="5" t="n">
        <v>2023</v>
      </c>
      <c r="H1202" s="5" t="inlineStr">
        <is>
          <t>Junio</t>
        </is>
      </c>
      <c r="I1202" s="6" t="inlineStr">
        <is>
          <t>2023-1</t>
        </is>
      </c>
      <c r="J1202" s="5" t="n">
        <v>91</v>
      </c>
      <c r="K1202" s="5" t="n">
        <v>0</v>
      </c>
      <c r="L1202" s="14" t="n">
        <v>0</v>
      </c>
      <c r="M1202" s="14" t="n">
        <v>0</v>
      </c>
      <c r="N1202" s="5" t="inlineStr">
        <is>
          <t>%</t>
        </is>
      </c>
      <c r="O1202" s="5" t="inlineStr">
        <is>
          <t>%</t>
        </is>
      </c>
      <c r="P1202" s="5" t="n">
        <v>0</v>
      </c>
      <c r="Q1202" s="5" t="n">
        <v>0</v>
      </c>
      <c r="R1202" s="5" t="inlineStr">
        <is>
          <t>389-2023-06-30</t>
        </is>
      </c>
    </row>
    <row r="1203" hidden="1">
      <c r="A1203" s="5" t="n">
        <v>389</v>
      </c>
      <c r="B1203" s="5" t="inlineStr">
        <is>
          <t>Permanencia por escuela</t>
        </is>
      </c>
      <c r="C1203" s="5" t="inlineStr">
        <is>
          <t>Permanencia</t>
        </is>
      </c>
      <c r="D1203" s="5" t="inlineStr">
        <is>
          <t>Semestral</t>
        </is>
      </c>
      <c r="E1203" s="5" t="inlineStr">
        <is>
          <t>Positivo</t>
        </is>
      </c>
      <c r="F1203" s="109" t="n">
        <v>45291</v>
      </c>
      <c r="G1203" s="5" t="n">
        <v>2023</v>
      </c>
      <c r="H1203" s="5" t="inlineStr">
        <is>
          <t>Diciembre</t>
        </is>
      </c>
      <c r="I1203" s="6" t="inlineStr">
        <is>
          <t>2023-2</t>
        </is>
      </c>
      <c r="J1203" s="5" t="n">
        <v>91</v>
      </c>
      <c r="K1203" s="5" t="n">
        <v>0</v>
      </c>
      <c r="L1203" s="14" t="n">
        <v>0</v>
      </c>
      <c r="M1203" s="14" t="n">
        <v>0</v>
      </c>
      <c r="N1203" s="5" t="inlineStr">
        <is>
          <t>%</t>
        </is>
      </c>
      <c r="O1203" s="5" t="inlineStr">
        <is>
          <t>%</t>
        </is>
      </c>
      <c r="P1203" s="5" t="n">
        <v>0</v>
      </c>
      <c r="Q1203" s="5" t="n">
        <v>0</v>
      </c>
      <c r="R1203" s="5" t="inlineStr">
        <is>
          <t>389-2023-12-31</t>
        </is>
      </c>
    </row>
    <row r="1204" hidden="1">
      <c r="A1204" s="5" t="n">
        <v>389</v>
      </c>
      <c r="B1204" s="5" t="inlineStr">
        <is>
          <t>Permanencia por escuela</t>
        </is>
      </c>
      <c r="C1204" s="5" t="inlineStr">
        <is>
          <t>Permanencia</t>
        </is>
      </c>
      <c r="D1204" s="5" t="inlineStr">
        <is>
          <t>Semestral</t>
        </is>
      </c>
      <c r="E1204" s="5" t="inlineStr">
        <is>
          <t>Positivo</t>
        </is>
      </c>
      <c r="F1204" s="109" t="n">
        <v>45473</v>
      </c>
      <c r="G1204" s="5" t="n">
        <v>2024</v>
      </c>
      <c r="H1204" s="5" t="inlineStr">
        <is>
          <t>Junio</t>
        </is>
      </c>
      <c r="I1204" s="6" t="inlineStr">
        <is>
          <t>2024-1</t>
        </is>
      </c>
      <c r="J1204" s="5" t="n">
        <v>85</v>
      </c>
      <c r="K1204" s="5" t="n">
        <v>84.43333333333332</v>
      </c>
      <c r="L1204" s="14" t="n">
        <v>0.9933333333333332</v>
      </c>
      <c r="M1204" s="14" t="n">
        <v>0.9933333333333332</v>
      </c>
      <c r="N1204" s="5" t="n"/>
      <c r="O1204" s="5" t="n"/>
      <c r="P1204" s="5" t="n">
        <v>0</v>
      </c>
      <c r="Q1204" s="5" t="n">
        <v>0</v>
      </c>
      <c r="R1204" s="5" t="inlineStr">
        <is>
          <t>389-2024-06-30</t>
        </is>
      </c>
    </row>
    <row r="1205" hidden="1">
      <c r="A1205" s="5" t="n">
        <v>389</v>
      </c>
      <c r="B1205" s="5" t="inlineStr">
        <is>
          <t>Permanencia por escuela</t>
        </is>
      </c>
      <c r="C1205" s="5" t="inlineStr">
        <is>
          <t>Permanencia</t>
        </is>
      </c>
      <c r="D1205" s="5" t="inlineStr">
        <is>
          <t>Semestral</t>
        </is>
      </c>
      <c r="E1205" s="5" t="inlineStr">
        <is>
          <t>Positivo</t>
        </is>
      </c>
      <c r="F1205" s="109" t="n">
        <v>45657</v>
      </c>
      <c r="G1205" s="5" t="n">
        <v>2024</v>
      </c>
      <c r="H1205" s="5" t="inlineStr">
        <is>
          <t>Diciembre</t>
        </is>
      </c>
      <c r="I1205" s="6" t="inlineStr">
        <is>
          <t>2024-2</t>
        </is>
      </c>
      <c r="J1205" s="82" t="n">
        <v>85</v>
      </c>
      <c r="K1205" s="9" t="n">
        <v>0</v>
      </c>
      <c r="L1205" s="14" t="n">
        <v>0</v>
      </c>
      <c r="M1205" s="14" t="n">
        <v>0</v>
      </c>
      <c r="N1205" s="5" t="n"/>
      <c r="O1205" s="5" t="n"/>
      <c r="P1205" s="5" t="n">
        <v>0</v>
      </c>
      <c r="Q1205" s="5" t="n">
        <v>0</v>
      </c>
      <c r="R1205" s="5" t="inlineStr">
        <is>
          <t>389-2024-12-31</t>
        </is>
      </c>
    </row>
    <row r="1206" hidden="1">
      <c r="A1206" s="5" t="n">
        <v>389</v>
      </c>
      <c r="B1206" s="5" t="inlineStr">
        <is>
          <t>Permanencia por escuela</t>
        </is>
      </c>
      <c r="C1206" s="5" t="inlineStr">
        <is>
          <t>Gestión de Unidades Académicas</t>
        </is>
      </c>
      <c r="D1206" s="5" t="inlineStr">
        <is>
          <t>Trimestral</t>
        </is>
      </c>
      <c r="E1206" s="5" t="inlineStr">
        <is>
          <t>Positivo</t>
        </is>
      </c>
      <c r="F1206" s="109" t="n">
        <v>45838</v>
      </c>
      <c r="G1206" s="5" t="n">
        <v>2025</v>
      </c>
      <c r="H1206" s="5" t="inlineStr">
        <is>
          <t>Junio</t>
        </is>
      </c>
      <c r="I1206" s="6" t="inlineStr">
        <is>
          <t>2025-1</t>
        </is>
      </c>
      <c r="J1206" s="5" t="n"/>
      <c r="K1206" s="5" t="n">
        <v>0</v>
      </c>
      <c r="L1206" s="14" t="n"/>
      <c r="M1206" s="14" t="n"/>
      <c r="N1206" s="5" t="inlineStr">
        <is>
          <t>%</t>
        </is>
      </c>
      <c r="O1206" s="5" t="inlineStr">
        <is>
          <t>%</t>
        </is>
      </c>
      <c r="P1206" s="5" t="n">
        <v>0</v>
      </c>
      <c r="Q1206" s="5" t="n">
        <v>0</v>
      </c>
      <c r="R1206" s="5" t="inlineStr">
        <is>
          <t>389-2025-06-30</t>
        </is>
      </c>
    </row>
    <row r="1207" hidden="1">
      <c r="A1207" s="5" t="n">
        <v>390</v>
      </c>
      <c r="B1207" s="5" t="inlineStr">
        <is>
          <t>Cumplimiento Plan Anual por escuela</t>
        </is>
      </c>
      <c r="C1207" s="5" t="inlineStr">
        <is>
          <t>Planeación Estratégica</t>
        </is>
      </c>
      <c r="D1207" s="5" t="inlineStr">
        <is>
          <t>Trimestral</t>
        </is>
      </c>
      <c r="E1207" s="5" t="inlineStr">
        <is>
          <t>Positivo</t>
        </is>
      </c>
      <c r="F1207" s="109" t="n">
        <v>45016</v>
      </c>
      <c r="G1207" s="5" t="n">
        <v>2023</v>
      </c>
      <c r="H1207" s="5" t="inlineStr">
        <is>
          <t>Marzo</t>
        </is>
      </c>
      <c r="I1207" s="6" t="inlineStr">
        <is>
          <t>2023-1</t>
        </is>
      </c>
      <c r="J1207" s="5" t="n">
        <v>100</v>
      </c>
      <c r="K1207" s="5" t="n">
        <v>0</v>
      </c>
      <c r="L1207" s="14" t="n">
        <v>0</v>
      </c>
      <c r="M1207" s="14" t="n">
        <v>0</v>
      </c>
      <c r="N1207" s="5" t="n"/>
      <c r="O1207" s="5" t="n"/>
      <c r="P1207" s="5" t="n">
        <v>0</v>
      </c>
      <c r="Q1207" s="5" t="n">
        <v>0</v>
      </c>
      <c r="R1207" s="5" t="inlineStr">
        <is>
          <t>390-2023-03-31</t>
        </is>
      </c>
    </row>
    <row r="1208" hidden="1">
      <c r="A1208" s="5" t="n">
        <v>390</v>
      </c>
      <c r="B1208" s="5" t="inlineStr">
        <is>
          <t>Cumplimiento Plan Anual por escuela</t>
        </is>
      </c>
      <c r="C1208" s="5" t="inlineStr">
        <is>
          <t>Planeación Estratégica</t>
        </is>
      </c>
      <c r="D1208" s="5" t="inlineStr">
        <is>
          <t>Trimestral</t>
        </is>
      </c>
      <c r="E1208" s="5" t="inlineStr">
        <is>
          <t>Positivo</t>
        </is>
      </c>
      <c r="F1208" s="109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100</v>
      </c>
      <c r="K1208" s="5" t="n">
        <v>110.38416666667</v>
      </c>
      <c r="L1208" s="14" t="n">
        <v>1.1038416666667</v>
      </c>
      <c r="M1208" s="14" t="n">
        <v>1.1038416666667</v>
      </c>
      <c r="N1208" s="5" t="n"/>
      <c r="O1208" s="5" t="n"/>
      <c r="P1208" s="5" t="n">
        <v>0</v>
      </c>
      <c r="Q1208" s="5" t="n">
        <v>0</v>
      </c>
      <c r="R1208" s="5" t="inlineStr">
        <is>
          <t>390-2023-06-30</t>
        </is>
      </c>
    </row>
    <row r="1209" hidden="1">
      <c r="A1209" s="5" t="n">
        <v>390</v>
      </c>
      <c r="B1209" s="5" t="inlineStr">
        <is>
          <t>Cumplimiento Plan Anual por escuela</t>
        </is>
      </c>
      <c r="C1209" s="5" t="inlineStr">
        <is>
          <t>Planeación Estratégica</t>
        </is>
      </c>
      <c r="D1209" s="5" t="inlineStr">
        <is>
          <t>Trimestral</t>
        </is>
      </c>
      <c r="E1209" s="5" t="inlineStr">
        <is>
          <t>Positivo</t>
        </is>
      </c>
      <c r="F1209" s="109" t="n">
        <v>45199</v>
      </c>
      <c r="G1209" s="5" t="n">
        <v>2023</v>
      </c>
      <c r="H1209" s="5" t="inlineStr">
        <is>
          <t>Septiembre</t>
        </is>
      </c>
      <c r="I1209" s="6" t="inlineStr">
        <is>
          <t>2023-2</t>
        </is>
      </c>
      <c r="J1209" s="5" t="n">
        <v>100</v>
      </c>
      <c r="K1209" s="5" t="n">
        <v>95.34416666666699</v>
      </c>
      <c r="L1209" s="14" t="n">
        <v>0.95344166666667</v>
      </c>
      <c r="M1209" s="14" t="n">
        <v>0.95344166666667</v>
      </c>
      <c r="N1209" s="5" t="n"/>
      <c r="O1209" s="5" t="n"/>
      <c r="P1209" s="5" t="n">
        <v>0</v>
      </c>
      <c r="Q1209" s="5" t="n">
        <v>0</v>
      </c>
      <c r="R1209" s="5" t="inlineStr">
        <is>
          <t>390-2023-09-30</t>
        </is>
      </c>
    </row>
    <row r="1210" hidden="1">
      <c r="A1210" t="n">
        <v>390</v>
      </c>
      <c r="B1210" t="inlineStr">
        <is>
          <t>Cumplimiento Plan Anual por escuela</t>
        </is>
      </c>
      <c r="C1210" t="inlineStr">
        <is>
          <t>Planeación Estratégica</t>
        </is>
      </c>
      <c r="D1210" t="inlineStr">
        <is>
          <t>Trimestral</t>
        </is>
      </c>
      <c r="E1210" t="inlineStr">
        <is>
          <t>Positivo</t>
        </is>
      </c>
      <c r="F1210" s="113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100</v>
      </c>
      <c r="K1210" t="n">
        <v>99.24916666666699</v>
      </c>
      <c r="L1210" s="39" t="n">
        <v>0.99249166666667</v>
      </c>
      <c r="M1210" s="39" t="n">
        <v>0.99249166666667</v>
      </c>
      <c r="P1210" t="n">
        <v>0</v>
      </c>
      <c r="Q1210" t="n">
        <v>0</v>
      </c>
      <c r="R1210" t="inlineStr">
        <is>
          <t>390-2023-12-31</t>
        </is>
      </c>
    </row>
    <row r="1211" hidden="1">
      <c r="A1211" t="n">
        <v>390</v>
      </c>
      <c r="B1211" t="inlineStr">
        <is>
          <t>Cumplimiento Plan Anual por escuela</t>
        </is>
      </c>
      <c r="C1211" t="inlineStr">
        <is>
          <t>Planeación Estratégica</t>
        </is>
      </c>
      <c r="D1211" t="inlineStr">
        <is>
          <t>Trimestral</t>
        </is>
      </c>
      <c r="E1211" t="inlineStr">
        <is>
          <t>Positivo</t>
        </is>
      </c>
      <c r="F1211" s="113" t="n">
        <v>45473</v>
      </c>
      <c r="G1211" t="n">
        <v>2024</v>
      </c>
      <c r="H1211" t="inlineStr">
        <is>
          <t>Junio</t>
        </is>
      </c>
      <c r="I1211" t="inlineStr">
        <is>
          <t>2024-1</t>
        </is>
      </c>
      <c r="J1211" t="n">
        <v>100</v>
      </c>
      <c r="K1211" t="n">
        <v>110.59</v>
      </c>
      <c r="L1211" s="39" t="n">
        <v>1.1059</v>
      </c>
      <c r="M1211" s="39" t="n">
        <v>1.1059</v>
      </c>
      <c r="P1211" t="n">
        <v>0</v>
      </c>
      <c r="Q1211" t="n">
        <v>0</v>
      </c>
      <c r="R1211" t="inlineStr">
        <is>
          <t>390-2024-06-30</t>
        </is>
      </c>
    </row>
    <row r="1212" hidden="1">
      <c r="A1212" t="n">
        <v>390</v>
      </c>
      <c r="B1212" t="inlineStr">
        <is>
          <t>Cumplimiento Plan Anual por escuela</t>
        </is>
      </c>
      <c r="C1212" t="inlineStr">
        <is>
          <t>Planeación Estratégica</t>
        </is>
      </c>
      <c r="D1212" t="inlineStr">
        <is>
          <t>Trimestral</t>
        </is>
      </c>
      <c r="E1212" t="inlineStr">
        <is>
          <t>Positivo</t>
        </is>
      </c>
      <c r="F1212" s="113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100</v>
      </c>
      <c r="K1212" t="n">
        <v>99.92</v>
      </c>
      <c r="L1212" s="39" t="n">
        <v>0.9992</v>
      </c>
      <c r="M1212" s="39" t="n">
        <v>0.9992</v>
      </c>
      <c r="P1212" t="n">
        <v>0</v>
      </c>
      <c r="Q1212" t="n">
        <v>0</v>
      </c>
      <c r="R1212" t="inlineStr">
        <is>
          <t>390-2024-12-31</t>
        </is>
      </c>
    </row>
    <row r="1213" hidden="1">
      <c r="A1213" t="n">
        <v>390</v>
      </c>
      <c r="B1213" t="inlineStr">
        <is>
          <t>Cumplimiento Plan Anual por escuela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13" t="n">
        <v>45838</v>
      </c>
      <c r="G1213" t="n">
        <v>2025</v>
      </c>
      <c r="H1213" t="inlineStr">
        <is>
          <t>Junio</t>
        </is>
      </c>
      <c r="I1213" t="inlineStr">
        <is>
          <t>2025-1</t>
        </is>
      </c>
      <c r="J1213" t="n">
        <v>100</v>
      </c>
      <c r="K1213" t="n">
        <v>103.55</v>
      </c>
      <c r="L1213" s="39" t="n">
        <v>1.0355</v>
      </c>
      <c r="M1213" s="39" t="n">
        <v>1.0355</v>
      </c>
      <c r="N1213" t="inlineStr">
        <is>
          <t>%</t>
        </is>
      </c>
      <c r="O1213" t="inlineStr">
        <is>
          <t>%</t>
        </is>
      </c>
      <c r="P1213" t="n">
        <v>0</v>
      </c>
      <c r="Q1213" t="n">
        <v>0</v>
      </c>
      <c r="R1213" t="inlineStr">
        <is>
          <t>390-2025-06-30</t>
        </is>
      </c>
    </row>
    <row r="1214" hidden="1">
      <c r="A1214" t="n">
        <v>390</v>
      </c>
      <c r="B1214" t="inlineStr">
        <is>
          <t>Cumplimiento Plan Anual por escuela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13" t="n">
        <v>46022</v>
      </c>
      <c r="G1214" t="n">
        <v>2025</v>
      </c>
      <c r="H1214" t="inlineStr">
        <is>
          <t>Diciembre</t>
        </is>
      </c>
      <c r="I1214" t="inlineStr">
        <is>
          <t>2025-2</t>
        </is>
      </c>
      <c r="J1214" t="n">
        <v>100</v>
      </c>
      <c r="K1214" t="n">
        <v>99.78</v>
      </c>
      <c r="L1214" s="39" t="n">
        <v>0.9978</v>
      </c>
      <c r="M1214" s="39" t="n">
        <v>0.9978</v>
      </c>
      <c r="N1214" t="inlineStr">
        <is>
          <t>%</t>
        </is>
      </c>
      <c r="O1214" t="inlineStr">
        <is>
          <t>%</t>
        </is>
      </c>
      <c r="P1214" t="n">
        <v>0</v>
      </c>
      <c r="Q1214" t="n">
        <v>0</v>
      </c>
      <c r="R1214" t="inlineStr">
        <is>
          <t>390-2025-12-31</t>
        </is>
      </c>
    </row>
    <row r="1215" hidden="1">
      <c r="A1215" t="n">
        <v>391</v>
      </c>
      <c r="B1215" t="inlineStr">
        <is>
          <t>Satisfacción del cliente con campañas integradas de marketing</t>
        </is>
      </c>
      <c r="C1215" t="inlineStr">
        <is>
          <t>Gestión de campañas integradas de marketing</t>
        </is>
      </c>
      <c r="D1215" t="inlineStr">
        <is>
          <t>Semestral</t>
        </is>
      </c>
      <c r="E1215" t="inlineStr">
        <is>
          <t>Positivo</t>
        </is>
      </c>
      <c r="F1215" s="113" t="n">
        <v>45107</v>
      </c>
      <c r="G1215" t="n">
        <v>2023</v>
      </c>
      <c r="H1215" t="inlineStr">
        <is>
          <t>Junio</t>
        </is>
      </c>
      <c r="I1215" t="inlineStr">
        <is>
          <t>2023-1</t>
        </is>
      </c>
      <c r="J1215" t="n">
        <v>100</v>
      </c>
      <c r="K1215" t="n">
        <v>100</v>
      </c>
      <c r="L1215" s="39" t="n">
        <v>1</v>
      </c>
      <c r="M1215" s="39" t="n">
        <v>1</v>
      </c>
      <c r="N1215" t="inlineStr">
        <is>
          <t>%</t>
        </is>
      </c>
      <c r="O1215" t="inlineStr">
        <is>
          <t>%</t>
        </is>
      </c>
      <c r="P1215" t="n">
        <v>0</v>
      </c>
      <c r="Q1215" t="n">
        <v>0</v>
      </c>
      <c r="R1215" t="inlineStr">
        <is>
          <t>391-2023-06-30</t>
        </is>
      </c>
    </row>
    <row r="1216" hidden="1">
      <c r="A1216" t="n">
        <v>391</v>
      </c>
      <c r="B1216" t="inlineStr">
        <is>
          <t>Satisfacción del cliente con campañas integradas de marketing</t>
        </is>
      </c>
      <c r="C1216" t="inlineStr">
        <is>
          <t>Gestión de campañas integradas de marketing</t>
        </is>
      </c>
      <c r="D1216" t="inlineStr">
        <is>
          <t>Semestral</t>
        </is>
      </c>
      <c r="E1216" t="inlineStr">
        <is>
          <t>Positivo</t>
        </is>
      </c>
      <c r="F1216" s="113" t="n">
        <v>45291</v>
      </c>
      <c r="G1216" t="n">
        <v>2023</v>
      </c>
      <c r="H1216" t="inlineStr">
        <is>
          <t>Diciembre</t>
        </is>
      </c>
      <c r="I1216" t="inlineStr">
        <is>
          <t>2023-2</t>
        </is>
      </c>
      <c r="J1216" t="n">
        <v>100</v>
      </c>
      <c r="K1216" t="n">
        <v>100</v>
      </c>
      <c r="L1216" s="39" t="n">
        <v>1</v>
      </c>
      <c r="M1216" s="39" t="n">
        <v>1</v>
      </c>
      <c r="N1216" t="inlineStr">
        <is>
          <t>%</t>
        </is>
      </c>
      <c r="O1216" t="inlineStr">
        <is>
          <t>%</t>
        </is>
      </c>
      <c r="P1216" t="n">
        <v>0</v>
      </c>
      <c r="Q1216" t="n">
        <v>0</v>
      </c>
      <c r="R1216" t="inlineStr">
        <is>
          <t>391-2023-12-31</t>
        </is>
      </c>
    </row>
    <row r="1217" hidden="1">
      <c r="A1217" t="n">
        <v>391</v>
      </c>
      <c r="B1217" t="inlineStr">
        <is>
          <t>Satisfacción del cliente con campañas integradas de marketing</t>
        </is>
      </c>
      <c r="C1217" t="inlineStr">
        <is>
          <t>Gestión de campañas integradas de marketing</t>
        </is>
      </c>
      <c r="D1217" t="inlineStr">
        <is>
          <t>Semestral</t>
        </is>
      </c>
      <c r="E1217" t="inlineStr">
        <is>
          <t>Positivo</t>
        </is>
      </c>
      <c r="F1217" s="113" t="n">
        <v>45473</v>
      </c>
      <c r="G1217" t="n">
        <v>2024</v>
      </c>
      <c r="H1217" t="inlineStr">
        <is>
          <t>Junio</t>
        </is>
      </c>
      <c r="I1217" t="inlineStr">
        <is>
          <t>2024-1</t>
        </is>
      </c>
      <c r="J1217" t="n">
        <v>96</v>
      </c>
      <c r="K1217" t="n">
        <v>100</v>
      </c>
      <c r="L1217" s="39" t="n">
        <v>1.041666666666667</v>
      </c>
      <c r="M1217" s="39" t="n">
        <v>1.041666666666667</v>
      </c>
      <c r="P1217" t="n">
        <v>0</v>
      </c>
      <c r="Q1217" t="n">
        <v>0</v>
      </c>
      <c r="R1217" t="inlineStr">
        <is>
          <t>391-2024-06-30</t>
        </is>
      </c>
    </row>
    <row r="1218" hidden="1">
      <c r="A1218" t="n">
        <v>391</v>
      </c>
      <c r="B1218" t="inlineStr">
        <is>
          <t>Satisfacción del cliente con campañas integradas de marketing</t>
        </is>
      </c>
      <c r="C1218" t="inlineStr">
        <is>
          <t>Gestión de campañas integradas de marketing</t>
        </is>
      </c>
      <c r="D1218" t="inlineStr">
        <is>
          <t>Semestral</t>
        </is>
      </c>
      <c r="E1218" t="inlineStr">
        <is>
          <t>Positivo</t>
        </is>
      </c>
      <c r="F1218" s="113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96</v>
      </c>
      <c r="K1218" t="n">
        <v>100</v>
      </c>
      <c r="L1218" s="39" t="n">
        <v>1.041666666666667</v>
      </c>
      <c r="M1218" s="39" t="n">
        <v>1.041666666666667</v>
      </c>
      <c r="P1218" t="n">
        <v>0</v>
      </c>
      <c r="Q1218" t="n">
        <v>0</v>
      </c>
      <c r="R1218" t="inlineStr">
        <is>
          <t>391-2024-12-31</t>
        </is>
      </c>
    </row>
    <row r="1219" hidden="1">
      <c r="A1219" t="n">
        <v>392</v>
      </c>
      <c r="B1219" t="inlineStr">
        <is>
          <t>Ahorro institucional con base en la monetización de los servicios</t>
        </is>
      </c>
      <c r="C1219" t="inlineStr">
        <is>
          <t>Gestión de campañas integradas de marketing</t>
        </is>
      </c>
      <c r="D1219" t="inlineStr">
        <is>
          <t>Semestral</t>
        </is>
      </c>
      <c r="E1219" t="inlineStr">
        <is>
          <t>Positivo</t>
        </is>
      </c>
      <c r="F1219" s="113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100</v>
      </c>
      <c r="K1219" t="n">
        <v>110.09198322581</v>
      </c>
      <c r="L1219" s="39" t="n">
        <v>1.1009198322581</v>
      </c>
      <c r="M1219" s="39" t="n">
        <v>1.1009198322581</v>
      </c>
      <c r="P1219" t="n">
        <v>0</v>
      </c>
      <c r="Q1219" t="n">
        <v>0</v>
      </c>
      <c r="R1219" t="inlineStr">
        <is>
          <t>392-2023-06-30</t>
        </is>
      </c>
    </row>
    <row r="1220" hidden="1">
      <c r="A1220" t="n">
        <v>392</v>
      </c>
      <c r="B1220" t="inlineStr">
        <is>
          <t>Ahorro institucional con base en la monetización de los servicios</t>
        </is>
      </c>
      <c r="C1220" t="inlineStr">
        <is>
          <t>Gestión de campañas integradas de marketing</t>
        </is>
      </c>
      <c r="D1220" t="inlineStr">
        <is>
          <t>Semestral</t>
        </is>
      </c>
      <c r="E1220" t="inlineStr">
        <is>
          <t>Positivo</t>
        </is>
      </c>
      <c r="F1220" s="113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100</v>
      </c>
      <c r="K1220" t="n">
        <v>147.38</v>
      </c>
      <c r="L1220" s="39" t="n">
        <v>1.3</v>
      </c>
      <c r="M1220" s="39" t="n">
        <v>1.4738</v>
      </c>
      <c r="P1220" t="n">
        <v>0</v>
      </c>
      <c r="Q1220" t="n">
        <v>0</v>
      </c>
      <c r="R1220" t="inlineStr">
        <is>
          <t>392-2023-12-31</t>
        </is>
      </c>
    </row>
    <row r="1221" hidden="1">
      <c r="A1221" t="n">
        <v>392</v>
      </c>
      <c r="B1221" t="inlineStr">
        <is>
          <t>Ahorro institucional con base en la monetización de los servicios</t>
        </is>
      </c>
      <c r="C1221" t="inlineStr">
        <is>
          <t>Gestión de campañas integradas de marketing</t>
        </is>
      </c>
      <c r="D1221" t="inlineStr">
        <is>
          <t>Semestral</t>
        </is>
      </c>
      <c r="E1221" t="inlineStr">
        <is>
          <t>Positivo</t>
        </is>
      </c>
      <c r="F1221" s="113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100</v>
      </c>
      <c r="K1221" t="n">
        <v>98.11</v>
      </c>
      <c r="L1221" s="39" t="n">
        <v>0.9811</v>
      </c>
      <c r="M1221" s="39" t="n">
        <v>0.9811</v>
      </c>
      <c r="P1221" t="n">
        <v>0</v>
      </c>
      <c r="Q1221" t="n">
        <v>0</v>
      </c>
      <c r="R1221" t="inlineStr">
        <is>
          <t>392-2024-06-30</t>
        </is>
      </c>
    </row>
    <row r="1222" hidden="1">
      <c r="A1222" t="n">
        <v>392</v>
      </c>
      <c r="B1222" t="inlineStr">
        <is>
          <t>Ahorro institucional con base en la monetización de los servicios</t>
        </is>
      </c>
      <c r="C1222" t="inlineStr">
        <is>
          <t>Gestión de campañas integradas de marketing</t>
        </is>
      </c>
      <c r="D1222" t="inlineStr">
        <is>
          <t>Semestral</t>
        </is>
      </c>
      <c r="E1222" t="inlineStr">
        <is>
          <t>Positivo</t>
        </is>
      </c>
      <c r="F1222" s="113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100</v>
      </c>
      <c r="K1222" t="n">
        <v>145.21</v>
      </c>
      <c r="L1222" s="39" t="n">
        <v>1.3</v>
      </c>
      <c r="M1222" s="39" t="n">
        <v>1.4521</v>
      </c>
      <c r="P1222" t="n">
        <v>0</v>
      </c>
      <c r="Q1222" t="n">
        <v>0</v>
      </c>
      <c r="R1222" t="inlineStr">
        <is>
          <t>392-2024-12-31</t>
        </is>
      </c>
    </row>
    <row r="1223" hidden="1">
      <c r="A1223" t="n">
        <v>392</v>
      </c>
      <c r="B1223" t="inlineStr">
        <is>
          <t>Ahorro institucional con base en la monetización de los servicios</t>
        </is>
      </c>
      <c r="C1223" t="inlineStr">
        <is>
          <t>Gestión de campañas integradas de marketing</t>
        </is>
      </c>
      <c r="D1223" t="inlineStr">
        <is>
          <t>Anual</t>
        </is>
      </c>
      <c r="E1223" t="inlineStr">
        <is>
          <t>Positivo</t>
        </is>
      </c>
      <c r="F1223" s="113" t="n">
        <v>46022</v>
      </c>
      <c r="G1223" t="n">
        <v>2025</v>
      </c>
      <c r="H1223" t="inlineStr">
        <is>
          <t>Diciembre</t>
        </is>
      </c>
      <c r="I1223" t="inlineStr">
        <is>
          <t>2025-2</t>
        </is>
      </c>
      <c r="J1223" t="n">
        <v>100</v>
      </c>
      <c r="K1223" t="n">
        <v>100.8</v>
      </c>
      <c r="L1223" s="39" t="n">
        <v>1.008</v>
      </c>
      <c r="M1223" s="39" t="n">
        <v>1.008</v>
      </c>
      <c r="N1223" t="inlineStr">
        <is>
          <t>$</t>
        </is>
      </c>
      <c r="O1223" t="inlineStr">
        <is>
          <t>$</t>
        </is>
      </c>
      <c r="P1223" t="n">
        <v>0</v>
      </c>
      <c r="Q1223" t="n">
        <v>0</v>
      </c>
      <c r="R1223" t="inlineStr">
        <is>
          <t>392-2025-12-31</t>
        </is>
      </c>
    </row>
    <row r="1224" hidden="1">
      <c r="A1224" t="n">
        <v>393</v>
      </c>
      <c r="B1224" t="inlineStr">
        <is>
          <t>Disminución de los tiempos empleados en el desarrollo de las solicitudes</t>
        </is>
      </c>
      <c r="C1224" t="inlineStr">
        <is>
          <t>Gestión de campañas integradas de marketing</t>
        </is>
      </c>
      <c r="D1224" t="inlineStr">
        <is>
          <t>Anual</t>
        </is>
      </c>
      <c r="E1224" t="inlineStr">
        <is>
          <t>Positivo</t>
        </is>
      </c>
      <c r="F1224" s="113" t="n">
        <v>45291</v>
      </c>
      <c r="G1224" t="n">
        <v>2023</v>
      </c>
      <c r="H1224" t="inlineStr">
        <is>
          <t>Diciembre</t>
        </is>
      </c>
      <c r="I1224" t="inlineStr">
        <is>
          <t>2023-2</t>
        </is>
      </c>
      <c r="J1224" t="n">
        <v>15</v>
      </c>
      <c r="K1224" t="n">
        <v>15.45</v>
      </c>
      <c r="L1224" s="39" t="n">
        <v>1.03</v>
      </c>
      <c r="M1224" s="39" t="n">
        <v>1.03</v>
      </c>
      <c r="P1224" t="n">
        <v>1</v>
      </c>
      <c r="Q1224" t="n">
        <v>1</v>
      </c>
      <c r="R1224" t="inlineStr">
        <is>
          <t>393-2023-12-31</t>
        </is>
      </c>
    </row>
    <row r="1225" hidden="1">
      <c r="A1225" t="n">
        <v>393</v>
      </c>
      <c r="B1225" t="inlineStr">
        <is>
          <t>Disminución de los tiempos empleados en el desarrollo de las solicitudes</t>
        </is>
      </c>
      <c r="C1225" t="inlineStr">
        <is>
          <t>Gestión de campañas integradas de marketing</t>
        </is>
      </c>
      <c r="D1225" t="inlineStr">
        <is>
          <t>Anual</t>
        </is>
      </c>
      <c r="E1225" t="inlineStr">
        <is>
          <t>Negativo</t>
        </is>
      </c>
      <c r="F1225" s="113" t="n">
        <v>45657</v>
      </c>
      <c r="G1225" t="n">
        <v>2024</v>
      </c>
      <c r="H1225" t="inlineStr">
        <is>
          <t>Diciembre</t>
        </is>
      </c>
      <c r="I1225" t="inlineStr">
        <is>
          <t>2024-2</t>
        </is>
      </c>
      <c r="J1225" t="n">
        <v>15</v>
      </c>
      <c r="K1225" t="n">
        <v>13</v>
      </c>
      <c r="L1225" s="39" t="n">
        <v>1.153846153846154</v>
      </c>
      <c r="M1225" s="39" t="n">
        <v>1.153846153846154</v>
      </c>
      <c r="P1225" t="n">
        <v>0</v>
      </c>
      <c r="Q1225" t="n">
        <v>0</v>
      </c>
      <c r="R1225" t="inlineStr">
        <is>
          <t>393-2024-12-31</t>
        </is>
      </c>
    </row>
    <row r="1226" hidden="1">
      <c r="A1226" t="n">
        <v>393</v>
      </c>
      <c r="B1226" t="inlineStr">
        <is>
          <t>Disminución de los tiempos empleados en el desarrollo de las solicitudes</t>
        </is>
      </c>
      <c r="C1226" t="inlineStr">
        <is>
          <t>Gestión de campañas integradas de marketing</t>
        </is>
      </c>
      <c r="D1226" t="inlineStr">
        <is>
          <t>Anual</t>
        </is>
      </c>
      <c r="E1226" t="inlineStr">
        <is>
          <t>Negativo</t>
        </is>
      </c>
      <c r="F1226" s="113" t="n">
        <v>46022</v>
      </c>
      <c r="G1226" t="n">
        <v>2025</v>
      </c>
      <c r="H1226" t="inlineStr">
        <is>
          <t>Diciembre</t>
        </is>
      </c>
      <c r="I1226" t="inlineStr">
        <is>
          <t>2025-2</t>
        </is>
      </c>
      <c r="K1226" t="n">
        <v>12</v>
      </c>
      <c r="L1226" s="39" t="n"/>
      <c r="M1226" s="39" t="n"/>
      <c r="N1226" t="inlineStr">
        <is>
          <t>ENT</t>
        </is>
      </c>
      <c r="O1226" t="inlineStr">
        <is>
          <t>DEC</t>
        </is>
      </c>
      <c r="P1226" t="n">
        <v>1</v>
      </c>
      <c r="Q1226" t="n">
        <v>1</v>
      </c>
      <c r="R1226" t="inlineStr">
        <is>
          <t>393-2025-12-31</t>
        </is>
      </c>
    </row>
    <row r="1227" hidden="1">
      <c r="A1227" t="n">
        <v>394</v>
      </c>
      <c r="B1227" t="inlineStr">
        <is>
          <t>Publicaciones en medios de comunicación Tier 1 y Tier 2</t>
        </is>
      </c>
      <c r="C1227" t="inlineStr">
        <is>
          <t>Comunicaciones Externas</t>
        </is>
      </c>
      <c r="D1227" t="inlineStr">
        <is>
          <t>Semestral</t>
        </is>
      </c>
      <c r="E1227" t="inlineStr">
        <is>
          <t>Positivo</t>
        </is>
      </c>
      <c r="F1227" s="113" t="n">
        <v>45107</v>
      </c>
      <c r="G1227" t="n">
        <v>2023</v>
      </c>
      <c r="H1227" t="inlineStr">
        <is>
          <t>Junio</t>
        </is>
      </c>
      <c r="I1227" t="inlineStr">
        <is>
          <t>2023-1</t>
        </is>
      </c>
      <c r="J1227" t="n">
        <v>100</v>
      </c>
      <c r="K1227" t="n">
        <v>275.42857142857</v>
      </c>
      <c r="L1227" s="39" t="n">
        <v>1.3</v>
      </c>
      <c r="M1227" s="39" t="n">
        <v>2.7542857142857</v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394-2023-06-30</t>
        </is>
      </c>
    </row>
    <row r="1228" hidden="1">
      <c r="A1228" t="n">
        <v>394</v>
      </c>
      <c r="B1228" t="inlineStr">
        <is>
          <t>Publicaciones en medios de comunicación Tier 1 y Tier 2</t>
        </is>
      </c>
      <c r="C1228" t="inlineStr">
        <is>
          <t>Comunicaciones Externas</t>
        </is>
      </c>
      <c r="D1228" t="inlineStr">
        <is>
          <t>Semestral</t>
        </is>
      </c>
      <c r="E1228" t="inlineStr">
        <is>
          <t>Positivo</t>
        </is>
      </c>
      <c r="F1228" s="113" t="n">
        <v>45291</v>
      </c>
      <c r="G1228" t="n">
        <v>2023</v>
      </c>
      <c r="H1228" t="inlineStr">
        <is>
          <t>Diciembre</t>
        </is>
      </c>
      <c r="I1228" t="inlineStr">
        <is>
          <t>2023-2</t>
        </is>
      </c>
      <c r="J1228" t="n">
        <v>100</v>
      </c>
      <c r="K1228" t="n">
        <v>349.71</v>
      </c>
      <c r="L1228" s="39" t="n">
        <v>1.3</v>
      </c>
      <c r="M1228" s="39" t="n">
        <v>3.4971</v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394-2023-12-31</t>
        </is>
      </c>
    </row>
    <row r="1229" hidden="1">
      <c r="A1229" t="n">
        <v>394</v>
      </c>
      <c r="B1229" t="inlineStr">
        <is>
          <t>Publicaciones en medios de comunicación Tier 1 y Tier 2</t>
        </is>
      </c>
      <c r="C1229" t="inlineStr">
        <is>
          <t>Comunicaciones Externas</t>
        </is>
      </c>
      <c r="D1229" t="inlineStr">
        <is>
          <t>Semestral</t>
        </is>
      </c>
      <c r="E1229" t="inlineStr">
        <is>
          <t>Positivo</t>
        </is>
      </c>
      <c r="F1229" s="113" t="n">
        <v>45473</v>
      </c>
      <c r="G1229" t="n">
        <v>2024</v>
      </c>
      <c r="H1229" t="inlineStr">
        <is>
          <t>Junio</t>
        </is>
      </c>
      <c r="I1229" t="inlineStr">
        <is>
          <t>2024-1</t>
        </is>
      </c>
      <c r="J1229" t="n">
        <v>100</v>
      </c>
      <c r="K1229" t="n">
        <v>118.6</v>
      </c>
      <c r="L1229" s="39" t="n">
        <v>1.186</v>
      </c>
      <c r="M1229" s="39" t="n">
        <v>1.186</v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394-2024-06-30</t>
        </is>
      </c>
    </row>
    <row r="1230" hidden="1">
      <c r="A1230" t="n">
        <v>394</v>
      </c>
      <c r="B1230" t="inlineStr">
        <is>
          <t>Publicaciones en medios de comunicación Tier 1 y Tier 2</t>
        </is>
      </c>
      <c r="C1230" t="inlineStr">
        <is>
          <t>Comunicaciones Externas</t>
        </is>
      </c>
      <c r="D1230" t="inlineStr">
        <is>
          <t>Semestral</t>
        </is>
      </c>
      <c r="E1230" t="inlineStr">
        <is>
          <t>Positivo</t>
        </is>
      </c>
      <c r="F1230" s="113" t="n">
        <v>45657</v>
      </c>
      <c r="G1230" t="n">
        <v>2024</v>
      </c>
      <c r="H1230" t="inlineStr">
        <is>
          <t>Diciembre</t>
        </is>
      </c>
      <c r="I1230" t="inlineStr">
        <is>
          <t>2024-2</t>
        </is>
      </c>
      <c r="J1230" t="n">
        <v>100</v>
      </c>
      <c r="K1230" t="n">
        <v>192</v>
      </c>
      <c r="L1230" s="39" t="n">
        <v>1.3</v>
      </c>
      <c r="M1230" s="39" t="n">
        <v>1.92</v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394-2024-12-31</t>
        </is>
      </c>
    </row>
    <row r="1231" hidden="1">
      <c r="A1231" t="n">
        <v>394</v>
      </c>
      <c r="B1231" t="inlineStr">
        <is>
          <t>Publicaciones en medios de comunicación Tier 1 y Tier 2</t>
        </is>
      </c>
      <c r="C1231" t="inlineStr">
        <is>
          <t>Comunicaciones Externas</t>
        </is>
      </c>
      <c r="D1231" t="inlineStr">
        <is>
          <t>Semestral</t>
        </is>
      </c>
      <c r="E1231" t="inlineStr">
        <is>
          <t>Positivo</t>
        </is>
      </c>
      <c r="F1231" s="113" t="n">
        <v>45838</v>
      </c>
      <c r="G1231" t="n">
        <v>2025</v>
      </c>
      <c r="H1231" t="inlineStr">
        <is>
          <t>Junio</t>
        </is>
      </c>
      <c r="I1231" t="inlineStr">
        <is>
          <t>2025-1</t>
        </is>
      </c>
      <c r="J1231" t="n">
        <v>100</v>
      </c>
      <c r="K1231" t="n">
        <v>162.18</v>
      </c>
      <c r="L1231" s="39" t="n">
        <v>1.3</v>
      </c>
      <c r="M1231" s="39" t="n">
        <v>1.6218</v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394-2025-06-30</t>
        </is>
      </c>
    </row>
    <row r="1232" hidden="1">
      <c r="A1232" t="n">
        <v>394</v>
      </c>
      <c r="B1232" t="inlineStr">
        <is>
          <t>Publicaciones en medios de comunicación Tier 1 y Tier 2</t>
        </is>
      </c>
      <c r="C1232" t="inlineStr">
        <is>
          <t>Comunicaciones Externas</t>
        </is>
      </c>
      <c r="D1232" t="inlineStr">
        <is>
          <t>Semestral</t>
        </is>
      </c>
      <c r="E1232" t="inlineStr">
        <is>
          <t>Positivo</t>
        </is>
      </c>
      <c r="F1232" s="113" t="n">
        <v>46022</v>
      </c>
      <c r="G1232" t="n">
        <v>2025</v>
      </c>
      <c r="H1232" t="inlineStr">
        <is>
          <t>Diciembre</t>
        </is>
      </c>
      <c r="I1232" t="inlineStr">
        <is>
          <t>2025-2</t>
        </is>
      </c>
      <c r="J1232" t="n">
        <v>100</v>
      </c>
      <c r="K1232" t="n">
        <v>114.605</v>
      </c>
      <c r="L1232" s="39" t="n">
        <v>1.14605</v>
      </c>
      <c r="M1232" s="39" t="n">
        <v>1.14605</v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394-2025-12-31</t>
        </is>
      </c>
    </row>
    <row r="1233" hidden="1">
      <c r="A1233" t="n">
        <v>394</v>
      </c>
      <c r="B1233" t="inlineStr">
        <is>
          <t>Publicaciones en medios de comunicación Tier 1 y Tier 2</t>
        </is>
      </c>
      <c r="C1233" t="inlineStr">
        <is>
          <t>Comunicaciones Externas</t>
        </is>
      </c>
      <c r="D1233" t="inlineStr">
        <is>
          <t>Semestral</t>
        </is>
      </c>
      <c r="E1233" t="inlineStr">
        <is>
          <t>Positivo</t>
        </is>
      </c>
      <c r="F1233" s="113" t="n">
        <v>46203</v>
      </c>
      <c r="G1233" t="n">
        <v>2026</v>
      </c>
      <c r="H1233" t="inlineStr">
        <is>
          <t>Junio</t>
        </is>
      </c>
      <c r="I1233" t="inlineStr">
        <is>
          <t>2026-1</t>
        </is>
      </c>
      <c r="J1233" t="n">
        <v>100</v>
      </c>
      <c r="K1233" t="n">
        <v>225.2</v>
      </c>
      <c r="L1233" s="39" t="n">
        <v>1.3</v>
      </c>
      <c r="M1233" s="39" t="n">
        <v>2.252</v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394-2026-06-30</t>
        </is>
      </c>
    </row>
    <row r="1234" hidden="1">
      <c r="A1234" t="n">
        <v>395</v>
      </c>
      <c r="B1234" t="inlineStr">
        <is>
          <t>Publicaciones en medios de comunicación Tier 1 y Tier 2 de la región Antioquia</t>
        </is>
      </c>
      <c r="C1234" t="inlineStr">
        <is>
          <t>Comunicaciones Externas</t>
        </is>
      </c>
      <c r="D1234" t="inlineStr">
        <is>
          <t>Semestral</t>
        </is>
      </c>
      <c r="E1234" t="inlineStr">
        <is>
          <t>Positivo</t>
        </is>
      </c>
      <c r="F1234" s="113" t="n">
        <v>45107</v>
      </c>
      <c r="G1234" t="n">
        <v>2023</v>
      </c>
      <c r="H1234" t="inlineStr">
        <is>
          <t>Junio</t>
        </is>
      </c>
      <c r="I1234" t="inlineStr">
        <is>
          <t>2023-1</t>
        </is>
      </c>
      <c r="J1234" t="n">
        <v>100</v>
      </c>
      <c r="K1234" t="n">
        <v>294.11764705882</v>
      </c>
      <c r="L1234" s="39" t="n">
        <v>1.3</v>
      </c>
      <c r="M1234" s="39" t="n">
        <v>2.9411764705882</v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395-2023-06-30</t>
        </is>
      </c>
    </row>
    <row r="1235" hidden="1">
      <c r="A1235" t="n">
        <v>395</v>
      </c>
      <c r="B1235" t="inlineStr">
        <is>
          <t>Publicaciones en medios de comunicación Tier 1 y Tier 2 de la región Antioquia</t>
        </is>
      </c>
      <c r="C1235" t="inlineStr">
        <is>
          <t>Comunicaciones Externas</t>
        </is>
      </c>
      <c r="D1235" t="inlineStr">
        <is>
          <t>Semestral</t>
        </is>
      </c>
      <c r="E1235" t="inlineStr">
        <is>
          <t>Positivo</t>
        </is>
      </c>
      <c r="F1235" s="113" t="n">
        <v>45291</v>
      </c>
      <c r="G1235" t="n">
        <v>2023</v>
      </c>
      <c r="H1235" t="inlineStr">
        <is>
          <t>Diciembre</t>
        </is>
      </c>
      <c r="I1235" t="inlineStr">
        <is>
          <t>2023-2</t>
        </is>
      </c>
      <c r="J1235" t="n">
        <v>100</v>
      </c>
      <c r="K1235" t="n">
        <v>266.67</v>
      </c>
      <c r="L1235" s="39" t="n">
        <v>1.3</v>
      </c>
      <c r="M1235" s="39" t="n">
        <v>2.6667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395-2023-12-31</t>
        </is>
      </c>
    </row>
    <row r="1236" hidden="1">
      <c r="A1236" t="n">
        <v>395</v>
      </c>
      <c r="B1236" t="inlineStr">
        <is>
          <t>Publicaciones en medios de comunicación de la región Antioquia</t>
        </is>
      </c>
      <c r="C1236" t="inlineStr">
        <is>
          <t>Comunicaciones Externas</t>
        </is>
      </c>
      <c r="D1236" t="inlineStr">
        <is>
          <t>Semestral</t>
        </is>
      </c>
      <c r="E1236" t="inlineStr">
        <is>
          <t>Positivo</t>
        </is>
      </c>
      <c r="F1236" s="113" t="n">
        <v>45473</v>
      </c>
      <c r="G1236" t="n">
        <v>2024</v>
      </c>
      <c r="H1236" t="inlineStr">
        <is>
          <t>Junio</t>
        </is>
      </c>
      <c r="I1236" t="inlineStr">
        <is>
          <t>2024-1</t>
        </is>
      </c>
      <c r="J1236" t="n">
        <v>100</v>
      </c>
      <c r="K1236" t="n">
        <v>110</v>
      </c>
      <c r="L1236" s="39" t="n">
        <v>1.1</v>
      </c>
      <c r="M1236" s="39" t="n">
        <v>1.1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395-2024-06-30</t>
        </is>
      </c>
    </row>
    <row r="1237" hidden="1">
      <c r="A1237" t="n">
        <v>395</v>
      </c>
      <c r="B1237" t="inlineStr">
        <is>
          <t>Publicaciones en medios de comunicación de la región Antioquia</t>
        </is>
      </c>
      <c r="C1237" t="inlineStr">
        <is>
          <t>Comunicaciones Externas</t>
        </is>
      </c>
      <c r="D1237" t="inlineStr">
        <is>
          <t>Semestral</t>
        </is>
      </c>
      <c r="E1237" t="inlineStr">
        <is>
          <t>Positivo</t>
        </is>
      </c>
      <c r="F1237" s="113" t="n">
        <v>45657</v>
      </c>
      <c r="G1237" t="n">
        <v>2024</v>
      </c>
      <c r="H1237" t="inlineStr">
        <is>
          <t>Diciembre</t>
        </is>
      </c>
      <c r="I1237" t="inlineStr">
        <is>
          <t>2024-2</t>
        </is>
      </c>
      <c r="J1237" t="n">
        <v>100</v>
      </c>
      <c r="K1237" t="n">
        <v>148.89</v>
      </c>
      <c r="L1237" s="39" t="n">
        <v>1.3</v>
      </c>
      <c r="M1237" s="39" t="n">
        <v>1.4889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395-2024-12-31</t>
        </is>
      </c>
    </row>
    <row r="1238" hidden="1">
      <c r="A1238" t="n">
        <v>395</v>
      </c>
      <c r="B1238" t="inlineStr">
        <is>
          <t>Publicaciones en medios de comunicación de la región Antioquia</t>
        </is>
      </c>
      <c r="C1238" t="inlineStr">
        <is>
          <t>Comunicaciones Externas</t>
        </is>
      </c>
      <c r="D1238" t="inlineStr">
        <is>
          <t>Semestral</t>
        </is>
      </c>
      <c r="E1238" t="inlineStr">
        <is>
          <t>Positivo</t>
        </is>
      </c>
      <c r="F1238" s="113" t="n">
        <v>45838</v>
      </c>
      <c r="G1238" t="n">
        <v>2025</v>
      </c>
      <c r="H1238" t="inlineStr">
        <is>
          <t>Junio</t>
        </is>
      </c>
      <c r="I1238" t="inlineStr">
        <is>
          <t>2025-1</t>
        </is>
      </c>
      <c r="J1238" t="n">
        <v>100</v>
      </c>
      <c r="K1238" t="n">
        <v>226.625</v>
      </c>
      <c r="L1238" s="39" t="n">
        <v>1.3</v>
      </c>
      <c r="M1238" s="39" t="n">
        <v>2.26625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395-2025-06-30</t>
        </is>
      </c>
    </row>
    <row r="1239" hidden="1">
      <c r="A1239" t="n">
        <v>395</v>
      </c>
      <c r="B1239" t="inlineStr">
        <is>
          <t>Publicaciones en medios de comunicación de la región Antioquia</t>
        </is>
      </c>
      <c r="C1239" t="inlineStr">
        <is>
          <t>Comunicaciones Externas</t>
        </is>
      </c>
      <c r="D1239" t="inlineStr">
        <is>
          <t>Semestral</t>
        </is>
      </c>
      <c r="E1239" t="inlineStr">
        <is>
          <t>Positivo</t>
        </is>
      </c>
      <c r="F1239" s="113" t="n">
        <v>46022</v>
      </c>
      <c r="G1239" t="n">
        <v>2025</v>
      </c>
      <c r="H1239" t="inlineStr">
        <is>
          <t>Diciembre</t>
        </is>
      </c>
      <c r="I1239" t="inlineStr">
        <is>
          <t>2025-2</t>
        </is>
      </c>
      <c r="J1239" t="n">
        <v>100</v>
      </c>
      <c r="K1239" t="n">
        <v>182.205</v>
      </c>
      <c r="L1239" s="39" t="n">
        <v>1.3</v>
      </c>
      <c r="M1239" s="39" t="n">
        <v>1.82205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395-2025-12-31</t>
        </is>
      </c>
    </row>
    <row r="1240" hidden="1">
      <c r="A1240" t="n">
        <v>395</v>
      </c>
      <c r="B1240" t="inlineStr">
        <is>
          <t>Publicaciones en medios de comunicación de la región Antioquia</t>
        </is>
      </c>
      <c r="C1240" t="inlineStr">
        <is>
          <t>Comunicaciones Externas</t>
        </is>
      </c>
      <c r="D1240" t="inlineStr">
        <is>
          <t>Semestral</t>
        </is>
      </c>
      <c r="E1240" t="inlineStr">
        <is>
          <t>Positivo</t>
        </is>
      </c>
      <c r="F1240" s="113" t="n">
        <v>46203</v>
      </c>
      <c r="G1240" t="n">
        <v>2026</v>
      </c>
      <c r="H1240" t="inlineStr">
        <is>
          <t>Junio</t>
        </is>
      </c>
      <c r="I1240" t="inlineStr">
        <is>
          <t>2026-1</t>
        </is>
      </c>
      <c r="K1240" t="n">
        <v>173.33</v>
      </c>
      <c r="L1240" s="39" t="n"/>
      <c r="M1240" s="39" t="n"/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395-2026-06-30</t>
        </is>
      </c>
    </row>
    <row r="1241" hidden="1">
      <c r="A1241" t="n">
        <v>396</v>
      </c>
      <c r="B1241" t="inlineStr">
        <is>
          <t>Publicaciones en el Campus Virtual</t>
        </is>
      </c>
      <c r="C1241" t="inlineStr">
        <is>
          <t>Gestión de campañas integradas de marketing</t>
        </is>
      </c>
      <c r="D1241" t="inlineStr">
        <is>
          <t>Semestral</t>
        </is>
      </c>
      <c r="E1241" t="inlineStr">
        <is>
          <t>Positivo</t>
        </is>
      </c>
      <c r="F1241" s="113" t="n">
        <v>45107</v>
      </c>
      <c r="G1241" t="n">
        <v>2023</v>
      </c>
      <c r="H1241" t="inlineStr">
        <is>
          <t>Junio</t>
        </is>
      </c>
      <c r="I1241" t="inlineStr">
        <is>
          <t>2023-1</t>
        </is>
      </c>
      <c r="J1241" t="n">
        <v>80</v>
      </c>
      <c r="K1241" t="n">
        <v>91.06999999999999</v>
      </c>
      <c r="L1241" s="39" t="n">
        <v>1.138375</v>
      </c>
      <c r="M1241" s="39" t="n">
        <v>1.138375</v>
      </c>
      <c r="N1241" t="inlineStr">
        <is>
          <t>%</t>
        </is>
      </c>
      <c r="O1241" t="inlineStr">
        <is>
          <t>%</t>
        </is>
      </c>
      <c r="P1241" t="n">
        <v>0</v>
      </c>
      <c r="Q1241" t="n">
        <v>1</v>
      </c>
      <c r="R1241" t="inlineStr">
        <is>
          <t>396-2023-06-30</t>
        </is>
      </c>
    </row>
    <row r="1242" hidden="1">
      <c r="A1242" t="n">
        <v>396</v>
      </c>
      <c r="B1242" t="inlineStr">
        <is>
          <t>Publicaciones en el Campus Virtual</t>
        </is>
      </c>
      <c r="C1242" t="inlineStr">
        <is>
          <t>Gestión de campañas integradas de marketing</t>
        </is>
      </c>
      <c r="D1242" t="inlineStr">
        <is>
          <t>Semestral</t>
        </is>
      </c>
      <c r="E1242" t="inlineStr">
        <is>
          <t>Positivo</t>
        </is>
      </c>
      <c r="F1242" s="113" t="n">
        <v>45291</v>
      </c>
      <c r="G1242" t="n">
        <v>2023</v>
      </c>
      <c r="H1242" t="inlineStr">
        <is>
          <t>Diciembre</t>
        </is>
      </c>
      <c r="I1242" t="inlineStr">
        <is>
          <t>2023-2</t>
        </is>
      </c>
      <c r="J1242" t="n">
        <v>80</v>
      </c>
      <c r="K1242" t="n">
        <v>92.95999999999999</v>
      </c>
      <c r="L1242" s="39" t="n">
        <v>1.162</v>
      </c>
      <c r="M1242" s="39" t="n">
        <v>1.162</v>
      </c>
      <c r="N1242" t="inlineStr">
        <is>
          <t>%</t>
        </is>
      </c>
      <c r="O1242" t="inlineStr">
        <is>
          <t>%</t>
        </is>
      </c>
      <c r="P1242" t="n">
        <v>0</v>
      </c>
      <c r="Q1242" t="n">
        <v>1</v>
      </c>
      <c r="R1242" t="inlineStr">
        <is>
          <t>396-2023-12-31</t>
        </is>
      </c>
    </row>
    <row r="1243" hidden="1">
      <c r="A1243" t="n">
        <v>396</v>
      </c>
      <c r="B1243" t="inlineStr">
        <is>
          <t>Publicaciones en el Campus Virtual</t>
        </is>
      </c>
      <c r="C1243" t="inlineStr">
        <is>
          <t>Gestión de campañas integradas de marketing</t>
        </is>
      </c>
      <c r="D1243" t="inlineStr">
        <is>
          <t>Semestral</t>
        </is>
      </c>
      <c r="E1243" t="inlineStr">
        <is>
          <t>Positivo</t>
        </is>
      </c>
      <c r="F1243" s="113" t="n">
        <v>45473</v>
      </c>
      <c r="G1243" t="n">
        <v>2024</v>
      </c>
      <c r="H1243" t="inlineStr">
        <is>
          <t>Junio</t>
        </is>
      </c>
      <c r="I1243" t="inlineStr">
        <is>
          <t>2024-1</t>
        </is>
      </c>
      <c r="J1243" t="n">
        <v>80</v>
      </c>
      <c r="K1243" t="n">
        <v>88.08</v>
      </c>
      <c r="L1243" s="39" t="n">
        <v>1.101</v>
      </c>
      <c r="M1243" s="39" t="n">
        <v>1.101</v>
      </c>
      <c r="N1243" t="inlineStr">
        <is>
          <t>%</t>
        </is>
      </c>
      <c r="O1243" t="inlineStr">
        <is>
          <t>%</t>
        </is>
      </c>
      <c r="P1243" t="n">
        <v>0</v>
      </c>
      <c r="Q1243" t="n">
        <v>1</v>
      </c>
      <c r="R1243" t="inlineStr">
        <is>
          <t>396-2024-06-30</t>
        </is>
      </c>
    </row>
    <row r="1244" hidden="1">
      <c r="A1244" t="n">
        <v>396</v>
      </c>
      <c r="B1244" t="inlineStr">
        <is>
          <t>Publicaciones en el Campus Virtual</t>
        </is>
      </c>
      <c r="C1244" t="inlineStr">
        <is>
          <t>Gestión de campañas integradas de marketing</t>
        </is>
      </c>
      <c r="D1244" t="inlineStr">
        <is>
          <t>Semestral</t>
        </is>
      </c>
      <c r="E1244" t="inlineStr">
        <is>
          <t>Positivo</t>
        </is>
      </c>
      <c r="F1244" s="113" t="n">
        <v>45657</v>
      </c>
      <c r="G1244" t="n">
        <v>2024</v>
      </c>
      <c r="H1244" t="inlineStr">
        <is>
          <t>Diciembre</t>
        </is>
      </c>
      <c r="I1244" t="inlineStr">
        <is>
          <t>2024-2</t>
        </is>
      </c>
      <c r="J1244" t="n">
        <v>80</v>
      </c>
      <c r="K1244" t="n">
        <v>94.88</v>
      </c>
      <c r="L1244" s="39" t="n">
        <v>1.186</v>
      </c>
      <c r="M1244" s="39" t="n">
        <v>1.186</v>
      </c>
      <c r="N1244" t="inlineStr">
        <is>
          <t>%</t>
        </is>
      </c>
      <c r="O1244" t="inlineStr">
        <is>
          <t>%</t>
        </is>
      </c>
      <c r="P1244" t="n">
        <v>0</v>
      </c>
      <c r="Q1244" t="n">
        <v>1</v>
      </c>
      <c r="R1244" t="inlineStr">
        <is>
          <t>396-2024-12-31</t>
        </is>
      </c>
    </row>
    <row r="1245" hidden="1">
      <c r="A1245" t="n">
        <v>397</v>
      </c>
      <c r="B1245" t="inlineStr">
        <is>
          <t>Gestión de casos del Estudio de Grabación Virtual</t>
        </is>
      </c>
      <c r="C1245" t="inlineStr">
        <is>
          <t>Diseño de Contenido Virtual</t>
        </is>
      </c>
      <c r="D1245" t="inlineStr">
        <is>
          <t>Semestral</t>
        </is>
      </c>
      <c r="E1245" t="inlineStr">
        <is>
          <t>Positivo</t>
        </is>
      </c>
      <c r="F1245" s="113" t="n">
        <v>45107</v>
      </c>
      <c r="G1245" t="n">
        <v>2023</v>
      </c>
      <c r="H1245" t="inlineStr">
        <is>
          <t>Junio</t>
        </is>
      </c>
      <c r="I1245" t="inlineStr">
        <is>
          <t>2023-1</t>
        </is>
      </c>
      <c r="J1245" t="n">
        <v>80</v>
      </c>
      <c r="K1245" t="n">
        <v>91.071428571429</v>
      </c>
      <c r="L1245" s="39" t="n">
        <v>1.138392857142863</v>
      </c>
      <c r="M1245" s="39" t="n">
        <v>1.138392857142863</v>
      </c>
      <c r="N1245" t="inlineStr">
        <is>
          <t>%</t>
        </is>
      </c>
      <c r="O1245" t="inlineStr">
        <is>
          <t>%</t>
        </is>
      </c>
      <c r="P1245" t="n">
        <v>1</v>
      </c>
      <c r="Q1245" t="n">
        <v>1</v>
      </c>
      <c r="R1245" t="inlineStr">
        <is>
          <t>397-2023-06-30</t>
        </is>
      </c>
    </row>
    <row r="1246" hidden="1">
      <c r="A1246" t="n">
        <v>397</v>
      </c>
      <c r="B1246" t="inlineStr">
        <is>
          <t>Gestión de casos del Estudio de Grabación Virtual</t>
        </is>
      </c>
      <c r="C1246" t="inlineStr">
        <is>
          <t>Diseño de Contenido Virtual</t>
        </is>
      </c>
      <c r="D1246" t="inlineStr">
        <is>
          <t>Semestral</t>
        </is>
      </c>
      <c r="E1246" t="inlineStr">
        <is>
          <t>Positivo</t>
        </is>
      </c>
      <c r="F1246" s="113" t="n">
        <v>45291</v>
      </c>
      <c r="G1246" t="n">
        <v>2023</v>
      </c>
      <c r="H1246" t="inlineStr">
        <is>
          <t>Diciembre</t>
        </is>
      </c>
      <c r="I1246" t="inlineStr">
        <is>
          <t>2023-2</t>
        </is>
      </c>
      <c r="J1246" t="n">
        <v>80</v>
      </c>
      <c r="K1246" t="n">
        <v>92.95999999999999</v>
      </c>
      <c r="L1246" s="39" t="n">
        <v>1.162</v>
      </c>
      <c r="M1246" s="39" t="n">
        <v>1.162</v>
      </c>
      <c r="N1246" t="inlineStr">
        <is>
          <t>%</t>
        </is>
      </c>
      <c r="O1246" t="inlineStr">
        <is>
          <t>%</t>
        </is>
      </c>
      <c r="P1246" t="n">
        <v>1</v>
      </c>
      <c r="Q1246" t="n">
        <v>1</v>
      </c>
      <c r="R1246" t="inlineStr">
        <is>
          <t>397-2023-12-31</t>
        </is>
      </c>
    </row>
    <row r="1247" hidden="1">
      <c r="A1247" t="n">
        <v>397</v>
      </c>
      <c r="B1247" t="inlineStr">
        <is>
          <t>Gestión de casos del Estudio de Grabación Virtual</t>
        </is>
      </c>
      <c r="C1247" t="inlineStr">
        <is>
          <t>Diseño de Contenido Virtual</t>
        </is>
      </c>
      <c r="D1247" t="inlineStr">
        <is>
          <t>Semestral</t>
        </is>
      </c>
      <c r="E1247" t="inlineStr">
        <is>
          <t>Positivo</t>
        </is>
      </c>
      <c r="F1247" s="113" t="n">
        <v>45473</v>
      </c>
      <c r="G1247" t="n">
        <v>2024</v>
      </c>
      <c r="H1247" t="inlineStr">
        <is>
          <t>Junio</t>
        </is>
      </c>
      <c r="I1247" t="inlineStr">
        <is>
          <t>2024-1</t>
        </is>
      </c>
      <c r="J1247" t="n">
        <v>80</v>
      </c>
      <c r="K1247" t="n">
        <v>88.08</v>
      </c>
      <c r="L1247" s="39" t="n">
        <v>1.101</v>
      </c>
      <c r="M1247" s="39" t="n">
        <v>1.101</v>
      </c>
      <c r="N1247" t="inlineStr">
        <is>
          <t>%</t>
        </is>
      </c>
      <c r="O1247" t="inlineStr">
        <is>
          <t>%</t>
        </is>
      </c>
      <c r="P1247" t="n">
        <v>0</v>
      </c>
      <c r="Q1247" t="n">
        <v>0</v>
      </c>
      <c r="R1247" t="inlineStr">
        <is>
          <t>397-2024-06-30</t>
        </is>
      </c>
    </row>
    <row r="1248" hidden="1">
      <c r="A1248" t="n">
        <v>397</v>
      </c>
      <c r="B1248" t="inlineStr">
        <is>
          <t>Gestión de casos del Estudio de Grabación Virtual</t>
        </is>
      </c>
      <c r="C1248" t="inlineStr">
        <is>
          <t>Diseño de Contenido Virtual</t>
        </is>
      </c>
      <c r="D1248" t="inlineStr">
        <is>
          <t>Semestral</t>
        </is>
      </c>
      <c r="E1248" t="inlineStr">
        <is>
          <t>Positivo</t>
        </is>
      </c>
      <c r="F1248" s="113" t="n">
        <v>45657</v>
      </c>
      <c r="G1248" t="n">
        <v>2024</v>
      </c>
      <c r="H1248" t="inlineStr">
        <is>
          <t>Diciembre</t>
        </is>
      </c>
      <c r="I1248" t="inlineStr">
        <is>
          <t>2024-2</t>
        </is>
      </c>
      <c r="J1248" t="n">
        <v>80</v>
      </c>
      <c r="K1248" t="n">
        <v>94.88</v>
      </c>
      <c r="L1248" s="39" t="n">
        <v>1.186</v>
      </c>
      <c r="M1248" s="39" t="n">
        <v>1.186</v>
      </c>
      <c r="N1248" t="inlineStr">
        <is>
          <t>%</t>
        </is>
      </c>
      <c r="O1248" t="inlineStr">
        <is>
          <t>%</t>
        </is>
      </c>
      <c r="P1248" t="n">
        <v>0</v>
      </c>
      <c r="Q1248" t="n">
        <v>0</v>
      </c>
      <c r="R1248" t="inlineStr">
        <is>
          <t>397-2024-12-31</t>
        </is>
      </c>
    </row>
    <row r="1249" hidden="1">
      <c r="A1249" t="n">
        <v>397</v>
      </c>
      <c r="B1249" t="inlineStr">
        <is>
          <t>Gestión de casos del Estudio de Grabación Virtual</t>
        </is>
      </c>
      <c r="C1249" t="inlineStr">
        <is>
          <t>Diseño de Contenido Virtual</t>
        </is>
      </c>
      <c r="D1249" t="inlineStr">
        <is>
          <t>Semestral</t>
        </is>
      </c>
      <c r="E1249" t="inlineStr">
        <is>
          <t>Positivo</t>
        </is>
      </c>
      <c r="F1249" s="113" t="n">
        <v>45838</v>
      </c>
      <c r="G1249" t="n">
        <v>2025</v>
      </c>
      <c r="H1249" t="inlineStr">
        <is>
          <t>Junio</t>
        </is>
      </c>
      <c r="I1249" t="inlineStr">
        <is>
          <t>2025-1</t>
        </is>
      </c>
      <c r="J1249" t="n">
        <v>90</v>
      </c>
      <c r="K1249" t="n">
        <v>95.26000000000001</v>
      </c>
      <c r="L1249" s="39" t="n">
        <v>1.058444444444445</v>
      </c>
      <c r="M1249" s="39" t="n">
        <v>1.058444444444445</v>
      </c>
      <c r="N1249" t="inlineStr">
        <is>
          <t>%</t>
        </is>
      </c>
      <c r="O1249" t="inlineStr">
        <is>
          <t>%</t>
        </is>
      </c>
      <c r="P1249" t="n">
        <v>0</v>
      </c>
      <c r="Q1249" t="n">
        <v>0</v>
      </c>
      <c r="R1249" t="inlineStr">
        <is>
          <t>397-2025-06-30</t>
        </is>
      </c>
    </row>
    <row r="1250" hidden="1">
      <c r="A1250" t="n">
        <v>397</v>
      </c>
      <c r="B1250" t="inlineStr">
        <is>
          <t>Gestión de casos del Estudio de Grabación Virtual</t>
        </is>
      </c>
      <c r="C1250" t="inlineStr">
        <is>
          <t>Diseño de Contenido Virtual</t>
        </is>
      </c>
      <c r="D1250" t="inlineStr">
        <is>
          <t>Trimestral</t>
        </is>
      </c>
      <c r="E1250" t="inlineStr">
        <is>
          <t>Positivo</t>
        </is>
      </c>
      <c r="F1250" s="113" t="n">
        <v>46022</v>
      </c>
      <c r="G1250" t="n">
        <v>2025</v>
      </c>
      <c r="H1250" t="inlineStr">
        <is>
          <t>Diciembre</t>
        </is>
      </c>
      <c r="I1250" t="inlineStr">
        <is>
          <t>2025-2</t>
        </is>
      </c>
      <c r="J1250" t="n">
        <v>90</v>
      </c>
      <c r="K1250" t="n">
        <v>96.14</v>
      </c>
      <c r="L1250" s="39" t="n">
        <v>1.068222222222222</v>
      </c>
      <c r="M1250" s="39" t="n">
        <v>1.068222222222222</v>
      </c>
      <c r="N1250" t="inlineStr">
        <is>
          <t>%</t>
        </is>
      </c>
      <c r="O1250" t="inlineStr">
        <is>
          <t>%</t>
        </is>
      </c>
      <c r="P1250" t="n">
        <v>0</v>
      </c>
      <c r="Q1250" t="n">
        <v>1</v>
      </c>
      <c r="R1250" t="inlineStr">
        <is>
          <t>397-2025-12-31</t>
        </is>
      </c>
    </row>
    <row r="1251" hidden="1">
      <c r="A1251" t="n">
        <v>398</v>
      </c>
      <c r="B1251" t="inlineStr">
        <is>
          <t>Participación en actividades de desarrollo de Cultura y Formación Emprendedora</t>
        </is>
      </c>
      <c r="C1251" t="inlineStr">
        <is>
          <t>Emprendimiento</t>
        </is>
      </c>
      <c r="D1251" t="inlineStr">
        <is>
          <t>Semestral</t>
        </is>
      </c>
      <c r="E1251" t="inlineStr">
        <is>
          <t>Positivo</t>
        </is>
      </c>
      <c r="F1251" s="113" t="n">
        <v>45107</v>
      </c>
      <c r="G1251" t="n">
        <v>2023</v>
      </c>
      <c r="H1251" t="inlineStr">
        <is>
          <t>Junio</t>
        </is>
      </c>
      <c r="I1251" t="inlineStr">
        <is>
          <t>2023-1</t>
        </is>
      </c>
      <c r="J1251" t="n">
        <v>100</v>
      </c>
      <c r="K1251" t="n">
        <v>256.8</v>
      </c>
      <c r="L1251" s="39" t="n">
        <v>1.3</v>
      </c>
      <c r="M1251" s="39" t="n">
        <v>2.568</v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398-2023-06-30</t>
        </is>
      </c>
    </row>
    <row r="1252" hidden="1">
      <c r="A1252" t="n">
        <v>398</v>
      </c>
      <c r="B1252" t="inlineStr">
        <is>
          <t>Participación en actividades de desarrollo de Cultura y Formación Emprendedora</t>
        </is>
      </c>
      <c r="C1252" t="inlineStr">
        <is>
          <t>Emprendimiento</t>
        </is>
      </c>
      <c r="D1252" t="inlineStr">
        <is>
          <t>Semestral</t>
        </is>
      </c>
      <c r="E1252" t="inlineStr">
        <is>
          <t>Positivo</t>
        </is>
      </c>
      <c r="F1252" s="113" t="n">
        <v>45291</v>
      </c>
      <c r="G1252" t="n">
        <v>2023</v>
      </c>
      <c r="H1252" t="inlineStr">
        <is>
          <t>Diciembre</t>
        </is>
      </c>
      <c r="I1252" t="inlineStr">
        <is>
          <t>2023-2</t>
        </is>
      </c>
      <c r="J1252" t="n">
        <v>100</v>
      </c>
      <c r="K1252" t="n">
        <v>234.4</v>
      </c>
      <c r="L1252" s="39" t="n">
        <v>1.3</v>
      </c>
      <c r="M1252" s="39" t="n">
        <v>2.344</v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398-2023-12-31</t>
        </is>
      </c>
    </row>
    <row r="1253" hidden="1">
      <c r="A1253" t="n">
        <v>398</v>
      </c>
      <c r="B1253" t="inlineStr">
        <is>
          <t>Participación en actividades de desarrollo de Cultura y Formación Emprendedora</t>
        </is>
      </c>
      <c r="C1253" t="inlineStr">
        <is>
          <t>Emprendimiento</t>
        </is>
      </c>
      <c r="D1253" t="inlineStr">
        <is>
          <t>Semestral</t>
        </is>
      </c>
      <c r="E1253" t="inlineStr">
        <is>
          <t>Positivo</t>
        </is>
      </c>
      <c r="F1253" s="113" t="n">
        <v>45473</v>
      </c>
      <c r="G1253" t="n">
        <v>2024</v>
      </c>
      <c r="H1253" t="inlineStr">
        <is>
          <t>Junio</t>
        </is>
      </c>
      <c r="I1253" t="inlineStr">
        <is>
          <t>2024-1</t>
        </is>
      </c>
      <c r="J1253" t="n">
        <v>100</v>
      </c>
      <c r="K1253" t="n">
        <v>283.92</v>
      </c>
      <c r="L1253" s="39" t="n">
        <v>1.3</v>
      </c>
      <c r="M1253" s="39" t="n">
        <v>2.8392</v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398-2024-06-30</t>
        </is>
      </c>
    </row>
    <row r="1254" hidden="1">
      <c r="A1254" t="n">
        <v>398</v>
      </c>
      <c r="B1254" t="inlineStr">
        <is>
          <t>Participación en actividades de desarrollo de Cultura y Formación Emprendedora</t>
        </is>
      </c>
      <c r="C1254" t="inlineStr">
        <is>
          <t>Emprendimiento</t>
        </is>
      </c>
      <c r="D1254" t="inlineStr">
        <is>
          <t>Semestral</t>
        </is>
      </c>
      <c r="E1254" t="inlineStr">
        <is>
          <t>Positivo</t>
        </is>
      </c>
      <c r="F1254" s="113" t="n">
        <v>45657</v>
      </c>
      <c r="G1254" t="n">
        <v>2024</v>
      </c>
      <c r="H1254" t="inlineStr">
        <is>
          <t>Diciembre</t>
        </is>
      </c>
      <c r="I1254" t="inlineStr">
        <is>
          <t>2024-2</t>
        </is>
      </c>
      <c r="J1254" t="n">
        <v>100</v>
      </c>
      <c r="K1254" t="n">
        <v>160</v>
      </c>
      <c r="L1254" s="39" t="n">
        <v>1.3</v>
      </c>
      <c r="M1254" s="39" t="n">
        <v>1.6</v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398-2024-12-31</t>
        </is>
      </c>
    </row>
    <row r="1255" hidden="1">
      <c r="A1255" t="n">
        <v>398</v>
      </c>
      <c r="B1255" t="inlineStr">
        <is>
          <t>Participación en actividades de desarrollo de Cultura y Formación Emprendedora</t>
        </is>
      </c>
      <c r="C1255" t="inlineStr">
        <is>
          <t>Emprendimiento</t>
        </is>
      </c>
      <c r="D1255" t="inlineStr">
        <is>
          <t>Semestral</t>
        </is>
      </c>
      <c r="E1255" t="inlineStr">
        <is>
          <t>Positivo</t>
        </is>
      </c>
      <c r="F1255" s="113" t="n">
        <v>45838</v>
      </c>
      <c r="G1255" t="n">
        <v>2025</v>
      </c>
      <c r="H1255" t="inlineStr">
        <is>
          <t>Junio</t>
        </is>
      </c>
      <c r="I1255" t="inlineStr">
        <is>
          <t>2025-1</t>
        </is>
      </c>
      <c r="J1255" t="n">
        <v>100</v>
      </c>
      <c r="K1255" t="n">
        <v>159.5</v>
      </c>
      <c r="L1255" s="39" t="n">
        <v>1.3</v>
      </c>
      <c r="M1255" s="39" t="n">
        <v>1.595</v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398-2025-06-30</t>
        </is>
      </c>
    </row>
    <row r="1256" hidden="1">
      <c r="A1256" t="n">
        <v>398</v>
      </c>
      <c r="B1256" t="inlineStr">
        <is>
          <t>Participación en actividades de desarrollo de Cultura y Formación Emprendedora</t>
        </is>
      </c>
      <c r="C1256" t="inlineStr">
        <is>
          <t>Emprendimiento</t>
        </is>
      </c>
      <c r="D1256" t="inlineStr">
        <is>
          <t>Trimestral</t>
        </is>
      </c>
      <c r="E1256" t="inlineStr">
        <is>
          <t>Positivo</t>
        </is>
      </c>
      <c r="F1256" s="113" t="n">
        <v>46022</v>
      </c>
      <c r="G1256" t="n">
        <v>2025</v>
      </c>
      <c r="H1256" t="inlineStr">
        <is>
          <t>Diciembre</t>
        </is>
      </c>
      <c r="I1256" t="inlineStr">
        <is>
          <t>2025-2</t>
        </is>
      </c>
      <c r="J1256" t="n">
        <v>100</v>
      </c>
      <c r="K1256" t="n">
        <v>168.71</v>
      </c>
      <c r="L1256" s="39" t="n">
        <v>1.3</v>
      </c>
      <c r="M1256" s="39" t="n">
        <v>1.6871</v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398-2025-12-31</t>
        </is>
      </c>
    </row>
    <row r="1257" hidden="1">
      <c r="A1257" t="n">
        <v>399</v>
      </c>
      <c r="B1257" t="inlineStr">
        <is>
          <t>Acompañamiento a emprendedores en creación de empresas</t>
        </is>
      </c>
      <c r="C1257" t="inlineStr">
        <is>
          <t>Emprendimiento</t>
        </is>
      </c>
      <c r="D1257" t="inlineStr">
        <is>
          <t>Semestral</t>
        </is>
      </c>
      <c r="E1257" t="inlineStr">
        <is>
          <t>Positivo</t>
        </is>
      </c>
      <c r="F1257" s="113" t="n">
        <v>45107</v>
      </c>
      <c r="G1257" t="n">
        <v>2023</v>
      </c>
      <c r="H1257" t="inlineStr">
        <is>
          <t>Junio</t>
        </is>
      </c>
      <c r="I1257" t="inlineStr">
        <is>
          <t>2023-1</t>
        </is>
      </c>
      <c r="J1257" t="n">
        <v>100</v>
      </c>
      <c r="K1257" t="n">
        <v>117.8</v>
      </c>
      <c r="L1257" s="39" t="n">
        <v>1.178</v>
      </c>
      <c r="M1257" s="39" t="n">
        <v>1.178</v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399-2023-06-30</t>
        </is>
      </c>
    </row>
    <row r="1258" hidden="1">
      <c r="A1258" t="n">
        <v>399</v>
      </c>
      <c r="B1258" t="inlineStr">
        <is>
          <t>Acompañamiento a emprendedores en creación de empresas</t>
        </is>
      </c>
      <c r="C1258" t="inlineStr">
        <is>
          <t>Emprendimiento</t>
        </is>
      </c>
      <c r="D1258" t="inlineStr">
        <is>
          <t>Semestral</t>
        </is>
      </c>
      <c r="E1258" t="inlineStr">
        <is>
          <t>Positivo</t>
        </is>
      </c>
      <c r="F1258" s="113" t="n">
        <v>45291</v>
      </c>
      <c r="G1258" t="n">
        <v>2023</v>
      </c>
      <c r="H1258" t="inlineStr">
        <is>
          <t>Diciembre</t>
        </is>
      </c>
      <c r="I1258" t="inlineStr">
        <is>
          <t>2023-2</t>
        </is>
      </c>
      <c r="J1258" t="n">
        <v>100</v>
      </c>
      <c r="K1258" t="n">
        <v>149</v>
      </c>
      <c r="L1258" s="39" t="n">
        <v>1.3</v>
      </c>
      <c r="M1258" s="39" t="n">
        <v>1.49</v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399-2023-12-31</t>
        </is>
      </c>
    </row>
    <row r="1259" hidden="1">
      <c r="A1259" t="n">
        <v>399</v>
      </c>
      <c r="B1259" t="inlineStr">
        <is>
          <t>Sesiones de Acompañamiento a emprendedores en creación de empresas</t>
        </is>
      </c>
      <c r="C1259" t="inlineStr">
        <is>
          <t>Emprendimiento</t>
        </is>
      </c>
      <c r="D1259" t="inlineStr">
        <is>
          <t>Semestral</t>
        </is>
      </c>
      <c r="E1259" t="inlineStr">
        <is>
          <t>Positivo</t>
        </is>
      </c>
      <c r="F1259" s="113" t="n">
        <v>45473</v>
      </c>
      <c r="G1259" t="n">
        <v>2024</v>
      </c>
      <c r="H1259" t="inlineStr">
        <is>
          <t>Junio</t>
        </is>
      </c>
      <c r="I1259" t="inlineStr">
        <is>
          <t>2024-1</t>
        </is>
      </c>
      <c r="J1259" t="n">
        <v>100</v>
      </c>
      <c r="K1259" t="n">
        <v>111.36</v>
      </c>
      <c r="L1259" s="39" t="n">
        <v>1.1136</v>
      </c>
      <c r="M1259" s="39" t="n">
        <v>1.1136</v>
      </c>
      <c r="N1259" t="inlineStr">
        <is>
          <t>ENT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399-2024-06-30</t>
        </is>
      </c>
    </row>
    <row r="1260" hidden="1">
      <c r="A1260" t="n">
        <v>399</v>
      </c>
      <c r="B1260" t="inlineStr">
        <is>
          <t>Sesiones de Acompañamiento a emprendedores en creación de empresas</t>
        </is>
      </c>
      <c r="C1260" t="inlineStr">
        <is>
          <t>Emprendimiento</t>
        </is>
      </c>
      <c r="D1260" t="inlineStr">
        <is>
          <t>Semestral</t>
        </is>
      </c>
      <c r="E1260" t="inlineStr">
        <is>
          <t>Positivo</t>
        </is>
      </c>
      <c r="F1260" s="113" t="n">
        <v>45657</v>
      </c>
      <c r="G1260" t="n">
        <v>2024</v>
      </c>
      <c r="H1260" t="inlineStr">
        <is>
          <t>Diciembre</t>
        </is>
      </c>
      <c r="I1260" t="inlineStr">
        <is>
          <t>2024-2</t>
        </is>
      </c>
      <c r="J1260" t="n">
        <v>100</v>
      </c>
      <c r="K1260" t="n">
        <v>111.36</v>
      </c>
      <c r="L1260" s="39" t="n">
        <v>1.1136</v>
      </c>
      <c r="M1260" s="39" t="n">
        <v>1.1136</v>
      </c>
      <c r="N1260" t="inlineStr">
        <is>
          <t>ENT</t>
        </is>
      </c>
      <c r="O1260" t="inlineStr">
        <is>
          <t>ENT</t>
        </is>
      </c>
      <c r="P1260" t="n">
        <v>0</v>
      </c>
      <c r="Q1260" t="n">
        <v>0</v>
      </c>
      <c r="R1260" t="inlineStr">
        <is>
          <t>399-2024-12-31</t>
        </is>
      </c>
    </row>
    <row r="1261" hidden="1">
      <c r="A1261" t="n">
        <v>399</v>
      </c>
      <c r="B1261" t="inlineStr">
        <is>
          <t>Sesiones de Acompañamiento a emprendedores en creación de empresas</t>
        </is>
      </c>
      <c r="C1261" t="inlineStr">
        <is>
          <t>Emprendimiento</t>
        </is>
      </c>
      <c r="D1261" t="inlineStr">
        <is>
          <t>Semestral</t>
        </is>
      </c>
      <c r="E1261" t="inlineStr">
        <is>
          <t>Positivo</t>
        </is>
      </c>
      <c r="F1261" s="113" t="n">
        <v>45838</v>
      </c>
      <c r="G1261" t="n">
        <v>2025</v>
      </c>
      <c r="H1261" t="inlineStr">
        <is>
          <t>Junio</t>
        </is>
      </c>
      <c r="I1261" t="inlineStr">
        <is>
          <t>2025-1</t>
        </is>
      </c>
      <c r="J1261" t="n">
        <v>100</v>
      </c>
      <c r="K1261" t="n">
        <v>102.93</v>
      </c>
      <c r="L1261" s="39" t="n">
        <v>1.0293</v>
      </c>
      <c r="M1261" s="39" t="n">
        <v>1.0293</v>
      </c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399-2025-06-30</t>
        </is>
      </c>
    </row>
    <row r="1262" hidden="1">
      <c r="A1262" t="n">
        <v>399</v>
      </c>
      <c r="B1262" t="inlineStr">
        <is>
          <t>Sesiones de Acompañamiento a emprendedores en creación de empresas</t>
        </is>
      </c>
      <c r="C1262" t="inlineStr">
        <is>
          <t>Emprendimiento</t>
        </is>
      </c>
      <c r="D1262" t="inlineStr">
        <is>
          <t>Trimestral</t>
        </is>
      </c>
      <c r="E1262" t="inlineStr">
        <is>
          <t>Positivo</t>
        </is>
      </c>
      <c r="F1262" s="113" t="n">
        <v>46022</v>
      </c>
      <c r="G1262" t="n">
        <v>2025</v>
      </c>
      <c r="H1262" t="inlineStr">
        <is>
          <t>Diciembre</t>
        </is>
      </c>
      <c r="I1262" t="inlineStr">
        <is>
          <t>2025-2</t>
        </is>
      </c>
      <c r="J1262" t="n">
        <v>100</v>
      </c>
      <c r="K1262" t="n">
        <v>106.13</v>
      </c>
      <c r="L1262" s="39" t="n">
        <v>1.0613</v>
      </c>
      <c r="M1262" s="39" t="n">
        <v>1.0613</v>
      </c>
      <c r="N1262" t="inlineStr">
        <is>
          <t>ENT</t>
        </is>
      </c>
      <c r="O1262" t="inlineStr">
        <is>
          <t>ENT</t>
        </is>
      </c>
      <c r="P1262" t="n">
        <v>0</v>
      </c>
      <c r="Q1262" t="n">
        <v>0</v>
      </c>
      <c r="R1262" t="inlineStr">
        <is>
          <t>399-2025-12-31</t>
        </is>
      </c>
    </row>
    <row r="1263" hidden="1">
      <c r="A1263" t="n">
        <v>400</v>
      </c>
      <c r="B1263" t="inlineStr">
        <is>
          <t>Puesta en marcha de proyectos de emprendimiento</t>
        </is>
      </c>
      <c r="C1263" t="inlineStr">
        <is>
          <t>Emprendimiento</t>
        </is>
      </c>
      <c r="D1263" t="inlineStr">
        <is>
          <t>Semestral</t>
        </is>
      </c>
      <c r="E1263" t="inlineStr">
        <is>
          <t>Positivo</t>
        </is>
      </c>
      <c r="F1263" s="113" t="n">
        <v>45107</v>
      </c>
      <c r="G1263" t="n">
        <v>2023</v>
      </c>
      <c r="H1263" t="inlineStr">
        <is>
          <t>Junio</t>
        </is>
      </c>
      <c r="I1263" t="inlineStr">
        <is>
          <t>2023-1</t>
        </is>
      </c>
      <c r="J1263" t="n">
        <v>100</v>
      </c>
      <c r="K1263" t="n">
        <v>220</v>
      </c>
      <c r="L1263" s="39" t="n">
        <v>1.3</v>
      </c>
      <c r="M1263" s="39" t="n">
        <v>2.2</v>
      </c>
      <c r="N1263" t="inlineStr">
        <is>
          <t>ENT</t>
        </is>
      </c>
      <c r="O1263" t="inlineStr">
        <is>
          <t>ENT</t>
        </is>
      </c>
      <c r="P1263" t="n">
        <v>0</v>
      </c>
      <c r="Q1263" t="n">
        <v>0</v>
      </c>
      <c r="R1263" t="inlineStr">
        <is>
          <t>400-2023-06-30</t>
        </is>
      </c>
    </row>
    <row r="1264" hidden="1">
      <c r="A1264" t="n">
        <v>400</v>
      </c>
      <c r="B1264" t="inlineStr">
        <is>
          <t>Puesta en marcha de proyectos de emprendimiento</t>
        </is>
      </c>
      <c r="C1264" t="inlineStr">
        <is>
          <t>Emprendimiento</t>
        </is>
      </c>
      <c r="D1264" t="inlineStr">
        <is>
          <t>Semestral</t>
        </is>
      </c>
      <c r="E1264" t="inlineStr">
        <is>
          <t>Positivo</t>
        </is>
      </c>
      <c r="F1264" s="113" t="n">
        <v>45291</v>
      </c>
      <c r="G1264" t="n">
        <v>2023</v>
      </c>
      <c r="H1264" t="inlineStr">
        <is>
          <t>Diciembre</t>
        </is>
      </c>
      <c r="I1264" t="inlineStr">
        <is>
          <t>2023-2</t>
        </is>
      </c>
      <c r="J1264" t="n">
        <v>100</v>
      </c>
      <c r="K1264" t="n">
        <v>282.86</v>
      </c>
      <c r="L1264" s="39" t="n">
        <v>1.3</v>
      </c>
      <c r="M1264" s="39" t="n">
        <v>2.8286</v>
      </c>
      <c r="N1264" t="inlineStr">
        <is>
          <t>ENT</t>
        </is>
      </c>
      <c r="O1264" t="inlineStr">
        <is>
          <t>ENT</t>
        </is>
      </c>
      <c r="P1264" t="n">
        <v>0</v>
      </c>
      <c r="Q1264" t="n">
        <v>0</v>
      </c>
      <c r="R1264" t="inlineStr">
        <is>
          <t>400-2023-12-31</t>
        </is>
      </c>
    </row>
    <row r="1265" hidden="1">
      <c r="A1265" t="n">
        <v>400</v>
      </c>
      <c r="B1265" t="inlineStr">
        <is>
          <t>Puesta en marcha de proyectos de emprendimiento</t>
        </is>
      </c>
      <c r="C1265" t="inlineStr">
        <is>
          <t>Emprendimiento</t>
        </is>
      </c>
      <c r="D1265" t="inlineStr">
        <is>
          <t>Semestral</t>
        </is>
      </c>
      <c r="E1265" t="inlineStr">
        <is>
          <t>Positivo</t>
        </is>
      </c>
      <c r="F1265" s="113" t="n">
        <v>45473</v>
      </c>
      <c r="G1265" t="n">
        <v>2024</v>
      </c>
      <c r="H1265" t="inlineStr">
        <is>
          <t>Junio</t>
        </is>
      </c>
      <c r="I1265" t="inlineStr">
        <is>
          <t>2024-1</t>
        </is>
      </c>
      <c r="J1265" t="n">
        <v>100</v>
      </c>
      <c r="K1265" t="n">
        <v>270.45</v>
      </c>
      <c r="L1265" s="39" t="n">
        <v>1.3</v>
      </c>
      <c r="M1265" s="39" t="n">
        <v>2.7045</v>
      </c>
      <c r="N1265" t="inlineStr">
        <is>
          <t>ENT</t>
        </is>
      </c>
      <c r="O1265" t="inlineStr">
        <is>
          <t>ENT</t>
        </is>
      </c>
      <c r="P1265" t="n">
        <v>0</v>
      </c>
      <c r="Q1265" t="n">
        <v>0</v>
      </c>
      <c r="R1265" t="inlineStr">
        <is>
          <t>400-2024-06-30</t>
        </is>
      </c>
    </row>
    <row r="1266" hidden="1">
      <c r="A1266" t="n">
        <v>400</v>
      </c>
      <c r="B1266" t="inlineStr">
        <is>
          <t>Puesta en marcha de proyectos de emprendimiento</t>
        </is>
      </c>
      <c r="C1266" t="inlineStr">
        <is>
          <t>Emprendimiento</t>
        </is>
      </c>
      <c r="D1266" t="inlineStr">
        <is>
          <t>Semestral</t>
        </is>
      </c>
      <c r="E1266" t="inlineStr">
        <is>
          <t>Positivo</t>
        </is>
      </c>
      <c r="F1266" s="113" t="n">
        <v>45657</v>
      </c>
      <c r="G1266" t="n">
        <v>2024</v>
      </c>
      <c r="H1266" t="inlineStr">
        <is>
          <t>Diciembre</t>
        </is>
      </c>
      <c r="I1266" t="inlineStr">
        <is>
          <t>2024-2</t>
        </is>
      </c>
      <c r="J1266" t="n">
        <v>100</v>
      </c>
      <c r="K1266" t="n">
        <v>397.73</v>
      </c>
      <c r="L1266" s="39" t="n">
        <v>1.3</v>
      </c>
      <c r="M1266" s="39" t="n">
        <v>3.9773</v>
      </c>
      <c r="N1266" t="inlineStr">
        <is>
          <t>ENT</t>
        </is>
      </c>
      <c r="O1266" t="inlineStr">
        <is>
          <t>ENT</t>
        </is>
      </c>
      <c r="P1266" t="n">
        <v>0</v>
      </c>
      <c r="Q1266" t="n">
        <v>0</v>
      </c>
      <c r="R1266" t="inlineStr">
        <is>
          <t>400-2024-12-31</t>
        </is>
      </c>
    </row>
    <row r="1267" hidden="1">
      <c r="A1267" t="n">
        <v>400</v>
      </c>
      <c r="B1267" t="inlineStr">
        <is>
          <t>Puesta en marcha de proyectos de emprendimiento</t>
        </is>
      </c>
      <c r="C1267" t="inlineStr">
        <is>
          <t>Emprendimiento</t>
        </is>
      </c>
      <c r="D1267" t="inlineStr">
        <is>
          <t>Semestral</t>
        </is>
      </c>
      <c r="E1267" t="inlineStr">
        <is>
          <t>Positivo</t>
        </is>
      </c>
      <c r="F1267" s="113" t="n">
        <v>45838</v>
      </c>
      <c r="G1267" t="n">
        <v>2025</v>
      </c>
      <c r="H1267" t="inlineStr">
        <is>
          <t>Junio</t>
        </is>
      </c>
      <c r="I1267" t="inlineStr">
        <is>
          <t>2025-1</t>
        </is>
      </c>
      <c r="J1267" t="n">
        <v>100</v>
      </c>
      <c r="K1267" t="n">
        <v>123</v>
      </c>
      <c r="L1267" s="39" t="n">
        <v>1.23</v>
      </c>
      <c r="M1267" s="39" t="n">
        <v>1.23</v>
      </c>
      <c r="N1267" t="inlineStr">
        <is>
          <t>ENT</t>
        </is>
      </c>
      <c r="O1267" t="inlineStr">
        <is>
          <t>ENT</t>
        </is>
      </c>
      <c r="P1267" t="n">
        <v>0</v>
      </c>
      <c r="Q1267" t="n">
        <v>0</v>
      </c>
      <c r="R1267" t="inlineStr">
        <is>
          <t>400-2025-06-30</t>
        </is>
      </c>
    </row>
    <row r="1268" hidden="1">
      <c r="A1268" t="n">
        <v>400</v>
      </c>
      <c r="B1268" t="inlineStr">
        <is>
          <t>Puesta en marcha de proyectos de emprendimiento</t>
        </is>
      </c>
      <c r="C1268" t="inlineStr">
        <is>
          <t>Emprendimiento</t>
        </is>
      </c>
      <c r="D1268" t="inlineStr">
        <is>
          <t>Trimestral</t>
        </is>
      </c>
      <c r="E1268" t="inlineStr">
        <is>
          <t>Positivo</t>
        </is>
      </c>
      <c r="F1268" s="113" t="n">
        <v>46022</v>
      </c>
      <c r="G1268" t="n">
        <v>2025</v>
      </c>
      <c r="H1268" t="inlineStr">
        <is>
          <t>Diciembre</t>
        </is>
      </c>
      <c r="I1268" t="inlineStr">
        <is>
          <t>2025-2</t>
        </is>
      </c>
      <c r="J1268" t="n">
        <v>100</v>
      </c>
      <c r="K1268" t="n">
        <v>127.14</v>
      </c>
      <c r="L1268" s="39" t="n">
        <v>1.2714</v>
      </c>
      <c r="M1268" s="39" t="n">
        <v>1.2714</v>
      </c>
      <c r="N1268" t="inlineStr">
        <is>
          <t>ENT</t>
        </is>
      </c>
      <c r="O1268" t="inlineStr">
        <is>
          <t>ENT</t>
        </is>
      </c>
      <c r="P1268" t="n">
        <v>0</v>
      </c>
      <c r="Q1268" t="n">
        <v>0</v>
      </c>
      <c r="R1268" t="inlineStr">
        <is>
          <t>400-2025-12-31</t>
        </is>
      </c>
    </row>
    <row r="1269" hidden="1">
      <c r="A1269" t="n">
        <v>401</v>
      </c>
      <c r="B1269" t="inlineStr">
        <is>
          <t>Producción de nuevos MI-Books</t>
        </is>
      </c>
      <c r="C1269" t="inlineStr">
        <is>
          <t>LEI</t>
        </is>
      </c>
      <c r="D1269" t="inlineStr">
        <is>
          <t>Semestral</t>
        </is>
      </c>
      <c r="E1269" t="inlineStr">
        <is>
          <t>Positivo</t>
        </is>
      </c>
      <c r="F1269" s="113" t="n">
        <v>45107</v>
      </c>
      <c r="G1269" t="n">
        <v>2023</v>
      </c>
      <c r="H1269" t="inlineStr">
        <is>
          <t>Junio</t>
        </is>
      </c>
      <c r="I1269" t="inlineStr">
        <is>
          <t>2023-1</t>
        </is>
      </c>
      <c r="J1269" t="n">
        <v>90</v>
      </c>
      <c r="K1269" t="n">
        <v>87.5</v>
      </c>
      <c r="L1269" s="39" t="n">
        <v>0.9722222222222222</v>
      </c>
      <c r="M1269" s="39" t="n">
        <v>0.9722222222222222</v>
      </c>
      <c r="N1269" t="inlineStr">
        <is>
          <t>ENT</t>
        </is>
      </c>
      <c r="O1269" t="inlineStr">
        <is>
          <t>ENT</t>
        </is>
      </c>
      <c r="P1269" t="n">
        <v>0</v>
      </c>
      <c r="Q1269" t="n">
        <v>0</v>
      </c>
      <c r="R1269" t="inlineStr">
        <is>
          <t>401-2023-06-30</t>
        </is>
      </c>
    </row>
    <row r="1270" hidden="1">
      <c r="A1270" t="n">
        <v>401</v>
      </c>
      <c r="B1270" t="inlineStr">
        <is>
          <t>Producción de nuevos MI-Books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Positivo</t>
        </is>
      </c>
      <c r="F1270" s="113" t="n">
        <v>45291</v>
      </c>
      <c r="G1270" t="n">
        <v>2023</v>
      </c>
      <c r="H1270" t="inlineStr">
        <is>
          <t>Diciembre</t>
        </is>
      </c>
      <c r="I1270" t="inlineStr">
        <is>
          <t>2023-2</t>
        </is>
      </c>
      <c r="J1270" t="n">
        <v>90</v>
      </c>
      <c r="K1270" t="n">
        <v>125</v>
      </c>
      <c r="L1270" s="39" t="n">
        <v>1.3</v>
      </c>
      <c r="M1270" s="39" t="n">
        <v>1.388888888888889</v>
      </c>
      <c r="N1270" t="inlineStr">
        <is>
          <t>ENT</t>
        </is>
      </c>
      <c r="O1270" t="inlineStr">
        <is>
          <t>ENT</t>
        </is>
      </c>
      <c r="P1270" t="n">
        <v>0</v>
      </c>
      <c r="Q1270" t="n">
        <v>0</v>
      </c>
      <c r="R1270" t="inlineStr">
        <is>
          <t>401-2023-12-31</t>
        </is>
      </c>
    </row>
    <row r="1271" hidden="1">
      <c r="A1271" t="n">
        <v>401</v>
      </c>
      <c r="B1271" t="inlineStr">
        <is>
          <t>Producción de nuevos MI-Books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Positivo</t>
        </is>
      </c>
      <c r="F1271" s="113" t="n">
        <v>45473</v>
      </c>
      <c r="G1271" t="n">
        <v>2024</v>
      </c>
      <c r="H1271" t="inlineStr">
        <is>
          <t>Junio</t>
        </is>
      </c>
      <c r="I1271" t="inlineStr">
        <is>
          <t>2024-1</t>
        </is>
      </c>
      <c r="J1271" t="n">
        <v>90</v>
      </c>
      <c r="K1271" t="n">
        <v>112.5</v>
      </c>
      <c r="L1271" s="39" t="n">
        <v>1.25</v>
      </c>
      <c r="M1271" s="39" t="n">
        <v>1.25</v>
      </c>
      <c r="N1271" t="inlineStr">
        <is>
          <t>ENT</t>
        </is>
      </c>
      <c r="O1271" t="inlineStr">
        <is>
          <t>ENT</t>
        </is>
      </c>
      <c r="P1271" t="n">
        <v>0</v>
      </c>
      <c r="Q1271" t="n">
        <v>0</v>
      </c>
      <c r="R1271" t="inlineStr">
        <is>
          <t>401-2024-06-30</t>
        </is>
      </c>
    </row>
    <row r="1272" hidden="1">
      <c r="A1272" t="n">
        <v>401</v>
      </c>
      <c r="B1272" t="inlineStr">
        <is>
          <t>Producción de nuevos MI-Books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113" t="n">
        <v>45657</v>
      </c>
      <c r="G1272" t="n">
        <v>2024</v>
      </c>
      <c r="H1272" t="inlineStr">
        <is>
          <t>Diciembre</t>
        </is>
      </c>
      <c r="I1272" t="inlineStr">
        <is>
          <t>2024-2</t>
        </is>
      </c>
      <c r="J1272" t="n">
        <v>90</v>
      </c>
      <c r="K1272" t="n">
        <v>100</v>
      </c>
      <c r="L1272" s="39" t="n">
        <v>1.111111111111111</v>
      </c>
      <c r="M1272" s="39" t="n">
        <v>1.111111111111111</v>
      </c>
      <c r="N1272" t="inlineStr">
        <is>
          <t>ENT</t>
        </is>
      </c>
      <c r="O1272" t="inlineStr">
        <is>
          <t>ENT</t>
        </is>
      </c>
      <c r="P1272" t="n">
        <v>0</v>
      </c>
      <c r="Q1272" t="n">
        <v>0</v>
      </c>
      <c r="R1272" t="inlineStr">
        <is>
          <t>401-2024-12-31</t>
        </is>
      </c>
    </row>
    <row r="1273" hidden="1">
      <c r="A1273" t="n">
        <v>401</v>
      </c>
      <c r="B1273" t="inlineStr">
        <is>
          <t>Producción de nuevos MI-Books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13" t="n">
        <v>45838</v>
      </c>
      <c r="G1273" t="n">
        <v>2025</v>
      </c>
      <c r="H1273" t="inlineStr">
        <is>
          <t>Junio</t>
        </is>
      </c>
      <c r="I1273" t="inlineStr">
        <is>
          <t>2025-1</t>
        </is>
      </c>
      <c r="J1273" t="n">
        <v>100</v>
      </c>
      <c r="K1273" t="n">
        <v>100</v>
      </c>
      <c r="L1273" s="39" t="n">
        <v>1</v>
      </c>
      <c r="M1273" s="39" t="n">
        <v>1</v>
      </c>
      <c r="N1273" t="inlineStr">
        <is>
          <t>ENT</t>
        </is>
      </c>
      <c r="O1273" t="inlineStr">
        <is>
          <t>ENT</t>
        </is>
      </c>
      <c r="P1273" t="n">
        <v>0</v>
      </c>
      <c r="Q1273" t="n">
        <v>0</v>
      </c>
      <c r="R1273" t="inlineStr">
        <is>
          <t>401-2025-06-30</t>
        </is>
      </c>
    </row>
    <row r="1274" hidden="1">
      <c r="A1274" t="n">
        <v>401</v>
      </c>
      <c r="B1274" t="inlineStr">
        <is>
          <t>Producción de nuevos MI-Books</t>
        </is>
      </c>
      <c r="C1274" t="inlineStr">
        <is>
          <t>LEI</t>
        </is>
      </c>
      <c r="D1274" t="inlineStr">
        <is>
          <t>Trimestral</t>
        </is>
      </c>
      <c r="E1274" t="inlineStr">
        <is>
          <t>Positivo</t>
        </is>
      </c>
      <c r="F1274" s="113" t="n">
        <v>46022</v>
      </c>
      <c r="G1274" t="n">
        <v>2025</v>
      </c>
      <c r="H1274" t="inlineStr">
        <is>
          <t>Diciembre</t>
        </is>
      </c>
      <c r="I1274" t="inlineStr">
        <is>
          <t>2025-2</t>
        </is>
      </c>
      <c r="J1274" t="n">
        <v>100</v>
      </c>
      <c r="K1274" t="n">
        <v>100</v>
      </c>
      <c r="L1274" s="39" t="n">
        <v>1</v>
      </c>
      <c r="M1274" s="39" t="n">
        <v>1</v>
      </c>
      <c r="N1274" t="inlineStr">
        <is>
          <t>ENT</t>
        </is>
      </c>
      <c r="O1274" t="inlineStr">
        <is>
          <t>ENT</t>
        </is>
      </c>
      <c r="P1274" t="n">
        <v>0</v>
      </c>
      <c r="Q1274" t="n">
        <v>0</v>
      </c>
      <c r="R1274" t="inlineStr">
        <is>
          <t>401-2025-12-31</t>
        </is>
      </c>
    </row>
    <row r="1275" hidden="1">
      <c r="A1275" t="n">
        <v>402</v>
      </c>
      <c r="B1275" t="inlineStr">
        <is>
          <t>Informe anual de consulta de MI-Books</t>
        </is>
      </c>
      <c r="C1275" t="inlineStr">
        <is>
          <t>LEI</t>
        </is>
      </c>
      <c r="D1275" t="inlineStr">
        <is>
          <t>Anual</t>
        </is>
      </c>
      <c r="E1275" t="inlineStr">
        <is>
          <t>Positivo</t>
        </is>
      </c>
      <c r="F1275" s="113" t="n">
        <v>45291</v>
      </c>
      <c r="G1275" t="n">
        <v>2023</v>
      </c>
      <c r="H1275" t="inlineStr">
        <is>
          <t>Diciembre</t>
        </is>
      </c>
      <c r="I1275" t="inlineStr">
        <is>
          <t>2023-2</t>
        </is>
      </c>
      <c r="K1275" t="n">
        <v>21000</v>
      </c>
      <c r="L1275" s="39" t="n"/>
      <c r="M1275" s="39" t="n"/>
      <c r="P1275" t="n">
        <v>0</v>
      </c>
      <c r="Q1275" t="n">
        <v>0</v>
      </c>
      <c r="R1275" t="inlineStr">
        <is>
          <t>402-2023-12-31</t>
        </is>
      </c>
    </row>
    <row r="1276" hidden="1">
      <c r="A1276" t="n">
        <v>402</v>
      </c>
      <c r="B1276" t="inlineStr">
        <is>
          <t>Informe anual de consulta de MI-Books</t>
        </is>
      </c>
      <c r="C1276" t="inlineStr">
        <is>
          <t>LEI</t>
        </is>
      </c>
      <c r="D1276" t="inlineStr">
        <is>
          <t>Anual</t>
        </is>
      </c>
      <c r="E1276" t="inlineStr">
        <is>
          <t>Positivo</t>
        </is>
      </c>
      <c r="F1276" s="113" t="n">
        <v>45657</v>
      </c>
      <c r="G1276" t="n">
        <v>2024</v>
      </c>
      <c r="H1276" t="inlineStr">
        <is>
          <t>Diciembre</t>
        </is>
      </c>
      <c r="I1276" t="inlineStr">
        <is>
          <t>2024-2</t>
        </is>
      </c>
      <c r="J1276" t="n">
        <v>3</v>
      </c>
      <c r="K1276" t="n">
        <v>4.76</v>
      </c>
      <c r="L1276" s="39" t="n">
        <v>1.3</v>
      </c>
      <c r="M1276" s="39" t="n">
        <v>1.586666666666667</v>
      </c>
      <c r="P1276" t="n">
        <v>0</v>
      </c>
      <c r="Q1276" t="n">
        <v>0</v>
      </c>
      <c r="R1276" t="inlineStr">
        <is>
          <t>402-2024-12-31</t>
        </is>
      </c>
    </row>
    <row r="1277" hidden="1">
      <c r="A1277" t="n">
        <v>402</v>
      </c>
      <c r="B1277" t="inlineStr">
        <is>
          <t>Informe anual de consulta de MI-Books</t>
        </is>
      </c>
      <c r="C1277" t="inlineStr">
        <is>
          <t>LEI</t>
        </is>
      </c>
      <c r="D1277" t="inlineStr">
        <is>
          <t>Anual</t>
        </is>
      </c>
      <c r="E1277" t="inlineStr">
        <is>
          <t>Positivo</t>
        </is>
      </c>
      <c r="F1277" s="113" t="n">
        <v>46022</v>
      </c>
      <c r="G1277" t="n">
        <v>2025</v>
      </c>
      <c r="H1277" t="inlineStr">
        <is>
          <t>Diciembre</t>
        </is>
      </c>
      <c r="I1277" t="inlineStr">
        <is>
          <t>2025-2</t>
        </is>
      </c>
      <c r="K1277" t="n">
        <v>22.73</v>
      </c>
      <c r="L1277" s="39" t="n"/>
      <c r="M1277" s="39" t="n"/>
      <c r="N1277" t="inlineStr">
        <is>
          <t>ENT</t>
        </is>
      </c>
      <c r="O1277" t="inlineStr">
        <is>
          <t>ENT</t>
        </is>
      </c>
      <c r="P1277" t="n">
        <v>0</v>
      </c>
      <c r="Q1277" t="n">
        <v>0</v>
      </c>
      <c r="R1277" t="inlineStr">
        <is>
          <t>402-2025-12-31</t>
        </is>
      </c>
    </row>
    <row r="1278" hidden="1">
      <c r="A1278" t="n">
        <v>403</v>
      </c>
      <c r="B1278" t="inlineStr">
        <is>
          <t>Número de estudiantes que ha realizado la simulación</t>
        </is>
      </c>
      <c r="C1278" t="inlineStr">
        <is>
          <t>LEI</t>
        </is>
      </c>
      <c r="D1278" t="inlineStr">
        <is>
          <t>Semestral</t>
        </is>
      </c>
      <c r="E1278" t="inlineStr">
        <is>
          <t>Positivo</t>
        </is>
      </c>
      <c r="F1278" s="113" t="n">
        <v>45107</v>
      </c>
      <c r="G1278" t="n">
        <v>2023</v>
      </c>
      <c r="H1278" t="inlineStr">
        <is>
          <t>Junio</t>
        </is>
      </c>
      <c r="I1278" t="inlineStr">
        <is>
          <t>2023-1</t>
        </is>
      </c>
      <c r="K1278" t="n">
        <v>14370</v>
      </c>
      <c r="L1278" s="39" t="n"/>
      <c r="M1278" s="39" t="n"/>
      <c r="N1278" t="inlineStr">
        <is>
          <t>Metrica</t>
        </is>
      </c>
      <c r="P1278" t="n">
        <v>0</v>
      </c>
      <c r="Q1278" t="n">
        <v>0</v>
      </c>
      <c r="R1278" t="inlineStr">
        <is>
          <t>403-2023-06-30</t>
        </is>
      </c>
    </row>
    <row r="1279" hidden="1">
      <c r="A1279" t="n">
        <v>403</v>
      </c>
      <c r="B1279" t="inlineStr">
        <is>
          <t>Número de estudiantes que ha realizado la simulación</t>
        </is>
      </c>
      <c r="C1279" t="inlineStr">
        <is>
          <t>LEI</t>
        </is>
      </c>
      <c r="D1279" t="inlineStr">
        <is>
          <t>Semestral</t>
        </is>
      </c>
      <c r="E1279" t="inlineStr">
        <is>
          <t>Positivo</t>
        </is>
      </c>
      <c r="F1279" s="113" t="n">
        <v>45291</v>
      </c>
      <c r="G1279" t="n">
        <v>2023</v>
      </c>
      <c r="H1279" t="inlineStr">
        <is>
          <t>Diciembre</t>
        </is>
      </c>
      <c r="I1279" t="inlineStr">
        <is>
          <t>2023-2</t>
        </is>
      </c>
      <c r="K1279" t="n">
        <v>28639</v>
      </c>
      <c r="L1279" s="39" t="n"/>
      <c r="M1279" s="39" t="n"/>
      <c r="N1279" t="inlineStr">
        <is>
          <t>Metrica</t>
        </is>
      </c>
      <c r="P1279" t="n">
        <v>0</v>
      </c>
      <c r="Q1279" t="n">
        <v>0</v>
      </c>
      <c r="R1279" t="inlineStr">
        <is>
          <t>403-2023-12-31</t>
        </is>
      </c>
    </row>
    <row r="1280" hidden="1">
      <c r="A1280" t="n">
        <v>403</v>
      </c>
      <c r="B1280" t="inlineStr">
        <is>
          <t>Número de estudiantes que ha realizado la simulación</t>
        </is>
      </c>
      <c r="C1280" t="inlineStr">
        <is>
          <t>LEI</t>
        </is>
      </c>
      <c r="D1280" t="inlineStr">
        <is>
          <t>Semestral</t>
        </is>
      </c>
      <c r="E1280" t="inlineStr">
        <is>
          <t>Positivo</t>
        </is>
      </c>
      <c r="F1280" s="113" t="n">
        <v>45473</v>
      </c>
      <c r="G1280" t="n">
        <v>2024</v>
      </c>
      <c r="H1280" t="inlineStr">
        <is>
          <t>Junio</t>
        </is>
      </c>
      <c r="I1280" t="inlineStr">
        <is>
          <t>2024-1</t>
        </is>
      </c>
      <c r="K1280" t="n">
        <v>14923</v>
      </c>
      <c r="L1280" s="39" t="n"/>
      <c r="M1280" s="39" t="n"/>
      <c r="N1280" t="inlineStr">
        <is>
          <t>Metrica</t>
        </is>
      </c>
      <c r="P1280" t="n">
        <v>0</v>
      </c>
      <c r="Q1280" t="n">
        <v>0</v>
      </c>
      <c r="R1280" t="inlineStr">
        <is>
          <t>403-2024-06-30</t>
        </is>
      </c>
    </row>
    <row r="1281" hidden="1">
      <c r="A1281" t="n">
        <v>403</v>
      </c>
      <c r="B1281" t="inlineStr">
        <is>
          <t>Número de estudiantes que ha realizado la simulación</t>
        </is>
      </c>
      <c r="C1281" t="inlineStr">
        <is>
          <t>LEI</t>
        </is>
      </c>
      <c r="D1281" t="inlineStr">
        <is>
          <t>Semestral</t>
        </is>
      </c>
      <c r="E1281" t="inlineStr">
        <is>
          <t>Positivo</t>
        </is>
      </c>
      <c r="F1281" s="113" t="n">
        <v>45657</v>
      </c>
      <c r="G1281" t="n">
        <v>2024</v>
      </c>
      <c r="H1281" t="inlineStr">
        <is>
          <t>Diciembre</t>
        </is>
      </c>
      <c r="I1281" t="inlineStr">
        <is>
          <t>2024-2</t>
        </is>
      </c>
      <c r="K1281" t="n">
        <v>14495</v>
      </c>
      <c r="L1281" s="39" t="n"/>
      <c r="M1281" s="39" t="n"/>
      <c r="N1281" t="inlineStr">
        <is>
          <t>Metrica</t>
        </is>
      </c>
      <c r="P1281" t="n">
        <v>0</v>
      </c>
      <c r="Q1281" t="n">
        <v>0</v>
      </c>
      <c r="R1281" t="inlineStr">
        <is>
          <t>403-2024-12-31</t>
        </is>
      </c>
    </row>
    <row r="1282" hidden="1">
      <c r="A1282" t="n">
        <v>403</v>
      </c>
      <c r="B1282" t="inlineStr">
        <is>
          <t>Número de estudiantes que ha realizado la simulación</t>
        </is>
      </c>
      <c r="C1282" t="inlineStr">
        <is>
          <t>LEI</t>
        </is>
      </c>
      <c r="D1282" t="inlineStr">
        <is>
          <t>Semestral</t>
        </is>
      </c>
      <c r="E1282" t="inlineStr">
        <is>
          <t>Positivo</t>
        </is>
      </c>
      <c r="F1282" s="113" t="n">
        <v>45838</v>
      </c>
      <c r="G1282" t="n">
        <v>2025</v>
      </c>
      <c r="H1282" t="inlineStr">
        <is>
          <t>Junio</t>
        </is>
      </c>
      <c r="I1282" t="inlineStr">
        <is>
          <t>2025-1</t>
        </is>
      </c>
      <c r="K1282" t="n">
        <v>14410</v>
      </c>
      <c r="L1282" s="39" t="n"/>
      <c r="M1282" s="39" t="n"/>
      <c r="N1282" t="inlineStr">
        <is>
          <t>Metrica</t>
        </is>
      </c>
      <c r="P1282" t="n">
        <v>0</v>
      </c>
      <c r="Q1282" t="n">
        <v>0</v>
      </c>
      <c r="R1282" t="inlineStr">
        <is>
          <t>403-2025-06-30</t>
        </is>
      </c>
    </row>
    <row r="1283" hidden="1">
      <c r="A1283" t="n">
        <v>403</v>
      </c>
      <c r="B1283" t="inlineStr">
        <is>
          <t>Número de estudiantes que ha realizado la simulación (Metrica)</t>
        </is>
      </c>
      <c r="C1283" t="inlineStr">
        <is>
          <t>LEI</t>
        </is>
      </c>
      <c r="D1283" t="inlineStr">
        <is>
          <t>Trimestral</t>
        </is>
      </c>
      <c r="E1283" t="inlineStr">
        <is>
          <t>Positivo</t>
        </is>
      </c>
      <c r="F1283" s="113" t="n">
        <v>46022</v>
      </c>
      <c r="G1283" t="n">
        <v>2025</v>
      </c>
      <c r="H1283" t="inlineStr">
        <is>
          <t>Diciembre</t>
        </is>
      </c>
      <c r="I1283" t="inlineStr">
        <is>
          <t>2025-2</t>
        </is>
      </c>
      <c r="K1283" t="n">
        <v>12510</v>
      </c>
      <c r="L1283" s="39" t="n"/>
      <c r="M1283" s="39" t="n"/>
      <c r="N1283" t="inlineStr">
        <is>
          <t>Metrica</t>
        </is>
      </c>
      <c r="O1283" t="inlineStr">
        <is>
          <t>ENT</t>
        </is>
      </c>
      <c r="P1283" t="n">
        <v>0</v>
      </c>
      <c r="Q1283" t="n">
        <v>0</v>
      </c>
      <c r="R1283" t="inlineStr">
        <is>
          <t>403-2025-12-31</t>
        </is>
      </c>
      <c r="S1283" t="inlineStr">
        <is>
          <t>Metrica</t>
        </is>
      </c>
    </row>
    <row r="1284" hidden="1">
      <c r="A1284" t="n">
        <v>404</v>
      </c>
      <c r="B1284" t="inlineStr">
        <is>
          <t>Casos presentados y solucionados</t>
        </is>
      </c>
      <c r="C1284" t="inlineStr">
        <is>
          <t>LEI</t>
        </is>
      </c>
      <c r="D1284" t="inlineStr">
        <is>
          <t>Semestral</t>
        </is>
      </c>
      <c r="E1284" t="inlineStr">
        <is>
          <t>Negativo</t>
        </is>
      </c>
      <c r="F1284" s="113" t="n">
        <v>45107</v>
      </c>
      <c r="G1284" t="n">
        <v>2023</v>
      </c>
      <c r="H1284" t="inlineStr">
        <is>
          <t>Junio</t>
        </is>
      </c>
      <c r="I1284" t="inlineStr">
        <is>
          <t>2023-1</t>
        </is>
      </c>
      <c r="J1284" t="n">
        <v>20</v>
      </c>
      <c r="K1284" t="n">
        <v>2</v>
      </c>
      <c r="L1284" s="39" t="n">
        <v>1.3</v>
      </c>
      <c r="M1284" s="39" t="n">
        <v>10</v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404-2023-06-30</t>
        </is>
      </c>
    </row>
    <row r="1285" hidden="1">
      <c r="A1285" t="n">
        <v>404</v>
      </c>
      <c r="B1285" t="inlineStr">
        <is>
          <t>Casos presentados y solucionados</t>
        </is>
      </c>
      <c r="C1285" t="inlineStr">
        <is>
          <t>LEI</t>
        </is>
      </c>
      <c r="D1285" t="inlineStr">
        <is>
          <t>Semestral</t>
        </is>
      </c>
      <c r="E1285" t="inlineStr">
        <is>
          <t>Negativo</t>
        </is>
      </c>
      <c r="F1285" s="113" t="n">
        <v>45291</v>
      </c>
      <c r="G1285" t="n">
        <v>2023</v>
      </c>
      <c r="H1285" t="inlineStr">
        <is>
          <t>Diciembre</t>
        </is>
      </c>
      <c r="I1285" t="inlineStr">
        <is>
          <t>2023-2</t>
        </is>
      </c>
      <c r="J1285" t="n">
        <v>20</v>
      </c>
      <c r="K1285" t="n">
        <v>1.31</v>
      </c>
      <c r="L1285" s="39" t="n">
        <v>1.3</v>
      </c>
      <c r="M1285" s="39" t="n">
        <v>15.26717557251908</v>
      </c>
      <c r="N1285" t="inlineStr">
        <is>
          <t>%</t>
        </is>
      </c>
      <c r="O1285" t="inlineStr">
        <is>
          <t>%</t>
        </is>
      </c>
      <c r="P1285" t="n">
        <v>0</v>
      </c>
      <c r="Q1285" t="n">
        <v>0</v>
      </c>
      <c r="R1285" t="inlineStr">
        <is>
          <t>404-2023-12-31</t>
        </is>
      </c>
    </row>
    <row r="1286" hidden="1">
      <c r="A1286" t="n">
        <v>404</v>
      </c>
      <c r="B1286" t="inlineStr">
        <is>
          <t>Casos presentados y solucionados</t>
        </is>
      </c>
      <c r="C1286" t="inlineStr">
        <is>
          <t>LEI</t>
        </is>
      </c>
      <c r="D1286" t="inlineStr">
        <is>
          <t>Semestral</t>
        </is>
      </c>
      <c r="E1286" t="inlineStr">
        <is>
          <t>Negativo</t>
        </is>
      </c>
      <c r="F1286" s="113" t="n">
        <v>45473</v>
      </c>
      <c r="G1286" t="n">
        <v>2024</v>
      </c>
      <c r="H1286" t="inlineStr">
        <is>
          <t>Junio</t>
        </is>
      </c>
      <c r="I1286" t="inlineStr">
        <is>
          <t>2024-1</t>
        </is>
      </c>
      <c r="J1286" t="n">
        <v>10</v>
      </c>
      <c r="K1286" t="n">
        <v>5.85</v>
      </c>
      <c r="L1286" s="39" t="n">
        <v>1.3</v>
      </c>
      <c r="M1286" s="39" t="n">
        <v>1.70940170940171</v>
      </c>
      <c r="P1286" t="n">
        <v>0</v>
      </c>
      <c r="Q1286" t="n">
        <v>0</v>
      </c>
      <c r="R1286" t="inlineStr">
        <is>
          <t>404-2024-06-30</t>
        </is>
      </c>
    </row>
    <row r="1287" hidden="1">
      <c r="A1287" t="n">
        <v>404</v>
      </c>
      <c r="B1287" t="inlineStr">
        <is>
          <t>Casos presentados y solucionados</t>
        </is>
      </c>
      <c r="C1287" t="inlineStr">
        <is>
          <t>LEI</t>
        </is>
      </c>
      <c r="D1287" t="inlineStr">
        <is>
          <t>Semestral</t>
        </is>
      </c>
      <c r="E1287" t="inlineStr">
        <is>
          <t>Negativo</t>
        </is>
      </c>
      <c r="F1287" s="113" t="n">
        <v>45657</v>
      </c>
      <c r="G1287" t="n">
        <v>2024</v>
      </c>
      <c r="H1287" t="inlineStr">
        <is>
          <t>Diciembre</t>
        </is>
      </c>
      <c r="I1287" t="inlineStr">
        <is>
          <t>2024-2</t>
        </is>
      </c>
      <c r="J1287" t="n">
        <v>10</v>
      </c>
      <c r="K1287" t="n">
        <v>6.02</v>
      </c>
      <c r="L1287" s="39" t="n">
        <v>1.3</v>
      </c>
      <c r="M1287" s="39" t="n">
        <v>1.661129568106313</v>
      </c>
      <c r="P1287" t="n">
        <v>0</v>
      </c>
      <c r="Q1287" t="n">
        <v>0</v>
      </c>
      <c r="R1287" t="inlineStr">
        <is>
          <t>404-2024-12-31</t>
        </is>
      </c>
    </row>
    <row r="1288" hidden="1">
      <c r="A1288" t="n">
        <v>405</v>
      </c>
      <c r="B1288" t="inlineStr">
        <is>
          <t>Proyecto de reingenieria y arquitectura de software LEI</t>
        </is>
      </c>
      <c r="C1288" t="inlineStr">
        <is>
          <t>LEI</t>
        </is>
      </c>
      <c r="D1288" t="inlineStr">
        <is>
          <t>Semestral</t>
        </is>
      </c>
      <c r="E1288" t="inlineStr">
        <is>
          <t>Positivo</t>
        </is>
      </c>
      <c r="F1288" s="113" t="n">
        <v>45107</v>
      </c>
      <c r="G1288" t="n">
        <v>2023</v>
      </c>
      <c r="H1288" t="inlineStr">
        <is>
          <t>Junio</t>
        </is>
      </c>
      <c r="I1288" t="inlineStr">
        <is>
          <t>2023-1</t>
        </is>
      </c>
      <c r="J1288" t="n">
        <v>25</v>
      </c>
      <c r="K1288" t="n">
        <v>30</v>
      </c>
      <c r="L1288" s="39" t="n">
        <v>1.2</v>
      </c>
      <c r="M1288" s="39" t="n">
        <v>1.2</v>
      </c>
      <c r="N1288" t="inlineStr">
        <is>
          <t>%</t>
        </is>
      </c>
      <c r="O1288" t="inlineStr">
        <is>
          <t>%</t>
        </is>
      </c>
      <c r="P1288" t="n">
        <v>0</v>
      </c>
      <c r="Q1288" t="n">
        <v>0</v>
      </c>
      <c r="R1288" t="inlineStr">
        <is>
          <t>405-2023-06-30</t>
        </is>
      </c>
    </row>
    <row r="1289" hidden="1">
      <c r="A1289" t="n">
        <v>405</v>
      </c>
      <c r="B1289" t="inlineStr">
        <is>
          <t>Proyecto de reingenieria y arquitectura de software LEI</t>
        </is>
      </c>
      <c r="C1289" t="inlineStr">
        <is>
          <t>LEI</t>
        </is>
      </c>
      <c r="D1289" t="inlineStr">
        <is>
          <t>Semestral</t>
        </is>
      </c>
      <c r="E1289" t="inlineStr">
        <is>
          <t>Positivo</t>
        </is>
      </c>
      <c r="F1289" s="113" t="n">
        <v>45291</v>
      </c>
      <c r="G1289" t="n">
        <v>2023</v>
      </c>
      <c r="H1289" t="inlineStr">
        <is>
          <t>Diciembre</t>
        </is>
      </c>
      <c r="I1289" t="inlineStr">
        <is>
          <t>2023-2</t>
        </is>
      </c>
      <c r="J1289" t="n">
        <v>50</v>
      </c>
      <c r="K1289" t="n">
        <v>62</v>
      </c>
      <c r="L1289" s="39" t="n">
        <v>1.24</v>
      </c>
      <c r="M1289" s="39" t="n">
        <v>1.24</v>
      </c>
      <c r="N1289" t="inlineStr">
        <is>
          <t>%</t>
        </is>
      </c>
      <c r="O1289" t="inlineStr">
        <is>
          <t>%</t>
        </is>
      </c>
      <c r="P1289" t="n">
        <v>0</v>
      </c>
      <c r="Q1289" t="n">
        <v>0</v>
      </c>
      <c r="R1289" t="inlineStr">
        <is>
          <t>405-2023-12-31</t>
        </is>
      </c>
    </row>
    <row r="1290" hidden="1">
      <c r="A1290" t="n">
        <v>405</v>
      </c>
      <c r="B1290" t="inlineStr">
        <is>
          <t>Proyecto de reingenieria y arquitectura de software LEI</t>
        </is>
      </c>
      <c r="C1290" t="inlineStr">
        <is>
          <t>LEI</t>
        </is>
      </c>
      <c r="D1290" t="inlineStr">
        <is>
          <t>Semestral</t>
        </is>
      </c>
      <c r="E1290" t="inlineStr">
        <is>
          <t>Positivo</t>
        </is>
      </c>
      <c r="F1290" s="113" t="n">
        <v>45473</v>
      </c>
      <c r="G1290" t="n">
        <v>2024</v>
      </c>
      <c r="H1290" t="inlineStr">
        <is>
          <t>Junio</t>
        </is>
      </c>
      <c r="I1290" t="inlineStr">
        <is>
          <t>2024-1</t>
        </is>
      </c>
      <c r="J1290" t="n">
        <v>100</v>
      </c>
      <c r="K1290" t="n">
        <v>97.39</v>
      </c>
      <c r="L1290" s="39" t="n">
        <v>0.9739</v>
      </c>
      <c r="M1290" s="39" t="n">
        <v>0.9739</v>
      </c>
      <c r="P1290" t="n">
        <v>0</v>
      </c>
      <c r="Q1290" t="n">
        <v>0</v>
      </c>
      <c r="R1290" t="inlineStr">
        <is>
          <t>405-2024-06-30</t>
        </is>
      </c>
    </row>
    <row r="1291" hidden="1">
      <c r="A1291" t="n">
        <v>405</v>
      </c>
      <c r="B1291" t="inlineStr">
        <is>
          <t>Proyecto de reingenieria y arquitectura de software LEI</t>
        </is>
      </c>
      <c r="C1291" t="inlineStr">
        <is>
          <t>LEI</t>
        </is>
      </c>
      <c r="D1291" t="inlineStr">
        <is>
          <t>Semestral</t>
        </is>
      </c>
      <c r="E1291" t="inlineStr">
        <is>
          <t>Positivo</t>
        </is>
      </c>
      <c r="F1291" s="113" t="n">
        <v>45657</v>
      </c>
      <c r="G1291" t="n">
        <v>2024</v>
      </c>
      <c r="H1291" t="inlineStr">
        <is>
          <t>Diciembre</t>
        </is>
      </c>
      <c r="I1291" t="inlineStr">
        <is>
          <t>2024-2</t>
        </is>
      </c>
      <c r="J1291" t="n">
        <v>100</v>
      </c>
      <c r="K1291" t="n">
        <v>98</v>
      </c>
      <c r="L1291" s="39" t="n">
        <v>0.98</v>
      </c>
      <c r="M1291" s="39" t="n">
        <v>0.98</v>
      </c>
      <c r="P1291" t="n">
        <v>0</v>
      </c>
      <c r="Q1291" t="n">
        <v>0</v>
      </c>
      <c r="R1291" t="inlineStr">
        <is>
          <t>405-2024-12-31</t>
        </is>
      </c>
    </row>
    <row r="1292" hidden="1">
      <c r="A1292" t="n">
        <v>406</v>
      </c>
      <c r="B1292" t="inlineStr">
        <is>
          <t>Programas con condiciones iniciales aprobadas por facultad</t>
        </is>
      </c>
      <c r="C1292" t="inlineStr">
        <is>
          <t>Creación, modificación y cierre de programas académicos</t>
        </is>
      </c>
      <c r="D1292" t="inlineStr">
        <is>
          <t>Semestral</t>
        </is>
      </c>
      <c r="E1292" t="inlineStr">
        <is>
          <t>Positivo</t>
        </is>
      </c>
      <c r="F1292" s="113" t="n">
        <v>45291</v>
      </c>
      <c r="G1292" t="n">
        <v>2023</v>
      </c>
      <c r="H1292" t="inlineStr">
        <is>
          <t>Diciembre</t>
        </is>
      </c>
      <c r="I1292" t="inlineStr">
        <is>
          <t>2023-2</t>
        </is>
      </c>
      <c r="J1292" t="n">
        <v>5</v>
      </c>
      <c r="K1292" t="n">
        <v>5</v>
      </c>
      <c r="L1292" s="39" t="n">
        <v>1</v>
      </c>
      <c r="M1292" s="39" t="n">
        <v>1</v>
      </c>
      <c r="P1292" t="n">
        <v>0</v>
      </c>
      <c r="Q1292" t="n">
        <v>0</v>
      </c>
      <c r="R1292" t="inlineStr">
        <is>
          <t>406-2023-12-31</t>
        </is>
      </c>
    </row>
    <row r="1293" hidden="1">
      <c r="A1293" t="n">
        <v>406</v>
      </c>
      <c r="B1293" t="inlineStr">
        <is>
          <t>Programas con condiciones iniciales aprobadas por facultad</t>
        </is>
      </c>
      <c r="C1293" t="inlineStr">
        <is>
          <t>Autoevaluación de programas académicos</t>
        </is>
      </c>
      <c r="D1293" t="inlineStr">
        <is>
          <t>Semestral</t>
        </is>
      </c>
      <c r="E1293" t="inlineStr">
        <is>
          <t>Positivo</t>
        </is>
      </c>
      <c r="F1293" s="113" t="n">
        <v>45473</v>
      </c>
      <c r="G1293" t="n">
        <v>2024</v>
      </c>
      <c r="H1293" t="inlineStr">
        <is>
          <t>Junio</t>
        </is>
      </c>
      <c r="I1293" t="inlineStr">
        <is>
          <t>2024-1</t>
        </is>
      </c>
      <c r="J1293" t="n">
        <v>0</v>
      </c>
      <c r="K1293" t="n">
        <v>3</v>
      </c>
      <c r="L1293" s="39" t="n"/>
      <c r="M1293" s="39" t="n"/>
      <c r="P1293" t="n">
        <v>0</v>
      </c>
      <c r="Q1293" t="n">
        <v>0</v>
      </c>
      <c r="R1293" t="inlineStr">
        <is>
          <t>406-2024-06-30</t>
        </is>
      </c>
    </row>
    <row r="1294" hidden="1">
      <c r="A1294" t="n">
        <v>406</v>
      </c>
      <c r="B1294" t="inlineStr">
        <is>
          <t>Programas con condiciones iniciales aprobadas por facultad</t>
        </is>
      </c>
      <c r="C1294" t="inlineStr">
        <is>
          <t>Autoevaluación de programas académicos</t>
        </is>
      </c>
      <c r="D1294" t="inlineStr">
        <is>
          <t>Semestral</t>
        </is>
      </c>
      <c r="E1294" t="inlineStr">
        <is>
          <t>Positivo</t>
        </is>
      </c>
      <c r="F1294" s="113" t="n">
        <v>45657</v>
      </c>
      <c r="G1294" t="n">
        <v>2024</v>
      </c>
      <c r="H1294" t="inlineStr">
        <is>
          <t>Diciembre</t>
        </is>
      </c>
      <c r="I1294" t="inlineStr">
        <is>
          <t>2024-2</t>
        </is>
      </c>
      <c r="J1294" t="n">
        <v>0</v>
      </c>
      <c r="L1294" s="39" t="n"/>
      <c r="M1294" s="39" t="n"/>
      <c r="N1294" t="inlineStr">
        <is>
          <t>ENT</t>
        </is>
      </c>
      <c r="O1294" t="inlineStr">
        <is>
          <t>N/A</t>
        </is>
      </c>
      <c r="P1294" t="n">
        <v>0</v>
      </c>
      <c r="Q1294" t="n">
        <v>0</v>
      </c>
      <c r="R1294" t="inlineStr">
        <is>
          <t>406-2024-12-31</t>
        </is>
      </c>
    </row>
    <row r="1295" hidden="1">
      <c r="A1295" t="n">
        <v>407</v>
      </c>
      <c r="B1295" t="inlineStr">
        <is>
          <t>Programas 1ra fase de condiciones iniciales radicadas por facultad</t>
        </is>
      </c>
      <c r="C1295" t="inlineStr">
        <is>
          <t>Creación, modificación y cierre de programas académicos</t>
        </is>
      </c>
      <c r="D1295" t="inlineStr">
        <is>
          <t>Semestral</t>
        </is>
      </c>
      <c r="E1295" t="inlineStr">
        <is>
          <t>Positivo</t>
        </is>
      </c>
      <c r="F1295" s="113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3</v>
      </c>
      <c r="K1295" t="n">
        <v>3</v>
      </c>
      <c r="L1295" s="39" t="n">
        <v>1</v>
      </c>
      <c r="M1295" s="39" t="n">
        <v>1</v>
      </c>
      <c r="P1295" t="n">
        <v>0</v>
      </c>
      <c r="Q1295" t="n">
        <v>0</v>
      </c>
      <c r="R1295" t="inlineStr">
        <is>
          <t>407-2023-12-31</t>
        </is>
      </c>
    </row>
    <row r="1296" hidden="1">
      <c r="A1296" t="n">
        <v>407</v>
      </c>
      <c r="B1296" t="inlineStr">
        <is>
          <t>Programas 1ra fase de condiciones iniciales radicadas por facultad</t>
        </is>
      </c>
      <c r="C1296" t="inlineStr">
        <is>
          <t>Autoevaluación de programas académicos</t>
        </is>
      </c>
      <c r="D1296" t="inlineStr">
        <is>
          <t>Semestral</t>
        </is>
      </c>
      <c r="E1296" t="inlineStr">
        <is>
          <t>Positivo</t>
        </is>
      </c>
      <c r="F1296" s="113" t="n">
        <v>45473</v>
      </c>
      <c r="G1296" t="n">
        <v>2024</v>
      </c>
      <c r="H1296" t="inlineStr">
        <is>
          <t>Junio</t>
        </is>
      </c>
      <c r="I1296" t="inlineStr">
        <is>
          <t>2024-1</t>
        </is>
      </c>
      <c r="L1296" s="39" t="n"/>
      <c r="M1296" s="39" t="n"/>
      <c r="P1296" t="n">
        <v>0</v>
      </c>
      <c r="Q1296" t="n">
        <v>0</v>
      </c>
      <c r="R1296" t="inlineStr">
        <is>
          <t>407-2024-06-30</t>
        </is>
      </c>
    </row>
    <row r="1297" hidden="1">
      <c r="A1297" t="n">
        <v>407</v>
      </c>
      <c r="B1297" t="inlineStr">
        <is>
          <t>Programas 1ra fase de condiciones iniciales radicadas por facultad</t>
        </is>
      </c>
      <c r="C1297" t="inlineStr">
        <is>
          <t>Autoevaluación de programas académicos</t>
        </is>
      </c>
      <c r="D1297" t="inlineStr">
        <is>
          <t>Semestral</t>
        </is>
      </c>
      <c r="E1297" t="inlineStr">
        <is>
          <t>Positivo</t>
        </is>
      </c>
      <c r="F1297" s="113" t="n">
        <v>45657</v>
      </c>
      <c r="G1297" t="n">
        <v>2024</v>
      </c>
      <c r="H1297" t="inlineStr">
        <is>
          <t>Diciembre</t>
        </is>
      </c>
      <c r="I1297" t="inlineStr">
        <is>
          <t>2024-2</t>
        </is>
      </c>
      <c r="J1297" t="n">
        <v>100</v>
      </c>
      <c r="L1297" s="39" t="n"/>
      <c r="M1297" s="39" t="n"/>
      <c r="N1297" t="inlineStr">
        <is>
          <t>ENT</t>
        </is>
      </c>
      <c r="O1297" t="inlineStr">
        <is>
          <t>N/A</t>
        </is>
      </c>
      <c r="P1297" t="n">
        <v>0</v>
      </c>
      <c r="Q1297" t="n">
        <v>0</v>
      </c>
      <c r="R1297" t="inlineStr">
        <is>
          <t>407-2024-12-31</t>
        </is>
      </c>
    </row>
    <row r="1298" hidden="1">
      <c r="A1298" t="n">
        <v>408</v>
      </c>
      <c r="B1298" t="inlineStr">
        <is>
          <t>Programas nuevos radicados por facultad</t>
        </is>
      </c>
      <c r="C1298" t="inlineStr">
        <is>
          <t>Creación, modificación y cierre de programas académicos</t>
        </is>
      </c>
      <c r="D1298" t="inlineStr">
        <is>
          <t>Semestral</t>
        </is>
      </c>
      <c r="E1298" t="inlineStr">
        <is>
          <t>Positivo</t>
        </is>
      </c>
      <c r="F1298" s="113" t="n">
        <v>45291</v>
      </c>
      <c r="G1298" t="n">
        <v>2023</v>
      </c>
      <c r="H1298" t="inlineStr">
        <is>
          <t>Diciembre</t>
        </is>
      </c>
      <c r="I1298" t="inlineStr">
        <is>
          <t>2023-2</t>
        </is>
      </c>
      <c r="J1298" t="n">
        <v>100</v>
      </c>
      <c r="K1298" t="n">
        <v>100</v>
      </c>
      <c r="L1298" s="39" t="n">
        <v>1</v>
      </c>
      <c r="M1298" s="39" t="n">
        <v>1</v>
      </c>
      <c r="P1298" t="n">
        <v>0</v>
      </c>
      <c r="Q1298" t="n">
        <v>0</v>
      </c>
      <c r="R1298" t="inlineStr">
        <is>
          <t>408-2023-12-31</t>
        </is>
      </c>
    </row>
    <row r="1299" hidden="1">
      <c r="A1299" t="n">
        <v>408</v>
      </c>
      <c r="B1299" t="inlineStr">
        <is>
          <t>Programas nuevos radicados por facultad</t>
        </is>
      </c>
      <c r="C1299" t="inlineStr">
        <is>
          <t>Creación, modificación y cierre de programas académicos</t>
        </is>
      </c>
      <c r="D1299" t="inlineStr">
        <is>
          <t>Semestral</t>
        </is>
      </c>
      <c r="E1299" t="inlineStr">
        <is>
          <t>Positivo</t>
        </is>
      </c>
      <c r="F1299" s="113" t="n">
        <v>45473</v>
      </c>
      <c r="G1299" t="n">
        <v>2024</v>
      </c>
      <c r="H1299" t="inlineStr">
        <is>
          <t>Junio</t>
        </is>
      </c>
      <c r="I1299" t="inlineStr">
        <is>
          <t>2024-1</t>
        </is>
      </c>
      <c r="J1299" t="n">
        <v>100</v>
      </c>
      <c r="L1299" s="39" t="n"/>
      <c r="M1299" s="39" t="n"/>
      <c r="P1299" t="n">
        <v>0</v>
      </c>
      <c r="Q1299" t="n">
        <v>0</v>
      </c>
      <c r="R1299" t="inlineStr">
        <is>
          <t>408-2024-06-30</t>
        </is>
      </c>
    </row>
    <row r="1300" hidden="1">
      <c r="A1300" t="n">
        <v>408</v>
      </c>
      <c r="B1300" t="inlineStr">
        <is>
          <t>Programas nuevos radicados por facultad</t>
        </is>
      </c>
      <c r="C1300" t="inlineStr">
        <is>
          <t>Creación, modificación y cierre de programas académicos</t>
        </is>
      </c>
      <c r="D1300" t="inlineStr">
        <is>
          <t>Semestral</t>
        </is>
      </c>
      <c r="E1300" t="inlineStr">
        <is>
          <t>Positivo</t>
        </is>
      </c>
      <c r="F1300" s="113" t="n">
        <v>45657</v>
      </c>
      <c r="G1300" t="n">
        <v>2024</v>
      </c>
      <c r="H1300" t="inlineStr">
        <is>
          <t>Diciembre</t>
        </is>
      </c>
      <c r="I1300" t="inlineStr">
        <is>
          <t>2024-2</t>
        </is>
      </c>
      <c r="J1300" t="n">
        <v>100</v>
      </c>
      <c r="K1300" t="n">
        <v>100</v>
      </c>
      <c r="L1300" s="39" t="n">
        <v>1</v>
      </c>
      <c r="M1300" s="39" t="n">
        <v>1</v>
      </c>
      <c r="P1300" t="n">
        <v>0</v>
      </c>
      <c r="Q1300" t="n">
        <v>0</v>
      </c>
      <c r="R1300" t="inlineStr">
        <is>
          <t>408-2024-12-31</t>
        </is>
      </c>
    </row>
    <row r="1301" hidden="1">
      <c r="A1301" t="n">
        <v>408</v>
      </c>
      <c r="B1301" t="inlineStr">
        <is>
          <t>Programas nuevos radicados por facultad</t>
        </is>
      </c>
      <c r="C1301" t="inlineStr">
        <is>
          <t>Creación, modificación y cierre de programas académicos</t>
        </is>
      </c>
      <c r="D1301" t="inlineStr">
        <is>
          <t>Trimestral</t>
        </is>
      </c>
      <c r="E1301" t="inlineStr">
        <is>
          <t>Positivo</t>
        </is>
      </c>
      <c r="F1301" s="113" t="n">
        <v>45838</v>
      </c>
      <c r="G1301" t="n">
        <v>2025</v>
      </c>
      <c r="H1301" t="inlineStr">
        <is>
          <t>Junio</t>
        </is>
      </c>
      <c r="I1301" t="inlineStr">
        <is>
          <t>2025-1</t>
        </is>
      </c>
      <c r="J1301" t="n">
        <v>100</v>
      </c>
      <c r="K1301" t="n">
        <v>100</v>
      </c>
      <c r="L1301" s="39" t="n">
        <v>1</v>
      </c>
      <c r="M1301" s="39" t="n">
        <v>1</v>
      </c>
      <c r="N1301" t="inlineStr">
        <is>
          <t>ENT</t>
        </is>
      </c>
      <c r="O1301" t="inlineStr">
        <is>
          <t>ENT</t>
        </is>
      </c>
      <c r="P1301" t="n">
        <v>0</v>
      </c>
      <c r="Q1301" t="n">
        <v>0</v>
      </c>
      <c r="R1301" t="inlineStr">
        <is>
          <t>408-2025-06-30</t>
        </is>
      </c>
    </row>
    <row r="1302" hidden="1">
      <c r="A1302" t="n">
        <v>408</v>
      </c>
      <c r="B1302" t="inlineStr">
        <is>
          <t>Programas nuevos radicados por facultad</t>
        </is>
      </c>
      <c r="C1302" t="inlineStr">
        <is>
          <t>Creación, modificación y cierre de programas académicos</t>
        </is>
      </c>
      <c r="D1302" t="inlineStr">
        <is>
          <t>Trimestral</t>
        </is>
      </c>
      <c r="E1302" t="inlineStr">
        <is>
          <t>Positivo</t>
        </is>
      </c>
      <c r="F1302" s="113" t="n">
        <v>46022</v>
      </c>
      <c r="G1302" t="n">
        <v>2025</v>
      </c>
      <c r="H1302" t="inlineStr">
        <is>
          <t>Diciembre</t>
        </is>
      </c>
      <c r="I1302" t="inlineStr">
        <is>
          <t>2025-2</t>
        </is>
      </c>
      <c r="J1302" t="n">
        <v>100</v>
      </c>
      <c r="K1302" t="n">
        <v>100</v>
      </c>
      <c r="L1302" s="39" t="n">
        <v>1</v>
      </c>
      <c r="M1302" s="39" t="n">
        <v>1</v>
      </c>
      <c r="N1302" t="inlineStr">
        <is>
          <t>ENT</t>
        </is>
      </c>
      <c r="O1302" t="inlineStr">
        <is>
          <t>ENT</t>
        </is>
      </c>
      <c r="P1302" t="n">
        <v>0</v>
      </c>
      <c r="Q1302" t="n">
        <v>0</v>
      </c>
      <c r="R1302" t="inlineStr">
        <is>
          <t>408-2025-12-31</t>
        </is>
      </c>
    </row>
    <row r="1303" hidden="1">
      <c r="A1303" t="n">
        <v>409</v>
      </c>
      <c r="B1303" t="inlineStr">
        <is>
          <t>Oportunidad en tiempo de envios</t>
        </is>
      </c>
      <c r="C1303" t="inlineStr">
        <is>
          <t>GESTIÓN JURÍDICA Y NORMATIVA</t>
        </is>
      </c>
      <c r="D1303" t="inlineStr">
        <is>
          <t>Trimestral</t>
        </is>
      </c>
      <c r="E1303" t="inlineStr">
        <is>
          <t>Positivo</t>
        </is>
      </c>
      <c r="F1303" s="113" t="n">
        <v>45107</v>
      </c>
      <c r="G1303" t="n">
        <v>2023</v>
      </c>
      <c r="H1303" t="inlineStr">
        <is>
          <t>Junio</t>
        </is>
      </c>
      <c r="I1303" t="inlineStr">
        <is>
          <t>2023-1</t>
        </is>
      </c>
      <c r="J1303" t="n">
        <v>80</v>
      </c>
      <c r="K1303" t="n">
        <v>103.718854592785</v>
      </c>
      <c r="L1303" s="39" t="n">
        <v>1.296485682409812</v>
      </c>
      <c r="M1303" s="39" t="n">
        <v>1.296485682409812</v>
      </c>
      <c r="N1303" t="inlineStr">
        <is>
          <t>%</t>
        </is>
      </c>
      <c r="O1303" t="inlineStr">
        <is>
          <t>%</t>
        </is>
      </c>
      <c r="P1303" t="n">
        <v>0</v>
      </c>
      <c r="Q1303" t="n">
        <v>0</v>
      </c>
      <c r="R1303" t="inlineStr">
        <is>
          <t>409-2023-06-30</t>
        </is>
      </c>
    </row>
    <row r="1304" hidden="1">
      <c r="A1304" t="n">
        <v>409</v>
      </c>
      <c r="B1304" t="inlineStr">
        <is>
          <t>Oportunidad en tiempo de envios</t>
        </is>
      </c>
      <c r="C1304" t="inlineStr">
        <is>
          <t>GESTIÓN JURÍDICA Y NORMATIVA</t>
        </is>
      </c>
      <c r="D1304" t="inlineStr">
        <is>
          <t>Trimestral</t>
        </is>
      </c>
      <c r="E1304" t="inlineStr">
        <is>
          <t>Positivo</t>
        </is>
      </c>
      <c r="F1304" s="113" t="n">
        <v>45291</v>
      </c>
      <c r="G1304" t="n">
        <v>2023</v>
      </c>
      <c r="H1304" t="inlineStr">
        <is>
          <t>Diciembre</t>
        </is>
      </c>
      <c r="I1304" t="inlineStr">
        <is>
          <t>2023-2</t>
        </is>
      </c>
      <c r="J1304" t="n">
        <v>160</v>
      </c>
      <c r="K1304" t="n">
        <v>203.7188545927854</v>
      </c>
      <c r="L1304" s="39" t="n">
        <v>1.273242841204909</v>
      </c>
      <c r="M1304" s="39" t="n">
        <v>1.273242841204909</v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409-2023-12-31</t>
        </is>
      </c>
    </row>
    <row r="1305" hidden="1">
      <c r="A1305" t="n">
        <v>409</v>
      </c>
      <c r="B1305" t="inlineStr">
        <is>
          <t>Oportunidad en tiempo de envios</t>
        </is>
      </c>
      <c r="C1305" t="inlineStr">
        <is>
          <t>GESTIÓN JURÍDICA Y NORMATIVA</t>
        </is>
      </c>
      <c r="D1305" t="inlineStr">
        <is>
          <t>Trimestral</t>
        </is>
      </c>
      <c r="E1305" t="inlineStr">
        <is>
          <t>Positivo</t>
        </is>
      </c>
      <c r="F1305" s="113" t="n">
        <v>45473</v>
      </c>
      <c r="G1305" t="n">
        <v>2024</v>
      </c>
      <c r="H1305" t="inlineStr">
        <is>
          <t>Junio</t>
        </is>
      </c>
      <c r="I1305" t="inlineStr">
        <is>
          <t>2024-1</t>
        </is>
      </c>
      <c r="J1305" t="n">
        <v>190</v>
      </c>
      <c r="K1305" t="n">
        <v>196.5188394715603</v>
      </c>
      <c r="L1305" s="39" t="n">
        <v>1.034309681429265</v>
      </c>
      <c r="M1305" s="39" t="n">
        <v>1.034309681429265</v>
      </c>
      <c r="P1305" t="n">
        <v>0</v>
      </c>
      <c r="Q1305" t="n">
        <v>0</v>
      </c>
      <c r="R1305" t="inlineStr">
        <is>
          <t>409-2024-06-30</t>
        </is>
      </c>
    </row>
    <row r="1306" hidden="1">
      <c r="A1306" t="n">
        <v>409</v>
      </c>
      <c r="B1306" t="inlineStr">
        <is>
          <t>Oportunidad en tiempo de envios</t>
        </is>
      </c>
      <c r="C1306" t="inlineStr">
        <is>
          <t>GESTIÓN JURÍDICA Y NORMATIVA</t>
        </is>
      </c>
      <c r="D1306" t="inlineStr">
        <is>
          <t>Trimestral</t>
        </is>
      </c>
      <c r="E1306" t="inlineStr">
        <is>
          <t>Positivo</t>
        </is>
      </c>
      <c r="F1306" s="113" t="n">
        <v>45657</v>
      </c>
      <c r="G1306" t="n">
        <v>2024</v>
      </c>
      <c r="H1306" t="inlineStr">
        <is>
          <t>Diciembre</t>
        </is>
      </c>
      <c r="I1306" t="inlineStr">
        <is>
          <t>2024-2</t>
        </is>
      </c>
      <c r="J1306" t="n">
        <v>190</v>
      </c>
      <c r="K1306" t="n">
        <v>193.5796290503828</v>
      </c>
      <c r="L1306" s="39" t="n">
        <v>1.018840152896752</v>
      </c>
      <c r="M1306" s="39" t="n">
        <v>1.018840152896752</v>
      </c>
      <c r="P1306" t="n">
        <v>0</v>
      </c>
      <c r="Q1306" t="n">
        <v>0</v>
      </c>
      <c r="R1306" t="inlineStr">
        <is>
          <t>409-2024-12-31</t>
        </is>
      </c>
    </row>
    <row r="1307" hidden="1">
      <c r="A1307" t="n">
        <v>409</v>
      </c>
      <c r="B1307" t="inlineStr">
        <is>
          <t>Oportunidad en tiempo de envios</t>
        </is>
      </c>
      <c r="C1307" t="inlineStr">
        <is>
          <t>GESTIÓN JURÍDICA Y NORMATIVA</t>
        </is>
      </c>
      <c r="D1307" t="inlineStr">
        <is>
          <t>Semestral</t>
        </is>
      </c>
      <c r="E1307" t="inlineStr">
        <is>
          <t>Positivo</t>
        </is>
      </c>
      <c r="F1307" s="113" t="n">
        <v>45838</v>
      </c>
      <c r="G1307" t="n">
        <v>2025</v>
      </c>
      <c r="H1307" t="inlineStr">
        <is>
          <t>Junio</t>
        </is>
      </c>
      <c r="I1307" t="inlineStr">
        <is>
          <t>2025-1</t>
        </is>
      </c>
      <c r="J1307" t="n">
        <v>95</v>
      </c>
      <c r="K1307" t="n">
        <v>100</v>
      </c>
      <c r="L1307" s="39" t="n">
        <v>1.052631578947368</v>
      </c>
      <c r="M1307" s="39" t="n">
        <v>1.052631578947368</v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409-2025-06-30</t>
        </is>
      </c>
    </row>
    <row r="1308" hidden="1">
      <c r="A1308" t="n">
        <v>410</v>
      </c>
      <c r="B1308" t="inlineStr">
        <is>
          <t>Solicitudes de gestión documental</t>
        </is>
      </c>
      <c r="C1308" t="inlineStr">
        <is>
          <t>GESTIÓN JURÍDICA Y NORMATIVA</t>
        </is>
      </c>
      <c r="D1308" t="inlineStr">
        <is>
          <t>Trimestral</t>
        </is>
      </c>
      <c r="E1308" t="inlineStr">
        <is>
          <t>Positivo</t>
        </is>
      </c>
      <c r="F1308" s="113" t="n">
        <v>45291</v>
      </c>
      <c r="G1308" t="n">
        <v>2023</v>
      </c>
      <c r="H1308" t="inlineStr">
        <is>
          <t>Diciembre</t>
        </is>
      </c>
      <c r="I1308" t="inlineStr">
        <is>
          <t>2023-2</t>
        </is>
      </c>
      <c r="J1308" t="n">
        <v>90</v>
      </c>
      <c r="K1308" t="n">
        <v>100</v>
      </c>
      <c r="L1308" s="39" t="n">
        <v>1.111111111111111</v>
      </c>
      <c r="M1308" s="39" t="n">
        <v>1.111111111111111</v>
      </c>
      <c r="N1308" t="inlineStr">
        <is>
          <t>%</t>
        </is>
      </c>
      <c r="O1308" t="inlineStr">
        <is>
          <t>%</t>
        </is>
      </c>
      <c r="P1308" t="n">
        <v>0</v>
      </c>
      <c r="Q1308" t="n">
        <v>0</v>
      </c>
      <c r="R1308" t="inlineStr">
        <is>
          <t>410-2023-12-31</t>
        </is>
      </c>
    </row>
    <row r="1309" hidden="1">
      <c r="A1309" t="n">
        <v>411</v>
      </c>
      <c r="B1309" t="inlineStr">
        <is>
          <t>Cumplimiento Planes De Relacionamiento</t>
        </is>
      </c>
      <c r="C1309" t="inlineStr">
        <is>
          <t>Comunicaciones Externas</t>
        </is>
      </c>
      <c r="D1309" t="inlineStr">
        <is>
          <t>Semestral</t>
        </is>
      </c>
      <c r="E1309" t="inlineStr">
        <is>
          <t>Positivo</t>
        </is>
      </c>
      <c r="F1309" s="113" t="n">
        <v>45107</v>
      </c>
      <c r="G1309" t="n">
        <v>2023</v>
      </c>
      <c r="H1309" t="inlineStr">
        <is>
          <t>Junio</t>
        </is>
      </c>
      <c r="I1309" t="inlineStr">
        <is>
          <t>2023-1</t>
        </is>
      </c>
      <c r="L1309" s="39" t="n"/>
      <c r="M1309" s="39" t="n"/>
      <c r="P1309" t="n">
        <v>0</v>
      </c>
      <c r="Q1309" t="n">
        <v>0</v>
      </c>
      <c r="R1309" t="inlineStr">
        <is>
          <t>411-2023-06-30</t>
        </is>
      </c>
    </row>
    <row r="1310" hidden="1">
      <c r="A1310" t="n">
        <v>411</v>
      </c>
      <c r="B1310" t="inlineStr">
        <is>
          <t>Cumplimiento Planes De Relacionamiento</t>
        </is>
      </c>
      <c r="C1310" t="inlineStr">
        <is>
          <t>Comunicaciones Externas</t>
        </is>
      </c>
      <c r="D1310" t="inlineStr">
        <is>
          <t>Semestral</t>
        </is>
      </c>
      <c r="E1310" t="inlineStr">
        <is>
          <t>Positivo</t>
        </is>
      </c>
      <c r="F1310" s="113" t="n">
        <v>45291</v>
      </c>
      <c r="G1310" t="n">
        <v>2023</v>
      </c>
      <c r="H1310" t="inlineStr">
        <is>
          <t>Diciembre</t>
        </is>
      </c>
      <c r="I1310" t="inlineStr">
        <is>
          <t>2023-2</t>
        </is>
      </c>
      <c r="J1310" t="n">
        <v>100</v>
      </c>
      <c r="K1310" t="n">
        <v>100</v>
      </c>
      <c r="L1310" s="39" t="n">
        <v>1</v>
      </c>
      <c r="M1310" s="39" t="n">
        <v>1</v>
      </c>
      <c r="N1310" t="inlineStr">
        <is>
          <t>%</t>
        </is>
      </c>
      <c r="O1310" t="inlineStr">
        <is>
          <t>%</t>
        </is>
      </c>
      <c r="P1310" t="n">
        <v>0</v>
      </c>
      <c r="Q1310" t="n">
        <v>0</v>
      </c>
      <c r="R1310" t="inlineStr">
        <is>
          <t>411-2023-12-31</t>
        </is>
      </c>
    </row>
    <row r="1311" hidden="1">
      <c r="A1311" t="n">
        <v>412</v>
      </c>
      <c r="B1311" t="inlineStr">
        <is>
          <t>Participaciones en 2 eventos externos de impacto</t>
        </is>
      </c>
      <c r="C1311" t="inlineStr">
        <is>
          <t>Comunicaciones Externas</t>
        </is>
      </c>
      <c r="D1311" t="inlineStr">
        <is>
          <t>Anual</t>
        </is>
      </c>
      <c r="E1311" t="inlineStr">
        <is>
          <t>Positivo</t>
        </is>
      </c>
      <c r="F1311" s="113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100</v>
      </c>
      <c r="K1311" t="n">
        <v>100</v>
      </c>
      <c r="L1311" s="39" t="n">
        <v>1</v>
      </c>
      <c r="M1311" s="39" t="n">
        <v>1</v>
      </c>
      <c r="N1311" t="inlineStr">
        <is>
          <t>%</t>
        </is>
      </c>
      <c r="O1311" t="inlineStr">
        <is>
          <t>%</t>
        </is>
      </c>
      <c r="P1311" t="n">
        <v>0</v>
      </c>
      <c r="Q1311" t="n">
        <v>0</v>
      </c>
      <c r="R1311" t="inlineStr">
        <is>
          <t>412-2023-12-31</t>
        </is>
      </c>
    </row>
    <row r="1312" hidden="1">
      <c r="A1312" t="n">
        <v>412</v>
      </c>
      <c r="B1312" t="inlineStr">
        <is>
          <t>Participación en eventos externos de impacto</t>
        </is>
      </c>
      <c r="C1312" t="inlineStr">
        <is>
          <t>Comunicaciones Externas</t>
        </is>
      </c>
      <c r="D1312" t="inlineStr">
        <is>
          <t>Anual</t>
        </is>
      </c>
      <c r="E1312" t="inlineStr">
        <is>
          <t>Positivo</t>
        </is>
      </c>
      <c r="F1312" s="113" t="n">
        <v>45657</v>
      </c>
      <c r="G1312" t="n">
        <v>2024</v>
      </c>
      <c r="H1312" t="inlineStr">
        <is>
          <t>Diciembre</t>
        </is>
      </c>
      <c r="I1312" t="inlineStr">
        <is>
          <t>2024-2</t>
        </is>
      </c>
      <c r="J1312" t="n">
        <v>100</v>
      </c>
      <c r="K1312" t="n">
        <v>100</v>
      </c>
      <c r="L1312" s="39" t="n">
        <v>1</v>
      </c>
      <c r="M1312" s="39" t="n">
        <v>1</v>
      </c>
      <c r="P1312" t="n">
        <v>0</v>
      </c>
      <c r="Q1312" t="n">
        <v>0</v>
      </c>
      <c r="R1312" t="inlineStr">
        <is>
          <t>412-2024-12-31</t>
        </is>
      </c>
    </row>
    <row r="1313" hidden="1">
      <c r="A1313" t="n">
        <v>413</v>
      </c>
      <c r="B1313" t="inlineStr">
        <is>
          <t>Participaciones del Poli como sede o patrocinador</t>
        </is>
      </c>
      <c r="C1313" t="inlineStr">
        <is>
          <t>Comunicaciones Externas</t>
        </is>
      </c>
      <c r="D1313" t="inlineStr">
        <is>
          <t>Anual</t>
        </is>
      </c>
      <c r="E1313" t="inlineStr">
        <is>
          <t>Positivo</t>
        </is>
      </c>
      <c r="F1313" s="113" t="n">
        <v>45291</v>
      </c>
      <c r="G1313" t="n">
        <v>2023</v>
      </c>
      <c r="H1313" t="inlineStr">
        <is>
          <t>Diciembre</t>
        </is>
      </c>
      <c r="I1313" t="inlineStr">
        <is>
          <t>2023-2</t>
        </is>
      </c>
      <c r="K1313" t="n">
        <v>100</v>
      </c>
      <c r="L1313" s="39" t="n"/>
      <c r="M1313" s="39" t="n"/>
      <c r="N1313" t="inlineStr">
        <is>
          <t>Linea base</t>
        </is>
      </c>
      <c r="P1313" t="n">
        <v>0</v>
      </c>
      <c r="Q1313" t="n">
        <v>0</v>
      </c>
      <c r="R1313" t="inlineStr">
        <is>
          <t>413-2023-12-31</t>
        </is>
      </c>
    </row>
    <row r="1314" hidden="1">
      <c r="A1314" t="n">
        <v>413</v>
      </c>
      <c r="B1314" t="inlineStr">
        <is>
          <t>Participación del Poli como sede o patrocinador</t>
        </is>
      </c>
      <c r="C1314" t="inlineStr">
        <is>
          <t>Comunicaciones Externas</t>
        </is>
      </c>
      <c r="D1314" t="inlineStr">
        <is>
          <t>Anual</t>
        </is>
      </c>
      <c r="E1314" t="inlineStr">
        <is>
          <t>Positivo</t>
        </is>
      </c>
      <c r="F1314" s="113" t="n">
        <v>45657</v>
      </c>
      <c r="G1314" t="n">
        <v>2024</v>
      </c>
      <c r="H1314" t="inlineStr">
        <is>
          <t>Diciembre</t>
        </is>
      </c>
      <c r="I1314" t="inlineStr">
        <is>
          <t>2024-2</t>
        </is>
      </c>
      <c r="J1314" t="n">
        <v>100</v>
      </c>
      <c r="K1314" t="n">
        <v>100</v>
      </c>
      <c r="L1314" s="39" t="n">
        <v>1</v>
      </c>
      <c r="M1314" s="39" t="n">
        <v>1</v>
      </c>
      <c r="P1314" t="n">
        <v>0</v>
      </c>
      <c r="Q1314" t="n">
        <v>0</v>
      </c>
      <c r="R1314" t="inlineStr">
        <is>
          <t>413-2024-12-31</t>
        </is>
      </c>
    </row>
    <row r="1315" hidden="1">
      <c r="A1315" t="n">
        <v>413</v>
      </c>
      <c r="B1315" t="inlineStr">
        <is>
          <t>Participación del Poli como sede o patrocinador</t>
        </is>
      </c>
      <c r="C1315" t="inlineStr">
        <is>
          <t>Comunicaciones Externas</t>
        </is>
      </c>
      <c r="D1315" t="inlineStr">
        <is>
          <t>Anual</t>
        </is>
      </c>
      <c r="E1315" t="inlineStr">
        <is>
          <t>Positivo</t>
        </is>
      </c>
      <c r="F1315" s="113" t="n">
        <v>46022</v>
      </c>
      <c r="G1315" t="n">
        <v>2025</v>
      </c>
      <c r="H1315" t="inlineStr">
        <is>
          <t>Diciembre</t>
        </is>
      </c>
      <c r="I1315" t="inlineStr">
        <is>
          <t>2025-2</t>
        </is>
      </c>
      <c r="J1315" t="n">
        <v>100</v>
      </c>
      <c r="K1315" t="n">
        <v>100</v>
      </c>
      <c r="L1315" s="39" t="n">
        <v>1</v>
      </c>
      <c r="M1315" s="39" t="n">
        <v>1</v>
      </c>
      <c r="N1315" t="inlineStr">
        <is>
          <t>Linea Base</t>
        </is>
      </c>
      <c r="O1315" t="inlineStr">
        <is>
          <t>ENT</t>
        </is>
      </c>
      <c r="P1315" t="n">
        <v>0</v>
      </c>
      <c r="Q1315" t="n">
        <v>0</v>
      </c>
      <c r="R1315" t="inlineStr">
        <is>
          <t>413-2025-12-31</t>
        </is>
      </c>
    </row>
    <row r="1316" hidden="1">
      <c r="A1316" t="n">
        <v>414</v>
      </c>
      <c r="B1316" t="inlineStr">
        <is>
          <t>Cumplimiento Plan Anual Rectoría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13" t="n">
        <v>45016</v>
      </c>
      <c r="G1316" t="n">
        <v>2023</v>
      </c>
      <c r="H1316" t="inlineStr">
        <is>
          <t>Marzo</t>
        </is>
      </c>
      <c r="I1316" t="inlineStr">
        <is>
          <t>2023-1</t>
        </is>
      </c>
      <c r="J1316" t="n">
        <v>100</v>
      </c>
      <c r="K1316" t="n">
        <v>0</v>
      </c>
      <c r="L1316" s="39" t="n">
        <v>0</v>
      </c>
      <c r="M1316" s="39" t="n">
        <v>0</v>
      </c>
      <c r="P1316" t="n">
        <v>0</v>
      </c>
      <c r="Q1316" t="n">
        <v>0</v>
      </c>
      <c r="R1316" t="inlineStr">
        <is>
          <t>414-2023-03-31</t>
        </is>
      </c>
    </row>
    <row r="1317" hidden="1">
      <c r="A1317" t="n">
        <v>414</v>
      </c>
      <c r="B1317" t="inlineStr">
        <is>
          <t>Cumplimiento Plan Anual Rectoría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13" t="n">
        <v>45107</v>
      </c>
      <c r="G1317" t="n">
        <v>2023</v>
      </c>
      <c r="H1317" t="inlineStr">
        <is>
          <t>Junio</t>
        </is>
      </c>
      <c r="I1317" t="inlineStr">
        <is>
          <t>2023-1</t>
        </is>
      </c>
      <c r="J1317" t="n">
        <v>100</v>
      </c>
      <c r="K1317" t="n">
        <v>110.01</v>
      </c>
      <c r="L1317" s="39" t="n">
        <v>1.1001</v>
      </c>
      <c r="M1317" s="39" t="n">
        <v>1.1001</v>
      </c>
      <c r="P1317" t="n">
        <v>0</v>
      </c>
      <c r="Q1317" t="n">
        <v>0</v>
      </c>
      <c r="R1317" t="inlineStr">
        <is>
          <t>414-2023-06-30</t>
        </is>
      </c>
    </row>
    <row r="1318" hidden="1">
      <c r="A1318" t="n">
        <v>414</v>
      </c>
      <c r="B1318" t="inlineStr">
        <is>
          <t>Cumplimiento Plan Anual Rectoría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13" t="n">
        <v>45199</v>
      </c>
      <c r="G1318" t="n">
        <v>2023</v>
      </c>
      <c r="H1318" t="inlineStr">
        <is>
          <t>Septiembre</t>
        </is>
      </c>
      <c r="I1318" t="inlineStr">
        <is>
          <t>2023-2</t>
        </is>
      </c>
      <c r="J1318" t="n">
        <v>100</v>
      </c>
      <c r="K1318" t="n">
        <v>93.54000000000001</v>
      </c>
      <c r="L1318" s="39" t="n">
        <v>0.9354</v>
      </c>
      <c r="M1318" s="39" t="n">
        <v>0.9354</v>
      </c>
      <c r="P1318" t="n">
        <v>0</v>
      </c>
      <c r="Q1318" t="n">
        <v>0</v>
      </c>
      <c r="R1318" t="inlineStr">
        <is>
          <t>414-2023-09-30</t>
        </is>
      </c>
    </row>
    <row r="1319" hidden="1">
      <c r="A1319" t="n">
        <v>414</v>
      </c>
      <c r="B1319" t="inlineStr">
        <is>
          <t>Cumplimiento Plan Anual Rectoría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13" t="n">
        <v>45291</v>
      </c>
      <c r="G1319" t="n">
        <v>2023</v>
      </c>
      <c r="H1319" t="inlineStr">
        <is>
          <t>Diciembre</t>
        </is>
      </c>
      <c r="I1319" t="inlineStr">
        <is>
          <t>2023-2</t>
        </is>
      </c>
      <c r="J1319" t="n">
        <v>100</v>
      </c>
      <c r="K1319" t="n">
        <v>96.28</v>
      </c>
      <c r="L1319" s="39" t="n">
        <v>0.9628</v>
      </c>
      <c r="M1319" s="39" t="n">
        <v>0.9628</v>
      </c>
      <c r="P1319" t="n">
        <v>0</v>
      </c>
      <c r="Q1319" t="n">
        <v>0</v>
      </c>
      <c r="R1319" t="inlineStr">
        <is>
          <t>414-2023-12-31</t>
        </is>
      </c>
    </row>
    <row r="1320" hidden="1">
      <c r="A1320" t="n">
        <v>414</v>
      </c>
      <c r="B1320" t="inlineStr">
        <is>
          <t>Cumplimiento Plan Anual Rectoría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13" t="n">
        <v>45473</v>
      </c>
      <c r="G1320" t="n">
        <v>2024</v>
      </c>
      <c r="H1320" t="inlineStr">
        <is>
          <t>Junio</t>
        </is>
      </c>
      <c r="I1320" t="inlineStr">
        <is>
          <t>2024-1</t>
        </is>
      </c>
      <c r="J1320" t="n">
        <v>100</v>
      </c>
      <c r="K1320" t="n">
        <v>100.06</v>
      </c>
      <c r="L1320" s="39" t="n">
        <v>1.0006</v>
      </c>
      <c r="M1320" s="39" t="n">
        <v>1.0006</v>
      </c>
      <c r="P1320" t="n">
        <v>0</v>
      </c>
      <c r="Q1320" t="n">
        <v>0</v>
      </c>
      <c r="R1320" t="inlineStr">
        <is>
          <t>414-2024-06-30</t>
        </is>
      </c>
    </row>
    <row r="1321" hidden="1">
      <c r="A1321" t="n">
        <v>414</v>
      </c>
      <c r="B1321" t="inlineStr">
        <is>
          <t>Cumplimiento Plan Anual Rectoría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13" t="n">
        <v>45657</v>
      </c>
      <c r="G1321" t="n">
        <v>2024</v>
      </c>
      <c r="H1321" t="inlineStr">
        <is>
          <t>Diciembre</t>
        </is>
      </c>
      <c r="I1321" t="inlineStr">
        <is>
          <t>2024-2</t>
        </is>
      </c>
      <c r="J1321" t="n">
        <v>100</v>
      </c>
      <c r="K1321" t="n">
        <v>98.78</v>
      </c>
      <c r="L1321" s="39" t="n">
        <v>0.9878</v>
      </c>
      <c r="M1321" s="39" t="n">
        <v>0.9878</v>
      </c>
      <c r="P1321" t="n">
        <v>0</v>
      </c>
      <c r="Q1321" t="n">
        <v>0</v>
      </c>
      <c r="R1321" t="inlineStr">
        <is>
          <t>414-2024-12-31</t>
        </is>
      </c>
    </row>
    <row r="1322" hidden="1">
      <c r="A1322" t="n">
        <v>414</v>
      </c>
      <c r="B1322" t="inlineStr">
        <is>
          <t>Cumplimiento Plan Anual Rectoría</t>
        </is>
      </c>
      <c r="C1322" t="inlineStr">
        <is>
          <t>Planeación Estratégica</t>
        </is>
      </c>
      <c r="D1322" t="inlineStr">
        <is>
          <t>Semestral</t>
        </is>
      </c>
      <c r="E1322" t="inlineStr">
        <is>
          <t>Positivo</t>
        </is>
      </c>
      <c r="F1322" s="113" t="n">
        <v>45838</v>
      </c>
      <c r="G1322" t="n">
        <v>2025</v>
      </c>
      <c r="H1322" t="inlineStr">
        <is>
          <t>Junio</t>
        </is>
      </c>
      <c r="I1322" t="inlineStr">
        <is>
          <t>2025-1</t>
        </is>
      </c>
      <c r="J1322" t="n">
        <v>100</v>
      </c>
      <c r="K1322" t="n">
        <v>108.55</v>
      </c>
      <c r="L1322" s="39" t="n">
        <v>1.0855</v>
      </c>
      <c r="M1322" s="39" t="n">
        <v>1.0855</v>
      </c>
      <c r="N1322" t="inlineStr">
        <is>
          <t>%</t>
        </is>
      </c>
      <c r="O1322" t="inlineStr">
        <is>
          <t>%</t>
        </is>
      </c>
      <c r="P1322" t="n">
        <v>0</v>
      </c>
      <c r="Q1322" t="n">
        <v>0</v>
      </c>
      <c r="R1322" t="inlineStr">
        <is>
          <t>414-2025-06-30</t>
        </is>
      </c>
    </row>
    <row r="1323" hidden="1">
      <c r="A1323" t="n">
        <v>414</v>
      </c>
      <c r="B1323" t="inlineStr">
        <is>
          <t>Cumplimiento Plan Anual Rectoría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13" t="n">
        <v>46022</v>
      </c>
      <c r="G1323" t="n">
        <v>2025</v>
      </c>
      <c r="H1323" t="inlineStr">
        <is>
          <t>Diciembre</t>
        </is>
      </c>
      <c r="I1323" t="inlineStr">
        <is>
          <t>2025-2</t>
        </is>
      </c>
      <c r="J1323" t="n">
        <v>100</v>
      </c>
      <c r="K1323" t="n">
        <v>98.87</v>
      </c>
      <c r="L1323" s="39" t="n">
        <v>0.9887</v>
      </c>
      <c r="M1323" s="39" t="n">
        <v>0.9887</v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414-2025-12-31</t>
        </is>
      </c>
    </row>
    <row r="1324" hidden="1">
      <c r="A1324" t="n">
        <v>415</v>
      </c>
      <c r="B1324" t="inlineStr">
        <is>
          <t>Cumplimiento Plan Anual Vicerrectoría del estudiante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13" t="n">
        <v>45016</v>
      </c>
      <c r="G1324" t="n">
        <v>2023</v>
      </c>
      <c r="H1324" t="inlineStr">
        <is>
          <t>Marzo</t>
        </is>
      </c>
      <c r="I1324" t="inlineStr">
        <is>
          <t>2023-1</t>
        </is>
      </c>
      <c r="J1324" t="n">
        <v>100</v>
      </c>
      <c r="K1324" t="n">
        <v>0</v>
      </c>
      <c r="L1324" s="39" t="n">
        <v>0</v>
      </c>
      <c r="M1324" s="39" t="n">
        <v>0</v>
      </c>
      <c r="P1324" t="n">
        <v>0</v>
      </c>
      <c r="Q1324" t="n">
        <v>0</v>
      </c>
      <c r="R1324" t="inlineStr">
        <is>
          <t>415-2023-03-31</t>
        </is>
      </c>
    </row>
    <row r="1325" hidden="1">
      <c r="A1325" t="n">
        <v>415</v>
      </c>
      <c r="B1325" t="inlineStr">
        <is>
          <t>Cumplimiento Plan Anual Vicerrectoría del estudiante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13" t="n">
        <v>45107</v>
      </c>
      <c r="G1325" t="n">
        <v>2023</v>
      </c>
      <c r="H1325" t="inlineStr">
        <is>
          <t>Junio</t>
        </is>
      </c>
      <c r="I1325" t="inlineStr">
        <is>
          <t>2023-1</t>
        </is>
      </c>
      <c r="J1325" t="n">
        <v>100</v>
      </c>
      <c r="K1325" t="n">
        <v>94.04000000000001</v>
      </c>
      <c r="L1325" s="39" t="n">
        <v>0.9404</v>
      </c>
      <c r="M1325" s="39" t="n">
        <v>0.9404</v>
      </c>
      <c r="P1325" t="n">
        <v>0</v>
      </c>
      <c r="Q1325" t="n">
        <v>0</v>
      </c>
      <c r="R1325" t="inlineStr">
        <is>
          <t>415-2023-06-30</t>
        </is>
      </c>
    </row>
    <row r="1326" hidden="1">
      <c r="A1326" t="n">
        <v>415</v>
      </c>
      <c r="B1326" t="inlineStr">
        <is>
          <t>Cumplimiento Plan Anual Vicerrectoría del estudiante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13" t="n">
        <v>45199</v>
      </c>
      <c r="G1326" t="n">
        <v>2023</v>
      </c>
      <c r="H1326" t="inlineStr">
        <is>
          <t>Septiembre</t>
        </is>
      </c>
      <c r="I1326" t="inlineStr">
        <is>
          <t>2023-2</t>
        </is>
      </c>
      <c r="J1326" t="n">
        <v>100</v>
      </c>
      <c r="K1326" t="n">
        <v>93.94</v>
      </c>
      <c r="L1326" s="39" t="n">
        <v>0.9394</v>
      </c>
      <c r="M1326" s="39" t="n">
        <v>0.9394</v>
      </c>
      <c r="P1326" t="n">
        <v>0</v>
      </c>
      <c r="Q1326" t="n">
        <v>0</v>
      </c>
      <c r="R1326" t="inlineStr">
        <is>
          <t>415-2023-09-30</t>
        </is>
      </c>
    </row>
    <row r="1327" hidden="1">
      <c r="A1327" t="n">
        <v>415</v>
      </c>
      <c r="B1327" t="inlineStr">
        <is>
          <t>Cumplimiento Plan Anual Vicerrectoría del estudiante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13" t="n">
        <v>45291</v>
      </c>
      <c r="G1327" t="n">
        <v>2023</v>
      </c>
      <c r="H1327" t="inlineStr">
        <is>
          <t>Diciembre</t>
        </is>
      </c>
      <c r="I1327" t="inlineStr">
        <is>
          <t>2023-2</t>
        </is>
      </c>
      <c r="J1327" t="n">
        <v>100</v>
      </c>
      <c r="K1327" t="n">
        <v>96</v>
      </c>
      <c r="L1327" s="39" t="n">
        <v>0.96</v>
      </c>
      <c r="M1327" s="39" t="n">
        <v>0.96</v>
      </c>
      <c r="P1327" t="n">
        <v>0</v>
      </c>
      <c r="Q1327" t="n">
        <v>0</v>
      </c>
      <c r="R1327" t="inlineStr">
        <is>
          <t>415-2023-12-31</t>
        </is>
      </c>
    </row>
    <row r="1328" hidden="1">
      <c r="A1328" t="n">
        <v>415</v>
      </c>
      <c r="B1328" t="inlineStr">
        <is>
          <t>Cumplimiento Plan Anual Vicerrectoría del estudiante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13" t="n">
        <v>45473</v>
      </c>
      <c r="G1328" t="n">
        <v>2024</v>
      </c>
      <c r="H1328" t="inlineStr">
        <is>
          <t>Junio</t>
        </is>
      </c>
      <c r="I1328" t="inlineStr">
        <is>
          <t>2024-1</t>
        </is>
      </c>
      <c r="J1328" t="n">
        <v>100</v>
      </c>
      <c r="K1328" t="n">
        <v>93.04000000000001</v>
      </c>
      <c r="L1328" s="39" t="n">
        <v>0.9304000000000001</v>
      </c>
      <c r="M1328" s="39" t="n">
        <v>0.9304000000000001</v>
      </c>
      <c r="P1328" t="n">
        <v>0</v>
      </c>
      <c r="Q1328" t="n">
        <v>0</v>
      </c>
      <c r="R1328" t="inlineStr">
        <is>
          <t>415-2024-06-30</t>
        </is>
      </c>
    </row>
    <row r="1329" hidden="1">
      <c r="A1329" t="n">
        <v>415</v>
      </c>
      <c r="B1329" t="inlineStr">
        <is>
          <t>Cumplimiento Plan Anual Vicerrectoría del estudiante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13" t="n">
        <v>45657</v>
      </c>
      <c r="G1329" t="n">
        <v>2024</v>
      </c>
      <c r="H1329" t="inlineStr">
        <is>
          <t>Diciembre</t>
        </is>
      </c>
      <c r="I1329" t="inlineStr">
        <is>
          <t>2024-2</t>
        </is>
      </c>
      <c r="J1329" t="n">
        <v>100</v>
      </c>
      <c r="K1329" t="n">
        <v>98.36</v>
      </c>
      <c r="L1329" s="39" t="n">
        <v>0.9836</v>
      </c>
      <c r="M1329" s="39" t="n">
        <v>0.9836</v>
      </c>
      <c r="P1329" t="n">
        <v>0</v>
      </c>
      <c r="Q1329" t="n">
        <v>0</v>
      </c>
      <c r="R1329" t="inlineStr">
        <is>
          <t>415-2024-12-31</t>
        </is>
      </c>
    </row>
    <row r="1330" hidden="1">
      <c r="A1330" t="n">
        <v>415</v>
      </c>
      <c r="B1330" t="inlineStr">
        <is>
          <t>Cumplimiento Plan Anual Vicerrectoría del estudiante</t>
        </is>
      </c>
      <c r="C1330" t="inlineStr">
        <is>
          <t>Planeación Estratégica</t>
        </is>
      </c>
      <c r="D1330" t="inlineStr">
        <is>
          <t>Semestral</t>
        </is>
      </c>
      <c r="E1330" t="inlineStr">
        <is>
          <t>Positivo</t>
        </is>
      </c>
      <c r="F1330" s="113" t="n">
        <v>45838</v>
      </c>
      <c r="G1330" t="n">
        <v>2025</v>
      </c>
      <c r="H1330" t="inlineStr">
        <is>
          <t>Junio</t>
        </is>
      </c>
      <c r="I1330" t="inlineStr">
        <is>
          <t>2025-1</t>
        </is>
      </c>
      <c r="J1330" t="n">
        <v>100</v>
      </c>
      <c r="K1330" t="n">
        <v>96.44</v>
      </c>
      <c r="L1330" s="39" t="n">
        <v>0.9643999999999999</v>
      </c>
      <c r="M1330" s="39" t="n">
        <v>0.9643999999999999</v>
      </c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415-2025-06-30</t>
        </is>
      </c>
    </row>
    <row r="1331" hidden="1">
      <c r="A1331" t="n">
        <v>415</v>
      </c>
      <c r="B1331" t="inlineStr">
        <is>
          <t>Cumplimiento Plan Anual Vicerrectoría del estudiante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13" t="n">
        <v>46022</v>
      </c>
      <c r="G1331" t="n">
        <v>2025</v>
      </c>
      <c r="H1331" t="inlineStr">
        <is>
          <t>Diciembre</t>
        </is>
      </c>
      <c r="I1331" t="inlineStr">
        <is>
          <t>2025-2</t>
        </is>
      </c>
      <c r="J1331" t="n">
        <v>100</v>
      </c>
      <c r="K1331" t="n">
        <v>99.3</v>
      </c>
      <c r="L1331" s="39" t="n">
        <v>0.993</v>
      </c>
      <c r="M1331" s="39" t="n">
        <v>0.993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415-2025-12-31</t>
        </is>
      </c>
    </row>
    <row r="1332" hidden="1">
      <c r="A1332" t="n">
        <v>416</v>
      </c>
      <c r="B1332" t="inlineStr">
        <is>
          <t>Cumplimiento Plan Anual Vicerrectoría de crecimiento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13" t="n">
        <v>45016</v>
      </c>
      <c r="G1332" t="n">
        <v>2023</v>
      </c>
      <c r="H1332" t="inlineStr">
        <is>
          <t>Marzo</t>
        </is>
      </c>
      <c r="I1332" t="inlineStr">
        <is>
          <t>2023-1</t>
        </is>
      </c>
      <c r="J1332" t="n">
        <v>100</v>
      </c>
      <c r="K1332" t="n">
        <v>0</v>
      </c>
      <c r="L1332" s="39" t="n">
        <v>0</v>
      </c>
      <c r="M1332" s="39" t="n">
        <v>0</v>
      </c>
      <c r="P1332" t="n">
        <v>0</v>
      </c>
      <c r="Q1332" t="n">
        <v>0</v>
      </c>
      <c r="R1332" t="inlineStr">
        <is>
          <t>416-2023-03-31</t>
        </is>
      </c>
    </row>
    <row r="1333" hidden="1">
      <c r="A1333" t="n">
        <v>416</v>
      </c>
      <c r="B1333" t="inlineStr">
        <is>
          <t>Cumplimiento Plan Anual Vicerrectoría de crecimiento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13" t="n">
        <v>45107</v>
      </c>
      <c r="G1333" t="n">
        <v>2023</v>
      </c>
      <c r="H1333" t="inlineStr">
        <is>
          <t>Junio</t>
        </is>
      </c>
      <c r="I1333" t="inlineStr">
        <is>
          <t>2023-1</t>
        </is>
      </c>
      <c r="J1333" t="n">
        <v>100</v>
      </c>
      <c r="K1333" t="n">
        <v>95.73999999999999</v>
      </c>
      <c r="L1333" s="39" t="n">
        <v>0.9573999999999999</v>
      </c>
      <c r="M1333" s="39" t="n">
        <v>0.9573999999999999</v>
      </c>
      <c r="P1333" t="n">
        <v>0</v>
      </c>
      <c r="Q1333" t="n">
        <v>0</v>
      </c>
      <c r="R1333" t="inlineStr">
        <is>
          <t>416-2023-06-30</t>
        </is>
      </c>
    </row>
    <row r="1334" hidden="1">
      <c r="A1334" t="n">
        <v>416</v>
      </c>
      <c r="B1334" t="inlineStr">
        <is>
          <t>Cumplimiento Plan Anual Vicerrectoría de crecimiento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13" t="n">
        <v>45199</v>
      </c>
      <c r="G1334" t="n">
        <v>2023</v>
      </c>
      <c r="H1334" t="inlineStr">
        <is>
          <t>Septiembre</t>
        </is>
      </c>
      <c r="I1334" t="inlineStr">
        <is>
          <t>2023-2</t>
        </is>
      </c>
      <c r="J1334" t="n">
        <v>100</v>
      </c>
      <c r="K1334" t="n">
        <v>87.94</v>
      </c>
      <c r="L1334" s="39" t="n">
        <v>0.8794</v>
      </c>
      <c r="M1334" s="39" t="n">
        <v>0.8794</v>
      </c>
      <c r="P1334" t="n">
        <v>0</v>
      </c>
      <c r="Q1334" t="n">
        <v>0</v>
      </c>
      <c r="R1334" t="inlineStr">
        <is>
          <t>416-2023-09-30</t>
        </is>
      </c>
    </row>
    <row r="1335" hidden="1">
      <c r="A1335" t="n">
        <v>416</v>
      </c>
      <c r="B1335" t="inlineStr">
        <is>
          <t>Cumplimiento Plan Anual Vicerrectoría de crecimiento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13" t="n">
        <v>45291</v>
      </c>
      <c r="G1335" t="n">
        <v>2023</v>
      </c>
      <c r="H1335" t="inlineStr">
        <is>
          <t>Diciembre</t>
        </is>
      </c>
      <c r="I1335" t="inlineStr">
        <is>
          <t>2023-2</t>
        </is>
      </c>
      <c r="J1335" t="n">
        <v>100</v>
      </c>
      <c r="K1335" t="n">
        <v>98</v>
      </c>
      <c r="L1335" s="39" t="n">
        <v>0.98</v>
      </c>
      <c r="M1335" s="39" t="n">
        <v>0.98</v>
      </c>
      <c r="P1335" t="n">
        <v>0</v>
      </c>
      <c r="Q1335" t="n">
        <v>0</v>
      </c>
      <c r="R1335" t="inlineStr">
        <is>
          <t>416-2023-12-31</t>
        </is>
      </c>
    </row>
    <row r="1336" hidden="1">
      <c r="A1336" t="n">
        <v>416</v>
      </c>
      <c r="B1336" t="inlineStr">
        <is>
          <t>Cumplimiento Plan Anual Vicerrectoría de crecimiento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13" t="n">
        <v>45473</v>
      </c>
      <c r="G1336" t="n">
        <v>2024</v>
      </c>
      <c r="H1336" t="inlineStr">
        <is>
          <t>Junio</t>
        </is>
      </c>
      <c r="I1336" t="inlineStr">
        <is>
          <t>2024-1</t>
        </is>
      </c>
      <c r="J1336" t="n">
        <v>100</v>
      </c>
      <c r="K1336" t="n">
        <v>117.1</v>
      </c>
      <c r="L1336" s="39" t="n">
        <v>1.171</v>
      </c>
      <c r="M1336" s="39" t="n">
        <v>1.171</v>
      </c>
      <c r="P1336" t="n">
        <v>0</v>
      </c>
      <c r="Q1336" t="n">
        <v>0</v>
      </c>
      <c r="R1336" t="inlineStr">
        <is>
          <t>416-2024-06-30</t>
        </is>
      </c>
    </row>
    <row r="1337" hidden="1">
      <c r="A1337" t="n">
        <v>416</v>
      </c>
      <c r="B1337" t="inlineStr">
        <is>
          <t>Cumplimiento Plan Anual Vicerrectoría de crecimiento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13" t="n">
        <v>45657</v>
      </c>
      <c r="G1337" t="n">
        <v>2024</v>
      </c>
      <c r="H1337" t="inlineStr">
        <is>
          <t>Diciembre</t>
        </is>
      </c>
      <c r="I1337" t="inlineStr">
        <is>
          <t>2024-2</t>
        </is>
      </c>
      <c r="J1337" t="n">
        <v>100</v>
      </c>
      <c r="K1337" t="n">
        <v>100</v>
      </c>
      <c r="L1337" s="39" t="n">
        <v>1</v>
      </c>
      <c r="M1337" s="39" t="n">
        <v>1</v>
      </c>
      <c r="P1337" t="n">
        <v>0</v>
      </c>
      <c r="Q1337" t="n">
        <v>0</v>
      </c>
      <c r="R1337" t="inlineStr">
        <is>
          <t>416-2024-12-31</t>
        </is>
      </c>
    </row>
    <row r="1338" hidden="1">
      <c r="A1338" t="n">
        <v>416</v>
      </c>
      <c r="B1338" t="inlineStr">
        <is>
          <t>Cumplimiento Plan Anual Vicerrectoría de crecimiento</t>
        </is>
      </c>
      <c r="C1338" t="inlineStr">
        <is>
          <t>Planeación Estratégica</t>
        </is>
      </c>
      <c r="D1338" t="inlineStr">
        <is>
          <t>Semestral</t>
        </is>
      </c>
      <c r="E1338" t="inlineStr">
        <is>
          <t>Positivo</t>
        </is>
      </c>
      <c r="F1338" s="113" t="n">
        <v>45838</v>
      </c>
      <c r="G1338" t="n">
        <v>2025</v>
      </c>
      <c r="H1338" t="inlineStr">
        <is>
          <t>Junio</t>
        </is>
      </c>
      <c r="I1338" t="inlineStr">
        <is>
          <t>2025-1</t>
        </is>
      </c>
      <c r="J1338" t="n">
        <v>100</v>
      </c>
      <c r="K1338" t="n">
        <v>109.24</v>
      </c>
      <c r="L1338" s="39" t="n">
        <v>1.0924</v>
      </c>
      <c r="M1338" s="39" t="n">
        <v>1.0924</v>
      </c>
      <c r="N1338" t="inlineStr">
        <is>
          <t>%</t>
        </is>
      </c>
      <c r="O1338" t="inlineStr">
        <is>
          <t>%</t>
        </is>
      </c>
      <c r="P1338" t="n">
        <v>0</v>
      </c>
      <c r="Q1338" t="n">
        <v>0</v>
      </c>
      <c r="R1338" t="inlineStr">
        <is>
          <t>416-2025-06-30</t>
        </is>
      </c>
    </row>
    <row r="1339" hidden="1">
      <c r="A1339" t="n">
        <v>416</v>
      </c>
      <c r="B1339" t="inlineStr">
        <is>
          <t>Cumplimiento Plan Anual Vicerrectoría de crecimiento</t>
        </is>
      </c>
      <c r="C1339" t="inlineStr">
        <is>
          <t>Planeación Estratégica</t>
        </is>
      </c>
      <c r="D1339" t="inlineStr">
        <is>
          <t>Semestral</t>
        </is>
      </c>
      <c r="E1339" t="inlineStr">
        <is>
          <t>Positivo</t>
        </is>
      </c>
      <c r="F1339" s="113" t="n">
        <v>46022</v>
      </c>
      <c r="G1339" t="n">
        <v>2025</v>
      </c>
      <c r="H1339" t="inlineStr">
        <is>
          <t>Diciembre</t>
        </is>
      </c>
      <c r="I1339" t="inlineStr">
        <is>
          <t>2025-2</t>
        </is>
      </c>
      <c r="J1339" t="n">
        <v>100</v>
      </c>
      <c r="K1339" t="n">
        <v>100</v>
      </c>
      <c r="L1339" s="39" t="n">
        <v>1</v>
      </c>
      <c r="M1339" s="39" t="n">
        <v>1</v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416-2025-12-31</t>
        </is>
      </c>
    </row>
    <row r="1340" hidden="1">
      <c r="A1340" t="n">
        <v>417</v>
      </c>
      <c r="B1340" t="inlineStr">
        <is>
          <t>Cumplimiento Plan Anual Vicerrectoría Financiera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13" t="n">
        <v>45016</v>
      </c>
      <c r="G1340" t="n">
        <v>2023</v>
      </c>
      <c r="H1340" t="inlineStr">
        <is>
          <t>Marzo</t>
        </is>
      </c>
      <c r="I1340" t="inlineStr">
        <is>
          <t>2023-1</t>
        </is>
      </c>
      <c r="J1340" t="n">
        <v>100</v>
      </c>
      <c r="K1340" t="n">
        <v>0</v>
      </c>
      <c r="L1340" s="39" t="n">
        <v>0</v>
      </c>
      <c r="M1340" s="39" t="n">
        <v>0</v>
      </c>
      <c r="P1340" t="n">
        <v>0</v>
      </c>
      <c r="Q1340" t="n">
        <v>0</v>
      </c>
      <c r="R1340" t="inlineStr">
        <is>
          <t>417-2023-03-31</t>
        </is>
      </c>
    </row>
    <row r="1341" hidden="1">
      <c r="A1341" t="n">
        <v>417</v>
      </c>
      <c r="B1341" t="inlineStr">
        <is>
          <t>Cumplimiento Plan Anual Vicerrectoría Financiera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13" t="n">
        <v>45107</v>
      </c>
      <c r="G1341" t="n">
        <v>2023</v>
      </c>
      <c r="H1341" t="inlineStr">
        <is>
          <t>Junio</t>
        </is>
      </c>
      <c r="I1341" t="inlineStr">
        <is>
          <t>2023-1</t>
        </is>
      </c>
      <c r="J1341" t="n">
        <v>100</v>
      </c>
      <c r="K1341" t="n">
        <v>110.66833333333</v>
      </c>
      <c r="L1341" s="39" t="n">
        <v>1.1066833333333</v>
      </c>
      <c r="M1341" s="39" t="n">
        <v>1.1066833333333</v>
      </c>
      <c r="P1341" t="n">
        <v>0</v>
      </c>
      <c r="Q1341" t="n">
        <v>0</v>
      </c>
      <c r="R1341" t="inlineStr">
        <is>
          <t>417-2023-06-30</t>
        </is>
      </c>
    </row>
    <row r="1342" hidden="1">
      <c r="A1342" t="n">
        <v>417</v>
      </c>
      <c r="B1342" t="inlineStr">
        <is>
          <t>Cumplimiento Plan Anual Vicerrectoría Financiera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13" t="n">
        <v>45199</v>
      </c>
      <c r="G1342" t="n">
        <v>2023</v>
      </c>
      <c r="H1342" t="inlineStr">
        <is>
          <t>Septiembre</t>
        </is>
      </c>
      <c r="I1342" t="inlineStr">
        <is>
          <t>2023-2</t>
        </is>
      </c>
      <c r="J1342" t="n">
        <v>100</v>
      </c>
      <c r="K1342" t="n">
        <v>93.756666666667</v>
      </c>
      <c r="L1342" s="39" t="n">
        <v>0.93756666666667</v>
      </c>
      <c r="M1342" s="39" t="n">
        <v>0.93756666666667</v>
      </c>
      <c r="P1342" t="n">
        <v>0</v>
      </c>
      <c r="Q1342" t="n">
        <v>0</v>
      </c>
      <c r="R1342" t="inlineStr">
        <is>
          <t>417-2023-09-30</t>
        </is>
      </c>
    </row>
    <row r="1343" hidden="1">
      <c r="A1343" t="n">
        <v>417</v>
      </c>
      <c r="B1343" t="inlineStr">
        <is>
          <t>Cumplimiento Plan Anual Vicerrectoría Financiera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13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100</v>
      </c>
      <c r="K1343" t="n">
        <v>94.39</v>
      </c>
      <c r="L1343" s="39" t="n">
        <v>0.9439</v>
      </c>
      <c r="M1343" s="39" t="n">
        <v>0.9439</v>
      </c>
      <c r="P1343" t="n">
        <v>0</v>
      </c>
      <c r="Q1343" t="n">
        <v>0</v>
      </c>
      <c r="R1343" t="inlineStr">
        <is>
          <t>417-2023-12-31</t>
        </is>
      </c>
    </row>
    <row r="1344" hidden="1">
      <c r="A1344" t="n">
        <v>417</v>
      </c>
      <c r="B1344" t="inlineStr">
        <is>
          <t>Cumplimiento Plan Anual Vicerrectoría Financiera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13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100</v>
      </c>
      <c r="K1344" t="n">
        <v>112.12</v>
      </c>
      <c r="L1344" s="39" t="n">
        <v>1.1212</v>
      </c>
      <c r="M1344" s="39" t="n">
        <v>1.1212</v>
      </c>
      <c r="P1344" t="n">
        <v>0</v>
      </c>
      <c r="Q1344" t="n">
        <v>0</v>
      </c>
      <c r="R1344" t="inlineStr">
        <is>
          <t>417-2024-06-30</t>
        </is>
      </c>
    </row>
    <row r="1345" hidden="1">
      <c r="A1345" t="n">
        <v>417</v>
      </c>
      <c r="B1345" t="inlineStr">
        <is>
          <t>Cumplimiento Plan Anual Vicerrectoría Financiera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13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</v>
      </c>
      <c r="K1345" t="n">
        <v>98.83</v>
      </c>
      <c r="L1345" s="39" t="n">
        <v>0.9883</v>
      </c>
      <c r="M1345" s="39" t="n">
        <v>0.9883</v>
      </c>
      <c r="P1345" t="n">
        <v>0</v>
      </c>
      <c r="Q1345" t="n">
        <v>0</v>
      </c>
      <c r="R1345" t="inlineStr">
        <is>
          <t>417-2024-12-31</t>
        </is>
      </c>
    </row>
    <row r="1346" hidden="1">
      <c r="A1346" t="n">
        <v>417</v>
      </c>
      <c r="B1346" t="inlineStr">
        <is>
          <t>Cumplimiento Plan Anual Vicerrectoría Financiera</t>
        </is>
      </c>
      <c r="C1346" t="inlineStr">
        <is>
          <t>Planeación Estratégica</t>
        </is>
      </c>
      <c r="D1346" t="inlineStr">
        <is>
          <t>Semestral</t>
        </is>
      </c>
      <c r="E1346" t="inlineStr">
        <is>
          <t>Positivo</t>
        </is>
      </c>
      <c r="F1346" s="113" t="n">
        <v>45838</v>
      </c>
      <c r="G1346" t="n">
        <v>2025</v>
      </c>
      <c r="H1346" t="inlineStr">
        <is>
          <t>Junio</t>
        </is>
      </c>
      <c r="I1346" t="inlineStr">
        <is>
          <t>2025-1</t>
        </is>
      </c>
      <c r="J1346" t="n">
        <v>100</v>
      </c>
      <c r="K1346" t="n">
        <v>101.28</v>
      </c>
      <c r="L1346" s="39" t="n">
        <v>1.0128</v>
      </c>
      <c r="M1346" s="39" t="n">
        <v>1.0128</v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417-2025-06-30</t>
        </is>
      </c>
    </row>
    <row r="1347" hidden="1">
      <c r="A1347" t="n">
        <v>417</v>
      </c>
      <c r="B1347" t="inlineStr">
        <is>
          <t>Cumplimiento Plan Anual Vicerrectoría Financiera</t>
        </is>
      </c>
      <c r="C1347" t="inlineStr">
        <is>
          <t>Planeación Estratégica</t>
        </is>
      </c>
      <c r="D1347" t="inlineStr">
        <is>
          <t>Semestral</t>
        </is>
      </c>
      <c r="E1347" t="inlineStr">
        <is>
          <t>Positivo</t>
        </is>
      </c>
      <c r="F1347" s="113" t="n">
        <v>46022</v>
      </c>
      <c r="G1347" t="n">
        <v>2025</v>
      </c>
      <c r="H1347" t="inlineStr">
        <is>
          <t>Diciembre</t>
        </is>
      </c>
      <c r="I1347" t="inlineStr">
        <is>
          <t>2025-2</t>
        </is>
      </c>
      <c r="J1347" t="n">
        <v>100</v>
      </c>
      <c r="K1347" t="n">
        <v>97.98999999999999</v>
      </c>
      <c r="L1347" s="39" t="n">
        <v>0.9799</v>
      </c>
      <c r="M1347" s="39" t="n">
        <v>0.9799</v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417-2025-12-31</t>
        </is>
      </c>
    </row>
    <row r="1348" hidden="1">
      <c r="A1348" t="n">
        <v>418</v>
      </c>
      <c r="B1348" t="inlineStr">
        <is>
          <t>Cumplimiento Plan Anual Vicerrectoría Académica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13" t="n">
        <v>45016</v>
      </c>
      <c r="G1348" t="n">
        <v>2023</v>
      </c>
      <c r="H1348" t="inlineStr">
        <is>
          <t>Marzo</t>
        </is>
      </c>
      <c r="I1348" t="inlineStr">
        <is>
          <t>2023-1</t>
        </is>
      </c>
      <c r="J1348" t="n">
        <v>100</v>
      </c>
      <c r="K1348" t="n">
        <v>0</v>
      </c>
      <c r="L1348" s="39" t="n">
        <v>0</v>
      </c>
      <c r="M1348" s="39" t="n">
        <v>0</v>
      </c>
      <c r="P1348" t="n">
        <v>0</v>
      </c>
      <c r="Q1348" t="n">
        <v>0</v>
      </c>
      <c r="R1348" t="inlineStr">
        <is>
          <t>418-2023-03-31</t>
        </is>
      </c>
    </row>
    <row r="1349" hidden="1">
      <c r="A1349" t="n">
        <v>418</v>
      </c>
      <c r="B1349" t="inlineStr">
        <is>
          <t>Cumplimiento Plan Anual Vicerrectoría Académica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13" t="n">
        <v>45107</v>
      </c>
      <c r="G1349" t="n">
        <v>2023</v>
      </c>
      <c r="H1349" t="inlineStr">
        <is>
          <t>Junio</t>
        </is>
      </c>
      <c r="I1349" t="inlineStr">
        <is>
          <t>2023-1</t>
        </is>
      </c>
      <c r="J1349" t="n">
        <v>100</v>
      </c>
      <c r="K1349" t="n">
        <v>104.35666666667</v>
      </c>
      <c r="L1349" s="39" t="n">
        <v>1.0435666666667</v>
      </c>
      <c r="M1349" s="39" t="n">
        <v>1.0435666666667</v>
      </c>
      <c r="P1349" t="n">
        <v>0</v>
      </c>
      <c r="Q1349" t="n">
        <v>0</v>
      </c>
      <c r="R1349" t="inlineStr">
        <is>
          <t>418-2023-06-30</t>
        </is>
      </c>
    </row>
    <row r="1350" hidden="1">
      <c r="A1350" t="n">
        <v>418</v>
      </c>
      <c r="B1350" t="inlineStr">
        <is>
          <t>Cumplimiento Plan Anual Vicerrectoría Académica</t>
        </is>
      </c>
      <c r="C1350" t="inlineStr">
        <is>
          <t>Planeación Estratégica</t>
        </is>
      </c>
      <c r="D1350" t="inlineStr">
        <is>
          <t>Trimestral</t>
        </is>
      </c>
      <c r="E1350" t="inlineStr">
        <is>
          <t>Positivo</t>
        </is>
      </c>
      <c r="F1350" s="113" t="n">
        <v>45199</v>
      </c>
      <c r="G1350" t="n">
        <v>2023</v>
      </c>
      <c r="H1350" t="inlineStr">
        <is>
          <t>Septiembre</t>
        </is>
      </c>
      <c r="I1350" t="inlineStr">
        <is>
          <t>2023-2</t>
        </is>
      </c>
      <c r="J1350" t="n">
        <v>100</v>
      </c>
      <c r="K1350" t="n">
        <v>85.611111111111</v>
      </c>
      <c r="L1350" s="39" t="n">
        <v>0.85611111111111</v>
      </c>
      <c r="M1350" s="39" t="n">
        <v>0.85611111111111</v>
      </c>
      <c r="P1350" t="n">
        <v>0</v>
      </c>
      <c r="Q1350" t="n">
        <v>0</v>
      </c>
      <c r="R1350" t="inlineStr">
        <is>
          <t>418-2023-09-30</t>
        </is>
      </c>
    </row>
    <row r="1351" hidden="1">
      <c r="A1351" t="n">
        <v>418</v>
      </c>
      <c r="B1351" t="inlineStr">
        <is>
          <t>Cumplimiento Plan Anual Vicerrectoría Académica</t>
        </is>
      </c>
      <c r="C1351" t="inlineStr">
        <is>
          <t>Planeación Estratégica</t>
        </is>
      </c>
      <c r="D1351" t="inlineStr">
        <is>
          <t>Trimestral</t>
        </is>
      </c>
      <c r="E1351" t="inlineStr">
        <is>
          <t>Positivo</t>
        </is>
      </c>
      <c r="F1351" s="113" t="n">
        <v>45291</v>
      </c>
      <c r="G1351" t="n">
        <v>2023</v>
      </c>
      <c r="H1351" t="inlineStr">
        <is>
          <t>Diciembre</t>
        </is>
      </c>
      <c r="I1351" t="inlineStr">
        <is>
          <t>2023-2</t>
        </is>
      </c>
      <c r="J1351" t="n">
        <v>100</v>
      </c>
      <c r="K1351" t="n">
        <v>95.802222222222</v>
      </c>
      <c r="L1351" s="39" t="n">
        <v>0.95802222222222</v>
      </c>
      <c r="M1351" s="39" t="n">
        <v>0.95802222222222</v>
      </c>
      <c r="P1351" t="n">
        <v>0</v>
      </c>
      <c r="Q1351" t="n">
        <v>0</v>
      </c>
      <c r="R1351" t="inlineStr">
        <is>
          <t>418-2023-12-31</t>
        </is>
      </c>
    </row>
    <row r="1352" hidden="1">
      <c r="A1352" t="n">
        <v>418</v>
      </c>
      <c r="B1352" t="inlineStr">
        <is>
          <t>Cumplimiento Plan Anual Vicerrectoría Académica</t>
        </is>
      </c>
      <c r="C1352" t="inlineStr">
        <is>
          <t>Planeación Estratégica</t>
        </is>
      </c>
      <c r="D1352" t="inlineStr">
        <is>
          <t>Trimestral</t>
        </is>
      </c>
      <c r="E1352" t="inlineStr">
        <is>
          <t>Positivo</t>
        </is>
      </c>
      <c r="F1352" s="113" t="n">
        <v>45473</v>
      </c>
      <c r="G1352" t="n">
        <v>2024</v>
      </c>
      <c r="H1352" t="inlineStr">
        <is>
          <t>Junio</t>
        </is>
      </c>
      <c r="I1352" t="inlineStr">
        <is>
          <t>2024-1</t>
        </is>
      </c>
      <c r="J1352" t="n">
        <v>100</v>
      </c>
      <c r="K1352" t="n">
        <v>100.79</v>
      </c>
      <c r="L1352" s="39" t="n">
        <v>1.0079</v>
      </c>
      <c r="M1352" s="39" t="n">
        <v>1.0079</v>
      </c>
      <c r="P1352" t="n">
        <v>0</v>
      </c>
      <c r="Q1352" t="n">
        <v>0</v>
      </c>
      <c r="R1352" t="inlineStr">
        <is>
          <t>418-2024-06-30</t>
        </is>
      </c>
    </row>
    <row r="1353" hidden="1">
      <c r="A1353" t="n">
        <v>418</v>
      </c>
      <c r="B1353" t="inlineStr">
        <is>
          <t>Cumplimiento Plan Anual Vicerrectoría Académica</t>
        </is>
      </c>
      <c r="C1353" t="inlineStr">
        <is>
          <t>Planeación Estratégica</t>
        </is>
      </c>
      <c r="D1353" t="inlineStr">
        <is>
          <t>Trimestral</t>
        </is>
      </c>
      <c r="E1353" t="inlineStr">
        <is>
          <t>Positivo</t>
        </is>
      </c>
      <c r="F1353" s="113" t="n">
        <v>45657</v>
      </c>
      <c r="G1353" t="n">
        <v>2024</v>
      </c>
      <c r="H1353" t="inlineStr">
        <is>
          <t>Diciembre</t>
        </is>
      </c>
      <c r="I1353" t="inlineStr">
        <is>
          <t>2024-2</t>
        </is>
      </c>
      <c r="J1353" t="n">
        <v>100</v>
      </c>
      <c r="K1353" t="n">
        <v>97.78</v>
      </c>
      <c r="L1353" s="39" t="n">
        <v>0.9778</v>
      </c>
      <c r="M1353" s="39" t="n">
        <v>0.9778</v>
      </c>
      <c r="P1353" t="n">
        <v>0</v>
      </c>
      <c r="Q1353" t="n">
        <v>0</v>
      </c>
      <c r="R1353" t="inlineStr">
        <is>
          <t>418-2024-12-31</t>
        </is>
      </c>
    </row>
    <row r="1354" hidden="1">
      <c r="A1354" t="n">
        <v>418</v>
      </c>
      <c r="B1354" t="inlineStr">
        <is>
          <t>Cumplimiento Plan Anual Vicerrectoría Académica</t>
        </is>
      </c>
      <c r="C1354" t="inlineStr">
        <is>
          <t>Planeación Estratégica</t>
        </is>
      </c>
      <c r="D1354" t="inlineStr">
        <is>
          <t>Semestral</t>
        </is>
      </c>
      <c r="E1354" t="inlineStr">
        <is>
          <t>Positivo</t>
        </is>
      </c>
      <c r="F1354" s="113" t="n">
        <v>45838</v>
      </c>
      <c r="G1354" t="n">
        <v>2025</v>
      </c>
      <c r="H1354" t="inlineStr">
        <is>
          <t>Junio</t>
        </is>
      </c>
      <c r="I1354" t="inlineStr">
        <is>
          <t>2025-1</t>
        </is>
      </c>
      <c r="J1354" t="n">
        <v>100</v>
      </c>
      <c r="K1354" t="n">
        <v>105.83</v>
      </c>
      <c r="L1354" s="39" t="n">
        <v>1.0583</v>
      </c>
      <c r="M1354" s="39" t="n">
        <v>1.0583</v>
      </c>
      <c r="N1354" t="inlineStr">
        <is>
          <t>%</t>
        </is>
      </c>
      <c r="O1354" t="inlineStr">
        <is>
          <t>%</t>
        </is>
      </c>
      <c r="P1354" t="n">
        <v>0</v>
      </c>
      <c r="Q1354" t="n">
        <v>0</v>
      </c>
      <c r="R1354" t="inlineStr">
        <is>
          <t>418-2025-06-30</t>
        </is>
      </c>
    </row>
    <row r="1355" hidden="1">
      <c r="A1355" t="n">
        <v>418</v>
      </c>
      <c r="B1355" t="inlineStr">
        <is>
          <t>Cumplimiento Plan Anual Vicerrectoría Académica</t>
        </is>
      </c>
      <c r="C1355" t="inlineStr">
        <is>
          <t>Planeación Estratégica</t>
        </is>
      </c>
      <c r="D1355" t="inlineStr">
        <is>
          <t>Semestral</t>
        </is>
      </c>
      <c r="E1355" t="inlineStr">
        <is>
          <t>Positivo</t>
        </is>
      </c>
      <c r="F1355" s="113" t="n">
        <v>46022</v>
      </c>
      <c r="G1355" t="n">
        <v>2025</v>
      </c>
      <c r="H1355" t="inlineStr">
        <is>
          <t>Diciembre</t>
        </is>
      </c>
      <c r="I1355" t="inlineStr">
        <is>
          <t>2025-2</t>
        </is>
      </c>
      <c r="J1355" t="n">
        <v>100</v>
      </c>
      <c r="K1355" t="n">
        <v>99.61</v>
      </c>
      <c r="L1355" s="39" t="n">
        <v>0.9961</v>
      </c>
      <c r="M1355" s="39" t="n">
        <v>0.9961</v>
      </c>
      <c r="N1355" t="inlineStr">
        <is>
          <t>%</t>
        </is>
      </c>
      <c r="O1355" t="inlineStr">
        <is>
          <t>%</t>
        </is>
      </c>
      <c r="P1355" t="n">
        <v>0</v>
      </c>
      <c r="Q1355" t="n">
        <v>0</v>
      </c>
      <c r="R1355" t="inlineStr">
        <is>
          <t>418-2025-12-31</t>
        </is>
      </c>
    </row>
    <row r="1356" hidden="1">
      <c r="A1356" t="n">
        <v>419</v>
      </c>
      <c r="B1356" t="inlineStr">
        <is>
          <t>Cumplimiento Plan Anual Áreas sede Medellín</t>
        </is>
      </c>
      <c r="C1356" t="inlineStr">
        <is>
          <t>Planeación Estratégica</t>
        </is>
      </c>
      <c r="D1356" t="inlineStr">
        <is>
          <t>Trimestral</t>
        </is>
      </c>
      <c r="E1356" t="inlineStr">
        <is>
          <t>Positivo</t>
        </is>
      </c>
      <c r="F1356" s="113" t="n">
        <v>45016</v>
      </c>
      <c r="G1356" t="n">
        <v>2023</v>
      </c>
      <c r="H1356" t="inlineStr">
        <is>
          <t>Marzo</t>
        </is>
      </c>
      <c r="I1356" t="inlineStr">
        <is>
          <t>2023-1</t>
        </is>
      </c>
      <c r="L1356" s="39" t="n"/>
      <c r="M1356" s="39" t="n"/>
      <c r="N1356" t="inlineStr">
        <is>
          <t>%</t>
        </is>
      </c>
      <c r="O1356" t="inlineStr">
        <is>
          <t>%</t>
        </is>
      </c>
      <c r="P1356" t="n">
        <v>0</v>
      </c>
      <c r="Q1356" t="n">
        <v>0</v>
      </c>
      <c r="R1356" t="inlineStr">
        <is>
          <t>419-2023-03-31</t>
        </is>
      </c>
    </row>
    <row r="1357" hidden="1">
      <c r="A1357" t="n">
        <v>419</v>
      </c>
      <c r="B1357" t="inlineStr">
        <is>
          <t>Cumplimiento Plan Anual Áreas sede Medellín</t>
        </is>
      </c>
      <c r="C1357" t="inlineStr">
        <is>
          <t>Planeación Estratégica</t>
        </is>
      </c>
      <c r="D1357" t="inlineStr">
        <is>
          <t>Trimestral</t>
        </is>
      </c>
      <c r="E1357" t="inlineStr">
        <is>
          <t>Positivo</t>
        </is>
      </c>
      <c r="F1357" s="113" t="n">
        <v>45107</v>
      </c>
      <c r="G1357" t="n">
        <v>2023</v>
      </c>
      <c r="H1357" t="inlineStr">
        <is>
          <t>Junio</t>
        </is>
      </c>
      <c r="I1357" t="inlineStr">
        <is>
          <t>2023-1</t>
        </is>
      </c>
      <c r="J1357" t="n">
        <v>100</v>
      </c>
      <c r="K1357" t="n">
        <v>108.3</v>
      </c>
      <c r="L1357" s="39" t="n">
        <v>1.083</v>
      </c>
      <c r="M1357" s="39" t="n">
        <v>1.083</v>
      </c>
      <c r="N1357" t="inlineStr">
        <is>
          <t>%</t>
        </is>
      </c>
      <c r="O1357" t="inlineStr">
        <is>
          <t>%</t>
        </is>
      </c>
      <c r="P1357" t="n">
        <v>0</v>
      </c>
      <c r="Q1357" t="n">
        <v>0</v>
      </c>
      <c r="R1357" t="inlineStr">
        <is>
          <t>419-2023-06-30</t>
        </is>
      </c>
    </row>
    <row r="1358" hidden="1">
      <c r="A1358" t="n">
        <v>419</v>
      </c>
      <c r="B1358" t="inlineStr">
        <is>
          <t>Cumplimiento Plan Anual Áreas sede Medellín</t>
        </is>
      </c>
      <c r="C1358" t="inlineStr">
        <is>
          <t>Planeación Estratégica</t>
        </is>
      </c>
      <c r="D1358" t="inlineStr">
        <is>
          <t>Trimestral</t>
        </is>
      </c>
      <c r="E1358" t="inlineStr">
        <is>
          <t>Positivo</t>
        </is>
      </c>
      <c r="F1358" s="113" t="n">
        <v>45199</v>
      </c>
      <c r="G1358" t="n">
        <v>2023</v>
      </c>
      <c r="H1358" t="inlineStr">
        <is>
          <t>Septiembre</t>
        </is>
      </c>
      <c r="I1358" t="inlineStr">
        <is>
          <t>2023-2</t>
        </is>
      </c>
      <c r="J1358" t="n">
        <v>100</v>
      </c>
      <c r="K1358" t="n">
        <v>88.34999999999999</v>
      </c>
      <c r="L1358" s="39" t="n">
        <v>0.8835</v>
      </c>
      <c r="M1358" s="39" t="n">
        <v>0.8835</v>
      </c>
      <c r="N1358" t="inlineStr">
        <is>
          <t>%</t>
        </is>
      </c>
      <c r="O1358" t="inlineStr">
        <is>
          <t>%</t>
        </is>
      </c>
      <c r="P1358" t="n">
        <v>0</v>
      </c>
      <c r="Q1358" t="n">
        <v>0</v>
      </c>
      <c r="R1358" t="inlineStr">
        <is>
          <t>419-2023-09-30</t>
        </is>
      </c>
    </row>
    <row r="1359" hidden="1">
      <c r="A1359" t="n">
        <v>419</v>
      </c>
      <c r="B1359" t="inlineStr">
        <is>
          <t>Cumplimiento Plan Anual Áreas sede Medellín</t>
        </is>
      </c>
      <c r="C1359" t="inlineStr">
        <is>
          <t>Planeación Estratégica</t>
        </is>
      </c>
      <c r="D1359" t="inlineStr">
        <is>
          <t>Trimestral</t>
        </is>
      </c>
      <c r="E1359" t="inlineStr">
        <is>
          <t>Positivo</t>
        </is>
      </c>
      <c r="F1359" s="113" t="n">
        <v>45291</v>
      </c>
      <c r="G1359" t="n">
        <v>2023</v>
      </c>
      <c r="H1359" t="inlineStr">
        <is>
          <t>Diciembre</t>
        </is>
      </c>
      <c r="I1359" t="inlineStr">
        <is>
          <t>2023-2</t>
        </is>
      </c>
      <c r="J1359" t="n">
        <v>100</v>
      </c>
      <c r="K1359" t="n">
        <v>93.56</v>
      </c>
      <c r="L1359" s="39" t="n">
        <v>0.9356</v>
      </c>
      <c r="M1359" s="39" t="n">
        <v>0.9356</v>
      </c>
      <c r="N1359" t="inlineStr">
        <is>
          <t>%</t>
        </is>
      </c>
      <c r="O1359" t="inlineStr">
        <is>
          <t>%</t>
        </is>
      </c>
      <c r="P1359" t="n">
        <v>0</v>
      </c>
      <c r="Q1359" t="n">
        <v>0</v>
      </c>
      <c r="R1359" t="inlineStr">
        <is>
          <t>419-2023-12-31</t>
        </is>
      </c>
    </row>
    <row r="1360" hidden="1">
      <c r="A1360" t="n">
        <v>420</v>
      </c>
      <c r="B1360" t="inlineStr">
        <is>
          <t>Cumplimiento Plan Anual Gerencia de estrategia</t>
        </is>
      </c>
      <c r="C1360" t="inlineStr">
        <is>
          <t>Planeación Estratégica</t>
        </is>
      </c>
      <c r="D1360" t="inlineStr">
        <is>
          <t>Trimestral</t>
        </is>
      </c>
      <c r="E1360" t="inlineStr">
        <is>
          <t>Positivo</t>
        </is>
      </c>
      <c r="F1360" s="113" t="n">
        <v>45016</v>
      </c>
      <c r="G1360" t="n">
        <v>2023</v>
      </c>
      <c r="H1360" t="inlineStr">
        <is>
          <t>Marzo</t>
        </is>
      </c>
      <c r="I1360" t="inlineStr">
        <is>
          <t>2023-1</t>
        </is>
      </c>
      <c r="J1360" t="n">
        <v>100</v>
      </c>
      <c r="K1360" t="n">
        <v>0</v>
      </c>
      <c r="L1360" s="39" t="n">
        <v>0</v>
      </c>
      <c r="M1360" s="39" t="n">
        <v>0</v>
      </c>
      <c r="N1360" t="inlineStr">
        <is>
          <t>%</t>
        </is>
      </c>
      <c r="O1360" t="inlineStr">
        <is>
          <t>%</t>
        </is>
      </c>
      <c r="P1360" t="n">
        <v>0</v>
      </c>
      <c r="Q1360" t="n">
        <v>0</v>
      </c>
      <c r="R1360" t="inlineStr">
        <is>
          <t>420-2023-03-31</t>
        </is>
      </c>
    </row>
    <row r="1361" hidden="1">
      <c r="A1361" t="n">
        <v>420</v>
      </c>
      <c r="B1361" t="inlineStr">
        <is>
          <t>Cumplimiento Plan Anual Gerencia de estrategia</t>
        </is>
      </c>
      <c r="C1361" t="inlineStr">
        <is>
          <t>Planeación Estratégica</t>
        </is>
      </c>
      <c r="D1361" t="inlineStr">
        <is>
          <t>Trimestral</t>
        </is>
      </c>
      <c r="E1361" t="inlineStr">
        <is>
          <t>Positivo</t>
        </is>
      </c>
      <c r="F1361" s="113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J1361" t="n">
        <v>100</v>
      </c>
      <c r="K1361" t="n">
        <v>106.53</v>
      </c>
      <c r="L1361" s="39" t="n">
        <v>1.0653</v>
      </c>
      <c r="M1361" s="39" t="n">
        <v>1.0653</v>
      </c>
      <c r="N1361" t="inlineStr">
        <is>
          <t>%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420-2023-06-30</t>
        </is>
      </c>
    </row>
    <row r="1362" hidden="1">
      <c r="A1362" t="n">
        <v>420</v>
      </c>
      <c r="B1362" t="inlineStr">
        <is>
          <t>Cumplimiento Plan Anual Gerencia de estrategia</t>
        </is>
      </c>
      <c r="C1362" t="inlineStr">
        <is>
          <t>Planeación Estratégica</t>
        </is>
      </c>
      <c r="D1362" t="inlineStr">
        <is>
          <t>Trimestral</t>
        </is>
      </c>
      <c r="E1362" t="inlineStr">
        <is>
          <t>Positivo</t>
        </is>
      </c>
      <c r="F1362" s="113" t="n">
        <v>45199</v>
      </c>
      <c r="G1362" t="n">
        <v>2023</v>
      </c>
      <c r="H1362" t="inlineStr">
        <is>
          <t>Septiembre</t>
        </is>
      </c>
      <c r="I1362" t="inlineStr">
        <is>
          <t>2023-2</t>
        </is>
      </c>
      <c r="J1362" t="n">
        <v>100</v>
      </c>
      <c r="K1362" t="n">
        <v>94.69</v>
      </c>
      <c r="L1362" s="39" t="n">
        <v>0.9469</v>
      </c>
      <c r="M1362" s="39" t="n">
        <v>0.9469</v>
      </c>
      <c r="N1362" t="inlineStr">
        <is>
          <t>%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420-2023-09-30</t>
        </is>
      </c>
    </row>
    <row r="1363" hidden="1">
      <c r="A1363" t="n">
        <v>420</v>
      </c>
      <c r="B1363" t="inlineStr">
        <is>
          <t>Cumplimiento Plan Anual Gerencia de estrategia</t>
        </is>
      </c>
      <c r="C1363" t="inlineStr">
        <is>
          <t>Planeación Estratégica</t>
        </is>
      </c>
      <c r="D1363" t="inlineStr">
        <is>
          <t>Trimestral</t>
        </is>
      </c>
      <c r="E1363" t="inlineStr">
        <is>
          <t>Positivo</t>
        </is>
      </c>
      <c r="F1363" s="113" t="n">
        <v>45291</v>
      </c>
      <c r="G1363" t="n">
        <v>2023</v>
      </c>
      <c r="H1363" t="inlineStr">
        <is>
          <t>Diciembre</t>
        </is>
      </c>
      <c r="I1363" t="inlineStr">
        <is>
          <t>2023-2</t>
        </is>
      </c>
      <c r="J1363" t="n">
        <v>100</v>
      </c>
      <c r="K1363" t="n">
        <v>100</v>
      </c>
      <c r="L1363" s="39" t="n">
        <v>1</v>
      </c>
      <c r="M1363" s="39" t="n">
        <v>1</v>
      </c>
      <c r="N1363" t="inlineStr">
        <is>
          <t>%</t>
        </is>
      </c>
      <c r="O1363" t="inlineStr">
        <is>
          <t>%</t>
        </is>
      </c>
      <c r="P1363" t="n">
        <v>0</v>
      </c>
      <c r="Q1363" t="n">
        <v>0</v>
      </c>
      <c r="R1363" t="inlineStr">
        <is>
          <t>420-2023-12-31</t>
        </is>
      </c>
    </row>
    <row r="1364" hidden="1">
      <c r="A1364" t="n">
        <v>420</v>
      </c>
      <c r="B1364" t="inlineStr">
        <is>
          <t>Cumplimiento Plan Anual Gerencia de estrategia</t>
        </is>
      </c>
      <c r="C1364" t="inlineStr">
        <is>
          <t>Planeación Estratégica</t>
        </is>
      </c>
      <c r="D1364" t="inlineStr">
        <is>
          <t>Trimestral</t>
        </is>
      </c>
      <c r="E1364" t="inlineStr">
        <is>
          <t>Positivo</t>
        </is>
      </c>
      <c r="F1364" s="113" t="n">
        <v>45473</v>
      </c>
      <c r="G1364" t="n">
        <v>2024</v>
      </c>
      <c r="H1364" t="inlineStr">
        <is>
          <t>Junio</t>
        </is>
      </c>
      <c r="I1364" t="inlineStr">
        <is>
          <t>2024-1</t>
        </is>
      </c>
      <c r="J1364" t="n">
        <v>100</v>
      </c>
      <c r="K1364" t="n">
        <v>89.33</v>
      </c>
      <c r="L1364" s="39" t="n">
        <v>0.8933</v>
      </c>
      <c r="M1364" s="39" t="n">
        <v>0.8933</v>
      </c>
      <c r="P1364" t="n">
        <v>0</v>
      </c>
      <c r="Q1364" t="n">
        <v>0</v>
      </c>
      <c r="R1364" t="inlineStr">
        <is>
          <t>420-2024-06-30</t>
        </is>
      </c>
    </row>
    <row r="1365" hidden="1">
      <c r="A1365" t="n">
        <v>420</v>
      </c>
      <c r="B1365" t="inlineStr">
        <is>
          <t>Cumplimiento Plan Anual Gerencia de estrategia</t>
        </is>
      </c>
      <c r="C1365" t="inlineStr">
        <is>
          <t>Planeación Estratégica</t>
        </is>
      </c>
      <c r="D1365" t="inlineStr">
        <is>
          <t>Trimestral</t>
        </is>
      </c>
      <c r="E1365" t="inlineStr">
        <is>
          <t>Positivo</t>
        </is>
      </c>
      <c r="F1365" s="113" t="n">
        <v>45657</v>
      </c>
      <c r="G1365" t="n">
        <v>2024</v>
      </c>
      <c r="H1365" t="inlineStr">
        <is>
          <t>Diciembre</t>
        </is>
      </c>
      <c r="I1365" t="inlineStr">
        <is>
          <t>2024-2</t>
        </is>
      </c>
      <c r="J1365" t="n">
        <v>100</v>
      </c>
      <c r="K1365" t="n">
        <v>96.67</v>
      </c>
      <c r="L1365" s="39" t="n">
        <v>0.9667</v>
      </c>
      <c r="M1365" s="39" t="n">
        <v>0.9667</v>
      </c>
      <c r="P1365" t="n">
        <v>0</v>
      </c>
      <c r="Q1365" t="n">
        <v>0</v>
      </c>
      <c r="R1365" t="inlineStr">
        <is>
          <t>420-2024-12-31</t>
        </is>
      </c>
    </row>
    <row r="1366" hidden="1">
      <c r="A1366" t="n">
        <v>420</v>
      </c>
      <c r="B1366" t="inlineStr">
        <is>
          <t>Cumplimiento Plan Anual Gerencia de estrategia</t>
        </is>
      </c>
      <c r="C1366" t="inlineStr">
        <is>
          <t>Planeación Estratégica</t>
        </is>
      </c>
      <c r="D1366" t="inlineStr">
        <is>
          <t>Semestral</t>
        </is>
      </c>
      <c r="E1366" t="inlineStr">
        <is>
          <t>Positivo</t>
        </is>
      </c>
      <c r="F1366" s="113" t="n">
        <v>45838</v>
      </c>
      <c r="G1366" t="n">
        <v>2025</v>
      </c>
      <c r="H1366" t="inlineStr">
        <is>
          <t>Junio</t>
        </is>
      </c>
      <c r="I1366" t="inlineStr">
        <is>
          <t>2025-1</t>
        </is>
      </c>
      <c r="J1366" t="n">
        <v>100</v>
      </c>
      <c r="K1366" t="n">
        <v>108.52</v>
      </c>
      <c r="L1366" s="39" t="n">
        <v>1.0852</v>
      </c>
      <c r="M1366" s="39" t="n">
        <v>1.0852</v>
      </c>
      <c r="N1366" t="inlineStr">
        <is>
          <t>%</t>
        </is>
      </c>
      <c r="O1366" t="inlineStr">
        <is>
          <t>%</t>
        </is>
      </c>
      <c r="P1366" t="n">
        <v>0</v>
      </c>
      <c r="Q1366" t="n">
        <v>0</v>
      </c>
      <c r="R1366" t="inlineStr">
        <is>
          <t>420-2025-06-30</t>
        </is>
      </c>
    </row>
    <row r="1367" hidden="1">
      <c r="A1367" t="n">
        <v>420</v>
      </c>
      <c r="B1367" t="inlineStr">
        <is>
          <t>Cumplimiento Plan Anual Gerencia de estrategia</t>
        </is>
      </c>
      <c r="C1367" t="inlineStr">
        <is>
          <t>Planeación Estratégica</t>
        </is>
      </c>
      <c r="D1367" t="inlineStr">
        <is>
          <t>Semestral</t>
        </is>
      </c>
      <c r="E1367" t="inlineStr">
        <is>
          <t>Positivo</t>
        </is>
      </c>
      <c r="F1367" s="113" t="n">
        <v>46022</v>
      </c>
      <c r="G1367" t="n">
        <v>2025</v>
      </c>
      <c r="H1367" t="inlineStr">
        <is>
          <t>Diciembre</t>
        </is>
      </c>
      <c r="I1367" t="inlineStr">
        <is>
          <t>2025-2</t>
        </is>
      </c>
      <c r="J1367" t="n">
        <v>100</v>
      </c>
      <c r="K1367" t="n">
        <v>100</v>
      </c>
      <c r="L1367" s="39" t="n">
        <v>1</v>
      </c>
      <c r="M1367" s="39" t="n">
        <v>1</v>
      </c>
      <c r="N1367" t="inlineStr">
        <is>
          <t>%</t>
        </is>
      </c>
      <c r="O1367" t="inlineStr">
        <is>
          <t>%</t>
        </is>
      </c>
      <c r="P1367" t="n">
        <v>0</v>
      </c>
      <c r="Q1367" t="n">
        <v>0</v>
      </c>
      <c r="R1367" t="inlineStr">
        <is>
          <t>420-2025-12-31</t>
        </is>
      </c>
    </row>
    <row r="1368" hidden="1">
      <c r="A1368" t="n">
        <v>421</v>
      </c>
      <c r="B1368" t="inlineStr">
        <is>
          <t>Total Leads por canales de captación</t>
        </is>
      </c>
      <c r="C1368" t="inlineStr">
        <is>
          <t>Mercadeo de programas académicos</t>
        </is>
      </c>
      <c r="D1368" t="inlineStr">
        <is>
          <t>Semestral</t>
        </is>
      </c>
      <c r="E1368" t="inlineStr">
        <is>
          <t>Positivo</t>
        </is>
      </c>
      <c r="F1368" s="113" t="n">
        <v>45107</v>
      </c>
      <c r="G1368" t="n">
        <v>2023</v>
      </c>
      <c r="H1368" t="inlineStr">
        <is>
          <t>Junio</t>
        </is>
      </c>
      <c r="I1368" t="inlineStr">
        <is>
          <t>2023-1</t>
        </is>
      </c>
      <c r="J1368" t="n">
        <v>104072</v>
      </c>
      <c r="K1368" t="n">
        <v>140002</v>
      </c>
      <c r="L1368" s="39" t="n">
        <v>1.3</v>
      </c>
      <c r="M1368" s="39" t="n">
        <v>1.345241755707587</v>
      </c>
      <c r="P1368" t="n">
        <v>0</v>
      </c>
      <c r="Q1368" t="n">
        <v>0</v>
      </c>
      <c r="R1368" t="inlineStr">
        <is>
          <t>421-2023-06-30</t>
        </is>
      </c>
    </row>
    <row r="1369" hidden="1">
      <c r="A1369" t="n">
        <v>421</v>
      </c>
      <c r="B1369" t="inlineStr">
        <is>
          <t>Total Leads por canales de captación</t>
        </is>
      </c>
      <c r="C1369" t="inlineStr">
        <is>
          <t>Mercadeo de programas académicos</t>
        </is>
      </c>
      <c r="D1369" t="inlineStr">
        <is>
          <t>Semestral</t>
        </is>
      </c>
      <c r="E1369" t="inlineStr">
        <is>
          <t>Positivo</t>
        </is>
      </c>
      <c r="F1369" s="113" t="n">
        <v>45291</v>
      </c>
      <c r="G1369" t="n">
        <v>2023</v>
      </c>
      <c r="H1369" t="inlineStr">
        <is>
          <t>Diciembre</t>
        </is>
      </c>
      <c r="I1369" t="inlineStr">
        <is>
          <t>2023-2</t>
        </is>
      </c>
      <c r="J1369" t="n">
        <v>97200</v>
      </c>
      <c r="K1369" t="n">
        <v>136199</v>
      </c>
      <c r="L1369" s="39" t="n">
        <v>1.3</v>
      </c>
      <c r="M1369" s="39" t="n">
        <v>1.401224279835391</v>
      </c>
      <c r="P1369" t="n">
        <v>0</v>
      </c>
      <c r="Q1369" t="n">
        <v>0</v>
      </c>
      <c r="R1369" t="inlineStr">
        <is>
          <t>421-2023-12-31</t>
        </is>
      </c>
    </row>
    <row r="1370" hidden="1">
      <c r="A1370" t="n">
        <v>421</v>
      </c>
      <c r="B1370" t="inlineStr">
        <is>
          <t>Total Leads por canales de captación</t>
        </is>
      </c>
      <c r="C1370" t="inlineStr">
        <is>
          <t>Mercadeo de programas académicos</t>
        </is>
      </c>
      <c r="D1370" t="inlineStr">
        <is>
          <t>Semestral</t>
        </is>
      </c>
      <c r="E1370" t="inlineStr">
        <is>
          <t>Positivo</t>
        </is>
      </c>
      <c r="F1370" s="113" t="n">
        <v>45473</v>
      </c>
      <c r="G1370" t="n">
        <v>2024</v>
      </c>
      <c r="H1370" t="inlineStr">
        <is>
          <t>Junio</t>
        </is>
      </c>
      <c r="I1370" t="inlineStr">
        <is>
          <t>2024-1</t>
        </is>
      </c>
      <c r="J1370" t="n">
        <v>147043</v>
      </c>
      <c r="K1370" t="n">
        <v>177740</v>
      </c>
      <c r="L1370" s="39" t="n">
        <v>1.208762062797957</v>
      </c>
      <c r="M1370" s="39" t="n">
        <v>1.208762062797957</v>
      </c>
      <c r="P1370" t="n">
        <v>0</v>
      </c>
      <c r="Q1370" t="n">
        <v>0</v>
      </c>
      <c r="R1370" t="inlineStr">
        <is>
          <t>421-2024-06-30</t>
        </is>
      </c>
    </row>
    <row r="1371" hidden="1">
      <c r="A1371" t="n">
        <v>421</v>
      </c>
      <c r="B1371" t="inlineStr">
        <is>
          <t>Total Leads por canales de captación</t>
        </is>
      </c>
      <c r="C1371" t="inlineStr">
        <is>
          <t>Mercadeo de programas académicos</t>
        </is>
      </c>
      <c r="D1371" t="inlineStr">
        <is>
          <t>Semestral</t>
        </is>
      </c>
      <c r="E1371" t="inlineStr">
        <is>
          <t>Positivo</t>
        </is>
      </c>
      <c r="F1371" s="113" t="n">
        <v>45657</v>
      </c>
      <c r="G1371" t="n">
        <v>2024</v>
      </c>
      <c r="H1371" t="inlineStr">
        <is>
          <t>Diciembre</t>
        </is>
      </c>
      <c r="I1371" t="inlineStr">
        <is>
          <t>2024-2</t>
        </is>
      </c>
      <c r="J1371" t="n">
        <v>100</v>
      </c>
      <c r="K1371" t="n">
        <v>121.44</v>
      </c>
      <c r="L1371" s="39" t="n">
        <v>1.2144</v>
      </c>
      <c r="M1371" s="39" t="n">
        <v>1.2144</v>
      </c>
      <c r="P1371" t="n">
        <v>0</v>
      </c>
      <c r="Q1371" t="n">
        <v>0</v>
      </c>
      <c r="R1371" t="inlineStr">
        <is>
          <t>421-2024-12-31</t>
        </is>
      </c>
    </row>
    <row r="1372" hidden="1">
      <c r="A1372" t="n">
        <v>422</v>
      </c>
      <c r="B1372" t="inlineStr">
        <is>
          <t>Total conversión</t>
        </is>
      </c>
      <c r="C1372" t="inlineStr">
        <is>
          <t>Mercadeo de programas académicos</t>
        </is>
      </c>
      <c r="D1372" t="inlineStr">
        <is>
          <t>Semestral</t>
        </is>
      </c>
      <c r="E1372" t="inlineStr">
        <is>
          <t>Positivo</t>
        </is>
      </c>
      <c r="F1372" s="113" t="n">
        <v>45107</v>
      </c>
      <c r="G1372" t="n">
        <v>2023</v>
      </c>
      <c r="H1372" t="inlineStr">
        <is>
          <t>Junio</t>
        </is>
      </c>
      <c r="I1372" t="inlineStr">
        <is>
          <t>2023-1</t>
        </is>
      </c>
      <c r="J1372" t="n">
        <v>11.7</v>
      </c>
      <c r="K1372" t="n">
        <v>11.973211368834</v>
      </c>
      <c r="L1372" s="39" t="n">
        <v>1.023351399045641</v>
      </c>
      <c r="M1372" s="39" t="n">
        <v>1.023351399045641</v>
      </c>
      <c r="N1372" t="inlineStr">
        <is>
          <t>%</t>
        </is>
      </c>
      <c r="O1372" t="inlineStr">
        <is>
          <t>%</t>
        </is>
      </c>
      <c r="P1372" t="n">
        <v>2</v>
      </c>
      <c r="Q1372" t="n">
        <v>2</v>
      </c>
      <c r="R1372" t="inlineStr">
        <is>
          <t>422-2023-06-30</t>
        </is>
      </c>
    </row>
    <row r="1373" hidden="1">
      <c r="A1373" t="n">
        <v>422</v>
      </c>
      <c r="B1373" t="inlineStr">
        <is>
          <t>Total conversión</t>
        </is>
      </c>
      <c r="C1373" t="inlineStr">
        <is>
          <t>Mercadeo de programas académicos</t>
        </is>
      </c>
      <c r="D1373" t="inlineStr">
        <is>
          <t>Semestral</t>
        </is>
      </c>
      <c r="E1373" t="inlineStr">
        <is>
          <t>Positivo</t>
        </is>
      </c>
      <c r="F1373" s="113" t="n">
        <v>45291</v>
      </c>
      <c r="G1373" t="n">
        <v>2023</v>
      </c>
      <c r="H1373" t="inlineStr">
        <is>
          <t>Diciembre</t>
        </is>
      </c>
      <c r="I1373" t="inlineStr">
        <is>
          <t>2023-2</t>
        </is>
      </c>
      <c r="J1373" t="n">
        <v>10.5</v>
      </c>
      <c r="K1373" t="n">
        <v>11.04</v>
      </c>
      <c r="L1373" s="39" t="n">
        <v>1.051428571428571</v>
      </c>
      <c r="M1373" s="39" t="n">
        <v>1.051428571428571</v>
      </c>
      <c r="N1373" t="inlineStr">
        <is>
          <t>%</t>
        </is>
      </c>
      <c r="O1373" t="inlineStr">
        <is>
          <t>%</t>
        </is>
      </c>
      <c r="P1373" t="n">
        <v>2</v>
      </c>
      <c r="Q1373" t="n">
        <v>2</v>
      </c>
      <c r="R1373" t="inlineStr">
        <is>
          <t>422-2023-12-31</t>
        </is>
      </c>
    </row>
    <row r="1374" hidden="1">
      <c r="A1374" t="n">
        <v>422</v>
      </c>
      <c r="B1374" t="inlineStr">
        <is>
          <t>Total conversión</t>
        </is>
      </c>
      <c r="C1374" t="inlineStr">
        <is>
          <t>Mercadeo de programas académicos</t>
        </is>
      </c>
      <c r="D1374" t="inlineStr">
        <is>
          <t>Semestral</t>
        </is>
      </c>
      <c r="E1374" t="inlineStr">
        <is>
          <t>Positivo</t>
        </is>
      </c>
      <c r="F1374" s="113" t="n">
        <v>45473</v>
      </c>
      <c r="G1374" t="n">
        <v>2024</v>
      </c>
      <c r="H1374" t="inlineStr">
        <is>
          <t>Junio</t>
        </is>
      </c>
      <c r="I1374" t="inlineStr">
        <is>
          <t>2024-1</t>
        </is>
      </c>
      <c r="J1374" t="n">
        <v>9.25</v>
      </c>
      <c r="K1374" t="n">
        <v>8.859999999999999</v>
      </c>
      <c r="L1374" s="39" t="n">
        <v>0.9578378378378378</v>
      </c>
      <c r="M1374" s="39" t="n">
        <v>0.9578378378378378</v>
      </c>
      <c r="P1374" t="n">
        <v>0</v>
      </c>
      <c r="Q1374" t="n">
        <v>0</v>
      </c>
      <c r="R1374" t="inlineStr">
        <is>
          <t>422-2024-06-30</t>
        </is>
      </c>
    </row>
    <row r="1375" hidden="1">
      <c r="A1375" t="n">
        <v>422</v>
      </c>
      <c r="B1375" t="inlineStr">
        <is>
          <t>Total conversión</t>
        </is>
      </c>
      <c r="C1375" t="inlineStr">
        <is>
          <t>Mercadeo de programas académicos</t>
        </is>
      </c>
      <c r="D1375" t="inlineStr">
        <is>
          <t>Semestral</t>
        </is>
      </c>
      <c r="E1375" t="inlineStr">
        <is>
          <t>Positivo</t>
        </is>
      </c>
      <c r="F1375" s="113" t="n">
        <v>45657</v>
      </c>
      <c r="G1375" t="n">
        <v>2024</v>
      </c>
      <c r="H1375" t="inlineStr">
        <is>
          <t>Diciembre</t>
        </is>
      </c>
      <c r="I1375" t="inlineStr">
        <is>
          <t>2024-2</t>
        </is>
      </c>
      <c r="J1375" t="n">
        <v>8.01</v>
      </c>
      <c r="K1375" t="n">
        <v>7.91</v>
      </c>
      <c r="L1375" s="39" t="n">
        <v>0.9875156054931337</v>
      </c>
      <c r="M1375" s="39" t="n">
        <v>0.9875156054931337</v>
      </c>
      <c r="P1375" t="n">
        <v>0</v>
      </c>
      <c r="Q1375" t="n">
        <v>0</v>
      </c>
      <c r="R1375" t="inlineStr">
        <is>
          <t>422-2024-12-31</t>
        </is>
      </c>
    </row>
    <row r="1376" hidden="1">
      <c r="A1376" t="n">
        <v>422</v>
      </c>
      <c r="B1376" t="inlineStr">
        <is>
          <t>Total conversión</t>
        </is>
      </c>
      <c r="C1376" t="inlineStr">
        <is>
          <t>Mercadeo de programas académicos</t>
        </is>
      </c>
      <c r="D1376" t="inlineStr">
        <is>
          <t>Trimestral</t>
        </is>
      </c>
      <c r="E1376" t="inlineStr">
        <is>
          <t>Positivo</t>
        </is>
      </c>
      <c r="F1376" s="113" t="n">
        <v>45838</v>
      </c>
      <c r="G1376" t="n">
        <v>2025</v>
      </c>
      <c r="H1376" t="inlineStr">
        <is>
          <t>Junio</t>
        </is>
      </c>
      <c r="I1376" t="inlineStr">
        <is>
          <t>2025-1</t>
        </is>
      </c>
      <c r="J1376" t="n">
        <v>7.83</v>
      </c>
      <c r="K1376" t="n">
        <v>8.199999999999999</v>
      </c>
      <c r="L1376" s="39" t="n">
        <v>1.047254150702426</v>
      </c>
      <c r="M1376" s="39" t="n">
        <v>1.047254150702426</v>
      </c>
      <c r="N1376" t="inlineStr">
        <is>
          <t>%</t>
        </is>
      </c>
      <c r="O1376" t="inlineStr">
        <is>
          <t>%</t>
        </is>
      </c>
      <c r="P1376" t="n">
        <v>2</v>
      </c>
      <c r="Q1376" t="n">
        <v>2</v>
      </c>
      <c r="R1376" t="inlineStr">
        <is>
          <t>422-2025-06-30</t>
        </is>
      </c>
    </row>
    <row r="1377" hidden="1">
      <c r="A1377" t="n">
        <v>422</v>
      </c>
      <c r="B1377" t="inlineStr">
        <is>
          <t>Total conversión</t>
        </is>
      </c>
      <c r="C1377" t="inlineStr">
        <is>
          <t>Mercadeo de programas académicos</t>
        </is>
      </c>
      <c r="D1377" t="inlineStr">
        <is>
          <t>Trimestral</t>
        </is>
      </c>
      <c r="E1377" t="inlineStr">
        <is>
          <t>Positivo</t>
        </is>
      </c>
      <c r="F1377" s="113" t="n">
        <v>46022</v>
      </c>
      <c r="G1377" t="n">
        <v>2025</v>
      </c>
      <c r="H1377" t="inlineStr">
        <is>
          <t>Diciembre</t>
        </is>
      </c>
      <c r="I1377" t="inlineStr">
        <is>
          <t>2025-2</t>
        </is>
      </c>
      <c r="J1377" t="n">
        <v>7.68</v>
      </c>
      <c r="K1377" t="n">
        <v>7.87</v>
      </c>
      <c r="L1377" s="39" t="n">
        <v>1.024739583333333</v>
      </c>
      <c r="M1377" s="39" t="n">
        <v>1.024739583333333</v>
      </c>
      <c r="N1377" t="inlineStr">
        <is>
          <t>%</t>
        </is>
      </c>
      <c r="O1377" t="inlineStr">
        <is>
          <t>%</t>
        </is>
      </c>
      <c r="P1377" t="n">
        <v>2</v>
      </c>
      <c r="Q1377" t="n">
        <v>2</v>
      </c>
      <c r="R1377" t="inlineStr">
        <is>
          <t>422-2025-12-31</t>
        </is>
      </c>
    </row>
    <row r="1378" hidden="1">
      <c r="A1378" t="n">
        <v>423</v>
      </c>
      <c r="B1378" t="inlineStr">
        <is>
          <t>Brand equity</t>
        </is>
      </c>
      <c r="C1378" t="inlineStr">
        <is>
          <t>Mercadeo de programas académicos</t>
        </is>
      </c>
      <c r="D1378" t="inlineStr">
        <is>
          <t>Anual</t>
        </is>
      </c>
      <c r="E1378" t="inlineStr">
        <is>
          <t>Positivo</t>
        </is>
      </c>
      <c r="F1378" s="113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8.4</v>
      </c>
      <c r="K1378" t="n">
        <v>7.9</v>
      </c>
      <c r="L1378" s="39" t="n">
        <v>0.9404761904761905</v>
      </c>
      <c r="M1378" s="39" t="n">
        <v>0.9404761904761905</v>
      </c>
      <c r="N1378" t="inlineStr">
        <is>
          <t>DEC</t>
        </is>
      </c>
      <c r="O1378" t="inlineStr">
        <is>
          <t>DEC</t>
        </is>
      </c>
      <c r="P1378" t="n">
        <v>1</v>
      </c>
      <c r="Q1378" t="n">
        <v>1</v>
      </c>
      <c r="R1378" t="inlineStr">
        <is>
          <t>423-2023-12-31</t>
        </is>
      </c>
    </row>
    <row r="1379" hidden="1">
      <c r="A1379" t="n">
        <v>423</v>
      </c>
      <c r="B1379" t="inlineStr">
        <is>
          <t>Brand equity</t>
        </is>
      </c>
      <c r="C1379" t="inlineStr">
        <is>
          <t>Mercadeo de programas académicos</t>
        </is>
      </c>
      <c r="D1379" t="inlineStr">
        <is>
          <t>Anual</t>
        </is>
      </c>
      <c r="E1379" t="inlineStr">
        <is>
          <t>Positivo</t>
        </is>
      </c>
      <c r="F1379" s="113" t="n">
        <v>45657</v>
      </c>
      <c r="G1379" t="n">
        <v>2024</v>
      </c>
      <c r="H1379" t="inlineStr">
        <is>
          <t>Diciembre</t>
        </is>
      </c>
      <c r="I1379" t="inlineStr">
        <is>
          <t>2024-2</t>
        </is>
      </c>
      <c r="J1379" t="n">
        <v>8.300000000000001</v>
      </c>
      <c r="K1379" t="n">
        <v>12.3</v>
      </c>
      <c r="L1379" s="39" t="n">
        <v>1.3</v>
      </c>
      <c r="M1379" s="39" t="n">
        <v>1.481927710843373</v>
      </c>
      <c r="N1379" t="inlineStr">
        <is>
          <t>DEC</t>
        </is>
      </c>
      <c r="O1379" t="inlineStr">
        <is>
          <t>DEC</t>
        </is>
      </c>
      <c r="P1379" t="n">
        <v>1</v>
      </c>
      <c r="Q1379" t="n">
        <v>1</v>
      </c>
      <c r="R1379" t="inlineStr">
        <is>
          <t>423-2024-12-31</t>
        </is>
      </c>
    </row>
    <row r="1380" hidden="1">
      <c r="A1380" t="n">
        <v>423</v>
      </c>
      <c r="B1380" t="inlineStr">
        <is>
          <t>Brand equity</t>
        </is>
      </c>
      <c r="C1380" t="inlineStr">
        <is>
          <t>Mercadeo de programas académicos</t>
        </is>
      </c>
      <c r="D1380" t="inlineStr">
        <is>
          <t>Anual</t>
        </is>
      </c>
      <c r="E1380" t="inlineStr">
        <is>
          <t>Positivo</t>
        </is>
      </c>
      <c r="F1380" s="113" t="n">
        <v>46022</v>
      </c>
      <c r="G1380" t="n">
        <v>2025</v>
      </c>
      <c r="H1380" t="inlineStr">
        <is>
          <t>Diciembre</t>
        </is>
      </c>
      <c r="I1380" t="inlineStr">
        <is>
          <t>2025-2</t>
        </is>
      </c>
      <c r="J1380" t="n">
        <v>12.3</v>
      </c>
      <c r="K1380" t="n">
        <v>15.1</v>
      </c>
      <c r="L1380" s="39" t="n">
        <v>1.227642276422764</v>
      </c>
      <c r="M1380" s="39" t="n">
        <v>1.227642276422764</v>
      </c>
      <c r="N1380" t="inlineStr">
        <is>
          <t>DEC</t>
        </is>
      </c>
      <c r="O1380" t="inlineStr">
        <is>
          <t>DEC</t>
        </is>
      </c>
      <c r="P1380" t="n">
        <v>1</v>
      </c>
      <c r="Q1380" t="n">
        <v>1</v>
      </c>
      <c r="R1380" t="inlineStr">
        <is>
          <t>423-2025-12-31</t>
        </is>
      </c>
    </row>
    <row r="1381" hidden="1">
      <c r="A1381" t="n">
        <v>424</v>
      </c>
      <c r="B1381" t="inlineStr">
        <is>
          <t>Conocimiento espontaneo</t>
        </is>
      </c>
      <c r="C1381" t="inlineStr">
        <is>
          <t>Mercadeo de programas académicos</t>
        </is>
      </c>
      <c r="D1381" t="inlineStr">
        <is>
          <t>Anual</t>
        </is>
      </c>
      <c r="E1381" t="inlineStr">
        <is>
          <t>Positivo</t>
        </is>
      </c>
      <c r="F1381" s="113" t="n">
        <v>45291</v>
      </c>
      <c r="G1381" t="n">
        <v>2023</v>
      </c>
      <c r="H1381" t="inlineStr">
        <is>
          <t>Diciembre</t>
        </is>
      </c>
      <c r="I1381" t="inlineStr">
        <is>
          <t>2023-2</t>
        </is>
      </c>
      <c r="J1381" t="n">
        <v>92</v>
      </c>
      <c r="K1381" t="n">
        <v>6</v>
      </c>
      <c r="L1381" s="39" t="n">
        <v>0.06521739130434782</v>
      </c>
      <c r="M1381" s="39" t="n">
        <v>0.06521739130434782</v>
      </c>
      <c r="N1381" t="inlineStr">
        <is>
          <t>ENT</t>
        </is>
      </c>
      <c r="O1381" t="inlineStr">
        <is>
          <t>ENT</t>
        </is>
      </c>
      <c r="P1381" t="n">
        <v>0</v>
      </c>
      <c r="Q1381" t="n">
        <v>0</v>
      </c>
      <c r="R1381" t="inlineStr">
        <is>
          <t>424-2023-12-31</t>
        </is>
      </c>
    </row>
    <row r="1382" hidden="1">
      <c r="A1382" t="n">
        <v>424</v>
      </c>
      <c r="B1382" t="inlineStr">
        <is>
          <t>Conocimiento espontaneo</t>
        </is>
      </c>
      <c r="C1382" t="inlineStr">
        <is>
          <t>Mercadeo de programas académicos</t>
        </is>
      </c>
      <c r="D1382" t="inlineStr">
        <is>
          <t>Anual</t>
        </is>
      </c>
      <c r="E1382" t="inlineStr">
        <is>
          <t>Positivo</t>
        </is>
      </c>
      <c r="F1382" s="113" t="n">
        <v>45657</v>
      </c>
      <c r="G1382" t="n">
        <v>2024</v>
      </c>
      <c r="H1382" t="inlineStr">
        <is>
          <t>Diciembre</t>
        </is>
      </c>
      <c r="I1382" t="inlineStr">
        <is>
          <t>2024-2</t>
        </is>
      </c>
      <c r="J1382" t="n">
        <v>7</v>
      </c>
      <c r="K1382" t="n">
        <v>9</v>
      </c>
      <c r="L1382" s="39" t="n">
        <v>1.285714285714286</v>
      </c>
      <c r="M1382" s="39" t="n">
        <v>1.285714285714286</v>
      </c>
      <c r="N1382" t="inlineStr">
        <is>
          <t>ENT</t>
        </is>
      </c>
      <c r="O1382" t="inlineStr">
        <is>
          <t>ENT</t>
        </is>
      </c>
      <c r="P1382" t="n">
        <v>0</v>
      </c>
      <c r="Q1382" t="n">
        <v>0</v>
      </c>
      <c r="R1382" t="inlineStr">
        <is>
          <t>424-2024-12-31</t>
        </is>
      </c>
    </row>
    <row r="1383" hidden="1">
      <c r="A1383" t="n">
        <v>424</v>
      </c>
      <c r="B1383" t="inlineStr">
        <is>
          <t>Conocimiento espontaneo</t>
        </is>
      </c>
      <c r="C1383" t="inlineStr">
        <is>
          <t>Mercadeo de programas académicos</t>
        </is>
      </c>
      <c r="D1383" t="inlineStr">
        <is>
          <t>Anual</t>
        </is>
      </c>
      <c r="E1383" t="inlineStr">
        <is>
          <t>Positivo</t>
        </is>
      </c>
      <c r="F1383" s="113" t="n">
        <v>46022</v>
      </c>
      <c r="G1383" t="n">
        <v>2025</v>
      </c>
      <c r="H1383" t="inlineStr">
        <is>
          <t>Diciembre</t>
        </is>
      </c>
      <c r="I1383" t="inlineStr">
        <is>
          <t>2025-2</t>
        </is>
      </c>
      <c r="J1383" t="n">
        <v>9</v>
      </c>
      <c r="K1383" t="n">
        <v>11</v>
      </c>
      <c r="L1383" s="39" t="n">
        <v>1.222222222222222</v>
      </c>
      <c r="M1383" s="39" t="n">
        <v>1.222222222222222</v>
      </c>
      <c r="N1383" t="inlineStr">
        <is>
          <t>ENT</t>
        </is>
      </c>
      <c r="O1383" t="inlineStr">
        <is>
          <t>ENT</t>
        </is>
      </c>
      <c r="P1383" t="n">
        <v>0</v>
      </c>
      <c r="Q1383" t="n">
        <v>0</v>
      </c>
      <c r="R1383" t="inlineStr">
        <is>
          <t>424-2025-12-31</t>
        </is>
      </c>
    </row>
    <row r="1384" hidden="1">
      <c r="A1384" t="n">
        <v>425</v>
      </c>
      <c r="B1384" t="inlineStr">
        <is>
          <t>Cumplimiento Leads Educación para la vida</t>
        </is>
      </c>
      <c r="C1384" t="inlineStr">
        <is>
          <t>Mercadeo y venta de educación para la vida</t>
        </is>
      </c>
      <c r="D1384" t="inlineStr">
        <is>
          <t>Anual</t>
        </is>
      </c>
      <c r="E1384" t="inlineStr">
        <is>
          <t>Positivo</t>
        </is>
      </c>
      <c r="F1384" s="113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5500</v>
      </c>
      <c r="K1384" t="n">
        <v>5785</v>
      </c>
      <c r="L1384" s="39" t="n">
        <v>1.051818181818182</v>
      </c>
      <c r="M1384" s="39" t="n">
        <v>1.051818181818182</v>
      </c>
      <c r="P1384" t="n">
        <v>0</v>
      </c>
      <c r="Q1384" t="n">
        <v>0</v>
      </c>
      <c r="R1384" t="inlineStr">
        <is>
          <t>425-2023-12-31</t>
        </is>
      </c>
    </row>
    <row r="1385" hidden="1">
      <c r="A1385" t="n">
        <v>425</v>
      </c>
      <c r="B1385" t="inlineStr">
        <is>
          <t>Cumplimiento Leads Educación para la vida</t>
        </is>
      </c>
      <c r="C1385" t="inlineStr">
        <is>
          <t>Mercadeo y venta de educación para la vida</t>
        </is>
      </c>
      <c r="D1385" t="inlineStr">
        <is>
          <t>Semestral</t>
        </is>
      </c>
      <c r="E1385" t="inlineStr">
        <is>
          <t>Positivo</t>
        </is>
      </c>
      <c r="F1385" s="113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100</v>
      </c>
      <c r="K1385" t="n">
        <v>60.69</v>
      </c>
      <c r="L1385" s="39" t="n">
        <v>0.6069</v>
      </c>
      <c r="M1385" s="39" t="n">
        <v>0.6069</v>
      </c>
      <c r="P1385" t="n">
        <v>0</v>
      </c>
      <c r="Q1385" t="n">
        <v>0</v>
      </c>
      <c r="R1385" t="inlineStr">
        <is>
          <t>425-2024-06-30</t>
        </is>
      </c>
    </row>
    <row r="1386" hidden="1">
      <c r="A1386" t="n">
        <v>425</v>
      </c>
      <c r="B1386" t="inlineStr">
        <is>
          <t>Cumplimiento Leads Educación para la vida</t>
        </is>
      </c>
      <c r="C1386" t="inlineStr">
        <is>
          <t>Mercadeo y venta de educación para la vida</t>
        </is>
      </c>
      <c r="D1386" t="inlineStr">
        <is>
          <t>Semestral</t>
        </is>
      </c>
      <c r="E1386" t="inlineStr">
        <is>
          <t>Positivo</t>
        </is>
      </c>
      <c r="F1386" s="113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100</v>
      </c>
      <c r="K1386" t="n">
        <v>164.69</v>
      </c>
      <c r="L1386" s="39" t="n">
        <v>1.3</v>
      </c>
      <c r="M1386" s="39" t="n">
        <v>1.6469</v>
      </c>
      <c r="P1386" t="n">
        <v>0</v>
      </c>
      <c r="Q1386" t="n">
        <v>0</v>
      </c>
      <c r="R1386" t="inlineStr">
        <is>
          <t>425-2024-12-31</t>
        </is>
      </c>
    </row>
    <row r="1387" hidden="1">
      <c r="A1387" t="n">
        <v>426</v>
      </c>
      <c r="B1387" t="inlineStr">
        <is>
          <t>Cumplimiento en la respuesta a solicitudes de comunicaciones internas</t>
        </is>
      </c>
      <c r="C1387" t="inlineStr">
        <is>
          <t>Comunicaciones Internas</t>
        </is>
      </c>
      <c r="D1387" t="inlineStr">
        <is>
          <t>Semestral</t>
        </is>
      </c>
      <c r="E1387" t="inlineStr">
        <is>
          <t>Positivo</t>
        </is>
      </c>
      <c r="F1387" s="113" t="n">
        <v>45107</v>
      </c>
      <c r="G1387" t="n">
        <v>2023</v>
      </c>
      <c r="H1387" t="inlineStr">
        <is>
          <t>Junio</t>
        </is>
      </c>
      <c r="I1387" t="inlineStr">
        <is>
          <t>2023-1</t>
        </is>
      </c>
      <c r="K1387" t="n">
        <v>86.98</v>
      </c>
      <c r="L1387" s="39" t="n"/>
      <c r="M1387" s="39" t="n"/>
      <c r="N1387" t="inlineStr">
        <is>
          <t>Linea Base</t>
        </is>
      </c>
      <c r="O1387" t="inlineStr">
        <is>
          <t>%</t>
        </is>
      </c>
      <c r="P1387" t="n">
        <v>0</v>
      </c>
      <c r="Q1387" t="n">
        <v>0</v>
      </c>
      <c r="R1387" t="inlineStr">
        <is>
          <t>426-2023-06-30</t>
        </is>
      </c>
    </row>
    <row r="1388" hidden="1">
      <c r="A1388" t="n">
        <v>426</v>
      </c>
      <c r="B1388" t="inlineStr">
        <is>
          <t>Cumplimiento en la respuesta a solicitudes de comunicaciones internas</t>
        </is>
      </c>
      <c r="C1388" t="inlineStr">
        <is>
          <t>Comunicaciones Internas</t>
        </is>
      </c>
      <c r="D1388" t="inlineStr">
        <is>
          <t>Semestral</t>
        </is>
      </c>
      <c r="E1388" t="inlineStr">
        <is>
          <t>Positivo</t>
        </is>
      </c>
      <c r="F1388" s="113" t="n">
        <v>45291</v>
      </c>
      <c r="G1388" t="n">
        <v>2023</v>
      </c>
      <c r="H1388" t="inlineStr">
        <is>
          <t>Diciembre</t>
        </is>
      </c>
      <c r="I1388" t="inlineStr">
        <is>
          <t>2023-2</t>
        </is>
      </c>
      <c r="K1388" t="n">
        <v>92.31</v>
      </c>
      <c r="L1388" s="39" t="n"/>
      <c r="M1388" s="39" t="n"/>
      <c r="N1388" t="inlineStr">
        <is>
          <t>Linea Base</t>
        </is>
      </c>
      <c r="O1388" t="inlineStr">
        <is>
          <t>%</t>
        </is>
      </c>
      <c r="P1388" t="n">
        <v>0</v>
      </c>
      <c r="Q1388" t="n">
        <v>0</v>
      </c>
      <c r="R1388" t="inlineStr">
        <is>
          <t>426-2023-12-31</t>
        </is>
      </c>
    </row>
    <row r="1389" hidden="1">
      <c r="A1389" t="n">
        <v>426</v>
      </c>
      <c r="B1389" t="inlineStr">
        <is>
          <t>Cumplimiento en la respuesta a solicitudes de comunicaciones internas</t>
        </is>
      </c>
      <c r="C1389" t="inlineStr">
        <is>
          <t>Comunicaciones Internas</t>
        </is>
      </c>
      <c r="D1389" t="inlineStr">
        <is>
          <t>Semestral</t>
        </is>
      </c>
      <c r="E1389" t="inlineStr">
        <is>
          <t>Positivo</t>
        </is>
      </c>
      <c r="F1389" s="113" t="n">
        <v>45473</v>
      </c>
      <c r="G1389" t="n">
        <v>2024</v>
      </c>
      <c r="H1389" t="inlineStr">
        <is>
          <t>Junio</t>
        </is>
      </c>
      <c r="I1389" t="inlineStr">
        <is>
          <t>2024-1</t>
        </is>
      </c>
      <c r="J1389" t="n">
        <v>80</v>
      </c>
      <c r="K1389" t="n">
        <v>60.27</v>
      </c>
      <c r="L1389" s="39" t="n">
        <v>0.753375</v>
      </c>
      <c r="M1389" s="39" t="n">
        <v>0.753375</v>
      </c>
      <c r="P1389" t="n">
        <v>0</v>
      </c>
      <c r="Q1389" t="n">
        <v>0</v>
      </c>
      <c r="R1389" t="inlineStr">
        <is>
          <t>426-2024-06-30</t>
        </is>
      </c>
    </row>
    <row r="1390" hidden="1">
      <c r="A1390" t="n">
        <v>426</v>
      </c>
      <c r="B1390" t="inlineStr">
        <is>
          <t>Cumplimiento en la respuesta a solicitudes de comunicaciones internas</t>
        </is>
      </c>
      <c r="C1390" t="inlineStr">
        <is>
          <t>Comunicaciones Internas</t>
        </is>
      </c>
      <c r="D1390" t="inlineStr">
        <is>
          <t>Semestral</t>
        </is>
      </c>
      <c r="E1390" t="inlineStr">
        <is>
          <t>Positivo</t>
        </is>
      </c>
      <c r="F1390" s="113" t="n">
        <v>45657</v>
      </c>
      <c r="G1390" t="n">
        <v>2024</v>
      </c>
      <c r="H1390" t="inlineStr">
        <is>
          <t>Diciembre</t>
        </is>
      </c>
      <c r="I1390" t="inlineStr">
        <is>
          <t>2024-2</t>
        </is>
      </c>
      <c r="J1390" t="n">
        <v>80</v>
      </c>
      <c r="K1390" t="n">
        <v>86.72</v>
      </c>
      <c r="L1390" s="39" t="n">
        <v>1.084</v>
      </c>
      <c r="M1390" s="39" t="n">
        <v>1.084</v>
      </c>
      <c r="P1390" t="n">
        <v>0</v>
      </c>
      <c r="Q1390" t="n">
        <v>0</v>
      </c>
      <c r="R1390" t="inlineStr">
        <is>
          <t>426-2024-12-31</t>
        </is>
      </c>
    </row>
    <row r="1391" hidden="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Semestral</t>
        </is>
      </c>
      <c r="E1391" t="inlineStr">
        <is>
          <t>Negativo</t>
        </is>
      </c>
      <c r="F1391" s="113" t="n">
        <v>45107</v>
      </c>
      <c r="G1391" t="n">
        <v>2023</v>
      </c>
      <c r="H1391" t="inlineStr">
        <is>
          <t>Junio</t>
        </is>
      </c>
      <c r="I1391" t="inlineStr">
        <is>
          <t>2023-1</t>
        </is>
      </c>
      <c r="J1391" t="n">
        <v>0.2</v>
      </c>
      <c r="K1391" t="n">
        <v>0.13666666666667</v>
      </c>
      <c r="L1391" s="39" t="n">
        <v>1.3</v>
      </c>
      <c r="M1391" s="39" t="n">
        <v>1.463414634146306</v>
      </c>
      <c r="N1391" t="inlineStr">
        <is>
          <t>DEC</t>
        </is>
      </c>
      <c r="O1391" t="inlineStr">
        <is>
          <t>DEC</t>
        </is>
      </c>
      <c r="P1391" t="n">
        <v>2</v>
      </c>
      <c r="Q1391" t="n">
        <v>2</v>
      </c>
      <c r="R1391" t="inlineStr">
        <is>
          <t>427-2023-06-30</t>
        </is>
      </c>
    </row>
    <row r="1392" hidden="1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Semestral</t>
        </is>
      </c>
      <c r="E1392" t="inlineStr">
        <is>
          <t>Negativo</t>
        </is>
      </c>
      <c r="F1392" s="113" t="n">
        <v>45291</v>
      </c>
      <c r="G1392" t="n">
        <v>2023</v>
      </c>
      <c r="H1392" t="inlineStr">
        <is>
          <t>Diciembre</t>
        </is>
      </c>
      <c r="I1392" t="inlineStr">
        <is>
          <t>2023-2</t>
        </is>
      </c>
      <c r="J1392" t="n">
        <v>0.2</v>
      </c>
      <c r="K1392" t="n">
        <v>0.2</v>
      </c>
      <c r="L1392" s="39" t="n">
        <v>1</v>
      </c>
      <c r="M1392" s="39" t="n">
        <v>1</v>
      </c>
      <c r="N1392" t="inlineStr">
        <is>
          <t>DEC</t>
        </is>
      </c>
      <c r="O1392" t="inlineStr">
        <is>
          <t>DEC</t>
        </is>
      </c>
      <c r="P1392" t="n">
        <v>2</v>
      </c>
      <c r="Q1392" t="n">
        <v>2</v>
      </c>
      <c r="R1392" t="inlineStr">
        <is>
          <t>427-2023-12-31</t>
        </is>
      </c>
    </row>
    <row r="1393" hidden="1">
      <c r="A1393" t="n">
        <v>427</v>
      </c>
      <c r="B1393" t="inlineStr">
        <is>
          <t>Consumo de Agua per Cápita Semestral</t>
        </is>
      </c>
      <c r="C1393" t="inlineStr">
        <is>
          <t>GESTIÓN AMBIENTAL</t>
        </is>
      </c>
      <c r="D1393" t="inlineStr">
        <is>
          <t>Semestral</t>
        </is>
      </c>
      <c r="E1393" t="inlineStr">
        <is>
          <t>Negativo</t>
        </is>
      </c>
      <c r="F1393" s="113" t="n">
        <v>45473</v>
      </c>
      <c r="G1393" t="n">
        <v>2024</v>
      </c>
      <c r="H1393" t="inlineStr">
        <is>
          <t>Junio</t>
        </is>
      </c>
      <c r="I1393" t="inlineStr">
        <is>
          <t>2024-1</t>
        </is>
      </c>
      <c r="J1393" t="n">
        <v>0.2</v>
      </c>
      <c r="K1393" t="n">
        <v>0.17</v>
      </c>
      <c r="L1393" s="39" t="n">
        <v>1.176470588235294</v>
      </c>
      <c r="M1393" s="39" t="n">
        <v>1.176470588235294</v>
      </c>
      <c r="P1393" t="n">
        <v>0</v>
      </c>
      <c r="Q1393" t="n">
        <v>0</v>
      </c>
      <c r="R1393" t="inlineStr">
        <is>
          <t>427-2024-06-30</t>
        </is>
      </c>
    </row>
    <row r="1394" hidden="1">
      <c r="A1394" t="n">
        <v>427</v>
      </c>
      <c r="B1394" t="inlineStr">
        <is>
          <t>Consumo de Agua per Cápita Semestral</t>
        </is>
      </c>
      <c r="C1394" t="inlineStr">
        <is>
          <t>GESTIÓN AMBIENTAL</t>
        </is>
      </c>
      <c r="D1394" t="inlineStr">
        <is>
          <t>Semestral</t>
        </is>
      </c>
      <c r="E1394" t="inlineStr">
        <is>
          <t>Negativo</t>
        </is>
      </c>
      <c r="F1394" s="113" t="n">
        <v>45657</v>
      </c>
      <c r="G1394" t="n">
        <v>2024</v>
      </c>
      <c r="H1394" t="inlineStr">
        <is>
          <t>Diciembre</t>
        </is>
      </c>
      <c r="I1394" t="inlineStr">
        <is>
          <t>2024-2</t>
        </is>
      </c>
      <c r="J1394" t="n">
        <v>0.2</v>
      </c>
      <c r="K1394" t="n">
        <v>0.17</v>
      </c>
      <c r="L1394" s="39" t="n">
        <v>1.176470588235294</v>
      </c>
      <c r="M1394" s="39" t="n">
        <v>1.176470588235294</v>
      </c>
      <c r="P1394" t="n">
        <v>0</v>
      </c>
      <c r="Q1394" t="n">
        <v>0</v>
      </c>
      <c r="R1394" t="inlineStr">
        <is>
          <t>427-2024-12-31</t>
        </is>
      </c>
    </row>
    <row r="1395" hidden="1">
      <c r="A1395" t="n">
        <v>427</v>
      </c>
      <c r="B1395" t="inlineStr">
        <is>
          <t>Consumo de Agua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3" t="n">
        <v>45838</v>
      </c>
      <c r="G1395" t="n">
        <v>2025</v>
      </c>
      <c r="H1395" t="inlineStr">
        <is>
          <t>Junio</t>
        </is>
      </c>
      <c r="I1395" t="inlineStr">
        <is>
          <t>2025-1</t>
        </is>
      </c>
      <c r="J1395" t="n">
        <v>0.2</v>
      </c>
      <c r="K1395" t="n">
        <v>0.14</v>
      </c>
      <c r="L1395" s="39" t="n">
        <v>1.3</v>
      </c>
      <c r="M1395" s="39" t="n">
        <v>1.428571428571429</v>
      </c>
      <c r="N1395" t="inlineStr">
        <is>
          <t>DEC</t>
        </is>
      </c>
      <c r="O1395" t="inlineStr">
        <is>
          <t>DEC</t>
        </is>
      </c>
      <c r="P1395" t="n">
        <v>2</v>
      </c>
      <c r="Q1395" t="n">
        <v>2</v>
      </c>
      <c r="R1395" t="inlineStr">
        <is>
          <t>427-2025-06-30</t>
        </is>
      </c>
    </row>
    <row r="1396" hidden="1">
      <c r="A1396" t="n">
        <v>427</v>
      </c>
      <c r="B1396" t="inlineStr">
        <is>
          <t>Consumo de Agua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13" t="n">
        <v>46022</v>
      </c>
      <c r="G1396" t="n">
        <v>2025</v>
      </c>
      <c r="H1396" t="inlineStr">
        <is>
          <t>Diciembre</t>
        </is>
      </c>
      <c r="I1396" t="inlineStr">
        <is>
          <t>2025-2</t>
        </is>
      </c>
      <c r="J1396" t="n">
        <v>0.2</v>
      </c>
      <c r="K1396" t="n">
        <v>0.15</v>
      </c>
      <c r="L1396" s="39" t="n">
        <v>1.3</v>
      </c>
      <c r="M1396" s="39" t="n">
        <v>1.333333333333333</v>
      </c>
      <c r="N1396" t="inlineStr">
        <is>
          <t>DEC</t>
        </is>
      </c>
      <c r="O1396" t="inlineStr">
        <is>
          <t>DEC</t>
        </is>
      </c>
      <c r="P1396" t="n">
        <v>2</v>
      </c>
      <c r="Q1396" t="n">
        <v>2</v>
      </c>
      <c r="R1396" t="inlineStr">
        <is>
          <t>427-2025-12-31</t>
        </is>
      </c>
    </row>
    <row r="1397" hidden="1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Semestral</t>
        </is>
      </c>
      <c r="E1397" t="inlineStr">
        <is>
          <t>Negativo</t>
        </is>
      </c>
      <c r="F1397" s="113" t="n">
        <v>45107</v>
      </c>
      <c r="G1397" t="n">
        <v>2023</v>
      </c>
      <c r="H1397" t="inlineStr">
        <is>
          <t>Junio</t>
        </is>
      </c>
      <c r="I1397" t="inlineStr">
        <is>
          <t>2023-1</t>
        </is>
      </c>
      <c r="J1397" t="n">
        <v>1</v>
      </c>
      <c r="K1397" t="n">
        <v>17.59</v>
      </c>
      <c r="L1397" s="39" t="n">
        <v>0.05685048322910745</v>
      </c>
      <c r="M1397" s="39" t="n">
        <v>0.05685048322910745</v>
      </c>
      <c r="N1397" t="inlineStr">
        <is>
          <t>kWh</t>
        </is>
      </c>
      <c r="O1397" t="inlineStr">
        <is>
          <t>kWh</t>
        </is>
      </c>
      <c r="P1397" t="n">
        <v>0</v>
      </c>
      <c r="Q1397" t="n">
        <v>0</v>
      </c>
      <c r="R1397" t="inlineStr">
        <is>
          <t>428-2023-06-30</t>
        </is>
      </c>
    </row>
    <row r="1398" hidden="1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Semestral</t>
        </is>
      </c>
      <c r="E1398" t="inlineStr">
        <is>
          <t>Negativo</t>
        </is>
      </c>
      <c r="F1398" s="113" t="n">
        <v>45291</v>
      </c>
      <c r="G1398" t="n">
        <v>2023</v>
      </c>
      <c r="H1398" t="inlineStr">
        <is>
          <t>Diciembre</t>
        </is>
      </c>
      <c r="I1398" t="inlineStr">
        <is>
          <t>2023-2</t>
        </is>
      </c>
      <c r="J1398" t="n">
        <v>1</v>
      </c>
      <c r="K1398" t="n">
        <v>18.63</v>
      </c>
      <c r="L1398" s="39" t="n">
        <v>0.05367686527106817</v>
      </c>
      <c r="M1398" s="39" t="n">
        <v>0.05367686527106817</v>
      </c>
      <c r="N1398" t="inlineStr">
        <is>
          <t>kWh</t>
        </is>
      </c>
      <c r="O1398" t="inlineStr">
        <is>
          <t>kWh</t>
        </is>
      </c>
      <c r="P1398" t="n">
        <v>0</v>
      </c>
      <c r="Q1398" t="n">
        <v>0</v>
      </c>
      <c r="R1398" t="inlineStr">
        <is>
          <t>428-2023-12-31</t>
        </is>
      </c>
    </row>
    <row r="1399" hidden="1">
      <c r="A1399" t="n">
        <v>428</v>
      </c>
      <c r="B1399" t="inlineStr">
        <is>
          <t>Consumo de Energía Eléctrica per Cápita Semestral</t>
        </is>
      </c>
      <c r="C1399" t="inlineStr">
        <is>
          <t>GESTIÓN AMBIENTAL</t>
        </is>
      </c>
      <c r="D1399" t="inlineStr">
        <is>
          <t>Semestral</t>
        </is>
      </c>
      <c r="E1399" t="inlineStr">
        <is>
          <t>Negativo</t>
        </is>
      </c>
      <c r="F1399" s="113" t="n">
        <v>45473</v>
      </c>
      <c r="G1399" t="n">
        <v>2024</v>
      </c>
      <c r="H1399" t="inlineStr">
        <is>
          <t>Junio</t>
        </is>
      </c>
      <c r="I1399" t="inlineStr">
        <is>
          <t>2024-1</t>
        </is>
      </c>
      <c r="J1399" t="n">
        <v>1</v>
      </c>
      <c r="K1399" t="n">
        <v>16.58</v>
      </c>
      <c r="L1399" s="39" t="n">
        <v>0.06031363088057902</v>
      </c>
      <c r="M1399" s="39" t="n">
        <v>0.06031363088057902</v>
      </c>
      <c r="N1399" t="inlineStr">
        <is>
          <t>kWh</t>
        </is>
      </c>
      <c r="O1399" t="inlineStr">
        <is>
          <t>kWh</t>
        </is>
      </c>
      <c r="P1399" t="n">
        <v>0</v>
      </c>
      <c r="Q1399" t="n">
        <v>0</v>
      </c>
      <c r="R1399" t="inlineStr">
        <is>
          <t>428-2024-06-30</t>
        </is>
      </c>
    </row>
    <row r="1400" hidden="1">
      <c r="A1400" t="n">
        <v>428</v>
      </c>
      <c r="B1400" t="inlineStr">
        <is>
          <t>Consumo de Energía Eléctrica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13" t="n">
        <v>45657</v>
      </c>
      <c r="G1400" t="n">
        <v>2024</v>
      </c>
      <c r="H1400" t="inlineStr">
        <is>
          <t>Diciembre</t>
        </is>
      </c>
      <c r="I1400" t="inlineStr">
        <is>
          <t>2024-2</t>
        </is>
      </c>
      <c r="J1400" t="n">
        <v>1</v>
      </c>
      <c r="K1400" t="n">
        <v>18.53</v>
      </c>
      <c r="L1400" s="39" t="n">
        <v>0.05396654074473826</v>
      </c>
      <c r="M1400" s="39" t="n">
        <v>0.05396654074473826</v>
      </c>
      <c r="N1400" t="inlineStr">
        <is>
          <t>kWh</t>
        </is>
      </c>
      <c r="O1400" t="inlineStr">
        <is>
          <t>kWh</t>
        </is>
      </c>
      <c r="P1400" t="n">
        <v>0</v>
      </c>
      <c r="Q1400" t="n">
        <v>0</v>
      </c>
      <c r="R1400" t="inlineStr">
        <is>
          <t>428-2024-12-31</t>
        </is>
      </c>
    </row>
    <row r="1401" hidden="1">
      <c r="A1401" t="n">
        <v>428</v>
      </c>
      <c r="B1401" t="inlineStr">
        <is>
          <t>Consumo de Energía Eléctrica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3" t="n">
        <v>45838</v>
      </c>
      <c r="G1401" t="n">
        <v>2025</v>
      </c>
      <c r="H1401" t="inlineStr">
        <is>
          <t>Junio</t>
        </is>
      </c>
      <c r="I1401" t="inlineStr">
        <is>
          <t>2025-1</t>
        </is>
      </c>
      <c r="J1401" t="n">
        <v>1</v>
      </c>
      <c r="K1401" t="n">
        <v>15.12</v>
      </c>
      <c r="L1401" s="39" t="n">
        <v>0.06613756613756615</v>
      </c>
      <c r="M1401" s="39" t="n">
        <v>0.06613756613756615</v>
      </c>
      <c r="N1401" t="inlineStr">
        <is>
          <t>kWh</t>
        </is>
      </c>
      <c r="O1401" t="inlineStr">
        <is>
          <t>kWh</t>
        </is>
      </c>
      <c r="P1401" t="n">
        <v>0</v>
      </c>
      <c r="Q1401" t="n">
        <v>1</v>
      </c>
      <c r="R1401" t="inlineStr">
        <is>
          <t>428-2025-06-30</t>
        </is>
      </c>
    </row>
    <row r="1402" hidden="1">
      <c r="A1402" t="n">
        <v>428</v>
      </c>
      <c r="B1402" t="inlineStr">
        <is>
          <t>Consumo de Energía Eléctrica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13" t="n">
        <v>46022</v>
      </c>
      <c r="G1402" t="n">
        <v>2025</v>
      </c>
      <c r="H1402" t="inlineStr">
        <is>
          <t>Diciembre</t>
        </is>
      </c>
      <c r="I1402" t="inlineStr">
        <is>
          <t>2025-2</t>
        </is>
      </c>
      <c r="J1402" t="n">
        <v>1</v>
      </c>
      <c r="K1402" t="n">
        <v>17.88</v>
      </c>
      <c r="L1402" s="39" t="n">
        <v>0.05592841163310962</v>
      </c>
      <c r="M1402" s="39" t="n">
        <v>0.05592841163310962</v>
      </c>
      <c r="N1402" t="inlineStr">
        <is>
          <t>kWh</t>
        </is>
      </c>
      <c r="O1402" t="inlineStr">
        <is>
          <t>kWh</t>
        </is>
      </c>
      <c r="P1402" t="n">
        <v>0</v>
      </c>
      <c r="Q1402" t="n">
        <v>1</v>
      </c>
      <c r="R1402" t="inlineStr">
        <is>
          <t>428-2025-12-31</t>
        </is>
      </c>
    </row>
    <row r="1403" hidden="1">
      <c r="A1403" t="n">
        <v>429</v>
      </c>
      <c r="B1403" t="inlineStr">
        <is>
          <t>Generación de Residuos Sólidos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13" t="n">
        <v>45107</v>
      </c>
      <c r="G1403" t="n">
        <v>2023</v>
      </c>
      <c r="H1403" t="inlineStr">
        <is>
          <t>Junio</t>
        </is>
      </c>
      <c r="I1403" t="inlineStr">
        <is>
          <t>2023-1</t>
        </is>
      </c>
      <c r="J1403" t="n">
        <v>0.76</v>
      </c>
      <c r="K1403" t="n">
        <v>0.3</v>
      </c>
      <c r="L1403" s="39" t="n">
        <v>1.3</v>
      </c>
      <c r="M1403" s="39" t="n">
        <v>2.533333333333334</v>
      </c>
      <c r="N1403" t="inlineStr">
        <is>
          <t>DEC</t>
        </is>
      </c>
      <c r="O1403" t="inlineStr">
        <is>
          <t>DEC</t>
        </is>
      </c>
      <c r="P1403" t="n">
        <v>1</v>
      </c>
      <c r="Q1403" t="n">
        <v>1</v>
      </c>
      <c r="R1403" t="inlineStr">
        <is>
          <t>429-2023-06-30</t>
        </is>
      </c>
    </row>
    <row r="1404" hidden="1">
      <c r="A1404" t="n">
        <v>429</v>
      </c>
      <c r="B1404" t="inlineStr">
        <is>
          <t>Generación de Residuos Sólidos per Cápita Semestral</t>
        </is>
      </c>
      <c r="C1404" t="inlineStr">
        <is>
          <t>GESTIÓN AMBIENTAL</t>
        </is>
      </c>
      <c r="D1404" t="inlineStr">
        <is>
          <t>Semestral</t>
        </is>
      </c>
      <c r="E1404" t="inlineStr">
        <is>
          <t>Negativo</t>
        </is>
      </c>
      <c r="F1404" s="113" t="n">
        <v>45291</v>
      </c>
      <c r="G1404" t="n">
        <v>2023</v>
      </c>
      <c r="H1404" t="inlineStr">
        <is>
          <t>Diciembre</t>
        </is>
      </c>
      <c r="I1404" t="inlineStr">
        <is>
          <t>2023-2</t>
        </is>
      </c>
      <c r="J1404" t="n">
        <v>0.76</v>
      </c>
      <c r="K1404" t="n">
        <v>0.76</v>
      </c>
      <c r="L1404" s="39" t="n">
        <v>1</v>
      </c>
      <c r="M1404" s="39" t="n">
        <v>1</v>
      </c>
      <c r="N1404" t="inlineStr">
        <is>
          <t>DEC</t>
        </is>
      </c>
      <c r="O1404" t="inlineStr">
        <is>
          <t>DEC</t>
        </is>
      </c>
      <c r="P1404" t="n">
        <v>1</v>
      </c>
      <c r="Q1404" t="n">
        <v>1</v>
      </c>
      <c r="R1404" t="inlineStr">
        <is>
          <t>429-2023-12-31</t>
        </is>
      </c>
    </row>
    <row r="1405" hidden="1">
      <c r="A1405" t="n">
        <v>429</v>
      </c>
      <c r="B1405" t="inlineStr">
        <is>
          <t>Generación de Residuos Sólidos per Cápita Semestral</t>
        </is>
      </c>
      <c r="C1405" t="inlineStr">
        <is>
          <t>GESTIÓN AMBIENTAL</t>
        </is>
      </c>
      <c r="D1405" t="inlineStr">
        <is>
          <t>Semestral</t>
        </is>
      </c>
      <c r="E1405" t="inlineStr">
        <is>
          <t>Negativo</t>
        </is>
      </c>
      <c r="F1405" s="113" t="n">
        <v>45473</v>
      </c>
      <c r="G1405" t="n">
        <v>2024</v>
      </c>
      <c r="H1405" t="inlineStr">
        <is>
          <t>Junio</t>
        </is>
      </c>
      <c r="I1405" t="inlineStr">
        <is>
          <t>2024-1</t>
        </is>
      </c>
      <c r="J1405" t="n">
        <v>0.76</v>
      </c>
      <c r="K1405" t="n">
        <v>0.66</v>
      </c>
      <c r="L1405" s="39" t="n">
        <v>1.151515151515151</v>
      </c>
      <c r="M1405" s="39" t="n">
        <v>1.151515151515151</v>
      </c>
      <c r="P1405" t="n">
        <v>0</v>
      </c>
      <c r="Q1405" t="n">
        <v>0</v>
      </c>
      <c r="R1405" t="inlineStr">
        <is>
          <t>429-2024-06-30</t>
        </is>
      </c>
    </row>
    <row r="1406" hidden="1">
      <c r="A1406" t="n">
        <v>429</v>
      </c>
      <c r="B1406" t="inlineStr">
        <is>
          <t>Generación de Residuos Sólidos per Cápita Semestral</t>
        </is>
      </c>
      <c r="C1406" t="inlineStr">
        <is>
          <t>GESTIÓN AMBIENTAL</t>
        </is>
      </c>
      <c r="D1406" t="inlineStr">
        <is>
          <t>Semestral</t>
        </is>
      </c>
      <c r="E1406" t="inlineStr">
        <is>
          <t>Negativo</t>
        </is>
      </c>
      <c r="F1406" s="113" t="n">
        <v>45657</v>
      </c>
      <c r="G1406" t="n">
        <v>2024</v>
      </c>
      <c r="H1406" t="inlineStr">
        <is>
          <t>Diciembre</t>
        </is>
      </c>
      <c r="I1406" t="inlineStr">
        <is>
          <t>2024-2</t>
        </is>
      </c>
      <c r="J1406" t="n">
        <v>0.76</v>
      </c>
      <c r="K1406" t="n">
        <v>0.67</v>
      </c>
      <c r="L1406" s="39" t="n">
        <v>1.134328358208955</v>
      </c>
      <c r="M1406" s="39" t="n">
        <v>1.134328358208955</v>
      </c>
      <c r="P1406" t="n">
        <v>0</v>
      </c>
      <c r="Q1406" t="n">
        <v>0</v>
      </c>
      <c r="R1406" t="inlineStr">
        <is>
          <t>429-2024-12-31</t>
        </is>
      </c>
    </row>
    <row r="1407" hidden="1">
      <c r="A1407" t="n">
        <v>429</v>
      </c>
      <c r="B1407" t="inlineStr">
        <is>
          <t>Generación de Residuos Sólidos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13" t="n">
        <v>45838</v>
      </c>
      <c r="G1407" t="n">
        <v>2025</v>
      </c>
      <c r="H1407" t="inlineStr">
        <is>
          <t>Junio</t>
        </is>
      </c>
      <c r="I1407" t="inlineStr">
        <is>
          <t>2025-1</t>
        </is>
      </c>
      <c r="J1407" t="n">
        <v>0.76</v>
      </c>
      <c r="K1407" t="n">
        <v>0.59</v>
      </c>
      <c r="L1407" s="39" t="n">
        <v>1.288135593220339</v>
      </c>
      <c r="M1407" s="39" t="n">
        <v>1.288135593220339</v>
      </c>
      <c r="N1407" t="inlineStr">
        <is>
          <t>DEC</t>
        </is>
      </c>
      <c r="O1407" t="inlineStr">
        <is>
          <t>DEC</t>
        </is>
      </c>
      <c r="P1407" t="n">
        <v>2</v>
      </c>
      <c r="Q1407" t="n">
        <v>2</v>
      </c>
      <c r="R1407" t="inlineStr">
        <is>
          <t>429-2025-06-30</t>
        </is>
      </c>
    </row>
    <row r="1408" hidden="1">
      <c r="A1408" t="n">
        <v>429</v>
      </c>
      <c r="B1408" t="inlineStr">
        <is>
          <t>Generación de Residuos Sólidos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13" t="n">
        <v>46022</v>
      </c>
      <c r="G1408" t="n">
        <v>2025</v>
      </c>
      <c r="H1408" t="inlineStr">
        <is>
          <t>Diciembre</t>
        </is>
      </c>
      <c r="I1408" t="inlineStr">
        <is>
          <t>2025-2</t>
        </is>
      </c>
      <c r="J1408" t="n">
        <v>0.76</v>
      </c>
      <c r="K1408" t="n">
        <v>0.52</v>
      </c>
      <c r="L1408" s="39" t="n">
        <v>1.3</v>
      </c>
      <c r="M1408" s="39" t="n">
        <v>1.461538461538461</v>
      </c>
      <c r="N1408" t="inlineStr">
        <is>
          <t>DEC</t>
        </is>
      </c>
      <c r="O1408" t="inlineStr">
        <is>
          <t>DEC</t>
        </is>
      </c>
      <c r="P1408" t="n">
        <v>2</v>
      </c>
      <c r="Q1408" t="n">
        <v>2</v>
      </c>
      <c r="R1408" t="inlineStr">
        <is>
          <t>429-2025-12-31</t>
        </is>
      </c>
    </row>
    <row r="1409" hidden="1">
      <c r="A1409" t="n">
        <v>430</v>
      </c>
      <c r="B1409" t="inlineStr">
        <is>
          <t>Cumplimiento ingresos por matriculas</t>
        </is>
      </c>
      <c r="C1409" t="inlineStr">
        <is>
          <t>Planeación Financiera</t>
        </is>
      </c>
      <c r="D1409" t="inlineStr">
        <is>
          <t>Semestral</t>
        </is>
      </c>
      <c r="E1409" t="inlineStr">
        <is>
          <t>Positivo</t>
        </is>
      </c>
      <c r="F1409" s="113" t="n">
        <v>45107</v>
      </c>
      <c r="G1409" t="n">
        <v>2023</v>
      </c>
      <c r="H1409" t="inlineStr">
        <is>
          <t>Junio</t>
        </is>
      </c>
      <c r="I1409" t="inlineStr">
        <is>
          <t>2023-1</t>
        </is>
      </c>
      <c r="J1409" t="n">
        <v>95</v>
      </c>
      <c r="K1409" t="n">
        <v>104.59563552424</v>
      </c>
      <c r="L1409" s="39" t="n">
        <v>1.101006689728842</v>
      </c>
      <c r="M1409" s="39" t="n">
        <v>1.101006689728842</v>
      </c>
      <c r="N1409" t="inlineStr">
        <is>
          <t>$</t>
        </is>
      </c>
      <c r="O1409" t="inlineStr">
        <is>
          <t>$</t>
        </is>
      </c>
      <c r="P1409" t="n">
        <v>0</v>
      </c>
      <c r="Q1409" t="n">
        <v>0</v>
      </c>
      <c r="R1409" t="inlineStr">
        <is>
          <t>430-2023-06-30</t>
        </is>
      </c>
    </row>
    <row r="1410" hidden="1">
      <c r="A1410" t="n">
        <v>430</v>
      </c>
      <c r="B1410" t="inlineStr">
        <is>
          <t>Cumplimiento ingresos por matriculas</t>
        </is>
      </c>
      <c r="C1410" t="inlineStr">
        <is>
          <t>Planeación Financiera</t>
        </is>
      </c>
      <c r="D1410" t="inlineStr">
        <is>
          <t>Semestral</t>
        </is>
      </c>
      <c r="E1410" t="inlineStr">
        <is>
          <t>Positivo</t>
        </is>
      </c>
      <c r="F1410" s="113" t="n">
        <v>45291</v>
      </c>
      <c r="G1410" t="n">
        <v>2023</v>
      </c>
      <c r="H1410" t="inlineStr">
        <is>
          <t>Diciembre</t>
        </is>
      </c>
      <c r="I1410" t="inlineStr">
        <is>
          <t>2023-2</t>
        </is>
      </c>
      <c r="J1410" t="n">
        <v>95</v>
      </c>
      <c r="K1410" t="n">
        <v>101.39526345983</v>
      </c>
      <c r="L1410" s="39" t="n">
        <v>1.067318562735053</v>
      </c>
      <c r="M1410" s="39" t="n">
        <v>1.067318562735053</v>
      </c>
      <c r="N1410" t="inlineStr">
        <is>
          <t>$</t>
        </is>
      </c>
      <c r="O1410" t="inlineStr">
        <is>
          <t>$</t>
        </is>
      </c>
      <c r="P1410" t="n">
        <v>0</v>
      </c>
      <c r="Q1410" t="n">
        <v>0</v>
      </c>
      <c r="R1410" t="inlineStr">
        <is>
          <t>430-2023-12-31</t>
        </is>
      </c>
    </row>
    <row r="1411" hidden="1">
      <c r="A1411" t="n">
        <v>430</v>
      </c>
      <c r="B1411" t="inlineStr">
        <is>
          <t>Cumplimiento ingresos por matriculas</t>
        </is>
      </c>
      <c r="C1411" t="inlineStr">
        <is>
          <t>Planeación Financiera</t>
        </is>
      </c>
      <c r="D1411" t="inlineStr">
        <is>
          <t>Semestral</t>
        </is>
      </c>
      <c r="E1411" t="inlineStr">
        <is>
          <t>Positivo</t>
        </is>
      </c>
      <c r="F1411" s="113" t="n">
        <v>45473</v>
      </c>
      <c r="G1411" t="n">
        <v>2024</v>
      </c>
      <c r="H1411" t="inlineStr">
        <is>
          <t>Junio</t>
        </is>
      </c>
      <c r="I1411" t="inlineStr">
        <is>
          <t>2024-1</t>
        </is>
      </c>
      <c r="J1411" t="n">
        <v>95</v>
      </c>
      <c r="K1411" t="n">
        <v>101.88</v>
      </c>
      <c r="L1411" s="39" t="n">
        <v>1.072421052631579</v>
      </c>
      <c r="M1411" s="39" t="n">
        <v>1.072421052631579</v>
      </c>
      <c r="N1411" t="inlineStr">
        <is>
          <t>$</t>
        </is>
      </c>
      <c r="O1411" t="inlineStr">
        <is>
          <t>$</t>
        </is>
      </c>
      <c r="P1411" t="n">
        <v>0</v>
      </c>
      <c r="Q1411" t="n">
        <v>0</v>
      </c>
      <c r="R1411" t="inlineStr">
        <is>
          <t>430-2024-06-30</t>
        </is>
      </c>
    </row>
    <row r="1412" hidden="1">
      <c r="A1412" t="n">
        <v>430</v>
      </c>
      <c r="B1412" t="inlineStr">
        <is>
          <t>Cumplimiento ingresos por matriculas</t>
        </is>
      </c>
      <c r="C1412" t="inlineStr">
        <is>
          <t>Planeación Financiera</t>
        </is>
      </c>
      <c r="D1412" t="inlineStr">
        <is>
          <t>Semestral</t>
        </is>
      </c>
      <c r="E1412" t="inlineStr">
        <is>
          <t>Positivo</t>
        </is>
      </c>
      <c r="F1412" s="113" t="n">
        <v>45657</v>
      </c>
      <c r="G1412" t="n">
        <v>2024</v>
      </c>
      <c r="H1412" t="inlineStr">
        <is>
          <t>Diciembre</t>
        </is>
      </c>
      <c r="I1412" t="inlineStr">
        <is>
          <t>2024-2</t>
        </is>
      </c>
      <c r="J1412" t="n">
        <v>95</v>
      </c>
      <c r="K1412" t="n">
        <v>102.9374919710379</v>
      </c>
      <c r="L1412" s="39" t="n">
        <v>1.083552547063557</v>
      </c>
      <c r="M1412" s="39" t="n">
        <v>1.083552547063557</v>
      </c>
      <c r="P1412" t="n">
        <v>0</v>
      </c>
      <c r="Q1412" t="n">
        <v>0</v>
      </c>
      <c r="R1412" t="inlineStr">
        <is>
          <t>430-2024-12-31</t>
        </is>
      </c>
    </row>
    <row r="1413" hidden="1">
      <c r="A1413" t="n">
        <v>430</v>
      </c>
      <c r="B1413" t="inlineStr">
        <is>
          <t>Cumplimiento ingresos por matriculas</t>
        </is>
      </c>
      <c r="C1413" t="inlineStr">
        <is>
          <t>Planeación Financiera</t>
        </is>
      </c>
      <c r="D1413" t="inlineStr">
        <is>
          <t>Trimestral</t>
        </is>
      </c>
      <c r="E1413" t="inlineStr">
        <is>
          <t>Positivo</t>
        </is>
      </c>
      <c r="F1413" s="113" t="n">
        <v>45838</v>
      </c>
      <c r="G1413" t="n">
        <v>2025</v>
      </c>
      <c r="H1413" t="inlineStr">
        <is>
          <t>Junio</t>
        </is>
      </c>
      <c r="I1413" t="inlineStr">
        <is>
          <t>2025-1</t>
        </is>
      </c>
      <c r="J1413" t="n">
        <v>95</v>
      </c>
      <c r="K1413" t="n">
        <v>110.79</v>
      </c>
      <c r="L1413" s="39" t="n">
        <v>1.16621052631579</v>
      </c>
      <c r="M1413" s="39" t="n">
        <v>1.16621052631579</v>
      </c>
      <c r="N1413" t="inlineStr">
        <is>
          <t>%</t>
        </is>
      </c>
      <c r="O1413" t="inlineStr">
        <is>
          <t>%</t>
        </is>
      </c>
      <c r="P1413" t="n">
        <v>0</v>
      </c>
      <c r="Q1413" t="n">
        <v>0</v>
      </c>
      <c r="R1413" t="inlineStr">
        <is>
          <t>430-2025-06-30</t>
        </is>
      </c>
    </row>
    <row r="1414" hidden="1">
      <c r="A1414" t="n">
        <v>430</v>
      </c>
      <c r="B1414" t="inlineStr">
        <is>
          <t>Cumplimiento ingresos por matriculas</t>
        </is>
      </c>
      <c r="C1414" t="inlineStr">
        <is>
          <t>Planeación Financiera</t>
        </is>
      </c>
      <c r="D1414" t="inlineStr">
        <is>
          <t>Trimestral</t>
        </is>
      </c>
      <c r="E1414" t="inlineStr">
        <is>
          <t>Positivo</t>
        </is>
      </c>
      <c r="F1414" s="113" t="n">
        <v>46022</v>
      </c>
      <c r="G1414" t="n">
        <v>2025</v>
      </c>
      <c r="H1414" t="inlineStr">
        <is>
          <t>Diciembre</t>
        </is>
      </c>
      <c r="I1414" t="inlineStr">
        <is>
          <t>2025-2</t>
        </is>
      </c>
      <c r="J1414" t="n">
        <v>95</v>
      </c>
      <c r="K1414" t="n">
        <v>111.76</v>
      </c>
      <c r="L1414" s="39" t="n">
        <v>1.176421052631579</v>
      </c>
      <c r="M1414" s="39" t="n">
        <v>1.176421052631579</v>
      </c>
      <c r="N1414" t="inlineStr">
        <is>
          <t>%</t>
        </is>
      </c>
      <c r="O1414" t="inlineStr">
        <is>
          <t>%</t>
        </is>
      </c>
      <c r="P1414" t="n">
        <v>0</v>
      </c>
      <c r="Q1414" t="n">
        <v>0</v>
      </c>
      <c r="R1414" t="inlineStr">
        <is>
          <t>430-2025-12-31</t>
        </is>
      </c>
    </row>
    <row r="1415" hidden="1">
      <c r="A1415" t="n">
        <v>431</v>
      </c>
      <c r="B1415" t="inlineStr">
        <is>
          <t>Gestión de casos de salud que impactan a los colaboradores</t>
        </is>
      </c>
      <c r="C1415" t="inlineStr">
        <is>
          <t>GESTIÓN DE SEGURIDAD Y SALUD EN EL TRABAJO</t>
        </is>
      </c>
      <c r="D1415" t="inlineStr">
        <is>
          <t>Trimestral</t>
        </is>
      </c>
      <c r="E1415" t="inlineStr">
        <is>
          <t>Positivo</t>
        </is>
      </c>
      <c r="F1415" s="113" t="n">
        <v>45199</v>
      </c>
      <c r="G1415" t="n">
        <v>2023</v>
      </c>
      <c r="H1415" t="inlineStr">
        <is>
          <t>Septiembre</t>
        </is>
      </c>
      <c r="I1415" t="inlineStr">
        <is>
          <t>2023-2</t>
        </is>
      </c>
      <c r="J1415" t="n">
        <v>100</v>
      </c>
      <c r="K1415" t="n">
        <v>100</v>
      </c>
      <c r="L1415" s="39" t="n">
        <v>1</v>
      </c>
      <c r="M1415" s="39" t="n">
        <v>1</v>
      </c>
      <c r="N1415" t="inlineStr">
        <is>
          <t>%</t>
        </is>
      </c>
      <c r="O1415" t="inlineStr">
        <is>
          <t>%</t>
        </is>
      </c>
      <c r="P1415" t="n">
        <v>0</v>
      </c>
      <c r="Q1415" t="n">
        <v>0</v>
      </c>
      <c r="R1415" t="inlineStr">
        <is>
          <t>431-2023-09-30</t>
        </is>
      </c>
    </row>
    <row r="1416" hidden="1">
      <c r="A1416" t="n">
        <v>431</v>
      </c>
      <c r="B1416" t="inlineStr">
        <is>
          <t>Gestión de casos de salud que impactan a los colaboradores</t>
        </is>
      </c>
      <c r="C1416" t="inlineStr">
        <is>
          <t>GESTIÓN DE SEGURIDAD Y SALUD EN EL TRABAJO</t>
        </is>
      </c>
      <c r="D1416" t="inlineStr">
        <is>
          <t>Trimestral</t>
        </is>
      </c>
      <c r="E1416" t="inlineStr">
        <is>
          <t>Positivo</t>
        </is>
      </c>
      <c r="F1416" s="113" t="n">
        <v>45291</v>
      </c>
      <c r="G1416" t="n">
        <v>2023</v>
      </c>
      <c r="H1416" t="inlineStr">
        <is>
          <t>Diciembre</t>
        </is>
      </c>
      <c r="I1416" t="inlineStr">
        <is>
          <t>2023-2</t>
        </is>
      </c>
      <c r="J1416" t="n">
        <v>100</v>
      </c>
      <c r="K1416" t="n">
        <v>100</v>
      </c>
      <c r="L1416" s="39" t="n">
        <v>1</v>
      </c>
      <c r="M1416" s="39" t="n">
        <v>1</v>
      </c>
      <c r="N1416" t="inlineStr">
        <is>
          <t>%</t>
        </is>
      </c>
      <c r="O1416" t="inlineStr">
        <is>
          <t>%</t>
        </is>
      </c>
      <c r="P1416" t="n">
        <v>0</v>
      </c>
      <c r="Q1416" t="n">
        <v>0</v>
      </c>
      <c r="R1416" t="inlineStr">
        <is>
          <t>431-2023-12-31</t>
        </is>
      </c>
    </row>
    <row r="1417" hidden="1">
      <c r="A1417" t="n">
        <v>431</v>
      </c>
      <c r="B1417" t="inlineStr">
        <is>
          <t>Gestión de casos de salud que impactan a los colaboradores</t>
        </is>
      </c>
      <c r="C1417" t="inlineStr">
        <is>
          <t>GESTIÓN DE SEGURIDAD Y SALUD EN EL TRABAJO</t>
        </is>
      </c>
      <c r="D1417" t="inlineStr">
        <is>
          <t>Trimestral</t>
        </is>
      </c>
      <c r="E1417" t="inlineStr">
        <is>
          <t>Positivo</t>
        </is>
      </c>
      <c r="F1417" s="113" t="n">
        <v>45473</v>
      </c>
      <c r="G1417" t="n">
        <v>2024</v>
      </c>
      <c r="H1417" t="inlineStr">
        <is>
          <t>Junio</t>
        </is>
      </c>
      <c r="I1417" t="inlineStr">
        <is>
          <t>2024-1</t>
        </is>
      </c>
      <c r="J1417" t="n">
        <v>100</v>
      </c>
      <c r="K1417" t="n">
        <v>100</v>
      </c>
      <c r="L1417" s="39" t="n">
        <v>1</v>
      </c>
      <c r="M1417" s="39" t="n">
        <v>1</v>
      </c>
      <c r="P1417" t="n">
        <v>0</v>
      </c>
      <c r="Q1417" t="n">
        <v>0</v>
      </c>
      <c r="R1417" t="inlineStr">
        <is>
          <t>431-2024-06-30</t>
        </is>
      </c>
    </row>
    <row r="1418" hidden="1">
      <c r="A1418" t="n">
        <v>431</v>
      </c>
      <c r="B1418" t="inlineStr">
        <is>
          <t>Gestión de casos de salud que impactan a los colaboradores</t>
        </is>
      </c>
      <c r="C1418" t="inlineStr">
        <is>
          <t>GESTIÓN DE SEGURIDAD Y SALUD EN EL TRABAJO</t>
        </is>
      </c>
      <c r="D1418" t="inlineStr">
        <is>
          <t>Trimestral</t>
        </is>
      </c>
      <c r="E1418" t="inlineStr">
        <is>
          <t>Positivo</t>
        </is>
      </c>
      <c r="F1418" s="113" t="n">
        <v>45657</v>
      </c>
      <c r="G1418" t="n">
        <v>2024</v>
      </c>
      <c r="H1418" t="inlineStr">
        <is>
          <t>Diciembre</t>
        </is>
      </c>
      <c r="I1418" t="inlineStr">
        <is>
          <t>2024-2</t>
        </is>
      </c>
      <c r="J1418" t="n">
        <v>100</v>
      </c>
      <c r="K1418" t="n">
        <v>100</v>
      </c>
      <c r="L1418" s="39" t="n">
        <v>1</v>
      </c>
      <c r="M1418" s="39" t="n">
        <v>1</v>
      </c>
      <c r="P1418" t="n">
        <v>0</v>
      </c>
      <c r="Q1418" t="n">
        <v>0</v>
      </c>
      <c r="R1418" t="inlineStr">
        <is>
          <t>431-2024-12-31</t>
        </is>
      </c>
    </row>
    <row r="1419" hidden="1">
      <c r="A1419" t="n">
        <v>431</v>
      </c>
      <c r="B1419" t="inlineStr">
        <is>
          <t>Gestión de casos de salud que impactan a los colaboradores</t>
        </is>
      </c>
      <c r="C1419" t="inlineStr">
        <is>
          <t>GESTIÓN DE SEGURIDAD Y SALUD EN EL TRABAJO</t>
        </is>
      </c>
      <c r="D1419" t="inlineStr">
        <is>
          <t>Trimestral</t>
        </is>
      </c>
      <c r="E1419" t="inlineStr">
        <is>
          <t>Positivo</t>
        </is>
      </c>
      <c r="F1419" s="113" t="n">
        <v>45838</v>
      </c>
      <c r="G1419" t="n">
        <v>2025</v>
      </c>
      <c r="H1419" t="inlineStr">
        <is>
          <t>Junio</t>
        </is>
      </c>
      <c r="I1419" t="inlineStr">
        <is>
          <t>2025-1</t>
        </is>
      </c>
      <c r="J1419" t="n">
        <v>100</v>
      </c>
      <c r="K1419" t="n">
        <v>100</v>
      </c>
      <c r="L1419" s="39" t="n">
        <v>1</v>
      </c>
      <c r="M1419" s="39" t="n">
        <v>1</v>
      </c>
      <c r="N1419" t="inlineStr">
        <is>
          <t>%</t>
        </is>
      </c>
      <c r="O1419" t="inlineStr">
        <is>
          <t>%</t>
        </is>
      </c>
      <c r="P1419" t="n">
        <v>0</v>
      </c>
      <c r="Q1419" t="n">
        <v>0</v>
      </c>
      <c r="R1419" t="inlineStr">
        <is>
          <t>431-2025-06-30</t>
        </is>
      </c>
    </row>
    <row r="1420" hidden="1">
      <c r="A1420" t="n">
        <v>431</v>
      </c>
      <c r="B1420" t="inlineStr">
        <is>
          <t>Gestión de casos de salud que impactan a los colaboradores</t>
        </is>
      </c>
      <c r="C1420" t="inlineStr">
        <is>
          <t>GESTIÓN DE SEGURIDAD Y SALUD EN EL TRABAJO</t>
        </is>
      </c>
      <c r="D1420" t="inlineStr">
        <is>
          <t>Semestral</t>
        </is>
      </c>
      <c r="E1420" t="inlineStr">
        <is>
          <t>Positivo</t>
        </is>
      </c>
      <c r="F1420" s="113" t="n">
        <v>46022</v>
      </c>
      <c r="G1420" t="n">
        <v>2025</v>
      </c>
      <c r="H1420" t="inlineStr">
        <is>
          <t>Diciembre</t>
        </is>
      </c>
      <c r="I1420" t="inlineStr">
        <is>
          <t>2025-2</t>
        </is>
      </c>
      <c r="J1420" t="n">
        <v>100</v>
      </c>
      <c r="K1420" t="n">
        <v>100</v>
      </c>
      <c r="L1420" s="39" t="n">
        <v>1</v>
      </c>
      <c r="M1420" s="39" t="n">
        <v>1</v>
      </c>
      <c r="N1420" t="inlineStr">
        <is>
          <t>%</t>
        </is>
      </c>
      <c r="O1420" t="inlineStr">
        <is>
          <t>%</t>
        </is>
      </c>
      <c r="P1420" t="n">
        <v>0</v>
      </c>
      <c r="Q1420" t="n">
        <v>0</v>
      </c>
      <c r="R1420" t="inlineStr">
        <is>
          <t>431-2025-12-31</t>
        </is>
      </c>
    </row>
    <row r="1421" hidden="1">
      <c r="A1421" t="n">
        <v>431</v>
      </c>
      <c r="B1421" t="inlineStr">
        <is>
          <t>Gestión de casos de salud que impactan a los colaboradores</t>
        </is>
      </c>
      <c r="C1421" t="inlineStr">
        <is>
          <t>GESTIÓN DE SEGURIDAD Y SALUD EN EL TRABAJO</t>
        </is>
      </c>
      <c r="D1421" t="inlineStr">
        <is>
          <t>Semestral</t>
        </is>
      </c>
      <c r="E1421" t="inlineStr">
        <is>
          <t>Positivo</t>
        </is>
      </c>
      <c r="F1421" s="113" t="n">
        <v>46203</v>
      </c>
      <c r="G1421" t="n">
        <v>2026</v>
      </c>
      <c r="H1421" t="inlineStr">
        <is>
          <t>Junio</t>
        </is>
      </c>
      <c r="I1421" t="inlineStr">
        <is>
          <t>2026-1</t>
        </is>
      </c>
      <c r="J1421" t="n">
        <v>100</v>
      </c>
      <c r="K1421" t="n">
        <v>100</v>
      </c>
      <c r="L1421" s="39" t="n">
        <v>1</v>
      </c>
      <c r="M1421" s="39" t="n">
        <v>1</v>
      </c>
      <c r="N1421" t="inlineStr">
        <is>
          <t>%</t>
        </is>
      </c>
      <c r="O1421" t="inlineStr">
        <is>
          <t>%</t>
        </is>
      </c>
      <c r="P1421" t="n">
        <v>0</v>
      </c>
      <c r="Q1421" t="n">
        <v>0</v>
      </c>
      <c r="R1421" t="inlineStr">
        <is>
          <t>431-2026-06-30</t>
        </is>
      </c>
    </row>
    <row r="1422" hidden="1">
      <c r="A1422" t="n">
        <v>432</v>
      </c>
      <c r="B1422" t="inlineStr">
        <is>
          <t>Intervención a la gestión del riesgo de los colaboradores</t>
        </is>
      </c>
      <c r="C1422" t="inlineStr">
        <is>
          <t>GESTIÓN DE SEGURIDAD Y SALUD EN EL TRABAJO</t>
        </is>
      </c>
      <c r="D1422" t="inlineStr">
        <is>
          <t>Trimestral</t>
        </is>
      </c>
      <c r="E1422" t="inlineStr">
        <is>
          <t>Positivo</t>
        </is>
      </c>
      <c r="F1422" s="113" t="n">
        <v>45291</v>
      </c>
      <c r="G1422" t="n">
        <v>2023</v>
      </c>
      <c r="H1422" t="inlineStr">
        <is>
          <t>Diciembre</t>
        </is>
      </c>
      <c r="I1422" t="inlineStr">
        <is>
          <t>2023-2</t>
        </is>
      </c>
      <c r="J1422" t="n">
        <v>90</v>
      </c>
      <c r="K1422" t="n">
        <v>99.382777777778</v>
      </c>
      <c r="L1422" s="39" t="n">
        <v>1.104253086419756</v>
      </c>
      <c r="M1422" s="39" t="n">
        <v>1.104253086419756</v>
      </c>
      <c r="N1422" t="inlineStr">
        <is>
          <t>%</t>
        </is>
      </c>
      <c r="O1422" t="inlineStr">
        <is>
          <t>%</t>
        </is>
      </c>
      <c r="P1422" t="n">
        <v>0</v>
      </c>
      <c r="Q1422" t="n">
        <v>0</v>
      </c>
      <c r="R1422" t="inlineStr">
        <is>
          <t>432-2023-12-31</t>
        </is>
      </c>
    </row>
    <row r="1423" hidden="1">
      <c r="A1423" t="n">
        <v>432</v>
      </c>
      <c r="B1423" t="inlineStr">
        <is>
          <t>Intervención a la gestión del riesgo de los colaboradores</t>
        </is>
      </c>
      <c r="C1423" t="inlineStr">
        <is>
          <t>GESTIÓN DE SEGURIDAD Y SALUD EN EL TRABAJO</t>
        </is>
      </c>
      <c r="D1423" t="inlineStr">
        <is>
          <t>Trimestral</t>
        </is>
      </c>
      <c r="E1423" t="inlineStr">
        <is>
          <t>Positivo</t>
        </is>
      </c>
      <c r="F1423" s="113" t="n">
        <v>45473</v>
      </c>
      <c r="G1423" t="n">
        <v>2024</v>
      </c>
      <c r="H1423" t="inlineStr">
        <is>
          <t>Junio</t>
        </is>
      </c>
      <c r="I1423" t="inlineStr">
        <is>
          <t>2024-1</t>
        </is>
      </c>
      <c r="J1423" t="n">
        <v>90</v>
      </c>
      <c r="K1423" t="n">
        <v>100</v>
      </c>
      <c r="L1423" s="39" t="n">
        <v>1.111111111111111</v>
      </c>
      <c r="M1423" s="39" t="n">
        <v>1.111111111111111</v>
      </c>
      <c r="P1423" t="n">
        <v>0</v>
      </c>
      <c r="Q1423" t="n">
        <v>0</v>
      </c>
      <c r="R1423" t="inlineStr">
        <is>
          <t>432-2024-06-30</t>
        </is>
      </c>
    </row>
    <row r="1424" hidden="1">
      <c r="A1424" t="n">
        <v>432</v>
      </c>
      <c r="B1424" t="inlineStr">
        <is>
          <t>Intervención a la gestión del riesgo de los colaboradores</t>
        </is>
      </c>
      <c r="C1424" t="inlineStr">
        <is>
          <t>GESTIÓN DE SEGURIDAD Y SALUD EN EL TRABAJO</t>
        </is>
      </c>
      <c r="D1424" t="inlineStr">
        <is>
          <t>Trimestral</t>
        </is>
      </c>
      <c r="E1424" t="inlineStr">
        <is>
          <t>Positivo</t>
        </is>
      </c>
      <c r="F1424" s="113" t="n">
        <v>45657</v>
      </c>
      <c r="G1424" t="n">
        <v>2024</v>
      </c>
      <c r="H1424" t="inlineStr">
        <is>
          <t>Diciembre</t>
        </is>
      </c>
      <c r="I1424" t="inlineStr">
        <is>
          <t>2024-2</t>
        </is>
      </c>
      <c r="J1424" t="n">
        <v>90</v>
      </c>
      <c r="K1424" t="n">
        <v>50</v>
      </c>
      <c r="L1424" s="39" t="n">
        <v>0.5555555555555556</v>
      </c>
      <c r="M1424" s="39" t="n">
        <v>0.5555555555555556</v>
      </c>
      <c r="P1424" t="n">
        <v>0</v>
      </c>
      <c r="Q1424" t="n">
        <v>0</v>
      </c>
      <c r="R1424" t="inlineStr">
        <is>
          <t>432-2024-12-31</t>
        </is>
      </c>
    </row>
    <row r="1425" hidden="1">
      <c r="A1425" t="n">
        <v>432</v>
      </c>
      <c r="B1425" t="inlineStr">
        <is>
          <t>Intervención a la gestión del riesgo de los colaboradores</t>
        </is>
      </c>
      <c r="C1425" t="inlineStr">
        <is>
          <t>GESTIÓN DE SEGURIDAD Y SALUD EN EL TRABAJO</t>
        </is>
      </c>
      <c r="D1425" t="inlineStr">
        <is>
          <t>Trimestral</t>
        </is>
      </c>
      <c r="E1425" t="inlineStr">
        <is>
          <t>Positivo</t>
        </is>
      </c>
      <c r="F1425" s="113" t="n">
        <v>45838</v>
      </c>
      <c r="G1425" t="n">
        <v>2025</v>
      </c>
      <c r="H1425" t="inlineStr">
        <is>
          <t>Junio</t>
        </is>
      </c>
      <c r="I1425" t="inlineStr">
        <is>
          <t>2025-1</t>
        </is>
      </c>
      <c r="J1425" t="n">
        <v>90</v>
      </c>
      <c r="K1425" t="n">
        <v>100</v>
      </c>
      <c r="L1425" s="39" t="n">
        <v>1.111111111111111</v>
      </c>
      <c r="M1425" s="39" t="n">
        <v>1.111111111111111</v>
      </c>
      <c r="N1425" t="inlineStr">
        <is>
          <t>%</t>
        </is>
      </c>
      <c r="O1425" t="inlineStr">
        <is>
          <t>%</t>
        </is>
      </c>
      <c r="P1425" t="n">
        <v>0</v>
      </c>
      <c r="Q1425" t="n">
        <v>0</v>
      </c>
      <c r="R1425" t="inlineStr">
        <is>
          <t>432-2025-06-30</t>
        </is>
      </c>
    </row>
    <row r="1426" hidden="1">
      <c r="A1426" t="n">
        <v>432</v>
      </c>
      <c r="B1426" t="inlineStr">
        <is>
          <t>Intervención a la gestión del riesgo de los colaboradores</t>
        </is>
      </c>
      <c r="C1426" t="inlineStr">
        <is>
          <t>GESTIÓN DE SEGURIDAD Y SALUD EN EL TRABAJO</t>
        </is>
      </c>
      <c r="D1426" t="inlineStr">
        <is>
          <t>Semestral</t>
        </is>
      </c>
      <c r="E1426" t="inlineStr">
        <is>
          <t>Positivo</t>
        </is>
      </c>
      <c r="F1426" s="113" t="n">
        <v>46022</v>
      </c>
      <c r="G1426" t="n">
        <v>2025</v>
      </c>
      <c r="H1426" t="inlineStr">
        <is>
          <t>Diciembre</t>
        </is>
      </c>
      <c r="I1426" t="inlineStr">
        <is>
          <t>2025-2</t>
        </is>
      </c>
      <c r="J1426" t="n">
        <v>90</v>
      </c>
      <c r="K1426" t="n">
        <v>100</v>
      </c>
      <c r="L1426" s="39" t="n">
        <v>1.111111111111111</v>
      </c>
      <c r="M1426" s="39" t="n">
        <v>1.111111111111111</v>
      </c>
      <c r="N1426" t="inlineStr">
        <is>
          <t>%</t>
        </is>
      </c>
      <c r="O1426" t="inlineStr">
        <is>
          <t>%</t>
        </is>
      </c>
      <c r="P1426" t="n">
        <v>0</v>
      </c>
      <c r="Q1426" t="n">
        <v>0</v>
      </c>
      <c r="R1426" t="inlineStr">
        <is>
          <t>432-2025-12-31</t>
        </is>
      </c>
    </row>
    <row r="1427" hidden="1">
      <c r="A1427" t="n">
        <v>432</v>
      </c>
      <c r="B1427" t="inlineStr">
        <is>
          <t>Intervención a la gestión del riesgo de los colaboradores</t>
        </is>
      </c>
      <c r="C1427" t="inlineStr">
        <is>
          <t>GESTIÓN DE SEGURIDAD Y SALUD EN EL TRABAJO</t>
        </is>
      </c>
      <c r="D1427" t="inlineStr">
        <is>
          <t>Semestral</t>
        </is>
      </c>
      <c r="E1427" t="inlineStr">
        <is>
          <t>Positivo</t>
        </is>
      </c>
      <c r="F1427" s="113" t="n">
        <v>46203</v>
      </c>
      <c r="G1427" t="n">
        <v>2026</v>
      </c>
      <c r="H1427" t="inlineStr">
        <is>
          <t>Junio</t>
        </is>
      </c>
      <c r="I1427" t="inlineStr">
        <is>
          <t>2026-1</t>
        </is>
      </c>
      <c r="K1427" t="n">
        <v>100</v>
      </c>
      <c r="L1427" s="39" t="n"/>
      <c r="M1427" s="39" t="n"/>
      <c r="N1427" t="inlineStr">
        <is>
          <t>%</t>
        </is>
      </c>
      <c r="O1427" t="inlineStr">
        <is>
          <t>%</t>
        </is>
      </c>
      <c r="P1427" t="n">
        <v>0</v>
      </c>
      <c r="Q1427" t="n">
        <v>0</v>
      </c>
      <c r="R1427" t="inlineStr">
        <is>
          <t>432-2026-06-30</t>
        </is>
      </c>
    </row>
    <row r="1428" hidden="1">
      <c r="A1428" t="n">
        <v>433</v>
      </c>
      <c r="B1428" t="inlineStr">
        <is>
          <t>Generación de Residuos Peligrosos per Cápita Semestral</t>
        </is>
      </c>
      <c r="C1428" t="inlineStr">
        <is>
          <t>GESTIÓN AMBIENTAL</t>
        </is>
      </c>
      <c r="D1428" t="inlineStr">
        <is>
          <t>Semestral</t>
        </is>
      </c>
      <c r="E1428" t="inlineStr">
        <is>
          <t>Negativo</t>
        </is>
      </c>
      <c r="F1428" s="113" t="n">
        <v>45107</v>
      </c>
      <c r="G1428" t="n">
        <v>2023</v>
      </c>
      <c r="H1428" t="inlineStr">
        <is>
          <t>Junio</t>
        </is>
      </c>
      <c r="I1428" t="inlineStr">
        <is>
          <t>2023-1</t>
        </is>
      </c>
      <c r="J1428" t="n">
        <v>0.05</v>
      </c>
      <c r="K1428" t="n">
        <v>0.02</v>
      </c>
      <c r="L1428" s="39" t="n">
        <v>1.3</v>
      </c>
      <c r="M1428" s="39" t="n">
        <v>2.5</v>
      </c>
      <c r="N1428" t="inlineStr">
        <is>
          <t>DEC</t>
        </is>
      </c>
      <c r="O1428" t="inlineStr">
        <is>
          <t>DEC</t>
        </is>
      </c>
      <c r="P1428" t="n">
        <v>2</v>
      </c>
      <c r="Q1428" t="n">
        <v>2</v>
      </c>
      <c r="R1428" t="inlineStr">
        <is>
          <t>433-2023-06-30</t>
        </is>
      </c>
    </row>
    <row r="1429" hidden="1">
      <c r="A1429" t="n">
        <v>433</v>
      </c>
      <c r="B1429" t="inlineStr">
        <is>
          <t>Generación de Residuos Peligrosos per Cápita Semestral</t>
        </is>
      </c>
      <c r="C1429" t="inlineStr">
        <is>
          <t>GESTIÓN AMBIENTAL</t>
        </is>
      </c>
      <c r="D1429" t="inlineStr">
        <is>
          <t>Semestral</t>
        </is>
      </c>
      <c r="E1429" t="inlineStr">
        <is>
          <t>Negativo</t>
        </is>
      </c>
      <c r="F1429" s="113" t="n">
        <v>45291</v>
      </c>
      <c r="G1429" t="n">
        <v>2023</v>
      </c>
      <c r="H1429" t="inlineStr">
        <is>
          <t>Diciembre</t>
        </is>
      </c>
      <c r="I1429" t="inlineStr">
        <is>
          <t>2023-2</t>
        </is>
      </c>
      <c r="J1429" t="n">
        <v>0.05</v>
      </c>
      <c r="K1429" t="n">
        <v>0.05</v>
      </c>
      <c r="L1429" s="39" t="n">
        <v>1</v>
      </c>
      <c r="M1429" s="39" t="n">
        <v>1</v>
      </c>
      <c r="N1429" t="inlineStr">
        <is>
          <t>DEC</t>
        </is>
      </c>
      <c r="O1429" t="inlineStr">
        <is>
          <t>DEC</t>
        </is>
      </c>
      <c r="P1429" t="n">
        <v>2</v>
      </c>
      <c r="Q1429" t="n">
        <v>2</v>
      </c>
      <c r="R1429" t="inlineStr">
        <is>
          <t>433-2023-12-31</t>
        </is>
      </c>
    </row>
    <row r="1430" hidden="1">
      <c r="A1430" t="n">
        <v>433</v>
      </c>
      <c r="B1430" t="inlineStr">
        <is>
          <t>Generación de Residuos Peligrosos per Cápita Semestral</t>
        </is>
      </c>
      <c r="C1430" t="inlineStr">
        <is>
          <t>GESTIÓN AMBIENTAL</t>
        </is>
      </c>
      <c r="D1430" t="inlineStr">
        <is>
          <t>Semestral</t>
        </is>
      </c>
      <c r="E1430" t="inlineStr">
        <is>
          <t>Negativo</t>
        </is>
      </c>
      <c r="F1430" s="113" t="n">
        <v>45473</v>
      </c>
      <c r="G1430" t="n">
        <v>2024</v>
      </c>
      <c r="H1430" t="inlineStr">
        <is>
          <t>Junio</t>
        </is>
      </c>
      <c r="I1430" t="inlineStr">
        <is>
          <t>2024-1</t>
        </is>
      </c>
      <c r="J1430" t="n">
        <v>0.05</v>
      </c>
      <c r="K1430" t="n">
        <v>0.07000000000000001</v>
      </c>
      <c r="L1430" s="39" t="n">
        <v>0.7142857142857143</v>
      </c>
      <c r="M1430" s="39" t="n">
        <v>0.7142857142857143</v>
      </c>
      <c r="P1430" t="n">
        <v>0</v>
      </c>
      <c r="Q1430" t="n">
        <v>0</v>
      </c>
      <c r="R1430" t="inlineStr">
        <is>
          <t>433-2024-06-30</t>
        </is>
      </c>
    </row>
    <row r="1431" hidden="1">
      <c r="A1431" t="n">
        <v>433</v>
      </c>
      <c r="B1431" t="inlineStr">
        <is>
          <t>Generación de Residuos Peligrosos per Cápita Semestral</t>
        </is>
      </c>
      <c r="C1431" t="inlineStr">
        <is>
          <t>GESTIÓN AMBIENTAL</t>
        </is>
      </c>
      <c r="D1431" t="inlineStr">
        <is>
          <t>Semestral</t>
        </is>
      </c>
      <c r="E1431" t="inlineStr">
        <is>
          <t>Negativo</t>
        </is>
      </c>
      <c r="F1431" s="113" t="n">
        <v>45657</v>
      </c>
      <c r="G1431" t="n">
        <v>2024</v>
      </c>
      <c r="H1431" t="inlineStr">
        <is>
          <t>Diciembre</t>
        </is>
      </c>
      <c r="I1431" t="inlineStr">
        <is>
          <t>2024-2</t>
        </is>
      </c>
      <c r="J1431" t="n">
        <v>0.05</v>
      </c>
      <c r="K1431" t="n">
        <v>0.14</v>
      </c>
      <c r="L1431" s="39" t="n">
        <v>0.3571428571428572</v>
      </c>
      <c r="M1431" s="39" t="n">
        <v>0.3571428571428572</v>
      </c>
      <c r="P1431" t="n">
        <v>0</v>
      </c>
      <c r="Q1431" t="n">
        <v>0</v>
      </c>
      <c r="R1431" t="inlineStr">
        <is>
          <t>433-2024-12-31</t>
        </is>
      </c>
    </row>
    <row r="1432" hidden="1">
      <c r="A1432" t="n">
        <v>433</v>
      </c>
      <c r="B1432" t="inlineStr">
        <is>
          <t>Generación de Residuos Peligrosos per Cápita Semestral</t>
        </is>
      </c>
      <c r="C1432" t="inlineStr">
        <is>
          <t>GESTIÓN AMBIENTAL</t>
        </is>
      </c>
      <c r="D1432" t="inlineStr">
        <is>
          <t>Trimestral</t>
        </is>
      </c>
      <c r="E1432" t="inlineStr">
        <is>
          <t>Negativo</t>
        </is>
      </c>
      <c r="F1432" s="113" t="n">
        <v>45838</v>
      </c>
      <c r="G1432" t="n">
        <v>2025</v>
      </c>
      <c r="H1432" t="inlineStr">
        <is>
          <t>Junio</t>
        </is>
      </c>
      <c r="I1432" t="inlineStr">
        <is>
          <t>2025-1</t>
        </is>
      </c>
      <c r="J1432" t="n">
        <v>0.05</v>
      </c>
      <c r="K1432" t="n">
        <v>0.02</v>
      </c>
      <c r="L1432" s="39" t="n">
        <v>1.3</v>
      </c>
      <c r="M1432" s="39" t="n">
        <v>2.5</v>
      </c>
      <c r="N1432" t="inlineStr">
        <is>
          <t>DEC</t>
        </is>
      </c>
      <c r="O1432" t="inlineStr">
        <is>
          <t>DEC</t>
        </is>
      </c>
      <c r="P1432" t="n">
        <v>2</v>
      </c>
      <c r="Q1432" t="n">
        <v>2</v>
      </c>
      <c r="R1432" t="inlineStr">
        <is>
          <t>433-2025-06-30</t>
        </is>
      </c>
    </row>
    <row r="1433" hidden="1">
      <c r="A1433" t="n">
        <v>433</v>
      </c>
      <c r="B1433" t="inlineStr">
        <is>
          <t>Generación de Residuos Peligrosos per Cápita Semestral</t>
        </is>
      </c>
      <c r="C1433" t="inlineStr">
        <is>
          <t>GESTIÓN AMBIENTAL</t>
        </is>
      </c>
      <c r="D1433" t="inlineStr">
        <is>
          <t>Trimestral</t>
        </is>
      </c>
      <c r="E1433" t="inlineStr">
        <is>
          <t>Negativo</t>
        </is>
      </c>
      <c r="F1433" s="113" t="n">
        <v>46022</v>
      </c>
      <c r="G1433" t="n">
        <v>2025</v>
      </c>
      <c r="H1433" t="inlineStr">
        <is>
          <t>Diciembre</t>
        </is>
      </c>
      <c r="I1433" t="inlineStr">
        <is>
          <t>2025-2</t>
        </is>
      </c>
      <c r="J1433" t="n">
        <v>0.05</v>
      </c>
      <c r="K1433" t="n">
        <v>0.17</v>
      </c>
      <c r="L1433" s="39" t="n">
        <v>0.2941176470588235</v>
      </c>
      <c r="M1433" s="39" t="n">
        <v>0.2941176470588235</v>
      </c>
      <c r="N1433" t="inlineStr">
        <is>
          <t>DEC</t>
        </is>
      </c>
      <c r="O1433" t="inlineStr">
        <is>
          <t>DEC</t>
        </is>
      </c>
      <c r="P1433" t="n">
        <v>2</v>
      </c>
      <c r="Q1433" t="n">
        <v>2</v>
      </c>
      <c r="R1433" t="inlineStr">
        <is>
          <t>433-2025-12-31</t>
        </is>
      </c>
    </row>
    <row r="1434" hidden="1">
      <c r="A1434" t="n">
        <v>434</v>
      </c>
      <c r="B1434" t="inlineStr">
        <is>
          <t>Generación de Residuos Peligrosos Mensual</t>
        </is>
      </c>
      <c r="C1434" t="inlineStr">
        <is>
          <t>GESTIÓN AMBIENTAL</t>
        </is>
      </c>
      <c r="D1434" t="inlineStr">
        <is>
          <t>Mensual</t>
        </is>
      </c>
      <c r="E1434" t="inlineStr">
        <is>
          <t>Negativo</t>
        </is>
      </c>
      <c r="F1434" s="113" t="n">
        <v>45107</v>
      </c>
      <c r="G1434" t="n">
        <v>2023</v>
      </c>
      <c r="H1434" t="inlineStr">
        <is>
          <t>Junio</t>
        </is>
      </c>
      <c r="I1434" t="inlineStr">
        <is>
          <t>2023-1</t>
        </is>
      </c>
      <c r="J1434" t="n">
        <v>1200</v>
      </c>
      <c r="K1434" t="n">
        <v>18.5</v>
      </c>
      <c r="L1434" s="39" t="n">
        <v>1.3</v>
      </c>
      <c r="M1434" s="39" t="n">
        <v>64.86486486486487</v>
      </c>
      <c r="N1434" t="inlineStr">
        <is>
          <t>Kg</t>
        </is>
      </c>
      <c r="O1434" t="inlineStr">
        <is>
          <t>Kg</t>
        </is>
      </c>
      <c r="P1434" t="n">
        <v>0</v>
      </c>
      <c r="Q1434" t="n">
        <v>0</v>
      </c>
      <c r="R1434" t="inlineStr">
        <is>
          <t>434-2023-06-30</t>
        </is>
      </c>
    </row>
    <row r="1435" hidden="1">
      <c r="A1435" t="n">
        <v>434</v>
      </c>
      <c r="B1435" t="inlineStr">
        <is>
          <t>Generación de Residuos Peligroso Mensual</t>
        </is>
      </c>
      <c r="C1435" t="inlineStr">
        <is>
          <t>GESTIÓN AMBIENTAL</t>
        </is>
      </c>
      <c r="D1435" t="inlineStr">
        <is>
          <t>Mensual</t>
        </is>
      </c>
      <c r="E1435" t="inlineStr">
        <is>
          <t>Negativo</t>
        </is>
      </c>
      <c r="F1435" s="113" t="n">
        <v>45291</v>
      </c>
      <c r="G1435" t="n">
        <v>2023</v>
      </c>
      <c r="H1435" t="inlineStr">
        <is>
          <t>Diciembre</t>
        </is>
      </c>
      <c r="I1435" t="inlineStr">
        <is>
          <t>2023-2</t>
        </is>
      </c>
      <c r="J1435" t="n">
        <v>1200</v>
      </c>
      <c r="K1435" t="n">
        <v>2275.63</v>
      </c>
      <c r="L1435" s="39" t="n">
        <v>0.5273264985959931</v>
      </c>
      <c r="M1435" s="39" t="n">
        <v>0.5273264985959931</v>
      </c>
      <c r="P1435" t="n">
        <v>1</v>
      </c>
      <c r="Q1435" t="n">
        <v>1</v>
      </c>
      <c r="R1435" t="inlineStr">
        <is>
          <t>434-2023-12-31</t>
        </is>
      </c>
    </row>
    <row r="1436" hidden="1">
      <c r="A1436" t="n">
        <v>434</v>
      </c>
      <c r="B1436" t="inlineStr">
        <is>
          <t>Generación de Residuos Peligrosos Mensual</t>
        </is>
      </c>
      <c r="C1436" t="inlineStr">
        <is>
          <t>GESTIÓN AMBIENTAL</t>
        </is>
      </c>
      <c r="D1436" t="inlineStr">
        <is>
          <t>Mensual</t>
        </is>
      </c>
      <c r="E1436" t="inlineStr">
        <is>
          <t>Negativo</t>
        </is>
      </c>
      <c r="F1436" s="113" t="n">
        <v>45473</v>
      </c>
      <c r="G1436" t="n">
        <v>2024</v>
      </c>
      <c r="H1436" t="inlineStr">
        <is>
          <t>Junio</t>
        </is>
      </c>
      <c r="I1436" t="inlineStr">
        <is>
          <t>2024-1</t>
        </is>
      </c>
      <c r="J1436" t="n">
        <v>1200</v>
      </c>
      <c r="K1436" t="n">
        <v>3489.51</v>
      </c>
      <c r="L1436" s="39" t="n">
        <v>0.343887823791879</v>
      </c>
      <c r="M1436" s="39" t="n">
        <v>0.343887823791879</v>
      </c>
      <c r="P1436" t="n">
        <v>0</v>
      </c>
      <c r="Q1436" t="n">
        <v>0</v>
      </c>
      <c r="R1436" t="inlineStr">
        <is>
          <t>434-2024-06-30</t>
        </is>
      </c>
    </row>
    <row r="1437" hidden="1">
      <c r="A1437" t="n">
        <v>434</v>
      </c>
      <c r="B1437" t="inlineStr">
        <is>
          <t>Generación de Residuos Peligrosos Mensual</t>
        </is>
      </c>
      <c r="C1437" t="inlineStr">
        <is>
          <t>GESTIÓN AMBIENTAL</t>
        </is>
      </c>
      <c r="D1437" t="inlineStr">
        <is>
          <t>Mensual</t>
        </is>
      </c>
      <c r="E1437" t="inlineStr">
        <is>
          <t>Negativo</t>
        </is>
      </c>
      <c r="F1437" s="113" t="n">
        <v>45657</v>
      </c>
      <c r="G1437" t="n">
        <v>2024</v>
      </c>
      <c r="H1437" t="inlineStr">
        <is>
          <t>Diciembre</t>
        </is>
      </c>
      <c r="I1437" t="inlineStr">
        <is>
          <t>2024-2</t>
        </is>
      </c>
      <c r="J1437" t="n">
        <v>1200</v>
      </c>
      <c r="K1437" t="n">
        <v>1937.73</v>
      </c>
      <c r="L1437" s="39" t="n">
        <v>0.6192813240234708</v>
      </c>
      <c r="M1437" s="39" t="n">
        <v>0.6192813240234708</v>
      </c>
      <c r="P1437" t="n">
        <v>0</v>
      </c>
      <c r="Q1437" t="n">
        <v>0</v>
      </c>
      <c r="R1437" t="inlineStr">
        <is>
          <t>434-2024-12-31</t>
        </is>
      </c>
    </row>
    <row r="1438" hidden="1">
      <c r="A1438" t="n">
        <v>434</v>
      </c>
      <c r="B1438" t="inlineStr">
        <is>
          <t>Generación de Residuos Peligrosos Mensual</t>
        </is>
      </c>
      <c r="C1438" t="inlineStr">
        <is>
          <t>GESTIÓN AMBIENTAL</t>
        </is>
      </c>
      <c r="D1438" t="inlineStr">
        <is>
          <t>Mensual</t>
        </is>
      </c>
      <c r="E1438" t="inlineStr">
        <is>
          <t>Negativo</t>
        </is>
      </c>
      <c r="F1438" s="113" t="n">
        <v>45838</v>
      </c>
      <c r="G1438" t="n">
        <v>2025</v>
      </c>
      <c r="H1438" t="inlineStr">
        <is>
          <t>Junio</t>
        </is>
      </c>
      <c r="I1438" t="inlineStr">
        <is>
          <t>2025-1</t>
        </is>
      </c>
      <c r="J1438" t="n">
        <v>1200</v>
      </c>
      <c r="K1438" t="n">
        <v>2467.36</v>
      </c>
      <c r="L1438" s="39" t="n">
        <v>0.4863497827637637</v>
      </c>
      <c r="M1438" s="39" t="n">
        <v>0.4863497827637637</v>
      </c>
      <c r="N1438" t="inlineStr">
        <is>
          <t>Kg</t>
        </is>
      </c>
      <c r="O1438" t="inlineStr">
        <is>
          <t>Kg</t>
        </is>
      </c>
      <c r="P1438" t="n">
        <v>0</v>
      </c>
      <c r="Q1438" t="n">
        <v>0</v>
      </c>
      <c r="R1438" t="inlineStr">
        <is>
          <t>434-2025-06-30</t>
        </is>
      </c>
    </row>
    <row r="1439" hidden="1">
      <c r="A1439" t="n">
        <v>434</v>
      </c>
      <c r="B1439" t="inlineStr">
        <is>
          <t>Generación de Residuos Peligrosos Mensual</t>
        </is>
      </c>
      <c r="C1439" t="inlineStr">
        <is>
          <t>GESTIÓN AMBIENTAL</t>
        </is>
      </c>
      <c r="D1439" t="inlineStr">
        <is>
          <t>Mensual</t>
        </is>
      </c>
      <c r="E1439" t="inlineStr">
        <is>
          <t>Negativo</t>
        </is>
      </c>
      <c r="F1439" s="113" t="n">
        <v>46022</v>
      </c>
      <c r="G1439" t="n">
        <v>2025</v>
      </c>
      <c r="H1439" t="inlineStr">
        <is>
          <t>Diciembre</t>
        </is>
      </c>
      <c r="I1439" t="inlineStr">
        <is>
          <t>2025-2</t>
        </is>
      </c>
      <c r="J1439" t="n">
        <v>1200</v>
      </c>
      <c r="K1439" t="n">
        <v>5316.2</v>
      </c>
      <c r="L1439" s="39" t="n">
        <v>0.2257251420187352</v>
      </c>
      <c r="M1439" s="39" t="n">
        <v>0.2257251420187352</v>
      </c>
      <c r="N1439" t="inlineStr">
        <is>
          <t>Kg</t>
        </is>
      </c>
      <c r="O1439" t="inlineStr">
        <is>
          <t>Kg</t>
        </is>
      </c>
      <c r="P1439" t="n">
        <v>0</v>
      </c>
      <c r="Q1439" t="n">
        <v>0</v>
      </c>
      <c r="R1439" t="inlineStr">
        <is>
          <t>434-2025-12-31</t>
        </is>
      </c>
    </row>
    <row r="1440" hidden="1">
      <c r="A1440" t="n">
        <v>435</v>
      </c>
      <c r="B1440" t="inlineStr">
        <is>
          <t>Disminución de la Generación de Residuos Peligrosos per Cápita</t>
        </is>
      </c>
      <c r="C1440" t="inlineStr">
        <is>
          <t>GESTIÓN AMBIENTAL</t>
        </is>
      </c>
      <c r="D1440" t="inlineStr">
        <is>
          <t>Semestral</t>
        </is>
      </c>
      <c r="E1440" t="inlineStr">
        <is>
          <t>Positivo</t>
        </is>
      </c>
      <c r="F1440" s="113" t="n">
        <v>45107</v>
      </c>
      <c r="G1440" t="n">
        <v>2023</v>
      </c>
      <c r="H1440" t="inlineStr">
        <is>
          <t>Junio</t>
        </is>
      </c>
      <c r="I1440" t="inlineStr">
        <is>
          <t>2023-1</t>
        </is>
      </c>
      <c r="J1440" t="n">
        <v>100</v>
      </c>
      <c r="K1440" t="n">
        <v>0.43352601156069</v>
      </c>
      <c r="L1440" s="39" t="n">
        <v>0.0043352601156069</v>
      </c>
      <c r="M1440" s="39" t="n">
        <v>0.0043352601156069</v>
      </c>
      <c r="N1440" t="inlineStr">
        <is>
          <t>DEC</t>
        </is>
      </c>
      <c r="O1440" t="inlineStr">
        <is>
          <t>DEC</t>
        </is>
      </c>
      <c r="P1440" t="n">
        <v>2</v>
      </c>
      <c r="Q1440" t="n">
        <v>2</v>
      </c>
      <c r="R1440" t="inlineStr">
        <is>
          <t>435-2023-06-30</t>
        </is>
      </c>
    </row>
    <row r="1441" hidden="1">
      <c r="A1441" t="n">
        <v>435</v>
      </c>
      <c r="B1441" t="inlineStr">
        <is>
          <t>Disminución de la Generación de Residuos Peligrosos per Cápita</t>
        </is>
      </c>
      <c r="C1441" t="inlineStr">
        <is>
          <t>GESTIÓN AMBIENTAL</t>
        </is>
      </c>
      <c r="D1441" t="inlineStr">
        <is>
          <t>Semestral</t>
        </is>
      </c>
      <c r="E1441" t="inlineStr">
        <is>
          <t>Positivo</t>
        </is>
      </c>
      <c r="F1441" s="113" t="n">
        <v>45291</v>
      </c>
      <c r="G1441" t="n">
        <v>2023</v>
      </c>
      <c r="H1441" t="inlineStr">
        <is>
          <t>Diciembre</t>
        </is>
      </c>
      <c r="I1441" t="inlineStr">
        <is>
          <t>2023-2</t>
        </is>
      </c>
      <c r="J1441" t="n">
        <v>100</v>
      </c>
      <c r="K1441" t="n">
        <v>-111.57</v>
      </c>
      <c r="L1441" s="39" t="n">
        <v>0</v>
      </c>
      <c r="M1441" s="39" t="n">
        <v>0</v>
      </c>
      <c r="N1441" t="inlineStr">
        <is>
          <t>DEC</t>
        </is>
      </c>
      <c r="O1441" t="inlineStr">
        <is>
          <t>DEC</t>
        </is>
      </c>
      <c r="P1441" t="n">
        <v>2</v>
      </c>
      <c r="Q1441" t="n">
        <v>2</v>
      </c>
      <c r="R1441" t="inlineStr">
        <is>
          <t>435-2023-12-31</t>
        </is>
      </c>
    </row>
    <row r="1442" hidden="1">
      <c r="A1442" t="n">
        <v>435</v>
      </c>
      <c r="B1442" t="inlineStr">
        <is>
          <t>Disminución de la Generación de Residuos Peligrosos per Cápita</t>
        </is>
      </c>
      <c r="C1442" t="inlineStr">
        <is>
          <t>GESTIÓN AMBIENTAL</t>
        </is>
      </c>
      <c r="D1442" t="inlineStr">
        <is>
          <t>Semestral</t>
        </is>
      </c>
      <c r="E1442" t="inlineStr">
        <is>
          <t>Positivo</t>
        </is>
      </c>
      <c r="F1442" s="113" t="n">
        <v>45473</v>
      </c>
      <c r="G1442" t="n">
        <v>2024</v>
      </c>
      <c r="H1442" t="inlineStr">
        <is>
          <t>Junio</t>
        </is>
      </c>
      <c r="I1442" t="inlineStr">
        <is>
          <t>2024-1</t>
        </is>
      </c>
      <c r="J1442" t="n">
        <v>100</v>
      </c>
      <c r="K1442" t="n">
        <v>-20.67</v>
      </c>
      <c r="L1442" s="39" t="n">
        <v>0</v>
      </c>
      <c r="M1442" s="39" t="n">
        <v>0</v>
      </c>
      <c r="P1442" t="n">
        <v>0</v>
      </c>
      <c r="Q1442" t="n">
        <v>0</v>
      </c>
      <c r="R1442" t="inlineStr">
        <is>
          <t>435-2024-06-30</t>
        </is>
      </c>
    </row>
    <row r="1443" hidden="1">
      <c r="A1443" t="n">
        <v>435</v>
      </c>
      <c r="B1443" t="inlineStr">
        <is>
          <t>Disminución de la Generación de Residuos Peligrosos per Cápita</t>
        </is>
      </c>
      <c r="C1443" t="inlineStr">
        <is>
          <t>GESTIÓN AMBIENTAL</t>
        </is>
      </c>
      <c r="D1443" t="inlineStr">
        <is>
          <t>Semestral</t>
        </is>
      </c>
      <c r="E1443" t="inlineStr">
        <is>
          <t>Positivo</t>
        </is>
      </c>
      <c r="F1443" s="113" t="n">
        <v>45657</v>
      </c>
      <c r="G1443" t="n">
        <v>2024</v>
      </c>
      <c r="H1443" t="inlineStr">
        <is>
          <t>Diciembre</t>
        </is>
      </c>
      <c r="I1443" t="inlineStr">
        <is>
          <t>2024-2</t>
        </is>
      </c>
      <c r="J1443" t="n">
        <v>100</v>
      </c>
      <c r="K1443" t="n">
        <v>71.09</v>
      </c>
      <c r="L1443" s="39" t="n">
        <v>0.7109000000000001</v>
      </c>
      <c r="M1443" s="39" t="n">
        <v>0.7109000000000001</v>
      </c>
      <c r="P1443" t="n">
        <v>0</v>
      </c>
      <c r="Q1443" t="n">
        <v>0</v>
      </c>
      <c r="R1443" t="inlineStr">
        <is>
          <t>435-2024-12-31</t>
        </is>
      </c>
    </row>
    <row r="1444" hidden="1">
      <c r="A1444" t="n">
        <v>435</v>
      </c>
      <c r="B1444" t="inlineStr">
        <is>
          <t>Disminución de la Generación de Residuos Peligrosos per Cápita</t>
        </is>
      </c>
      <c r="C1444" t="inlineStr">
        <is>
          <t>GESTIÓN AMBIENTAL</t>
        </is>
      </c>
      <c r="D1444" t="inlineStr">
        <is>
          <t>Trimestral</t>
        </is>
      </c>
      <c r="E1444" t="inlineStr">
        <is>
          <t>Positivo</t>
        </is>
      </c>
      <c r="F1444" s="113" t="n">
        <v>45838</v>
      </c>
      <c r="G1444" t="n">
        <v>2025</v>
      </c>
      <c r="H1444" t="inlineStr">
        <is>
          <t>Junio</t>
        </is>
      </c>
      <c r="I1444" t="inlineStr">
        <is>
          <t>2025-1</t>
        </is>
      </c>
      <c r="J1444" t="n">
        <v>1</v>
      </c>
      <c r="K1444" t="n">
        <v>96.09</v>
      </c>
      <c r="L1444" s="39" t="n">
        <v>1.3</v>
      </c>
      <c r="M1444" s="39" t="n">
        <v>96.09</v>
      </c>
      <c r="N1444" t="inlineStr">
        <is>
          <t>%</t>
        </is>
      </c>
      <c r="O1444" t="inlineStr">
        <is>
          <t>%</t>
        </is>
      </c>
      <c r="P1444" t="n">
        <v>2</v>
      </c>
      <c r="Q1444" t="n">
        <v>2</v>
      </c>
      <c r="R1444" t="inlineStr">
        <is>
          <t>435-2025-06-30</t>
        </is>
      </c>
    </row>
    <row r="1445" hidden="1">
      <c r="A1445" t="n">
        <v>435</v>
      </c>
      <c r="B1445" t="inlineStr">
        <is>
          <t>Disminución de la Generación de Residuos Peligrosos per Cápita</t>
        </is>
      </c>
      <c r="C1445" t="inlineStr">
        <is>
          <t>GESTIÓN AMBIENTAL</t>
        </is>
      </c>
      <c r="D1445" t="inlineStr">
        <is>
          <t>Trimestral</t>
        </is>
      </c>
      <c r="E1445" t="inlineStr">
        <is>
          <t>Positivo</t>
        </is>
      </c>
      <c r="F1445" s="113" t="n">
        <v>46022</v>
      </c>
      <c r="G1445" t="n">
        <v>2025</v>
      </c>
      <c r="H1445" t="inlineStr">
        <is>
          <t>Diciembre</t>
        </is>
      </c>
      <c r="I1445" t="inlineStr">
        <is>
          <t>2025-2</t>
        </is>
      </c>
      <c r="J1445" t="n">
        <v>1</v>
      </c>
      <c r="K1445" t="n">
        <v>-732.08</v>
      </c>
      <c r="L1445" s="39" t="n">
        <v>0</v>
      </c>
      <c r="M1445" s="39" t="n">
        <v>0</v>
      </c>
      <c r="N1445" t="inlineStr">
        <is>
          <t>%</t>
        </is>
      </c>
      <c r="O1445" t="inlineStr">
        <is>
          <t>%</t>
        </is>
      </c>
      <c r="P1445" t="n">
        <v>2</v>
      </c>
      <c r="Q1445" t="n">
        <v>2</v>
      </c>
      <c r="R1445" t="inlineStr">
        <is>
          <t>435-2025-12-31</t>
        </is>
      </c>
    </row>
    <row r="1446" hidden="1">
      <c r="A1446" t="n">
        <v>436</v>
      </c>
      <c r="B1446" t="inlineStr">
        <is>
          <t>ANS documentos operativos</t>
        </is>
      </c>
      <c r="C1446" t="inlineStr">
        <is>
          <t>Gestión de calidad</t>
        </is>
      </c>
      <c r="D1446" t="inlineStr">
        <is>
          <t>Mensual</t>
        </is>
      </c>
      <c r="E1446" t="inlineStr">
        <is>
          <t>Negativo</t>
        </is>
      </c>
      <c r="F1446" s="113" t="n">
        <v>45291</v>
      </c>
      <c r="G1446" t="n">
        <v>2023</v>
      </c>
      <c r="H1446" t="inlineStr">
        <is>
          <t>Diciembre</t>
        </is>
      </c>
      <c r="I1446" t="inlineStr">
        <is>
          <t>2023-2</t>
        </is>
      </c>
      <c r="J1446" t="n">
        <v>21</v>
      </c>
      <c r="K1446" t="n">
        <v>11.06833333333333</v>
      </c>
      <c r="L1446" s="39" t="n">
        <v>1.3</v>
      </c>
      <c r="M1446" s="39" t="n">
        <v>1.897304622797772</v>
      </c>
      <c r="N1446" t="inlineStr">
        <is>
          <t>Días</t>
        </is>
      </c>
      <c r="O1446" t="inlineStr">
        <is>
          <t>Días</t>
        </is>
      </c>
      <c r="P1446" t="n">
        <v>1</v>
      </c>
      <c r="Q1446" t="n">
        <v>1</v>
      </c>
      <c r="R1446" t="inlineStr">
        <is>
          <t>436-2023-12-31</t>
        </is>
      </c>
    </row>
    <row r="1447" hidden="1">
      <c r="A1447" t="n">
        <v>436</v>
      </c>
      <c r="B1447" t="inlineStr">
        <is>
          <t>ANS documentos operativos</t>
        </is>
      </c>
      <c r="C1447" t="inlineStr">
        <is>
          <t>Gestión de calidad</t>
        </is>
      </c>
      <c r="D1447" t="inlineStr">
        <is>
          <t>Mensual</t>
        </is>
      </c>
      <c r="E1447" t="inlineStr">
        <is>
          <t>Negativo</t>
        </is>
      </c>
      <c r="F1447" s="113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14</v>
      </c>
      <c r="K1447" t="n">
        <v>11.56666666666667</v>
      </c>
      <c r="L1447" s="39" t="n">
        <v>1.210374639769452</v>
      </c>
      <c r="M1447" s="39" t="n">
        <v>1.210374639769452</v>
      </c>
      <c r="P1447" t="n">
        <v>0</v>
      </c>
      <c r="Q1447" t="n">
        <v>0</v>
      </c>
      <c r="R1447" t="inlineStr">
        <is>
          <t>436-2024-06-30</t>
        </is>
      </c>
    </row>
    <row r="1448" hidden="1">
      <c r="A1448" t="n">
        <v>436</v>
      </c>
      <c r="B1448" t="inlineStr">
        <is>
          <t>ANS documentos operativos</t>
        </is>
      </c>
      <c r="C1448" t="inlineStr">
        <is>
          <t>Gestión de calidad</t>
        </is>
      </c>
      <c r="D1448" t="inlineStr">
        <is>
          <t>Mensual</t>
        </is>
      </c>
      <c r="E1448" t="inlineStr">
        <is>
          <t>Negativo</t>
        </is>
      </c>
      <c r="F1448" s="113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14</v>
      </c>
      <c r="K1448" t="n">
        <v>10.56166666666667</v>
      </c>
      <c r="L1448" s="39" t="n">
        <v>1.3</v>
      </c>
      <c r="M1448" s="39" t="n">
        <v>1.325548366735048</v>
      </c>
      <c r="P1448" t="n">
        <v>0</v>
      </c>
      <c r="Q1448" t="n">
        <v>0</v>
      </c>
      <c r="R1448" t="inlineStr">
        <is>
          <t>436-2024-12-31</t>
        </is>
      </c>
    </row>
    <row r="1449" hidden="1">
      <c r="A1449" t="n">
        <v>436</v>
      </c>
      <c r="B1449" t="inlineStr">
        <is>
          <t>ANS documentos operativos</t>
        </is>
      </c>
      <c r="C1449" t="inlineStr">
        <is>
          <t>Gestión de calidad</t>
        </is>
      </c>
      <c r="D1449" t="inlineStr">
        <is>
          <t>Mensual</t>
        </is>
      </c>
      <c r="E1449" t="inlineStr">
        <is>
          <t>Negativo</t>
        </is>
      </c>
      <c r="F1449" s="113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14</v>
      </c>
      <c r="K1449" t="n">
        <v>8.606666666666667</v>
      </c>
      <c r="L1449" s="39" t="n">
        <v>1.3</v>
      </c>
      <c r="M1449" s="39" t="n">
        <v>1.626646010844307</v>
      </c>
      <c r="N1449" t="inlineStr">
        <is>
          <t>Días</t>
        </is>
      </c>
      <c r="O1449" t="inlineStr">
        <is>
          <t>Días</t>
        </is>
      </c>
      <c r="P1449" t="n">
        <v>0</v>
      </c>
      <c r="Q1449" t="n">
        <v>1</v>
      </c>
      <c r="R1449" t="inlineStr">
        <is>
          <t>436-2025-06-30</t>
        </is>
      </c>
    </row>
    <row r="1450" hidden="1">
      <c r="A1450" t="n">
        <v>436</v>
      </c>
      <c r="B1450" t="inlineStr">
        <is>
          <t>ANS documentos operativos</t>
        </is>
      </c>
      <c r="C1450" t="inlineStr">
        <is>
          <t>Gestión de calidad</t>
        </is>
      </c>
      <c r="D1450" t="inlineStr">
        <is>
          <t>Mensual</t>
        </is>
      </c>
      <c r="E1450" t="inlineStr">
        <is>
          <t>Negativo</t>
        </is>
      </c>
      <c r="F1450" s="113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14</v>
      </c>
      <c r="K1450" t="n">
        <v>11.67333333333333</v>
      </c>
      <c r="L1450" s="39" t="n">
        <v>1.199314677327242</v>
      </c>
      <c r="M1450" s="39" t="n">
        <v>1.199314677327242</v>
      </c>
      <c r="N1450" t="inlineStr">
        <is>
          <t>Días</t>
        </is>
      </c>
      <c r="O1450" t="inlineStr">
        <is>
          <t>Días</t>
        </is>
      </c>
      <c r="P1450" t="n">
        <v>0</v>
      </c>
      <c r="Q1450" t="n">
        <v>1</v>
      </c>
      <c r="R1450" t="inlineStr">
        <is>
          <t>436-2025-12-31</t>
        </is>
      </c>
    </row>
    <row r="1451" hidden="1">
      <c r="A1451" t="n">
        <v>436</v>
      </c>
      <c r="B1451" t="inlineStr">
        <is>
          <t>ANS documentos operativos</t>
        </is>
      </c>
      <c r="C1451" t="inlineStr">
        <is>
          <t>Gestión de calidad</t>
        </is>
      </c>
      <c r="D1451" t="inlineStr">
        <is>
          <t>Mensual</t>
        </is>
      </c>
      <c r="E1451" t="inlineStr">
        <is>
          <t>Negativo</t>
        </is>
      </c>
      <c r="F1451" s="113" t="n">
        <v>46203</v>
      </c>
      <c r="G1451" t="n">
        <v>2026</v>
      </c>
      <c r="H1451" t="inlineStr">
        <is>
          <t>Junio</t>
        </is>
      </c>
      <c r="I1451" t="inlineStr">
        <is>
          <t>2026-1</t>
        </is>
      </c>
      <c r="J1451" t="n">
        <v>14</v>
      </c>
      <c r="K1451" t="n">
        <v>10.82</v>
      </c>
      <c r="L1451" s="39" t="n">
        <v>1.293900184842883</v>
      </c>
      <c r="M1451" s="39" t="n">
        <v>1.293900184842883</v>
      </c>
      <c r="N1451" t="inlineStr">
        <is>
          <t>Días</t>
        </is>
      </c>
      <c r="O1451" t="inlineStr">
        <is>
          <t>Días</t>
        </is>
      </c>
      <c r="P1451" t="n">
        <v>0</v>
      </c>
      <c r="Q1451" t="n">
        <v>1</v>
      </c>
      <c r="R1451" t="inlineStr">
        <is>
          <t>436-2026-06-30</t>
        </is>
      </c>
    </row>
    <row r="1452" hidden="1">
      <c r="A1452" t="n">
        <v>437</v>
      </c>
      <c r="B1452" t="inlineStr">
        <is>
          <t>Nivel de Satisfacción Servicios Prestados - Riesgos</t>
        </is>
      </c>
      <c r="C1452" t="inlineStr">
        <is>
          <t>GESTIÓN DE RIESGOS</t>
        </is>
      </c>
      <c r="D1452" t="inlineStr">
        <is>
          <t>Anual</t>
        </is>
      </c>
      <c r="E1452" t="inlineStr">
        <is>
          <t>Positivo</t>
        </is>
      </c>
      <c r="F1452" s="113" t="n">
        <v>45291</v>
      </c>
      <c r="G1452" t="n">
        <v>2023</v>
      </c>
      <c r="H1452" t="inlineStr">
        <is>
          <t>Diciembre</t>
        </is>
      </c>
      <c r="I1452" t="inlineStr">
        <is>
          <t>2023-2</t>
        </is>
      </c>
      <c r="J1452" t="n">
        <v>80</v>
      </c>
      <c r="K1452" t="n">
        <v>96</v>
      </c>
      <c r="L1452" s="39" t="n">
        <v>1.2</v>
      </c>
      <c r="M1452" s="39" t="n">
        <v>1.2</v>
      </c>
      <c r="N1452" t="inlineStr">
        <is>
          <t>%</t>
        </is>
      </c>
      <c r="O1452" t="inlineStr">
        <is>
          <t>%</t>
        </is>
      </c>
      <c r="P1452" t="n">
        <v>0</v>
      </c>
      <c r="Q1452" t="n">
        <v>0</v>
      </c>
      <c r="R1452" t="inlineStr">
        <is>
          <t>437-2023-12-31</t>
        </is>
      </c>
    </row>
    <row r="1453" hidden="1">
      <c r="A1453" t="n">
        <v>437</v>
      </c>
      <c r="B1453" t="inlineStr">
        <is>
          <t>Nivel de Satisfacción Servicios Prestados - Riesgos</t>
        </is>
      </c>
      <c r="C1453" t="inlineStr">
        <is>
          <t>GESTIÓN DE RIESGOS</t>
        </is>
      </c>
      <c r="D1453" t="inlineStr">
        <is>
          <t>Anual</t>
        </is>
      </c>
      <c r="E1453" t="inlineStr">
        <is>
          <t>Positivo</t>
        </is>
      </c>
      <c r="F1453" s="113" t="n">
        <v>45657</v>
      </c>
      <c r="G1453" t="n">
        <v>2024</v>
      </c>
      <c r="H1453" t="inlineStr">
        <is>
          <t>Diciembre</t>
        </is>
      </c>
      <c r="I1453" t="inlineStr">
        <is>
          <t>2024-2</t>
        </is>
      </c>
      <c r="J1453" t="n">
        <v>80</v>
      </c>
      <c r="K1453" t="n">
        <v>84</v>
      </c>
      <c r="L1453" s="39" t="n">
        <v>1.05</v>
      </c>
      <c r="M1453" s="39" t="n">
        <v>1.05</v>
      </c>
      <c r="P1453" t="n">
        <v>0</v>
      </c>
      <c r="Q1453" t="n">
        <v>0</v>
      </c>
      <c r="R1453" t="inlineStr">
        <is>
          <t>437-2024-12-31</t>
        </is>
      </c>
    </row>
    <row r="1454" hidden="1">
      <c r="A1454" t="n">
        <v>437</v>
      </c>
      <c r="B1454" t="inlineStr">
        <is>
          <t>Nivel de Satisfacción Servicios Prestados - Riesgos</t>
        </is>
      </c>
      <c r="C1454" t="inlineStr">
        <is>
          <t>GESTIÓN DE RIESGOS</t>
        </is>
      </c>
      <c r="D1454" t="inlineStr">
        <is>
          <t>Anual</t>
        </is>
      </c>
      <c r="E1454" t="inlineStr">
        <is>
          <t>Positivo</t>
        </is>
      </c>
      <c r="F1454" s="113" t="n">
        <v>46022</v>
      </c>
      <c r="G1454" t="n">
        <v>2025</v>
      </c>
      <c r="H1454" t="inlineStr">
        <is>
          <t>Diciembre</t>
        </is>
      </c>
      <c r="I1454" t="inlineStr">
        <is>
          <t>2025-2</t>
        </is>
      </c>
      <c r="J1454" t="n">
        <v>80</v>
      </c>
      <c r="K1454" t="n">
        <v>99</v>
      </c>
      <c r="L1454" s="39" t="n">
        <v>1.2375</v>
      </c>
      <c r="M1454" s="39" t="n">
        <v>1.2375</v>
      </c>
      <c r="N1454" t="inlineStr">
        <is>
          <t>%</t>
        </is>
      </c>
      <c r="O1454" t="inlineStr">
        <is>
          <t>%</t>
        </is>
      </c>
      <c r="P1454" t="n">
        <v>0</v>
      </c>
      <c r="Q1454" t="n">
        <v>0</v>
      </c>
      <c r="R1454" t="inlineStr">
        <is>
          <t>437-2025-12-31</t>
        </is>
      </c>
    </row>
    <row r="1455" hidden="1">
      <c r="A1455" t="n">
        <v>438</v>
      </c>
      <c r="B1455" t="inlineStr">
        <is>
          <t>Seguimiento de asignación docente a NRC Pregrado-Posgrado Virtual</t>
        </is>
      </c>
      <c r="C1455" t="inlineStr">
        <is>
          <t>Operaciones Académica pregrado y posgrado virtual</t>
        </is>
      </c>
      <c r="D1455" t="inlineStr">
        <is>
          <t>Semestral</t>
        </is>
      </c>
      <c r="E1455" t="inlineStr">
        <is>
          <t>Positivo</t>
        </is>
      </c>
      <c r="F1455" s="113" t="n">
        <v>45291</v>
      </c>
      <c r="G1455" t="n">
        <v>2023</v>
      </c>
      <c r="H1455" t="inlineStr">
        <is>
          <t>Diciembre</t>
        </is>
      </c>
      <c r="I1455" t="inlineStr">
        <is>
          <t>2023-2</t>
        </is>
      </c>
      <c r="J1455" t="n">
        <v>100</v>
      </c>
      <c r="K1455" t="n">
        <v>100</v>
      </c>
      <c r="L1455" s="39" t="n">
        <v>1</v>
      </c>
      <c r="M1455" s="39" t="n">
        <v>1</v>
      </c>
      <c r="P1455" t="n">
        <v>0</v>
      </c>
      <c r="Q1455" t="n">
        <v>0</v>
      </c>
      <c r="R1455" t="inlineStr">
        <is>
          <t>438-2023-12-31</t>
        </is>
      </c>
    </row>
    <row r="1456" hidden="1">
      <c r="A1456" t="n">
        <v>439</v>
      </c>
      <c r="B1456" t="inlineStr">
        <is>
          <t>Disponibilidad de catálogo de asignaturas pregrado y posgrado virtual</t>
        </is>
      </c>
      <c r="C1456" t="inlineStr">
        <is>
          <t>Operaciones Académica pregrado y posgrado virtual</t>
        </is>
      </c>
      <c r="D1456" t="inlineStr">
        <is>
          <t>Semestral</t>
        </is>
      </c>
      <c r="E1456" t="inlineStr">
        <is>
          <t>Positivo</t>
        </is>
      </c>
      <c r="F1456" s="113" t="n">
        <v>45291</v>
      </c>
      <c r="G1456" t="n">
        <v>2023</v>
      </c>
      <c r="H1456" t="inlineStr">
        <is>
          <t>Diciembre</t>
        </is>
      </c>
      <c r="I1456" t="inlineStr">
        <is>
          <t>2023-2</t>
        </is>
      </c>
      <c r="J1456" t="n">
        <v>100</v>
      </c>
      <c r="K1456" t="n">
        <v>100</v>
      </c>
      <c r="L1456" s="39" t="n">
        <v>1</v>
      </c>
      <c r="M1456" s="39" t="n">
        <v>1</v>
      </c>
      <c r="P1456" t="n">
        <v>0</v>
      </c>
      <c r="Q1456" t="n">
        <v>0</v>
      </c>
      <c r="R1456" t="inlineStr">
        <is>
          <t>439-2023-12-31</t>
        </is>
      </c>
    </row>
    <row r="1457" hidden="1">
      <c r="A1457" t="n">
        <v>439</v>
      </c>
      <c r="B1457" t="inlineStr">
        <is>
          <t>Disponibilidad de catálogo de asignaturas pregrado y posgrado virtual</t>
        </is>
      </c>
      <c r="C1457" t="inlineStr">
        <is>
          <t>Operaciones Académicas</t>
        </is>
      </c>
      <c r="D1457" t="inlineStr">
        <is>
          <t>Semestral</t>
        </is>
      </c>
      <c r="E1457" t="inlineStr">
        <is>
          <t>Positivo</t>
        </is>
      </c>
      <c r="F1457" s="113" t="n">
        <v>45473</v>
      </c>
      <c r="G1457" t="n">
        <v>2024</v>
      </c>
      <c r="H1457" t="inlineStr">
        <is>
          <t>Junio</t>
        </is>
      </c>
      <c r="I1457" t="inlineStr">
        <is>
          <t>2024-1</t>
        </is>
      </c>
      <c r="J1457" t="n">
        <v>100</v>
      </c>
      <c r="K1457" t="n">
        <v>100</v>
      </c>
      <c r="L1457" s="39" t="n">
        <v>1</v>
      </c>
      <c r="M1457" s="39" t="n">
        <v>1</v>
      </c>
      <c r="P1457" t="n">
        <v>0</v>
      </c>
      <c r="Q1457" t="n">
        <v>0</v>
      </c>
      <c r="R1457" t="inlineStr">
        <is>
          <t>439-2024-06-30</t>
        </is>
      </c>
    </row>
    <row r="1458" hidden="1">
      <c r="A1458" t="n">
        <v>439</v>
      </c>
      <c r="B1458" t="inlineStr">
        <is>
          <t>Disponibilidad de catálogo de asignaturas pregrado y posgrado virtual</t>
        </is>
      </c>
      <c r="C1458" t="inlineStr">
        <is>
          <t>Operaciones Académicas</t>
        </is>
      </c>
      <c r="D1458" t="inlineStr">
        <is>
          <t>Semestral</t>
        </is>
      </c>
      <c r="E1458" t="inlineStr">
        <is>
          <t>Positivo</t>
        </is>
      </c>
      <c r="F1458" s="113" t="n">
        <v>45657</v>
      </c>
      <c r="G1458" t="n">
        <v>2024</v>
      </c>
      <c r="H1458" t="inlineStr">
        <is>
          <t>Diciembre</t>
        </is>
      </c>
      <c r="I1458" t="inlineStr">
        <is>
          <t>2024-2</t>
        </is>
      </c>
      <c r="J1458" t="n">
        <v>100</v>
      </c>
      <c r="K1458" t="n">
        <v>100</v>
      </c>
      <c r="L1458" s="39" t="n">
        <v>1</v>
      </c>
      <c r="M1458" s="39" t="n">
        <v>1</v>
      </c>
      <c r="P1458" t="n">
        <v>0</v>
      </c>
      <c r="Q1458" t="n">
        <v>0</v>
      </c>
      <c r="R1458" t="inlineStr">
        <is>
          <t>439-2024-12-31</t>
        </is>
      </c>
    </row>
    <row r="1459" hidden="1">
      <c r="A1459" t="n">
        <v>439</v>
      </c>
      <c r="B1459" t="inlineStr">
        <is>
          <t>Disponibilidad de catálogo de asignaturas pregrado y posgrado virtual</t>
        </is>
      </c>
      <c r="C1459" t="inlineStr">
        <is>
          <t>Operaciones Académicas</t>
        </is>
      </c>
      <c r="D1459" t="inlineStr">
        <is>
          <t>Trimestral</t>
        </is>
      </c>
      <c r="E1459" t="inlineStr">
        <is>
          <t>Positivo</t>
        </is>
      </c>
      <c r="F1459" s="113" t="n">
        <v>45838</v>
      </c>
      <c r="G1459" t="n">
        <v>2025</v>
      </c>
      <c r="H1459" t="inlineStr">
        <is>
          <t>Junio</t>
        </is>
      </c>
      <c r="I1459" t="inlineStr">
        <is>
          <t>2025-1</t>
        </is>
      </c>
      <c r="J1459" t="n">
        <v>100</v>
      </c>
      <c r="K1459" t="n">
        <v>100</v>
      </c>
      <c r="L1459" s="39" t="n">
        <v>1</v>
      </c>
      <c r="M1459" s="39" t="n">
        <v>1</v>
      </c>
      <c r="N1459" t="inlineStr">
        <is>
          <t>%</t>
        </is>
      </c>
      <c r="O1459" t="inlineStr">
        <is>
          <t>%</t>
        </is>
      </c>
      <c r="P1459" t="n">
        <v>0</v>
      </c>
      <c r="Q1459" t="n">
        <v>0</v>
      </c>
      <c r="R1459" t="inlineStr">
        <is>
          <t>439-2025-06-30</t>
        </is>
      </c>
    </row>
    <row r="1460" hidden="1">
      <c r="A1460" t="n">
        <v>439</v>
      </c>
      <c r="B1460" t="inlineStr">
        <is>
          <t>Disponibilidad de catálogo de asignaturas pregrado y posgrado virtual</t>
        </is>
      </c>
      <c r="C1460" t="inlineStr">
        <is>
          <t>Operaciones Académicas</t>
        </is>
      </c>
      <c r="D1460" t="inlineStr">
        <is>
          <t>Trimestral</t>
        </is>
      </c>
      <c r="E1460" t="inlineStr">
        <is>
          <t>Positivo</t>
        </is>
      </c>
      <c r="F1460" s="113" t="n">
        <v>46022</v>
      </c>
      <c r="G1460" t="n">
        <v>2025</v>
      </c>
      <c r="H1460" t="inlineStr">
        <is>
          <t>Diciembre</t>
        </is>
      </c>
      <c r="I1460" t="inlineStr">
        <is>
          <t>2025-2</t>
        </is>
      </c>
      <c r="J1460" t="n">
        <v>100</v>
      </c>
      <c r="K1460" t="n">
        <v>100</v>
      </c>
      <c r="L1460" s="39" t="n">
        <v>1</v>
      </c>
      <c r="M1460" s="39" t="n">
        <v>1</v>
      </c>
      <c r="N1460" t="inlineStr">
        <is>
          <t>%</t>
        </is>
      </c>
      <c r="O1460" t="inlineStr">
        <is>
          <t>%</t>
        </is>
      </c>
      <c r="P1460" t="n">
        <v>0</v>
      </c>
      <c r="Q1460" t="n">
        <v>0</v>
      </c>
      <c r="R1460" t="inlineStr">
        <is>
          <t>439-2025-12-31</t>
        </is>
      </c>
    </row>
    <row r="1461" hidden="1">
      <c r="A1461" t="n">
        <v>440</v>
      </c>
      <c r="B1461" t="inlineStr">
        <is>
          <t>Aseguramiento de matricula académica virtual</t>
        </is>
      </c>
      <c r="C1461" t="inlineStr">
        <is>
          <t>Operaciones Académica pregrado y posgrado virtual</t>
        </is>
      </c>
      <c r="D1461" t="inlineStr">
        <is>
          <t>Semestral</t>
        </is>
      </c>
      <c r="E1461" t="inlineStr">
        <is>
          <t>Positivo</t>
        </is>
      </c>
      <c r="F1461" s="113" t="n">
        <v>45291</v>
      </c>
      <c r="G1461" t="n">
        <v>2023</v>
      </c>
      <c r="H1461" t="inlineStr">
        <is>
          <t>Diciembre</t>
        </is>
      </c>
      <c r="I1461" t="inlineStr">
        <is>
          <t>2023-2</t>
        </is>
      </c>
      <c r="J1461" t="n">
        <v>98</v>
      </c>
      <c r="K1461" t="n">
        <v>97.746062537527</v>
      </c>
      <c r="L1461" s="39" t="n">
        <v>0.9974088014033367</v>
      </c>
      <c r="M1461" s="39" t="n">
        <v>0.9974088014033367</v>
      </c>
      <c r="P1461" t="n">
        <v>1</v>
      </c>
      <c r="Q1461" t="n">
        <v>1</v>
      </c>
      <c r="R1461" t="inlineStr">
        <is>
          <t>440-2023-12-31</t>
        </is>
      </c>
    </row>
    <row r="1462" hidden="1">
      <c r="A1462" t="n">
        <v>440</v>
      </c>
      <c r="B1462" t="inlineStr">
        <is>
          <t>Aseguramiento de matricula académica virtual</t>
        </is>
      </c>
      <c r="C1462" t="inlineStr">
        <is>
          <t>Operaciones Académicas</t>
        </is>
      </c>
      <c r="D1462" t="inlineStr">
        <is>
          <t>Semestral</t>
        </is>
      </c>
      <c r="E1462" t="inlineStr">
        <is>
          <t>Positivo</t>
        </is>
      </c>
      <c r="F1462" s="113" t="n">
        <v>45473</v>
      </c>
      <c r="G1462" t="n">
        <v>2024</v>
      </c>
      <c r="H1462" t="inlineStr">
        <is>
          <t>Junio</t>
        </is>
      </c>
      <c r="I1462" t="inlineStr">
        <is>
          <t>2024-1</t>
        </is>
      </c>
      <c r="J1462" t="n">
        <v>98</v>
      </c>
      <c r="K1462" t="n">
        <v>99.73</v>
      </c>
      <c r="L1462" s="39" t="n">
        <v>1.01765306122449</v>
      </c>
      <c r="M1462" s="39" t="n">
        <v>1.01765306122449</v>
      </c>
      <c r="P1462" t="n">
        <v>0</v>
      </c>
      <c r="Q1462" t="n">
        <v>0</v>
      </c>
      <c r="R1462" t="inlineStr">
        <is>
          <t>440-2024-06-30</t>
        </is>
      </c>
    </row>
    <row r="1463" hidden="1">
      <c r="A1463" t="n">
        <v>440</v>
      </c>
      <c r="B1463" t="inlineStr">
        <is>
          <t>Aseguramiento de matricula académica virtual</t>
        </is>
      </c>
      <c r="C1463" t="inlineStr">
        <is>
          <t>Operaciones Académicas</t>
        </is>
      </c>
      <c r="D1463" t="inlineStr">
        <is>
          <t>Semestral</t>
        </is>
      </c>
      <c r="E1463" t="inlineStr">
        <is>
          <t>Positivo</t>
        </is>
      </c>
      <c r="F1463" s="113" t="n">
        <v>45657</v>
      </c>
      <c r="G1463" t="n">
        <v>2024</v>
      </c>
      <c r="H1463" t="inlineStr">
        <is>
          <t>Diciembre</t>
        </is>
      </c>
      <c r="I1463" t="inlineStr">
        <is>
          <t>2024-2</t>
        </is>
      </c>
      <c r="J1463" t="n">
        <v>98</v>
      </c>
      <c r="K1463" t="n">
        <v>99.23999999999999</v>
      </c>
      <c r="L1463" s="39" t="n">
        <v>1.01265306122449</v>
      </c>
      <c r="M1463" s="39" t="n">
        <v>1.01265306122449</v>
      </c>
      <c r="P1463" t="n">
        <v>0</v>
      </c>
      <c r="Q1463" t="n">
        <v>0</v>
      </c>
      <c r="R1463" t="inlineStr">
        <is>
          <t>440-2024-12-31</t>
        </is>
      </c>
    </row>
    <row r="1464" hidden="1">
      <c r="A1464" t="n">
        <v>440</v>
      </c>
      <c r="B1464" t="inlineStr">
        <is>
          <t>Aseguramiento de matricula académica virtual</t>
        </is>
      </c>
      <c r="C1464" t="inlineStr">
        <is>
          <t>Operaciones Académicas</t>
        </is>
      </c>
      <c r="D1464" t="inlineStr">
        <is>
          <t>Trimestral</t>
        </is>
      </c>
      <c r="E1464" t="inlineStr">
        <is>
          <t>Positivo</t>
        </is>
      </c>
      <c r="F1464" s="113" t="n">
        <v>45838</v>
      </c>
      <c r="G1464" t="n">
        <v>2025</v>
      </c>
      <c r="H1464" t="inlineStr">
        <is>
          <t>Junio</t>
        </is>
      </c>
      <c r="I1464" t="inlineStr">
        <is>
          <t>2025-1</t>
        </is>
      </c>
      <c r="J1464" t="n">
        <v>98</v>
      </c>
      <c r="K1464" t="n">
        <v>99.77</v>
      </c>
      <c r="L1464" s="39" t="n">
        <v>1.018061224489796</v>
      </c>
      <c r="M1464" s="39" t="n">
        <v>1.018061224489796</v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1</v>
      </c>
      <c r="R1464" t="inlineStr">
        <is>
          <t>440-2025-06-30</t>
        </is>
      </c>
    </row>
    <row r="1465" hidden="1">
      <c r="A1465" t="n">
        <v>440</v>
      </c>
      <c r="B1465" t="inlineStr">
        <is>
          <t>Aseguramiento de matricula académica virtual</t>
        </is>
      </c>
      <c r="C1465" t="inlineStr">
        <is>
          <t>Operaciones Académicas</t>
        </is>
      </c>
      <c r="D1465" t="inlineStr">
        <is>
          <t>Trimestral</t>
        </is>
      </c>
      <c r="E1465" t="inlineStr">
        <is>
          <t>Positivo</t>
        </is>
      </c>
      <c r="F1465" s="113" t="n">
        <v>46022</v>
      </c>
      <c r="G1465" t="n">
        <v>2025</v>
      </c>
      <c r="H1465" t="inlineStr">
        <is>
          <t>Diciembre</t>
        </is>
      </c>
      <c r="I1465" t="inlineStr">
        <is>
          <t>2025-2</t>
        </is>
      </c>
      <c r="J1465" t="n">
        <v>98</v>
      </c>
      <c r="K1465" t="n">
        <v>99.73999999999999</v>
      </c>
      <c r="L1465" s="39" t="n">
        <v>1.017755102040816</v>
      </c>
      <c r="M1465" s="39" t="n">
        <v>1.017755102040816</v>
      </c>
      <c r="N1465" t="inlineStr">
        <is>
          <t>%</t>
        </is>
      </c>
      <c r="O1465" t="inlineStr">
        <is>
          <t>%</t>
        </is>
      </c>
      <c r="P1465" t="n">
        <v>0</v>
      </c>
      <c r="Q1465" t="n">
        <v>1</v>
      </c>
      <c r="R1465" t="inlineStr">
        <is>
          <t>440-2025-12-31</t>
        </is>
      </c>
    </row>
    <row r="1466" hidden="1">
      <c r="A1466" t="n">
        <v>441</v>
      </c>
      <c r="B1466" t="inlineStr">
        <is>
          <t>Cumplimiento a cronograma de proyectos 2024</t>
        </is>
      </c>
      <c r="C1466" t="inlineStr">
        <is>
          <t>Gestión de Proyectos</t>
        </is>
      </c>
      <c r="D1466" t="inlineStr">
        <is>
          <t>Mensual</t>
        </is>
      </c>
      <c r="E1466" t="inlineStr">
        <is>
          <t>Positivo</t>
        </is>
      </c>
      <c r="F1466" s="113" t="n">
        <v>45473</v>
      </c>
      <c r="G1466" t="n">
        <v>2024</v>
      </c>
      <c r="H1466" t="inlineStr">
        <is>
          <t>Junio</t>
        </is>
      </c>
      <c r="I1466" t="inlineStr">
        <is>
          <t>2024-1</t>
        </is>
      </c>
      <c r="J1466" t="n">
        <v>90</v>
      </c>
      <c r="K1466" t="n">
        <v>97.31</v>
      </c>
      <c r="L1466" s="39" t="n">
        <v>1.081222222222222</v>
      </c>
      <c r="M1466" s="39" t="n">
        <v>1.081222222222222</v>
      </c>
      <c r="P1466" t="n">
        <v>0</v>
      </c>
      <c r="Q1466" t="n">
        <v>0</v>
      </c>
      <c r="R1466" t="inlineStr">
        <is>
          <t>441-2024-06-30</t>
        </is>
      </c>
    </row>
    <row r="1467" hidden="1">
      <c r="A1467" t="n">
        <v>441</v>
      </c>
      <c r="B1467" t="inlineStr">
        <is>
          <t>Cumplimiento a cronograma de proyectos 2024</t>
        </is>
      </c>
      <c r="C1467" t="inlineStr">
        <is>
          <t>Gestión de Proyectos</t>
        </is>
      </c>
      <c r="D1467" t="inlineStr">
        <is>
          <t>Mensual</t>
        </is>
      </c>
      <c r="E1467" t="inlineStr">
        <is>
          <t>Positivo</t>
        </is>
      </c>
      <c r="F1467" s="113" t="n">
        <v>45657</v>
      </c>
      <c r="G1467" t="n">
        <v>2024</v>
      </c>
      <c r="H1467" t="inlineStr">
        <is>
          <t>Diciembre</t>
        </is>
      </c>
      <c r="I1467" t="inlineStr">
        <is>
          <t>2024-2</t>
        </is>
      </c>
      <c r="J1467" t="n">
        <v>90</v>
      </c>
      <c r="K1467" t="n">
        <v>99.919935948759</v>
      </c>
      <c r="L1467" s="39" t="n">
        <v>1.110221510541767</v>
      </c>
      <c r="M1467" s="39" t="n">
        <v>1.110221510541767</v>
      </c>
      <c r="P1467" t="n">
        <v>0</v>
      </c>
      <c r="Q1467" t="n">
        <v>0</v>
      </c>
      <c r="R1467" t="inlineStr">
        <is>
          <t>441-2024-12-31</t>
        </is>
      </c>
    </row>
    <row r="1468" hidden="1">
      <c r="A1468" t="n">
        <v>442</v>
      </c>
      <c r="B1468" t="inlineStr">
        <is>
          <t>Participación de docentes invitados en eventos académicos virtuales en Poli</t>
        </is>
      </c>
      <c r="C1468" t="inlineStr">
        <is>
          <t>VISIBILIDAD NACIONAL E INTERNACIONAL</t>
        </is>
      </c>
      <c r="D1468" t="inlineStr">
        <is>
          <t>Semestral</t>
        </is>
      </c>
      <c r="E1468" t="inlineStr">
        <is>
          <t>Positivo</t>
        </is>
      </c>
      <c r="F1468" s="113" t="n">
        <v>45473</v>
      </c>
      <c r="G1468" t="n">
        <v>2024</v>
      </c>
      <c r="H1468" t="inlineStr">
        <is>
          <t>Junio</t>
        </is>
      </c>
      <c r="I1468" t="inlineStr">
        <is>
          <t>2024-1</t>
        </is>
      </c>
      <c r="J1468" t="n">
        <v>100</v>
      </c>
      <c r="K1468" t="n">
        <v>80</v>
      </c>
      <c r="L1468" s="39" t="n">
        <v>0.8</v>
      </c>
      <c r="M1468" s="39" t="n">
        <v>0.8</v>
      </c>
      <c r="P1468" t="n">
        <v>0</v>
      </c>
      <c r="Q1468" t="n">
        <v>0</v>
      </c>
      <c r="R1468" t="inlineStr">
        <is>
          <t>442-2024-06-30</t>
        </is>
      </c>
    </row>
    <row r="1469" hidden="1">
      <c r="A1469" t="n">
        <v>442</v>
      </c>
      <c r="B1469" t="inlineStr">
        <is>
          <t>Participación de docentes invitados en eventos académicos virtuales en Poli</t>
        </is>
      </c>
      <c r="C1469" t="inlineStr">
        <is>
          <t>VISIBILIDAD NACIONAL E INTERNACIONAL</t>
        </is>
      </c>
      <c r="D1469" t="inlineStr">
        <is>
          <t>Semestral</t>
        </is>
      </c>
      <c r="E1469" t="inlineStr">
        <is>
          <t>Positivo</t>
        </is>
      </c>
      <c r="F1469" s="113" t="n">
        <v>45657</v>
      </c>
      <c r="G1469" t="n">
        <v>2024</v>
      </c>
      <c r="H1469" t="inlineStr">
        <is>
          <t>Diciembre</t>
        </is>
      </c>
      <c r="I1469" t="inlineStr">
        <is>
          <t>2024-2</t>
        </is>
      </c>
      <c r="J1469" t="n">
        <v>100</v>
      </c>
      <c r="K1469" t="n">
        <v>145</v>
      </c>
      <c r="L1469" s="39" t="n">
        <v>1.3</v>
      </c>
      <c r="M1469" s="39" t="n">
        <v>1.45</v>
      </c>
      <c r="P1469" t="n">
        <v>0</v>
      </c>
      <c r="Q1469" t="n">
        <v>0</v>
      </c>
      <c r="R1469" t="inlineStr">
        <is>
          <t>442-2024-12-31</t>
        </is>
      </c>
    </row>
    <row r="1470" hidden="1">
      <c r="A1470" t="n">
        <v>443</v>
      </c>
      <c r="B1470" t="inlineStr">
        <is>
          <t>Participación de estudiantes invitados en eventos académicos virtuales en Poli</t>
        </is>
      </c>
      <c r="C1470" t="inlineStr">
        <is>
          <t>VISIBILIDAD NACIONAL E INTERNACIONAL</t>
        </is>
      </c>
      <c r="D1470" t="inlineStr">
        <is>
          <t>Semestral</t>
        </is>
      </c>
      <c r="E1470" t="inlineStr">
        <is>
          <t>Positivo</t>
        </is>
      </c>
      <c r="F1470" s="113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100</v>
      </c>
      <c r="K1470" t="n">
        <v>114.33</v>
      </c>
      <c r="L1470" s="39" t="n">
        <v>1.1433</v>
      </c>
      <c r="M1470" s="39" t="n">
        <v>1.1433</v>
      </c>
      <c r="P1470" t="n">
        <v>0</v>
      </c>
      <c r="Q1470" t="n">
        <v>0</v>
      </c>
      <c r="R1470" t="inlineStr">
        <is>
          <t>443-2024-06-30</t>
        </is>
      </c>
    </row>
    <row r="1471" hidden="1">
      <c r="A1471" t="n">
        <v>443</v>
      </c>
      <c r="B1471" t="inlineStr">
        <is>
          <t>Participación de estudiantes invitados en eventos académicos virtuales en Poli</t>
        </is>
      </c>
      <c r="C1471" t="inlineStr">
        <is>
          <t>VISIBILIDAD NACIONAL E INTERNACIONAL</t>
        </is>
      </c>
      <c r="D1471" t="inlineStr">
        <is>
          <t>Semestral</t>
        </is>
      </c>
      <c r="E1471" t="inlineStr">
        <is>
          <t>Positivo</t>
        </is>
      </c>
      <c r="F1471" s="113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100</v>
      </c>
      <c r="K1471" t="n">
        <v>209</v>
      </c>
      <c r="L1471" s="39" t="n">
        <v>1.3</v>
      </c>
      <c r="M1471" s="39" t="n">
        <v>2.09</v>
      </c>
      <c r="P1471" t="n">
        <v>0</v>
      </c>
      <c r="Q1471" t="n">
        <v>0</v>
      </c>
      <c r="R1471" t="inlineStr">
        <is>
          <t>443-2024-12-31</t>
        </is>
      </c>
    </row>
    <row r="1472" hidden="1">
      <c r="A1472" t="n">
        <v>444</v>
      </c>
      <c r="B1472" t="inlineStr">
        <is>
          <t>CES Proceso de grados</t>
        </is>
      </c>
      <c r="C1472" t="inlineStr">
        <is>
          <t>Registro y Control</t>
        </is>
      </c>
      <c r="D1472" t="inlineStr">
        <is>
          <t>Semestral</t>
        </is>
      </c>
      <c r="E1472" t="inlineStr">
        <is>
          <t>Negativo</t>
        </is>
      </c>
      <c r="F1472" s="113" t="n">
        <v>45473</v>
      </c>
      <c r="G1472" t="n">
        <v>2024</v>
      </c>
      <c r="H1472" t="inlineStr">
        <is>
          <t>Junio</t>
        </is>
      </c>
      <c r="I1472" t="inlineStr">
        <is>
          <t>2024-1</t>
        </is>
      </c>
      <c r="L1472" s="39" t="n"/>
      <c r="M1472" s="39" t="n"/>
      <c r="P1472" t="n">
        <v>0</v>
      </c>
      <c r="Q1472" t="n">
        <v>0</v>
      </c>
      <c r="R1472" t="inlineStr">
        <is>
          <t>444-2024-06-30</t>
        </is>
      </c>
    </row>
    <row r="1473" hidden="1">
      <c r="A1473" t="n">
        <v>444</v>
      </c>
      <c r="B1473" t="inlineStr">
        <is>
          <t>CES Proceso de grados</t>
        </is>
      </c>
      <c r="C1473" t="inlineStr">
        <is>
          <t>Registro y Control</t>
        </is>
      </c>
      <c r="D1473" t="inlineStr">
        <is>
          <t>Semestral</t>
        </is>
      </c>
      <c r="E1473" t="inlineStr">
        <is>
          <t>Negativo</t>
        </is>
      </c>
      <c r="F1473" s="113" t="n">
        <v>45657</v>
      </c>
      <c r="G1473" t="n">
        <v>2024</v>
      </c>
      <c r="H1473" t="inlineStr">
        <is>
          <t>Diciembre</t>
        </is>
      </c>
      <c r="I1473" t="inlineStr">
        <is>
          <t>2024-2</t>
        </is>
      </c>
      <c r="J1473" t="n">
        <v>0</v>
      </c>
      <c r="K1473" t="n">
        <v>2.1</v>
      </c>
      <c r="L1473" s="39" t="n"/>
      <c r="M1473" s="39" t="n"/>
      <c r="P1473" t="n">
        <v>0</v>
      </c>
      <c r="Q1473" t="n">
        <v>0</v>
      </c>
      <c r="R1473" t="inlineStr">
        <is>
          <t>444-2024-12-31</t>
        </is>
      </c>
    </row>
    <row r="1474" hidden="1">
      <c r="A1474" t="n">
        <v>444</v>
      </c>
      <c r="B1474" t="inlineStr">
        <is>
          <t>CES Proceso de grados</t>
        </is>
      </c>
      <c r="C1474" t="inlineStr">
        <is>
          <t>Registro y Control</t>
        </is>
      </c>
      <c r="D1474" t="inlineStr">
        <is>
          <t>Trimestral</t>
        </is>
      </c>
      <c r="E1474" t="inlineStr">
        <is>
          <t>Negativo</t>
        </is>
      </c>
      <c r="F1474" s="113" t="n">
        <v>45838</v>
      </c>
      <c r="G1474" t="n">
        <v>2025</v>
      </c>
      <c r="H1474" t="inlineStr">
        <is>
          <t>Junio</t>
        </is>
      </c>
      <c r="I1474" t="inlineStr">
        <is>
          <t>2025-1</t>
        </is>
      </c>
      <c r="J1474" t="n">
        <v>3</v>
      </c>
      <c r="K1474" t="n">
        <v>1.6</v>
      </c>
      <c r="L1474" s="39" t="n">
        <v>1.3</v>
      </c>
      <c r="M1474" s="39" t="n">
        <v>1.875</v>
      </c>
      <c r="N1474" t="inlineStr">
        <is>
          <t>ENT</t>
        </is>
      </c>
      <c r="O1474" t="inlineStr">
        <is>
          <t>DEC</t>
        </is>
      </c>
      <c r="P1474" t="n">
        <v>0</v>
      </c>
      <c r="Q1474" t="n">
        <v>1</v>
      </c>
      <c r="R1474" t="inlineStr">
        <is>
          <t>444-2025-06-30</t>
        </is>
      </c>
    </row>
    <row r="1475" hidden="1">
      <c r="A1475" t="n">
        <v>444</v>
      </c>
      <c r="B1475" t="inlineStr">
        <is>
          <t>CES Proceso de grados</t>
        </is>
      </c>
      <c r="C1475" t="inlineStr">
        <is>
          <t>Registro y Control</t>
        </is>
      </c>
      <c r="D1475" t="inlineStr">
        <is>
          <t>Trimestral</t>
        </is>
      </c>
      <c r="E1475" t="inlineStr">
        <is>
          <t>Negativo</t>
        </is>
      </c>
      <c r="F1475" s="113" t="n">
        <v>46022</v>
      </c>
      <c r="G1475" t="n">
        <v>2025</v>
      </c>
      <c r="H1475" t="inlineStr">
        <is>
          <t>Diciembre</t>
        </is>
      </c>
      <c r="I1475" t="inlineStr">
        <is>
          <t>2025-2</t>
        </is>
      </c>
      <c r="J1475" t="n">
        <v>3</v>
      </c>
      <c r="K1475" t="n">
        <v>1.7</v>
      </c>
      <c r="L1475" s="39" t="n">
        <v>1.3</v>
      </c>
      <c r="M1475" s="39" t="n">
        <v>1.764705882352941</v>
      </c>
      <c r="N1475" t="inlineStr">
        <is>
          <t>ENT</t>
        </is>
      </c>
      <c r="O1475" t="inlineStr">
        <is>
          <t>DEC</t>
        </is>
      </c>
      <c r="P1475" t="n">
        <v>0</v>
      </c>
      <c r="Q1475" t="n">
        <v>1</v>
      </c>
      <c r="R1475" t="inlineStr">
        <is>
          <t>444-2025-12-31</t>
        </is>
      </c>
    </row>
    <row r="1476" hidden="1">
      <c r="A1476" t="n">
        <v>445</v>
      </c>
      <c r="B1476" t="inlineStr">
        <is>
          <t>Satisfacción del proceso de grados virtual</t>
        </is>
      </c>
      <c r="C1476" t="inlineStr">
        <is>
          <t>Registro y Control</t>
        </is>
      </c>
      <c r="D1476" t="inlineStr">
        <is>
          <t>Semestral</t>
        </is>
      </c>
      <c r="E1476" t="inlineStr">
        <is>
          <t>Positivo</t>
        </is>
      </c>
      <c r="F1476" s="113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J1476" t="n">
        <v>67.5</v>
      </c>
      <c r="K1476" t="n">
        <v>55.2</v>
      </c>
      <c r="L1476" s="39" t="n">
        <v>0.8177777777777778</v>
      </c>
      <c r="M1476" s="39" t="n">
        <v>0.8177777777777778</v>
      </c>
      <c r="P1476" t="n">
        <v>0</v>
      </c>
      <c r="Q1476" t="n">
        <v>0</v>
      </c>
      <c r="R1476" t="inlineStr">
        <is>
          <t>445-2024-06-30</t>
        </is>
      </c>
    </row>
    <row r="1477" hidden="1">
      <c r="A1477" t="n">
        <v>445</v>
      </c>
      <c r="B1477" t="inlineStr">
        <is>
          <t>Satisfacción del proceso de grados virtual</t>
        </is>
      </c>
      <c r="C1477" t="inlineStr">
        <is>
          <t>Registro y Control</t>
        </is>
      </c>
      <c r="D1477" t="inlineStr">
        <is>
          <t>Semestral</t>
        </is>
      </c>
      <c r="E1477" t="inlineStr">
        <is>
          <t>Positivo</t>
        </is>
      </c>
      <c r="F1477" s="113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67.5</v>
      </c>
      <c r="K1477" t="n">
        <v>86.5</v>
      </c>
      <c r="L1477" s="39" t="n">
        <v>1.281481481481481</v>
      </c>
      <c r="M1477" s="39" t="n">
        <v>1.281481481481481</v>
      </c>
      <c r="P1477" t="n">
        <v>0</v>
      </c>
      <c r="Q1477" t="n">
        <v>0</v>
      </c>
      <c r="R1477" t="inlineStr">
        <is>
          <t>445-2024-12-31</t>
        </is>
      </c>
    </row>
    <row r="1478" hidden="1">
      <c r="A1478" t="n">
        <v>445</v>
      </c>
      <c r="B1478" t="inlineStr">
        <is>
          <t>Satisfacción del proceso de grados virtual</t>
        </is>
      </c>
      <c r="C1478" t="inlineStr">
        <is>
          <t>Registro y Control</t>
        </is>
      </c>
      <c r="D1478" t="inlineStr">
        <is>
          <t>Trimestral</t>
        </is>
      </c>
      <c r="E1478" t="inlineStr">
        <is>
          <t>Positivo</t>
        </is>
      </c>
      <c r="F1478" s="113" t="n">
        <v>45838</v>
      </c>
      <c r="G1478" t="n">
        <v>2025</v>
      </c>
      <c r="H1478" t="inlineStr">
        <is>
          <t>Junio</t>
        </is>
      </c>
      <c r="I1478" t="inlineStr">
        <is>
          <t>2025-1</t>
        </is>
      </c>
      <c r="J1478" t="n">
        <v>70</v>
      </c>
      <c r="K1478" t="n">
        <v>75.7</v>
      </c>
      <c r="L1478" s="39" t="n">
        <v>1.081428571428571</v>
      </c>
      <c r="M1478" s="39" t="n">
        <v>1.081428571428571</v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445-2025-06-30</t>
        </is>
      </c>
    </row>
    <row r="1479" hidden="1">
      <c r="A1479" t="n">
        <v>445</v>
      </c>
      <c r="B1479" t="inlineStr">
        <is>
          <t>Satisfacción del proceso de grados virtual</t>
        </is>
      </c>
      <c r="C1479" t="inlineStr">
        <is>
          <t>Registro y Control</t>
        </is>
      </c>
      <c r="D1479" t="inlineStr">
        <is>
          <t>Trimestral</t>
        </is>
      </c>
      <c r="E1479" t="inlineStr">
        <is>
          <t>Positivo</t>
        </is>
      </c>
      <c r="F1479" s="113" t="n">
        <v>46022</v>
      </c>
      <c r="G1479" t="n">
        <v>2025</v>
      </c>
      <c r="H1479" t="inlineStr">
        <is>
          <t>Diciembre</t>
        </is>
      </c>
      <c r="I1479" t="inlineStr">
        <is>
          <t>2025-2</t>
        </is>
      </c>
      <c r="J1479" t="n">
        <v>70</v>
      </c>
      <c r="K1479" t="n">
        <v>85.3</v>
      </c>
      <c r="L1479" s="39" t="n">
        <v>1.218571428571429</v>
      </c>
      <c r="M1479" s="39" t="n">
        <v>1.218571428571429</v>
      </c>
      <c r="N1479" t="inlineStr">
        <is>
          <t>%</t>
        </is>
      </c>
      <c r="O1479" t="inlineStr">
        <is>
          <t>%</t>
        </is>
      </c>
      <c r="P1479" t="n">
        <v>0</v>
      </c>
      <c r="Q1479" t="n">
        <v>0</v>
      </c>
      <c r="R1479" t="inlineStr">
        <is>
          <t>445-2025-12-31</t>
        </is>
      </c>
    </row>
    <row r="1480" hidden="1">
      <c r="A1480" t="n">
        <v>447</v>
      </c>
      <c r="B1480" t="inlineStr">
        <is>
          <t>Participación en actividades culturales</t>
        </is>
      </c>
      <c r="C1480" t="inlineStr">
        <is>
          <t>Biblioteca Institucional</t>
        </is>
      </c>
      <c r="D1480" t="inlineStr">
        <is>
          <t>Semestral</t>
        </is>
      </c>
      <c r="E1480" t="inlineStr">
        <is>
          <t>Positivo</t>
        </is>
      </c>
      <c r="F1480" s="113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J1480" t="n">
        <v>15</v>
      </c>
      <c r="K1480" t="n">
        <v>31.04</v>
      </c>
      <c r="L1480" s="39" t="n">
        <v>1.3</v>
      </c>
      <c r="M1480" s="39" t="n">
        <v>2.069333333333333</v>
      </c>
      <c r="P1480" t="n">
        <v>0</v>
      </c>
      <c r="Q1480" t="n">
        <v>0</v>
      </c>
      <c r="R1480" t="inlineStr">
        <is>
          <t>447-2024-06-30</t>
        </is>
      </c>
    </row>
    <row r="1481" hidden="1">
      <c r="A1481" t="n">
        <v>447</v>
      </c>
      <c r="B1481" t="inlineStr">
        <is>
          <t>Participación en actividades culturales</t>
        </is>
      </c>
      <c r="C1481" t="inlineStr">
        <is>
          <t>Biblioteca Institucional</t>
        </is>
      </c>
      <c r="D1481" t="inlineStr">
        <is>
          <t>Semestral</t>
        </is>
      </c>
      <c r="E1481" t="inlineStr">
        <is>
          <t>Positivo</t>
        </is>
      </c>
      <c r="F1481" s="113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15</v>
      </c>
      <c r="K1481" t="n">
        <v>16.16</v>
      </c>
      <c r="L1481" s="39" t="n">
        <v>1.077333333333333</v>
      </c>
      <c r="M1481" s="39" t="n">
        <v>1.077333333333333</v>
      </c>
      <c r="P1481" t="n">
        <v>0</v>
      </c>
      <c r="Q1481" t="n">
        <v>0</v>
      </c>
      <c r="R1481" t="inlineStr">
        <is>
          <t>447-2024-12-31</t>
        </is>
      </c>
    </row>
    <row r="1482" hidden="1">
      <c r="A1482" t="n">
        <v>447</v>
      </c>
      <c r="B1482" t="inlineStr">
        <is>
          <t>Participación en actividades culturales</t>
        </is>
      </c>
      <c r="C1482" t="inlineStr">
        <is>
          <t>Biblioteca Institucional</t>
        </is>
      </c>
      <c r="D1482" t="inlineStr">
        <is>
          <t>Trimestral</t>
        </is>
      </c>
      <c r="E1482" t="inlineStr">
        <is>
          <t>Positivo</t>
        </is>
      </c>
      <c r="F1482" s="113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15</v>
      </c>
      <c r="K1482" t="n">
        <v>16.54</v>
      </c>
      <c r="L1482" s="39" t="n">
        <v>1.102666666666667</v>
      </c>
      <c r="M1482" s="39" t="n">
        <v>1.102666666666667</v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447-2025-06-30</t>
        </is>
      </c>
    </row>
    <row r="1483" hidden="1">
      <c r="A1483" t="n">
        <v>447</v>
      </c>
      <c r="B1483" t="inlineStr">
        <is>
          <t>Participación en actividades culturales</t>
        </is>
      </c>
      <c r="C1483" t="inlineStr">
        <is>
          <t>Biblioteca Institucional</t>
        </is>
      </c>
      <c r="D1483" t="inlineStr">
        <is>
          <t>Trimestral</t>
        </is>
      </c>
      <c r="E1483" t="inlineStr">
        <is>
          <t>Positivo</t>
        </is>
      </c>
      <c r="F1483" s="113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15</v>
      </c>
      <c r="K1483" t="n">
        <v>15.01</v>
      </c>
      <c r="L1483" s="39" t="n">
        <v>1.000666666666667</v>
      </c>
      <c r="M1483" s="39" t="n">
        <v>1.000666666666667</v>
      </c>
      <c r="N1483" t="inlineStr">
        <is>
          <t>%</t>
        </is>
      </c>
      <c r="O1483" t="inlineStr">
        <is>
          <t>%</t>
        </is>
      </c>
      <c r="P1483" t="n">
        <v>0</v>
      </c>
      <c r="Q1483" t="n">
        <v>0</v>
      </c>
      <c r="R1483" t="inlineStr">
        <is>
          <t>447-2025-12-31</t>
        </is>
      </c>
    </row>
    <row r="1484" hidden="1">
      <c r="A1484" t="n">
        <v>448</v>
      </c>
      <c r="B1484" t="inlineStr">
        <is>
          <t>Participación en actividades de formación</t>
        </is>
      </c>
      <c r="C1484" t="inlineStr">
        <is>
          <t>Biblioteca Institucional</t>
        </is>
      </c>
      <c r="D1484" t="inlineStr">
        <is>
          <t>Semestral</t>
        </is>
      </c>
      <c r="E1484" t="inlineStr">
        <is>
          <t>Positivo</t>
        </is>
      </c>
      <c r="F1484" s="113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J1484" t="n">
        <v>9</v>
      </c>
      <c r="K1484" t="n">
        <v>18.93</v>
      </c>
      <c r="L1484" s="39" t="n">
        <v>1.3</v>
      </c>
      <c r="M1484" s="39" t="n">
        <v>2.103333333333333</v>
      </c>
      <c r="P1484" t="n">
        <v>0</v>
      </c>
      <c r="Q1484" t="n">
        <v>0</v>
      </c>
      <c r="R1484" t="inlineStr">
        <is>
          <t>448-2024-06-30</t>
        </is>
      </c>
    </row>
    <row r="1485" hidden="1">
      <c r="A1485" t="n">
        <v>448</v>
      </c>
      <c r="B1485" t="inlineStr">
        <is>
          <t>Participación en actividades de formación</t>
        </is>
      </c>
      <c r="C1485" t="inlineStr">
        <is>
          <t>Biblioteca Institucional</t>
        </is>
      </c>
      <c r="D1485" t="inlineStr">
        <is>
          <t>Semestral</t>
        </is>
      </c>
      <c r="E1485" t="inlineStr">
        <is>
          <t>Positivo</t>
        </is>
      </c>
      <c r="F1485" s="113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9</v>
      </c>
      <c r="K1485" t="n">
        <v>9.32</v>
      </c>
      <c r="L1485" s="39" t="n">
        <v>1.035555555555556</v>
      </c>
      <c r="M1485" s="39" t="n">
        <v>1.035555555555556</v>
      </c>
      <c r="P1485" t="n">
        <v>0</v>
      </c>
      <c r="Q1485" t="n">
        <v>0</v>
      </c>
      <c r="R1485" t="inlineStr">
        <is>
          <t>448-2024-12-31</t>
        </is>
      </c>
    </row>
    <row r="1486" hidden="1">
      <c r="A1486" t="n">
        <v>448</v>
      </c>
      <c r="B1486" t="inlineStr">
        <is>
          <t>Participación en actividades de formación</t>
        </is>
      </c>
      <c r="C1486" t="inlineStr">
        <is>
          <t>Biblioteca Institucional</t>
        </is>
      </c>
      <c r="D1486" t="inlineStr">
        <is>
          <t>Trimestral</t>
        </is>
      </c>
      <c r="E1486" t="inlineStr">
        <is>
          <t>Positivo</t>
        </is>
      </c>
      <c r="F1486" s="113" t="n">
        <v>45838</v>
      </c>
      <c r="G1486" t="n">
        <v>2025</v>
      </c>
      <c r="H1486" t="inlineStr">
        <is>
          <t>Junio</t>
        </is>
      </c>
      <c r="I1486" t="inlineStr">
        <is>
          <t>2025-1</t>
        </is>
      </c>
      <c r="J1486" t="n">
        <v>17</v>
      </c>
      <c r="K1486" t="n">
        <v>39.62</v>
      </c>
      <c r="L1486" s="39" t="n">
        <v>1.3</v>
      </c>
      <c r="M1486" s="39" t="n">
        <v>2.330588235294118</v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1</v>
      </c>
      <c r="R1486" t="inlineStr">
        <is>
          <t>448-2025-06-30</t>
        </is>
      </c>
    </row>
    <row r="1487" hidden="1">
      <c r="A1487" t="n">
        <v>448</v>
      </c>
      <c r="B1487" t="inlineStr">
        <is>
          <t>Participación en actividades de formación</t>
        </is>
      </c>
      <c r="C1487" t="inlineStr">
        <is>
          <t>Biblioteca Institucional</t>
        </is>
      </c>
      <c r="D1487" t="inlineStr">
        <is>
          <t>Trimestral</t>
        </is>
      </c>
      <c r="E1487" t="inlineStr">
        <is>
          <t>Positivo</t>
        </is>
      </c>
      <c r="F1487" s="113" t="n">
        <v>46022</v>
      </c>
      <c r="G1487" t="n">
        <v>2025</v>
      </c>
      <c r="H1487" t="inlineStr">
        <is>
          <t>Diciembre</t>
        </is>
      </c>
      <c r="I1487" t="inlineStr">
        <is>
          <t>2025-2</t>
        </is>
      </c>
      <c r="J1487" t="n">
        <v>17</v>
      </c>
      <c r="K1487" t="n">
        <v>59.36</v>
      </c>
      <c r="L1487" s="39" t="n">
        <v>1.3</v>
      </c>
      <c r="M1487" s="39" t="n">
        <v>3.491764705882353</v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1</v>
      </c>
      <c r="R1487" t="inlineStr">
        <is>
          <t>448-2025-12-31</t>
        </is>
      </c>
    </row>
    <row r="1488" hidden="1">
      <c r="A1488" t="n">
        <v>449</v>
      </c>
      <c r="B1488" t="inlineStr">
        <is>
          <t>Cumplimiento en la supervisión y monitoreo a los planes de tratamiento de los riesgos institucionales en nivel alto y extremo</t>
        </is>
      </c>
      <c r="C1488" t="inlineStr">
        <is>
          <t>GESTIÓN DE RIESGOS</t>
        </is>
      </c>
      <c r="D1488" t="inlineStr">
        <is>
          <t>Trimestral</t>
        </is>
      </c>
      <c r="E1488" t="inlineStr">
        <is>
          <t>Positivo</t>
        </is>
      </c>
      <c r="F1488" s="113" t="n">
        <v>45473</v>
      </c>
      <c r="G1488" t="n">
        <v>2024</v>
      </c>
      <c r="H1488" t="inlineStr">
        <is>
          <t>Junio</t>
        </is>
      </c>
      <c r="I1488" t="inlineStr">
        <is>
          <t>2024-1</t>
        </is>
      </c>
      <c r="J1488" t="n">
        <v>40</v>
      </c>
      <c r="K1488" t="n">
        <v>53.85</v>
      </c>
      <c r="L1488" s="39" t="n">
        <v>1.3</v>
      </c>
      <c r="M1488" s="39" t="n">
        <v>1.34625</v>
      </c>
      <c r="P1488" t="n">
        <v>0</v>
      </c>
      <c r="Q1488" t="n">
        <v>0</v>
      </c>
      <c r="R1488" t="inlineStr">
        <is>
          <t>449-2024-06-30</t>
        </is>
      </c>
    </row>
    <row r="1489" hidden="1">
      <c r="A1489" t="n">
        <v>449</v>
      </c>
      <c r="B1489" t="inlineStr">
        <is>
          <t>Cumplimiento en la supervisión y monitoreo a los planes de tratamiento de los riesgos institucionales en nivel alto y extremo</t>
        </is>
      </c>
      <c r="C1489" t="inlineStr">
        <is>
          <t>GESTIÓN DE RIESGOS</t>
        </is>
      </c>
      <c r="D1489" t="inlineStr">
        <is>
          <t>Trimestral</t>
        </is>
      </c>
      <c r="E1489" t="inlineStr">
        <is>
          <t>Positivo</t>
        </is>
      </c>
      <c r="F1489" s="113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100</v>
      </c>
      <c r="K1489" t="n">
        <v>100</v>
      </c>
      <c r="L1489" s="39" t="n">
        <v>1</v>
      </c>
      <c r="M1489" s="39" t="n">
        <v>1</v>
      </c>
      <c r="P1489" t="n">
        <v>0</v>
      </c>
      <c r="Q1489" t="n">
        <v>0</v>
      </c>
      <c r="R1489" t="inlineStr">
        <is>
          <t>449-2024-12-31</t>
        </is>
      </c>
    </row>
    <row r="1490" hidden="1">
      <c r="A1490" t="n">
        <v>451</v>
      </c>
      <c r="B1490" t="inlineStr">
        <is>
          <t>% Participación de publicaciones positiva</t>
        </is>
      </c>
      <c r="C1490" t="inlineStr">
        <is>
          <t>Comunicaciones Externas</t>
        </is>
      </c>
      <c r="D1490" t="inlineStr">
        <is>
          <t>Semestral</t>
        </is>
      </c>
      <c r="E1490" t="inlineStr">
        <is>
          <t>Positivo</t>
        </is>
      </c>
      <c r="F1490" s="113" t="n">
        <v>45473</v>
      </c>
      <c r="G1490" t="n">
        <v>2024</v>
      </c>
      <c r="H1490" t="inlineStr">
        <is>
          <t>Junio</t>
        </is>
      </c>
      <c r="I1490" t="inlineStr">
        <is>
          <t>2024-1</t>
        </is>
      </c>
      <c r="J1490" t="n">
        <v>0</v>
      </c>
      <c r="K1490" t="n">
        <v>34.9</v>
      </c>
      <c r="L1490" s="39" t="n"/>
      <c r="M1490" s="39" t="n"/>
      <c r="P1490" t="n">
        <v>0</v>
      </c>
      <c r="Q1490" t="n">
        <v>0</v>
      </c>
      <c r="R1490" t="inlineStr">
        <is>
          <t>451-2024-06-30</t>
        </is>
      </c>
    </row>
    <row r="1491" hidden="1">
      <c r="A1491" t="n">
        <v>451</v>
      </c>
      <c r="B1491" t="inlineStr">
        <is>
          <t>% Participación de publicaciones positiva</t>
        </is>
      </c>
      <c r="C1491" t="inlineStr">
        <is>
          <t>Comunicaciones Externas</t>
        </is>
      </c>
      <c r="D1491" t="inlineStr">
        <is>
          <t>Semestral</t>
        </is>
      </c>
      <c r="E1491" t="inlineStr">
        <is>
          <t>Positivo</t>
        </is>
      </c>
      <c r="F1491" s="113" t="n">
        <v>45657</v>
      </c>
      <c r="G1491" t="n">
        <v>2024</v>
      </c>
      <c r="H1491" t="inlineStr">
        <is>
          <t>Diciembre</t>
        </is>
      </c>
      <c r="I1491" t="inlineStr">
        <is>
          <t>2024-2</t>
        </is>
      </c>
      <c r="J1491" t="n">
        <v>0</v>
      </c>
      <c r="K1491" t="n">
        <v>42.7</v>
      </c>
      <c r="L1491" s="39" t="n"/>
      <c r="M1491" s="39" t="n"/>
      <c r="P1491" t="n">
        <v>0</v>
      </c>
      <c r="Q1491" t="n">
        <v>0</v>
      </c>
      <c r="R1491" t="inlineStr">
        <is>
          <t>451-2024-12-31</t>
        </is>
      </c>
    </row>
    <row r="1492" hidden="1">
      <c r="A1492" t="n">
        <v>451</v>
      </c>
      <c r="B1492" t="inlineStr">
        <is>
          <t>% de publicaciones con sentimiento positivo</t>
        </is>
      </c>
      <c r="C1492" t="inlineStr">
        <is>
          <t>Comunicaciones Externas</t>
        </is>
      </c>
      <c r="D1492" t="inlineStr">
        <is>
          <t>Trimestral</t>
        </is>
      </c>
      <c r="E1492" t="inlineStr">
        <is>
          <t>Positivo</t>
        </is>
      </c>
      <c r="F1492" s="113" t="n">
        <v>45838</v>
      </c>
      <c r="G1492" t="n">
        <v>2025</v>
      </c>
      <c r="H1492" t="inlineStr">
        <is>
          <t>Junio</t>
        </is>
      </c>
      <c r="I1492" t="inlineStr">
        <is>
          <t>2025-1</t>
        </is>
      </c>
      <c r="J1492" t="n">
        <v>100</v>
      </c>
      <c r="K1492" t="n">
        <v>119.5</v>
      </c>
      <c r="L1492" s="39" t="n">
        <v>1.195</v>
      </c>
      <c r="M1492" s="39" t="n">
        <v>1.195</v>
      </c>
      <c r="N1492" t="inlineStr">
        <is>
          <t>%</t>
        </is>
      </c>
      <c r="O1492" t="inlineStr">
        <is>
          <t>%</t>
        </is>
      </c>
      <c r="P1492" t="n">
        <v>0</v>
      </c>
      <c r="Q1492" t="n">
        <v>0</v>
      </c>
      <c r="R1492" t="inlineStr">
        <is>
          <t>451-2025-06-30</t>
        </is>
      </c>
    </row>
    <row r="1493" hidden="1">
      <c r="A1493" t="n">
        <v>451</v>
      </c>
      <c r="B1493" t="inlineStr">
        <is>
          <t>% de publicaciones con sentimiento positivo</t>
        </is>
      </c>
      <c r="C1493" t="inlineStr">
        <is>
          <t>Comunicaciones Externas</t>
        </is>
      </c>
      <c r="D1493" t="inlineStr">
        <is>
          <t>Trimestral</t>
        </is>
      </c>
      <c r="E1493" t="inlineStr">
        <is>
          <t>Positivo</t>
        </is>
      </c>
      <c r="F1493" s="113" t="n">
        <v>46022</v>
      </c>
      <c r="G1493" t="n">
        <v>2025</v>
      </c>
      <c r="H1493" t="inlineStr">
        <is>
          <t>Diciembre</t>
        </is>
      </c>
      <c r="I1493" t="inlineStr">
        <is>
          <t>2025-2</t>
        </is>
      </c>
      <c r="J1493" t="n">
        <v>100</v>
      </c>
      <c r="K1493" t="n">
        <v>130.8</v>
      </c>
      <c r="L1493" s="39" t="n">
        <v>1.3</v>
      </c>
      <c r="M1493" s="39" t="n">
        <v>1.308</v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0</v>
      </c>
      <c r="R1493" t="inlineStr">
        <is>
          <t>451-2025-12-31</t>
        </is>
      </c>
    </row>
    <row r="1494" hidden="1">
      <c r="A1494" t="n">
        <v>452</v>
      </c>
      <c r="B1494" t="inlineStr">
        <is>
          <t>Seguimiento a eventos internos y externos institucionales</t>
        </is>
      </c>
      <c r="C1494" t="inlineStr">
        <is>
          <t>Comunicaciones Externas</t>
        </is>
      </c>
      <c r="D1494" t="inlineStr">
        <is>
          <t>Semestral</t>
        </is>
      </c>
      <c r="E1494" t="inlineStr">
        <is>
          <t>Positivo</t>
        </is>
      </c>
      <c r="F1494" s="113" t="n">
        <v>45473</v>
      </c>
      <c r="G1494" t="n">
        <v>2024</v>
      </c>
      <c r="H1494" t="inlineStr">
        <is>
          <t>Junio</t>
        </is>
      </c>
      <c r="I1494" t="inlineStr">
        <is>
          <t>2024-1</t>
        </is>
      </c>
      <c r="J1494" t="n">
        <v>100</v>
      </c>
      <c r="K1494" t="n">
        <v>100</v>
      </c>
      <c r="L1494" s="39" t="n">
        <v>1</v>
      </c>
      <c r="M1494" s="39" t="n">
        <v>1</v>
      </c>
      <c r="P1494" t="n">
        <v>0</v>
      </c>
      <c r="Q1494" t="n">
        <v>0</v>
      </c>
      <c r="R1494" t="inlineStr">
        <is>
          <t>452-2024-06-30</t>
        </is>
      </c>
    </row>
    <row r="1495" hidden="1">
      <c r="A1495" t="n">
        <v>452</v>
      </c>
      <c r="B1495" t="inlineStr">
        <is>
          <t>Seguimiento a eventos internos y externos institucionales</t>
        </is>
      </c>
      <c r="C1495" t="inlineStr">
        <is>
          <t>Comunicaciones Externas</t>
        </is>
      </c>
      <c r="D1495" t="inlineStr">
        <is>
          <t>Semestral</t>
        </is>
      </c>
      <c r="E1495" t="inlineStr">
        <is>
          <t>Positivo</t>
        </is>
      </c>
      <c r="F1495" s="113" t="n">
        <v>45657</v>
      </c>
      <c r="G1495" t="n">
        <v>2024</v>
      </c>
      <c r="H1495" t="inlineStr">
        <is>
          <t>Diciembre</t>
        </is>
      </c>
      <c r="I1495" t="inlineStr">
        <is>
          <t>2024-2</t>
        </is>
      </c>
      <c r="J1495" t="n">
        <v>100</v>
      </c>
      <c r="K1495" t="n">
        <v>160</v>
      </c>
      <c r="L1495" s="39" t="n">
        <v>1.3</v>
      </c>
      <c r="M1495" s="39" t="n">
        <v>1.6</v>
      </c>
      <c r="P1495" t="n">
        <v>0</v>
      </c>
      <c r="Q1495" t="n">
        <v>0</v>
      </c>
      <c r="R1495" t="inlineStr">
        <is>
          <t>452-2024-12-31</t>
        </is>
      </c>
    </row>
    <row r="1496" hidden="1">
      <c r="A1496" t="n">
        <v>452</v>
      </c>
      <c r="B1496" t="inlineStr">
        <is>
          <t>Seguimiento a eventos internos y externos institucionales</t>
        </is>
      </c>
      <c r="C1496" t="inlineStr">
        <is>
          <t>Comunicaciones Externas</t>
        </is>
      </c>
      <c r="D1496" t="inlineStr">
        <is>
          <t>Trimestral</t>
        </is>
      </c>
      <c r="E1496" t="inlineStr">
        <is>
          <t>Positivo</t>
        </is>
      </c>
      <c r="F1496" s="113" t="n">
        <v>45838</v>
      </c>
      <c r="G1496" t="n">
        <v>2025</v>
      </c>
      <c r="H1496" t="inlineStr">
        <is>
          <t>Junio</t>
        </is>
      </c>
      <c r="I1496" t="inlineStr">
        <is>
          <t>2025-1</t>
        </is>
      </c>
      <c r="J1496" t="n">
        <v>100</v>
      </c>
      <c r="K1496" t="n">
        <v>102.27</v>
      </c>
      <c r="L1496" s="39" t="n">
        <v>1.0227</v>
      </c>
      <c r="M1496" s="39" t="n">
        <v>1.0227</v>
      </c>
      <c r="N1496" t="inlineStr">
        <is>
          <t>%</t>
        </is>
      </c>
      <c r="O1496" t="inlineStr">
        <is>
          <t>%</t>
        </is>
      </c>
      <c r="P1496" t="n">
        <v>0</v>
      </c>
      <c r="Q1496" t="n">
        <v>0</v>
      </c>
      <c r="R1496" t="inlineStr">
        <is>
          <t>452-2025-06-30</t>
        </is>
      </c>
    </row>
    <row r="1497" hidden="1">
      <c r="A1497" t="n">
        <v>452</v>
      </c>
      <c r="B1497" t="inlineStr">
        <is>
          <t>Seguimiento a eventos internos y externos institucionales</t>
        </is>
      </c>
      <c r="C1497" t="inlineStr">
        <is>
          <t>Comunicaciones Externas</t>
        </is>
      </c>
      <c r="D1497" t="inlineStr">
        <is>
          <t>Trimestral</t>
        </is>
      </c>
      <c r="E1497" t="inlineStr">
        <is>
          <t>Positivo</t>
        </is>
      </c>
      <c r="F1497" s="113" t="n">
        <v>46022</v>
      </c>
      <c r="G1497" t="n">
        <v>2025</v>
      </c>
      <c r="H1497" t="inlineStr">
        <is>
          <t>Diciembre</t>
        </is>
      </c>
      <c r="I1497" t="inlineStr">
        <is>
          <t>2025-2</t>
        </is>
      </c>
      <c r="J1497" t="n">
        <v>100</v>
      </c>
      <c r="K1497" t="n">
        <v>200</v>
      </c>
      <c r="L1497" s="39" t="n">
        <v>1.3</v>
      </c>
      <c r="M1497" s="39" t="n">
        <v>2</v>
      </c>
      <c r="N1497" t="inlineStr">
        <is>
          <t>%</t>
        </is>
      </c>
      <c r="O1497" t="inlineStr">
        <is>
          <t>%</t>
        </is>
      </c>
      <c r="P1497" t="n">
        <v>0</v>
      </c>
      <c r="Q1497" t="n">
        <v>0</v>
      </c>
      <c r="R1497" t="inlineStr">
        <is>
          <t>452-2025-12-31</t>
        </is>
      </c>
    </row>
    <row r="1498" hidden="1">
      <c r="A1498" t="n">
        <v>453</v>
      </c>
      <c r="B1498" t="inlineStr">
        <is>
          <t>Número de cursos diseñados</t>
        </is>
      </c>
      <c r="C1498" t="inlineStr">
        <is>
          <t>Diseño de Contenido Virtual</t>
        </is>
      </c>
      <c r="D1498" t="inlineStr">
        <is>
          <t>Trimestral</t>
        </is>
      </c>
      <c r="E1498" t="inlineStr">
        <is>
          <t>Positivo</t>
        </is>
      </c>
      <c r="F1498" s="113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100</v>
      </c>
      <c r="K1498" t="n">
        <v>192</v>
      </c>
      <c r="L1498" s="39" t="n">
        <v>1.3</v>
      </c>
      <c r="M1498" s="39" t="n">
        <v>1.92</v>
      </c>
      <c r="P1498" t="n">
        <v>0</v>
      </c>
      <c r="Q1498" t="n">
        <v>0</v>
      </c>
      <c r="R1498" t="inlineStr">
        <is>
          <t>453-2024-06-30</t>
        </is>
      </c>
    </row>
    <row r="1499" hidden="1">
      <c r="A1499" t="n">
        <v>453</v>
      </c>
      <c r="B1499" t="inlineStr">
        <is>
          <t>Número de cursos diseñados</t>
        </is>
      </c>
      <c r="C1499" t="inlineStr">
        <is>
          <t>Diseño de Contenido Virtual</t>
        </is>
      </c>
      <c r="D1499" t="inlineStr">
        <is>
          <t>Trimestral</t>
        </is>
      </c>
      <c r="E1499" t="inlineStr">
        <is>
          <t>Positivo</t>
        </is>
      </c>
      <c r="F1499" s="113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200</v>
      </c>
      <c r="K1499" t="n">
        <v>448</v>
      </c>
      <c r="L1499" s="39" t="n">
        <v>1.3</v>
      </c>
      <c r="M1499" s="39" t="n">
        <v>2.24</v>
      </c>
      <c r="P1499" t="n">
        <v>0</v>
      </c>
      <c r="Q1499" t="n">
        <v>0</v>
      </c>
      <c r="R1499" t="inlineStr">
        <is>
          <t>453-2024-12-31</t>
        </is>
      </c>
    </row>
    <row r="1500" hidden="1">
      <c r="A1500" t="n">
        <v>453</v>
      </c>
      <c r="B1500" t="inlineStr">
        <is>
          <t>Número de cursos diseñados</t>
        </is>
      </c>
      <c r="C1500" t="inlineStr">
        <is>
          <t>Diseño de Contenido Virtual</t>
        </is>
      </c>
      <c r="D1500" t="inlineStr">
        <is>
          <t>Semestral</t>
        </is>
      </c>
      <c r="E1500" t="inlineStr">
        <is>
          <t>Positivo</t>
        </is>
      </c>
      <c r="F1500" s="113" t="n">
        <v>45838</v>
      </c>
      <c r="G1500" t="n">
        <v>2025</v>
      </c>
      <c r="H1500" t="inlineStr">
        <is>
          <t>Junio</t>
        </is>
      </c>
      <c r="I1500" t="inlineStr">
        <is>
          <t>2025-1</t>
        </is>
      </c>
      <c r="J1500" t="n">
        <v>200</v>
      </c>
      <c r="K1500" t="n">
        <v>148</v>
      </c>
      <c r="L1500" s="39" t="n">
        <v>0.74</v>
      </c>
      <c r="M1500" s="39" t="n">
        <v>0.74</v>
      </c>
      <c r="P1500" t="n">
        <v>0</v>
      </c>
      <c r="Q1500" t="n">
        <v>0</v>
      </c>
      <c r="R1500" t="inlineStr">
        <is>
          <t>453-2025-06-30</t>
        </is>
      </c>
    </row>
    <row r="1501" hidden="1">
      <c r="A1501" t="n">
        <v>453</v>
      </c>
      <c r="B1501" t="inlineStr">
        <is>
          <t>Número de cursos diseñados</t>
        </is>
      </c>
      <c r="C1501" t="inlineStr">
        <is>
          <t>Diseño de Contenido Virtual</t>
        </is>
      </c>
      <c r="D1501" t="inlineStr">
        <is>
          <t>Semestral</t>
        </is>
      </c>
      <c r="E1501" t="inlineStr">
        <is>
          <t>Positivo</t>
        </is>
      </c>
      <c r="F1501" s="113" t="n">
        <v>46022</v>
      </c>
      <c r="G1501" t="n">
        <v>2025</v>
      </c>
      <c r="H1501" t="inlineStr">
        <is>
          <t>Diciembre</t>
        </is>
      </c>
      <c r="I1501" t="inlineStr">
        <is>
          <t>2025-2</t>
        </is>
      </c>
      <c r="J1501" t="n">
        <v>200</v>
      </c>
      <c r="K1501" t="n">
        <v>200</v>
      </c>
      <c r="L1501" s="39" t="n">
        <v>1</v>
      </c>
      <c r="M1501" s="39" t="n">
        <v>1</v>
      </c>
      <c r="P1501" t="n">
        <v>0</v>
      </c>
      <c r="Q1501" t="n">
        <v>0</v>
      </c>
      <c r="R1501" t="inlineStr">
        <is>
          <t>453-2025-12-31</t>
        </is>
      </c>
    </row>
    <row r="1502" hidden="1">
      <c r="A1502" t="n">
        <v>454</v>
      </c>
      <c r="B1502" t="inlineStr">
        <is>
          <t>Satisfacción de la calidad del contenido</t>
        </is>
      </c>
      <c r="C1502" t="inlineStr">
        <is>
          <t>Diseño de Contenido Virtual</t>
        </is>
      </c>
      <c r="D1502" t="inlineStr">
        <is>
          <t>Trimestral</t>
        </is>
      </c>
      <c r="E1502" t="inlineStr">
        <is>
          <t>Positivo</t>
        </is>
      </c>
      <c r="F1502" s="113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L1502" s="39" t="n"/>
      <c r="M1502" s="39" t="n"/>
      <c r="P1502" t="n">
        <v>0</v>
      </c>
      <c r="Q1502" t="n">
        <v>0</v>
      </c>
      <c r="R1502" t="inlineStr">
        <is>
          <t>454-2024-06-30</t>
        </is>
      </c>
    </row>
    <row r="1503" hidden="1">
      <c r="A1503" t="n">
        <v>454</v>
      </c>
      <c r="B1503" t="inlineStr">
        <is>
          <t>Satisfacción de la calidad del contenido</t>
        </is>
      </c>
      <c r="C1503" t="inlineStr">
        <is>
          <t>Diseño de Contenido Virtual</t>
        </is>
      </c>
      <c r="D1503" t="inlineStr">
        <is>
          <t>Trimestral</t>
        </is>
      </c>
      <c r="E1503" t="inlineStr">
        <is>
          <t>Positivo</t>
        </is>
      </c>
      <c r="F1503" s="113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0</v>
      </c>
      <c r="K1503" t="n">
        <v>88</v>
      </c>
      <c r="L1503" s="39" t="n"/>
      <c r="M1503" s="39" t="n"/>
      <c r="P1503" t="n">
        <v>0</v>
      </c>
      <c r="Q1503" t="n">
        <v>0</v>
      </c>
      <c r="R1503" t="inlineStr">
        <is>
          <t>454-2024-12-31</t>
        </is>
      </c>
    </row>
    <row r="1504" hidden="1">
      <c r="A1504" t="n">
        <v>455</v>
      </c>
      <c r="B1504" t="inlineStr">
        <is>
          <t>ANS Diseño de contenidos virtuales</t>
        </is>
      </c>
      <c r="C1504" t="inlineStr">
        <is>
          <t>Diseño de Contenido Virtual</t>
        </is>
      </c>
      <c r="D1504" t="inlineStr">
        <is>
          <t>Trimestral</t>
        </is>
      </c>
      <c r="E1504" t="inlineStr">
        <is>
          <t>Positivo</t>
        </is>
      </c>
      <c r="F1504" s="113" t="n">
        <v>45473</v>
      </c>
      <c r="G1504" t="n">
        <v>2024</v>
      </c>
      <c r="H1504" t="inlineStr">
        <is>
          <t>Junio</t>
        </is>
      </c>
      <c r="I1504" t="inlineStr">
        <is>
          <t>2024-1</t>
        </is>
      </c>
      <c r="L1504" s="39" t="n"/>
      <c r="M1504" s="39" t="n"/>
      <c r="P1504" t="n">
        <v>0</v>
      </c>
      <c r="Q1504" t="n">
        <v>0</v>
      </c>
      <c r="R1504" t="inlineStr">
        <is>
          <t>455-2024-06-30</t>
        </is>
      </c>
    </row>
    <row r="1505" hidden="1">
      <c r="A1505" t="n">
        <v>455</v>
      </c>
      <c r="B1505" t="inlineStr">
        <is>
          <t>ANS Diseño de contenidos virtuales</t>
        </is>
      </c>
      <c r="C1505" t="inlineStr">
        <is>
          <t>Diseño de Contenido Virtual</t>
        </is>
      </c>
      <c r="D1505" t="inlineStr">
        <is>
          <t>Trimestral</t>
        </is>
      </c>
      <c r="E1505" t="inlineStr">
        <is>
          <t>Positivo</t>
        </is>
      </c>
      <c r="F1505" s="113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90</v>
      </c>
      <c r="K1505" t="n">
        <v>100</v>
      </c>
      <c r="L1505" s="39" t="n">
        <v>1.111111111111111</v>
      </c>
      <c r="M1505" s="39" t="n">
        <v>1.111111111111111</v>
      </c>
      <c r="P1505" t="n">
        <v>0</v>
      </c>
      <c r="Q1505" t="n">
        <v>0</v>
      </c>
      <c r="R1505" t="inlineStr">
        <is>
          <t>455-2024-12-31</t>
        </is>
      </c>
    </row>
    <row r="1506" hidden="1">
      <c r="A1506" t="n">
        <v>455</v>
      </c>
      <c r="B1506" t="inlineStr">
        <is>
          <t>ANS Diseño de contenidos virtuales</t>
        </is>
      </c>
      <c r="C1506" t="inlineStr">
        <is>
          <t>Diseño de Contenido Virtual</t>
        </is>
      </c>
      <c r="D1506" t="inlineStr">
        <is>
          <t>Semestral</t>
        </is>
      </c>
      <c r="E1506" t="inlineStr">
        <is>
          <t>Positivo</t>
        </is>
      </c>
      <c r="F1506" s="113" t="n">
        <v>45838</v>
      </c>
      <c r="G1506" t="n">
        <v>2025</v>
      </c>
      <c r="H1506" t="inlineStr">
        <is>
          <t>Junio</t>
        </is>
      </c>
      <c r="I1506" t="inlineStr">
        <is>
          <t>2025-1</t>
        </is>
      </c>
      <c r="J1506" t="n">
        <v>100</v>
      </c>
      <c r="K1506" t="n">
        <v>100</v>
      </c>
      <c r="L1506" s="39" t="n">
        <v>1</v>
      </c>
      <c r="M1506" s="39" t="n">
        <v>1</v>
      </c>
      <c r="N1506" t="inlineStr">
        <is>
          <t>%</t>
        </is>
      </c>
      <c r="O1506" t="inlineStr">
        <is>
          <t>%</t>
        </is>
      </c>
      <c r="P1506" t="n">
        <v>0</v>
      </c>
      <c r="Q1506" t="n">
        <v>0</v>
      </c>
      <c r="R1506" t="inlineStr">
        <is>
          <t>455-2025-06-30</t>
        </is>
      </c>
    </row>
    <row r="1507" hidden="1">
      <c r="A1507" t="n">
        <v>455</v>
      </c>
      <c r="B1507" t="inlineStr">
        <is>
          <t>ANS Diseño de contenidos virtuales</t>
        </is>
      </c>
      <c r="C1507" t="inlineStr">
        <is>
          <t>Diseño de Contenido Virtual</t>
        </is>
      </c>
      <c r="D1507" t="inlineStr">
        <is>
          <t>Semestral</t>
        </is>
      </c>
      <c r="E1507" t="inlineStr">
        <is>
          <t>Positivo</t>
        </is>
      </c>
      <c r="F1507" s="113" t="n">
        <v>46022</v>
      </c>
      <c r="G1507" t="n">
        <v>2025</v>
      </c>
      <c r="H1507" t="inlineStr">
        <is>
          <t>Diciembre</t>
        </is>
      </c>
      <c r="I1507" t="inlineStr">
        <is>
          <t>2025-2</t>
        </is>
      </c>
      <c r="J1507" t="n">
        <v>100</v>
      </c>
      <c r="K1507" t="n">
        <v>100</v>
      </c>
      <c r="L1507" s="39" t="n">
        <v>1</v>
      </c>
      <c r="M1507" s="39" t="n">
        <v>1</v>
      </c>
      <c r="N1507" t="inlineStr">
        <is>
          <t>%</t>
        </is>
      </c>
      <c r="O1507" t="inlineStr">
        <is>
          <t>%</t>
        </is>
      </c>
      <c r="P1507" t="n">
        <v>0</v>
      </c>
      <c r="Q1507" t="n">
        <v>0</v>
      </c>
      <c r="R1507" t="inlineStr">
        <is>
          <t>455-2025-12-31</t>
        </is>
      </c>
    </row>
    <row r="1508" hidden="1">
      <c r="A1508" t="n">
        <v>456</v>
      </c>
      <c r="B1508" t="inlineStr">
        <is>
          <t>Impacto de campañas de Mailing</t>
        </is>
      </c>
      <c r="C1508" t="inlineStr">
        <is>
          <t>Comunicaciones Internas</t>
        </is>
      </c>
      <c r="D1508" t="inlineStr">
        <is>
          <t>Semestral</t>
        </is>
      </c>
      <c r="E1508" t="inlineStr">
        <is>
          <t>Positivo</t>
        </is>
      </c>
      <c r="F1508" s="113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100</v>
      </c>
      <c r="L1508" s="39" t="n">
        <v>1</v>
      </c>
      <c r="M1508" s="39" t="n">
        <v>1</v>
      </c>
      <c r="P1508" t="n">
        <v>0</v>
      </c>
      <c r="Q1508" t="n">
        <v>0</v>
      </c>
      <c r="R1508" t="inlineStr">
        <is>
          <t>456-2024-06-30</t>
        </is>
      </c>
    </row>
    <row r="1509" hidden="1">
      <c r="A1509" t="n">
        <v>456</v>
      </c>
      <c r="B1509" t="inlineStr">
        <is>
          <t>Impacto de campañas de Mailing</t>
        </is>
      </c>
      <c r="C1509" t="inlineStr">
        <is>
          <t>Comunicaciones Internas</t>
        </is>
      </c>
      <c r="D1509" t="inlineStr">
        <is>
          <t>Semestral</t>
        </is>
      </c>
      <c r="E1509" t="inlineStr">
        <is>
          <t>Positivo</t>
        </is>
      </c>
      <c r="F1509" s="113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94.69</v>
      </c>
      <c r="L1509" s="39" t="n">
        <v>0.9469</v>
      </c>
      <c r="M1509" s="39" t="n">
        <v>0.9469</v>
      </c>
      <c r="P1509" t="n">
        <v>0</v>
      </c>
      <c r="Q1509" t="n">
        <v>0</v>
      </c>
      <c r="R1509" t="inlineStr">
        <is>
          <t>456-2024-12-31</t>
        </is>
      </c>
    </row>
    <row r="1510" hidden="1">
      <c r="A1510" t="n">
        <v>456</v>
      </c>
      <c r="B1510" t="inlineStr">
        <is>
          <t>Impacto de campañas de Mailing</t>
        </is>
      </c>
      <c r="C1510" t="inlineStr">
        <is>
          <t>Comunicaciones Internas</t>
        </is>
      </c>
      <c r="D1510" t="inlineStr">
        <is>
          <t>Semestral</t>
        </is>
      </c>
      <c r="E1510" t="inlineStr">
        <is>
          <t>Positivo</t>
        </is>
      </c>
      <c r="F1510" s="113" t="n">
        <v>45838</v>
      </c>
      <c r="G1510" t="n">
        <v>2025</v>
      </c>
      <c r="H1510" t="inlineStr">
        <is>
          <t>Junio</t>
        </is>
      </c>
      <c r="I1510" t="inlineStr">
        <is>
          <t>2025-1</t>
        </is>
      </c>
      <c r="J1510" t="n">
        <v>100</v>
      </c>
      <c r="K1510" t="n">
        <v>105.185</v>
      </c>
      <c r="L1510" s="39" t="n">
        <v>1.05185</v>
      </c>
      <c r="M1510" s="39" t="n">
        <v>1.05185</v>
      </c>
      <c r="N1510" t="inlineStr">
        <is>
          <t>%</t>
        </is>
      </c>
      <c r="O1510" t="inlineStr">
        <is>
          <t>%</t>
        </is>
      </c>
      <c r="P1510" t="n">
        <v>0</v>
      </c>
      <c r="Q1510" t="n">
        <v>0</v>
      </c>
      <c r="R1510" t="inlineStr">
        <is>
          <t>456-2025-06-30</t>
        </is>
      </c>
    </row>
    <row r="1511" hidden="1">
      <c r="A1511" t="n">
        <v>456</v>
      </c>
      <c r="B1511" t="inlineStr">
        <is>
          <t>Impacto de campañas de Mailing</t>
        </is>
      </c>
      <c r="C1511" t="inlineStr">
        <is>
          <t>Comunicaciones Internas</t>
        </is>
      </c>
      <c r="D1511" t="inlineStr">
        <is>
          <t>Semestral</t>
        </is>
      </c>
      <c r="E1511" t="inlineStr">
        <is>
          <t>Positivo</t>
        </is>
      </c>
      <c r="F1511" s="113" t="n">
        <v>46022</v>
      </c>
      <c r="G1511" t="n">
        <v>2025</v>
      </c>
      <c r="H1511" t="inlineStr">
        <is>
          <t>Diciembre</t>
        </is>
      </c>
      <c r="I1511" t="inlineStr">
        <is>
          <t>2025-2</t>
        </is>
      </c>
      <c r="J1511" t="n">
        <v>100</v>
      </c>
      <c r="K1511" t="n">
        <v>118</v>
      </c>
      <c r="L1511" s="39" t="n">
        <v>1.18</v>
      </c>
      <c r="M1511" s="39" t="n">
        <v>1.18</v>
      </c>
      <c r="N1511" t="inlineStr">
        <is>
          <t>%</t>
        </is>
      </c>
      <c r="O1511" t="inlineStr">
        <is>
          <t>%</t>
        </is>
      </c>
      <c r="P1511" t="n">
        <v>0</v>
      </c>
      <c r="Q1511" t="n">
        <v>0</v>
      </c>
      <c r="R1511" t="inlineStr">
        <is>
          <t>456-2025-12-31</t>
        </is>
      </c>
    </row>
    <row r="1512" hidden="1">
      <c r="A1512" t="n">
        <v>457</v>
      </c>
      <c r="B1512" t="inlineStr">
        <is>
          <t>Apertura de enlaces en mensajes de texto</t>
        </is>
      </c>
      <c r="C1512" t="inlineStr">
        <is>
          <t>Comunicaciones Internas</t>
        </is>
      </c>
      <c r="D1512" t="inlineStr">
        <is>
          <t>Semestral</t>
        </is>
      </c>
      <c r="E1512" t="inlineStr">
        <is>
          <t>Positivo</t>
        </is>
      </c>
      <c r="F1512" s="113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J1512" t="n">
        <v>100</v>
      </c>
      <c r="K1512" t="n">
        <v>90</v>
      </c>
      <c r="L1512" s="39" t="n">
        <v>0.9</v>
      </c>
      <c r="M1512" s="39" t="n">
        <v>0.9</v>
      </c>
      <c r="P1512" t="n">
        <v>0</v>
      </c>
      <c r="Q1512" t="n">
        <v>0</v>
      </c>
      <c r="R1512" t="inlineStr">
        <is>
          <t>457-2024-06-30</t>
        </is>
      </c>
    </row>
    <row r="1513" hidden="1">
      <c r="A1513" t="n">
        <v>457</v>
      </c>
      <c r="B1513" t="inlineStr">
        <is>
          <t>Apertura de enlaces en mensajes de texto</t>
        </is>
      </c>
      <c r="C1513" t="inlineStr">
        <is>
          <t>Comunicaciones Internas</t>
        </is>
      </c>
      <c r="D1513" t="inlineStr">
        <is>
          <t>Semestral</t>
        </is>
      </c>
      <c r="E1513" t="inlineStr">
        <is>
          <t>Positivo</t>
        </is>
      </c>
      <c r="F1513" s="113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100</v>
      </c>
      <c r="K1513" t="n">
        <v>70</v>
      </c>
      <c r="L1513" s="39" t="n">
        <v>0.7</v>
      </c>
      <c r="M1513" s="39" t="n">
        <v>0.7</v>
      </c>
      <c r="P1513" t="n">
        <v>0</v>
      </c>
      <c r="Q1513" t="n">
        <v>0</v>
      </c>
      <c r="R1513" t="inlineStr">
        <is>
          <t>457-2024-12-31</t>
        </is>
      </c>
    </row>
    <row r="1514" hidden="1">
      <c r="A1514" t="n">
        <v>457</v>
      </c>
      <c r="B1514" t="inlineStr">
        <is>
          <t>Apertura de enlaces en mensajes de texto</t>
        </is>
      </c>
      <c r="C1514" t="inlineStr">
        <is>
          <t>Comunicaciones Internas</t>
        </is>
      </c>
      <c r="D1514" t="inlineStr">
        <is>
          <t>Semestral</t>
        </is>
      </c>
      <c r="E1514" t="inlineStr">
        <is>
          <t>Positivo</t>
        </is>
      </c>
      <c r="F1514" s="113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141.665</v>
      </c>
      <c r="L1514" s="39" t="n">
        <v>1.3</v>
      </c>
      <c r="M1514" s="39" t="n">
        <v>1.41665</v>
      </c>
      <c r="N1514" t="inlineStr">
        <is>
          <t>%</t>
        </is>
      </c>
      <c r="O1514" t="inlineStr">
        <is>
          <t>%</t>
        </is>
      </c>
      <c r="P1514" t="n">
        <v>0</v>
      </c>
      <c r="Q1514" t="n">
        <v>0</v>
      </c>
      <c r="R1514" t="inlineStr">
        <is>
          <t>457-2025-06-30</t>
        </is>
      </c>
    </row>
    <row r="1515" hidden="1">
      <c r="A1515" t="n">
        <v>457</v>
      </c>
      <c r="B1515" t="inlineStr">
        <is>
          <t>Apertura de enlaces en mensajes de texto</t>
        </is>
      </c>
      <c r="C1515" t="inlineStr">
        <is>
          <t>Comunicaciones Internas</t>
        </is>
      </c>
      <c r="D1515" t="inlineStr">
        <is>
          <t>Semestral</t>
        </is>
      </c>
      <c r="E1515" t="inlineStr">
        <is>
          <t>Positivo</t>
        </is>
      </c>
      <c r="F1515" s="113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84.52</v>
      </c>
      <c r="L1515" s="39" t="n">
        <v>0.8452</v>
      </c>
      <c r="M1515" s="39" t="n">
        <v>0.8452</v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457-2025-12-31</t>
        </is>
      </c>
    </row>
    <row r="1516" hidden="1">
      <c r="A1516" t="n">
        <v>459</v>
      </c>
      <c r="B1516" t="inlineStr">
        <is>
          <t>Número de publicaciones e historias</t>
        </is>
      </c>
      <c r="C1516" t="inlineStr">
        <is>
          <t>Comunicaciones Externas</t>
        </is>
      </c>
      <c r="D1516" t="inlineStr">
        <is>
          <t>Trimestral</t>
        </is>
      </c>
      <c r="E1516" t="inlineStr">
        <is>
          <t>Positivo</t>
        </is>
      </c>
      <c r="F1516" s="113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130.43</v>
      </c>
      <c r="L1516" s="39" t="n">
        <v>1.3</v>
      </c>
      <c r="M1516" s="39" t="n">
        <v>1.3043</v>
      </c>
      <c r="P1516" t="n">
        <v>0</v>
      </c>
      <c r="Q1516" t="n">
        <v>0</v>
      </c>
      <c r="R1516" t="inlineStr">
        <is>
          <t>459-2024-06-30</t>
        </is>
      </c>
    </row>
    <row r="1517" hidden="1">
      <c r="A1517" t="n">
        <v>459</v>
      </c>
      <c r="B1517" t="inlineStr">
        <is>
          <t>Número de publicaciones e historias</t>
        </is>
      </c>
      <c r="C1517" t="inlineStr">
        <is>
          <t>Comunicaciones Externas</t>
        </is>
      </c>
      <c r="D1517" t="inlineStr">
        <is>
          <t>Trimestral</t>
        </is>
      </c>
      <c r="E1517" t="inlineStr">
        <is>
          <t>Positivo</t>
        </is>
      </c>
      <c r="F1517" s="113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L1517" s="39" t="n"/>
      <c r="M1517" s="39" t="n"/>
      <c r="N1517" t="inlineStr">
        <is>
          <t>ENT</t>
        </is>
      </c>
      <c r="O1517" t="inlineStr">
        <is>
          <t>N/A</t>
        </is>
      </c>
      <c r="P1517" t="n">
        <v>0</v>
      </c>
      <c r="Q1517" t="n">
        <v>0</v>
      </c>
      <c r="R1517" t="inlineStr">
        <is>
          <t>459-2024-12-31</t>
        </is>
      </c>
    </row>
    <row r="1518" hidden="1">
      <c r="A1518" t="n">
        <v>460</v>
      </c>
      <c r="B1518" t="inlineStr">
        <is>
          <t>% de profesores (Contrato Indefinido- Fijo) impactados plan de desarrollo docente</t>
        </is>
      </c>
      <c r="C1518" t="inlineStr">
        <is>
          <t>GESTIÓN Y DESARROLLO DEL TALENTO HUMANO</t>
        </is>
      </c>
      <c r="D1518" t="inlineStr">
        <is>
          <t>Anual</t>
        </is>
      </c>
      <c r="E1518" t="inlineStr">
        <is>
          <t>Positivo</t>
        </is>
      </c>
      <c r="F1518" s="113" t="n">
        <v>45657</v>
      </c>
      <c r="G1518" t="n">
        <v>2024</v>
      </c>
      <c r="H1518" t="inlineStr">
        <is>
          <t>Diciembre</t>
        </is>
      </c>
      <c r="I1518" t="inlineStr">
        <is>
          <t>2024-2</t>
        </is>
      </c>
      <c r="J1518" t="n">
        <v>80</v>
      </c>
      <c r="K1518" t="n">
        <v>91.43968871595332</v>
      </c>
      <c r="L1518" s="39" t="n">
        <v>1.142996108949417</v>
      </c>
      <c r="M1518" s="39" t="n">
        <v>1.142996108949417</v>
      </c>
      <c r="P1518" t="n">
        <v>0</v>
      </c>
      <c r="Q1518" t="n">
        <v>0</v>
      </c>
      <c r="R1518" t="inlineStr">
        <is>
          <t>460-2024-12-31</t>
        </is>
      </c>
    </row>
    <row r="1519" hidden="1">
      <c r="A1519" t="n">
        <v>460</v>
      </c>
      <c r="B1519" t="inlineStr">
        <is>
          <t>% de profesores (Contrato Indefinido- Fijo) impactados plan de desarrollo docente</t>
        </is>
      </c>
      <c r="C1519" t="inlineStr">
        <is>
          <t>GESTIÓN Y DESARROLLO DEL TALENTO HUMANO</t>
        </is>
      </c>
      <c r="D1519" t="inlineStr">
        <is>
          <t>Anual</t>
        </is>
      </c>
      <c r="E1519" t="inlineStr">
        <is>
          <t>Positivo</t>
        </is>
      </c>
      <c r="F1519" s="113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80</v>
      </c>
      <c r="K1519" t="n">
        <v>84.18000000000001</v>
      </c>
      <c r="L1519" s="39" t="n">
        <v>1.05225</v>
      </c>
      <c r="M1519" s="39" t="n">
        <v>1.05225</v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1</v>
      </c>
      <c r="R1519" t="inlineStr">
        <is>
          <t>460-2025-12-31</t>
        </is>
      </c>
    </row>
    <row r="1520" hidden="1">
      <c r="A1520" t="n">
        <v>462</v>
      </c>
      <c r="B1520" t="inlineStr">
        <is>
          <t>Nivel Esfuerzo Editorial</t>
        </is>
      </c>
      <c r="C1520" t="inlineStr">
        <is>
          <t>Editorial y Publicaciones</t>
        </is>
      </c>
      <c r="D1520" t="inlineStr">
        <is>
          <t>Semestral</t>
        </is>
      </c>
      <c r="E1520" t="inlineStr">
        <is>
          <t>Positivo</t>
        </is>
      </c>
      <c r="F1520" s="113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85</v>
      </c>
      <c r="K1520" t="n">
        <v>100</v>
      </c>
      <c r="L1520" s="39" t="n">
        <v>1.176470588235294</v>
      </c>
      <c r="M1520" s="39" t="n">
        <v>1.176470588235294</v>
      </c>
      <c r="P1520" t="n">
        <v>0</v>
      </c>
      <c r="Q1520" t="n">
        <v>0</v>
      </c>
      <c r="R1520" t="inlineStr">
        <is>
          <t>462-2024-06-30</t>
        </is>
      </c>
    </row>
    <row r="1521" hidden="1">
      <c r="A1521" t="n">
        <v>462</v>
      </c>
      <c r="B1521" t="inlineStr">
        <is>
          <t>Nivel Esfuerzo Editorial</t>
        </is>
      </c>
      <c r="C1521" t="inlineStr">
        <is>
          <t>Editorial y Publicaciones</t>
        </is>
      </c>
      <c r="D1521" t="inlineStr">
        <is>
          <t>Semestral</t>
        </is>
      </c>
      <c r="E1521" t="inlineStr">
        <is>
          <t>Positivo</t>
        </is>
      </c>
      <c r="F1521" s="113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85</v>
      </c>
      <c r="K1521" t="n">
        <v>100</v>
      </c>
      <c r="L1521" s="39" t="n">
        <v>1.176470588235294</v>
      </c>
      <c r="M1521" s="39" t="n">
        <v>1.176470588235294</v>
      </c>
      <c r="P1521" t="n">
        <v>0</v>
      </c>
      <c r="Q1521" t="n">
        <v>0</v>
      </c>
      <c r="R1521" t="inlineStr">
        <is>
          <t>462-2024-12-31</t>
        </is>
      </c>
    </row>
    <row r="1522" hidden="1">
      <c r="A1522" t="n">
        <v>463</v>
      </c>
      <c r="B1522" t="inlineStr">
        <is>
          <t>Cumplimiento de las acciones del Plan de mejoramiento GPW</t>
        </is>
      </c>
      <c r="C1522" t="inlineStr">
        <is>
          <t>GESTIÓN Y DESARROLLO DEL TALENTO HUMANO</t>
        </is>
      </c>
      <c r="D1522" t="inlineStr">
        <is>
          <t>Semestral</t>
        </is>
      </c>
      <c r="E1522" t="inlineStr">
        <is>
          <t>Positivo</t>
        </is>
      </c>
      <c r="F1522" s="113" t="n">
        <v>45473</v>
      </c>
      <c r="G1522" t="n">
        <v>2024</v>
      </c>
      <c r="H1522" t="inlineStr">
        <is>
          <t>Junio</t>
        </is>
      </c>
      <c r="I1522" t="inlineStr">
        <is>
          <t>2024-1</t>
        </is>
      </c>
      <c r="J1522" t="n">
        <v>100</v>
      </c>
      <c r="K1522" t="n">
        <v>95</v>
      </c>
      <c r="L1522" s="39" t="n">
        <v>0.95</v>
      </c>
      <c r="M1522" s="39" t="n">
        <v>0.95</v>
      </c>
      <c r="P1522" t="n">
        <v>0</v>
      </c>
      <c r="Q1522" t="n">
        <v>0</v>
      </c>
      <c r="R1522" t="inlineStr">
        <is>
          <t>463-2024-06-30</t>
        </is>
      </c>
    </row>
    <row r="1523" hidden="1">
      <c r="A1523" t="n">
        <v>463</v>
      </c>
      <c r="B1523" t="inlineStr">
        <is>
          <t>Cumplimiento de las acciones del Plan de mejoramiento GPW</t>
        </is>
      </c>
      <c r="C1523" t="inlineStr">
        <is>
          <t>GESTIÓN Y DESARROLLO DEL TALENTO HUMANO</t>
        </is>
      </c>
      <c r="D1523" t="inlineStr">
        <is>
          <t>Semestral</t>
        </is>
      </c>
      <c r="E1523" t="inlineStr">
        <is>
          <t>Positivo</t>
        </is>
      </c>
      <c r="F1523" s="113" t="n">
        <v>45657</v>
      </c>
      <c r="G1523" t="n">
        <v>2024</v>
      </c>
      <c r="H1523" t="inlineStr">
        <is>
          <t>Diciembre</t>
        </is>
      </c>
      <c r="I1523" t="inlineStr">
        <is>
          <t>2024-2</t>
        </is>
      </c>
      <c r="J1523" t="n">
        <v>100</v>
      </c>
      <c r="K1523" t="n">
        <v>100</v>
      </c>
      <c r="L1523" s="39" t="n">
        <v>1</v>
      </c>
      <c r="M1523" s="39" t="n">
        <v>1</v>
      </c>
      <c r="P1523" t="n">
        <v>0</v>
      </c>
      <c r="Q1523" t="n">
        <v>0</v>
      </c>
      <c r="R1523" t="inlineStr">
        <is>
          <t>463-2024-12-31</t>
        </is>
      </c>
    </row>
    <row r="1524" hidden="1">
      <c r="A1524" t="n">
        <v>465</v>
      </c>
      <c r="B1524" t="inlineStr">
        <is>
          <t>% de depuración histórico  SNIES</t>
        </is>
      </c>
      <c r="C1524" t="inlineStr">
        <is>
          <t>DATOS Y ANALÍTICA</t>
        </is>
      </c>
      <c r="D1524" t="inlineStr">
        <is>
          <t>Semestral</t>
        </is>
      </c>
      <c r="E1524" t="inlineStr">
        <is>
          <t>Positivo</t>
        </is>
      </c>
      <c r="F1524" s="113" t="n">
        <v>45473</v>
      </c>
      <c r="G1524" t="n">
        <v>2024</v>
      </c>
      <c r="H1524" t="inlineStr">
        <is>
          <t>Junio</t>
        </is>
      </c>
      <c r="I1524" t="inlineStr">
        <is>
          <t>2024-1</t>
        </is>
      </c>
      <c r="J1524" t="n">
        <v>70</v>
      </c>
      <c r="K1524" t="n">
        <v>57.86</v>
      </c>
      <c r="L1524" s="39" t="n">
        <v>0.8265714285714285</v>
      </c>
      <c r="M1524" s="39" t="n">
        <v>0.8265714285714285</v>
      </c>
      <c r="P1524" t="n">
        <v>0</v>
      </c>
      <c r="Q1524" t="n">
        <v>0</v>
      </c>
      <c r="R1524" t="inlineStr">
        <is>
          <t>465-2024-06-30</t>
        </is>
      </c>
    </row>
    <row r="1525" hidden="1">
      <c r="A1525" t="n">
        <v>465</v>
      </c>
      <c r="B1525" t="inlineStr">
        <is>
          <t>% de depuración histórico  SNIES</t>
        </is>
      </c>
      <c r="C1525" t="inlineStr">
        <is>
          <t>DATOS Y ANALÍTICA</t>
        </is>
      </c>
      <c r="D1525" t="inlineStr">
        <is>
          <t>Semestral</t>
        </is>
      </c>
      <c r="E1525" t="inlineStr">
        <is>
          <t>Positivo</t>
        </is>
      </c>
      <c r="F1525" s="113" t="n">
        <v>45657</v>
      </c>
      <c r="G1525" t="n">
        <v>2024</v>
      </c>
      <c r="H1525" t="inlineStr">
        <is>
          <t>Diciembre</t>
        </is>
      </c>
      <c r="I1525" t="inlineStr">
        <is>
          <t>2024-2</t>
        </is>
      </c>
      <c r="J1525" t="n">
        <v>100</v>
      </c>
      <c r="K1525" t="n">
        <v>56.83</v>
      </c>
      <c r="L1525" s="39" t="n">
        <v>0.5683</v>
      </c>
      <c r="M1525" s="39" t="n">
        <v>0.5683</v>
      </c>
      <c r="P1525" t="n">
        <v>0</v>
      </c>
      <c r="Q1525" t="n">
        <v>0</v>
      </c>
      <c r="R1525" t="inlineStr">
        <is>
          <t>465-2024-12-31</t>
        </is>
      </c>
    </row>
    <row r="1526" hidden="1">
      <c r="A1526" t="n">
        <v>466</v>
      </c>
      <c r="B1526" t="inlineStr">
        <is>
          <t>NPS Estudiantes</t>
        </is>
      </c>
      <c r="C1526" t="inlineStr">
        <is>
          <t>Servicio</t>
        </is>
      </c>
      <c r="D1526" t="inlineStr">
        <is>
          <t>Semestral</t>
        </is>
      </c>
      <c r="E1526" t="inlineStr">
        <is>
          <t>Positivo</t>
        </is>
      </c>
      <c r="F1526" s="113" t="n">
        <v>45473</v>
      </c>
      <c r="G1526" t="n">
        <v>2024</v>
      </c>
      <c r="H1526" t="inlineStr">
        <is>
          <t>Junio</t>
        </is>
      </c>
      <c r="I1526" t="inlineStr">
        <is>
          <t>2024-1</t>
        </is>
      </c>
      <c r="J1526" t="n">
        <v>100</v>
      </c>
      <c r="K1526" t="n">
        <v>119.2</v>
      </c>
      <c r="L1526" s="39" t="n">
        <v>1.192</v>
      </c>
      <c r="M1526" s="39" t="n">
        <v>1.192</v>
      </c>
      <c r="N1526" t="inlineStr">
        <is>
          <t>ENT</t>
        </is>
      </c>
      <c r="O1526" t="inlineStr">
        <is>
          <t>DEC</t>
        </is>
      </c>
      <c r="P1526" t="n">
        <v>1</v>
      </c>
      <c r="Q1526" t="n">
        <v>1</v>
      </c>
      <c r="R1526" t="inlineStr">
        <is>
          <t>466-2024-06-30</t>
        </is>
      </c>
    </row>
    <row r="1527" hidden="1">
      <c r="A1527" t="n">
        <v>466</v>
      </c>
      <c r="B1527" t="inlineStr">
        <is>
          <t>NPS Estudiantes</t>
        </is>
      </c>
      <c r="C1527" t="inlineStr">
        <is>
          <t>EXPERIENCIA INSTITUCIONAL</t>
        </is>
      </c>
      <c r="D1527" t="inlineStr">
        <is>
          <t>Semestral</t>
        </is>
      </c>
      <c r="E1527" t="inlineStr">
        <is>
          <t>Positivo</t>
        </is>
      </c>
      <c r="F1527" s="113" t="n">
        <v>45657</v>
      </c>
      <c r="G1527" t="n">
        <v>2024</v>
      </c>
      <c r="H1527" t="inlineStr">
        <is>
          <t>Diciembre</t>
        </is>
      </c>
      <c r="I1527" t="inlineStr">
        <is>
          <t>2024-2</t>
        </is>
      </c>
      <c r="J1527" t="n">
        <v>100</v>
      </c>
      <c r="K1527" t="n">
        <v>107.6</v>
      </c>
      <c r="L1527" s="39" t="n">
        <v>1.076</v>
      </c>
      <c r="M1527" s="39" t="n">
        <v>1.076</v>
      </c>
      <c r="O1527" t="inlineStr">
        <is>
          <t>DEC</t>
        </is>
      </c>
      <c r="P1527" t="n">
        <v>0</v>
      </c>
      <c r="Q1527" t="n">
        <v>0</v>
      </c>
      <c r="R1527" t="inlineStr">
        <is>
          <t>466-2024-12-31</t>
        </is>
      </c>
    </row>
    <row r="1528" hidden="1">
      <c r="A1528" t="n">
        <v>466</v>
      </c>
      <c r="B1528" t="inlineStr">
        <is>
          <t>NPS Estudiantes</t>
        </is>
      </c>
      <c r="C1528" t="inlineStr">
        <is>
          <t>EXPERIENCIA INSTITUCIONAL</t>
        </is>
      </c>
      <c r="D1528" t="inlineStr">
        <is>
          <t>Semestral</t>
        </is>
      </c>
      <c r="E1528" t="inlineStr">
        <is>
          <t>Positivo</t>
        </is>
      </c>
      <c r="F1528" s="113" t="n">
        <v>46022</v>
      </c>
      <c r="G1528" t="n">
        <v>2025</v>
      </c>
      <c r="H1528" t="inlineStr">
        <is>
          <t>Diciembre</t>
        </is>
      </c>
      <c r="I1528" t="inlineStr">
        <is>
          <t>2025-2</t>
        </is>
      </c>
      <c r="J1528" t="n">
        <v>100</v>
      </c>
      <c r="K1528" t="n">
        <v>106.55</v>
      </c>
      <c r="L1528" s="39" t="n">
        <v>1.0655</v>
      </c>
      <c r="M1528" s="39" t="n">
        <v>1.0655</v>
      </c>
      <c r="O1528" t="inlineStr">
        <is>
          <t>DEC</t>
        </is>
      </c>
      <c r="P1528" t="n">
        <v>0</v>
      </c>
      <c r="Q1528" t="n">
        <v>0</v>
      </c>
      <c r="R1528" t="inlineStr">
        <is>
          <t>466-2025-12-31</t>
        </is>
      </c>
    </row>
    <row r="1529" hidden="1">
      <c r="A1529" t="n">
        <v>467</v>
      </c>
      <c r="B1529" t="inlineStr">
        <is>
          <t>NPS Graduados</t>
        </is>
      </c>
      <c r="C1529" t="inlineStr">
        <is>
          <t>EXPERIENCIA INSTITUCIONAL</t>
        </is>
      </c>
      <c r="D1529" t="inlineStr">
        <is>
          <t>Semestral</t>
        </is>
      </c>
      <c r="E1529" t="inlineStr">
        <is>
          <t>Positivo</t>
        </is>
      </c>
      <c r="F1529" s="113" t="n">
        <v>45473</v>
      </c>
      <c r="G1529" t="n">
        <v>2024</v>
      </c>
      <c r="H1529" t="inlineStr">
        <is>
          <t>Junio</t>
        </is>
      </c>
      <c r="I1529" t="inlineStr">
        <is>
          <t>2024-1</t>
        </is>
      </c>
      <c r="J1529" t="n">
        <v>100</v>
      </c>
      <c r="K1529" t="n">
        <v>121.25</v>
      </c>
      <c r="L1529" s="39" t="n">
        <v>1.2125</v>
      </c>
      <c r="M1529" s="39" t="n">
        <v>1.2125</v>
      </c>
      <c r="P1529" t="n">
        <v>0</v>
      </c>
      <c r="Q1529" t="n">
        <v>0</v>
      </c>
      <c r="R1529" t="inlineStr">
        <is>
          <t>467-2024-06-30</t>
        </is>
      </c>
    </row>
    <row r="1530" hidden="1">
      <c r="A1530" t="n">
        <v>467</v>
      </c>
      <c r="B1530" t="inlineStr">
        <is>
          <t>NPS Graduados</t>
        </is>
      </c>
      <c r="C1530" t="inlineStr">
        <is>
          <t>EXPERIENCIA INSTITUCIONAL</t>
        </is>
      </c>
      <c r="D1530" t="inlineStr">
        <is>
          <t>Semestral</t>
        </is>
      </c>
      <c r="E1530" t="inlineStr">
        <is>
          <t>Positivo</t>
        </is>
      </c>
      <c r="F1530" s="113" t="n">
        <v>45657</v>
      </c>
      <c r="G1530" t="n">
        <v>2024</v>
      </c>
      <c r="H1530" t="inlineStr">
        <is>
          <t>Diciembre</t>
        </is>
      </c>
      <c r="I1530" t="inlineStr">
        <is>
          <t>2024-2</t>
        </is>
      </c>
      <c r="J1530" t="n">
        <v>100</v>
      </c>
      <c r="K1530" t="n">
        <v>121.83</v>
      </c>
      <c r="L1530" s="39" t="n">
        <v>1.2183</v>
      </c>
      <c r="M1530" s="39" t="n">
        <v>1.2183</v>
      </c>
      <c r="P1530" t="n">
        <v>0</v>
      </c>
      <c r="Q1530" t="n">
        <v>0</v>
      </c>
      <c r="R1530" t="inlineStr">
        <is>
          <t>467-2024-12-31</t>
        </is>
      </c>
    </row>
    <row r="1531" hidden="1">
      <c r="A1531" t="n">
        <v>467</v>
      </c>
      <c r="B1531" t="inlineStr">
        <is>
          <t>NPS Graduados</t>
        </is>
      </c>
      <c r="C1531" t="inlineStr">
        <is>
          <t>EXPERIENCIA INSTITUCIONAL</t>
        </is>
      </c>
      <c r="D1531" t="inlineStr">
        <is>
          <t>Trimestral</t>
        </is>
      </c>
      <c r="E1531" t="inlineStr">
        <is>
          <t>Positivo</t>
        </is>
      </c>
      <c r="F1531" s="113" t="n">
        <v>45838</v>
      </c>
      <c r="G1531" t="n">
        <v>2025</v>
      </c>
      <c r="H1531" t="inlineStr">
        <is>
          <t>Junio</t>
        </is>
      </c>
      <c r="I1531" t="inlineStr">
        <is>
          <t>2025-1</t>
        </is>
      </c>
      <c r="J1531" t="n">
        <v>100</v>
      </c>
      <c r="K1531" t="n">
        <v>118</v>
      </c>
      <c r="L1531" s="39" t="n">
        <v>1.18</v>
      </c>
      <c r="M1531" s="39" t="n">
        <v>1.18</v>
      </c>
      <c r="N1531" t="inlineStr">
        <is>
          <t>ENT</t>
        </is>
      </c>
      <c r="O1531" t="inlineStr">
        <is>
          <t>DEC</t>
        </is>
      </c>
      <c r="P1531" t="n">
        <v>0</v>
      </c>
      <c r="Q1531" t="n">
        <v>1</v>
      </c>
      <c r="R1531" t="inlineStr">
        <is>
          <t>467-2025-06-30</t>
        </is>
      </c>
    </row>
    <row r="1532" hidden="1">
      <c r="A1532" t="n">
        <v>467</v>
      </c>
      <c r="B1532" t="inlineStr">
        <is>
          <t>NPS Graduados</t>
        </is>
      </c>
      <c r="C1532" t="inlineStr">
        <is>
          <t>EXPERIENCIA INSTITUCIONAL</t>
        </is>
      </c>
      <c r="D1532" t="inlineStr">
        <is>
          <t>Trimestral</t>
        </is>
      </c>
      <c r="E1532" t="inlineStr">
        <is>
          <t>Positivo</t>
        </is>
      </c>
      <c r="F1532" s="113" t="n">
        <v>46022</v>
      </c>
      <c r="G1532" t="n">
        <v>2025</v>
      </c>
      <c r="H1532" t="inlineStr">
        <is>
          <t>Diciembre</t>
        </is>
      </c>
      <c r="I1532" t="inlineStr">
        <is>
          <t>2025-2</t>
        </is>
      </c>
      <c r="J1532" t="n">
        <v>100</v>
      </c>
      <c r="K1532" t="n">
        <v>99.5</v>
      </c>
      <c r="L1532" s="39" t="n">
        <v>0.995</v>
      </c>
      <c r="M1532" s="39" t="n">
        <v>0.995</v>
      </c>
      <c r="N1532" t="inlineStr">
        <is>
          <t>ENT</t>
        </is>
      </c>
      <c r="O1532" t="inlineStr">
        <is>
          <t>DEC</t>
        </is>
      </c>
      <c r="P1532" t="n">
        <v>0</v>
      </c>
      <c r="Q1532" t="n">
        <v>1</v>
      </c>
      <c r="R1532" t="inlineStr">
        <is>
          <t>467-2025-12-31</t>
        </is>
      </c>
    </row>
    <row r="1533" hidden="1">
      <c r="A1533" t="n">
        <v>468</v>
      </c>
      <c r="B1533" t="inlineStr">
        <is>
          <t>CES General</t>
        </is>
      </c>
      <c r="C1533" t="inlineStr">
        <is>
          <t>EXPERIENCIA INSTITUCIONAL</t>
        </is>
      </c>
      <c r="D1533" t="inlineStr">
        <is>
          <t>Semestral</t>
        </is>
      </c>
      <c r="E1533" t="inlineStr">
        <is>
          <t>Negativo</t>
        </is>
      </c>
      <c r="F1533" s="113" t="n">
        <v>45473</v>
      </c>
      <c r="G1533" t="n">
        <v>2024</v>
      </c>
      <c r="H1533" t="inlineStr">
        <is>
          <t>Junio</t>
        </is>
      </c>
      <c r="I1533" t="inlineStr">
        <is>
          <t>2024-1</t>
        </is>
      </c>
      <c r="J1533" t="n">
        <v>3</v>
      </c>
      <c r="K1533" t="n">
        <v>2.85</v>
      </c>
      <c r="L1533" s="39" t="n">
        <v>1.052631578947368</v>
      </c>
      <c r="M1533" s="39" t="n">
        <v>1.052631578947368</v>
      </c>
      <c r="P1533" t="n">
        <v>0</v>
      </c>
      <c r="Q1533" t="n">
        <v>0</v>
      </c>
      <c r="R1533" t="inlineStr">
        <is>
          <t>468-2024-06-30</t>
        </is>
      </c>
    </row>
    <row r="1534" hidden="1">
      <c r="A1534" t="n">
        <v>468</v>
      </c>
      <c r="B1534" t="inlineStr">
        <is>
          <t>CES General</t>
        </is>
      </c>
      <c r="C1534" t="inlineStr">
        <is>
          <t>EXPERIENCIA INSTITUCIONAL</t>
        </is>
      </c>
      <c r="D1534" t="inlineStr">
        <is>
          <t>Semestral</t>
        </is>
      </c>
      <c r="E1534" t="inlineStr">
        <is>
          <t>Negativo</t>
        </is>
      </c>
      <c r="F1534" s="113" t="n">
        <v>45657</v>
      </c>
      <c r="G1534" t="n">
        <v>2024</v>
      </c>
      <c r="H1534" t="inlineStr">
        <is>
          <t>Diciembre</t>
        </is>
      </c>
      <c r="I1534" t="inlineStr">
        <is>
          <t>2024-2</t>
        </is>
      </c>
      <c r="J1534" t="n">
        <v>3</v>
      </c>
      <c r="K1534" t="n">
        <v>2.6</v>
      </c>
      <c r="L1534" s="39" t="n">
        <v>1.153846153846154</v>
      </c>
      <c r="M1534" s="39" t="n">
        <v>1.153846153846154</v>
      </c>
      <c r="P1534" t="n">
        <v>0</v>
      </c>
      <c r="Q1534" t="n">
        <v>0</v>
      </c>
      <c r="R1534" t="inlineStr">
        <is>
          <t>468-2024-12-31</t>
        </is>
      </c>
    </row>
    <row r="1535" hidden="1">
      <c r="A1535" t="n">
        <v>468</v>
      </c>
      <c r="B1535" t="inlineStr">
        <is>
          <t>CES General</t>
        </is>
      </c>
      <c r="C1535" t="inlineStr">
        <is>
          <t>EXPERIENCIA INSTITUCIONAL</t>
        </is>
      </c>
      <c r="D1535" t="inlineStr">
        <is>
          <t>Trimestral</t>
        </is>
      </c>
      <c r="E1535" t="inlineStr">
        <is>
          <t>Negativo</t>
        </is>
      </c>
      <c r="F1535" s="113" t="n">
        <v>45838</v>
      </c>
      <c r="G1535" t="n">
        <v>2025</v>
      </c>
      <c r="H1535" t="inlineStr">
        <is>
          <t>Junio</t>
        </is>
      </c>
      <c r="I1535" t="inlineStr">
        <is>
          <t>2025-1</t>
        </is>
      </c>
      <c r="J1535" t="n">
        <v>2.5</v>
      </c>
      <c r="K1535" t="n">
        <v>2.4</v>
      </c>
      <c r="L1535" s="39" t="n">
        <v>1.041666666666667</v>
      </c>
      <c r="M1535" s="39" t="n">
        <v>1.041666666666667</v>
      </c>
      <c r="N1535" t="inlineStr">
        <is>
          <t>DEC</t>
        </is>
      </c>
      <c r="O1535" t="inlineStr">
        <is>
          <t>DEC</t>
        </is>
      </c>
      <c r="P1535" t="n">
        <v>1</v>
      </c>
      <c r="Q1535" t="n">
        <v>1</v>
      </c>
      <c r="R1535" t="inlineStr">
        <is>
          <t>468-2025-06-30</t>
        </is>
      </c>
    </row>
    <row r="1536" hidden="1">
      <c r="A1536" t="n">
        <v>468</v>
      </c>
      <c r="B1536" t="inlineStr">
        <is>
          <t>CES General</t>
        </is>
      </c>
      <c r="C1536" t="inlineStr">
        <is>
          <t>EXPERIENCIA INSTITUCIONAL</t>
        </is>
      </c>
      <c r="D1536" t="inlineStr">
        <is>
          <t>Trimestral</t>
        </is>
      </c>
      <c r="E1536" t="inlineStr">
        <is>
          <t>Negativo</t>
        </is>
      </c>
      <c r="F1536" s="113" t="n">
        <v>46022</v>
      </c>
      <c r="G1536" t="n">
        <v>2025</v>
      </c>
      <c r="H1536" t="inlineStr">
        <is>
          <t>Diciembre</t>
        </is>
      </c>
      <c r="I1536" t="inlineStr">
        <is>
          <t>2025-2</t>
        </is>
      </c>
      <c r="J1536" t="n">
        <v>2.5</v>
      </c>
      <c r="K1536" t="n">
        <v>2.1</v>
      </c>
      <c r="L1536" s="39" t="n">
        <v>1.19047619047619</v>
      </c>
      <c r="M1536" s="39" t="n">
        <v>1.19047619047619</v>
      </c>
      <c r="N1536" t="inlineStr">
        <is>
          <t>DEC</t>
        </is>
      </c>
      <c r="O1536" t="inlineStr">
        <is>
          <t>DEC</t>
        </is>
      </c>
      <c r="P1536" t="n">
        <v>1</v>
      </c>
      <c r="Q1536" t="n">
        <v>1</v>
      </c>
      <c r="R1536" t="inlineStr">
        <is>
          <t>468-2025-12-31</t>
        </is>
      </c>
    </row>
    <row r="1537" hidden="1">
      <c r="A1537" t="n">
        <v>469</v>
      </c>
      <c r="B1537" t="inlineStr">
        <is>
          <t>Cumplimiento Plan Anual Áreas sede Medellín</t>
        </is>
      </c>
      <c r="C1537" t="inlineStr">
        <is>
          <t>Planeación Estratégica</t>
        </is>
      </c>
      <c r="D1537" t="inlineStr">
        <is>
          <t>Trimestral</t>
        </is>
      </c>
      <c r="E1537" t="inlineStr">
        <is>
          <t>Positivo</t>
        </is>
      </c>
      <c r="F1537" s="113" t="n">
        <v>45473</v>
      </c>
      <c r="G1537" t="n">
        <v>2024</v>
      </c>
      <c r="H1537" t="inlineStr">
        <is>
          <t>Junio</t>
        </is>
      </c>
      <c r="I1537" t="inlineStr">
        <is>
          <t>2024-1</t>
        </is>
      </c>
      <c r="J1537" t="n">
        <v>100</v>
      </c>
      <c r="K1537" t="n">
        <v>114.33</v>
      </c>
      <c r="L1537" s="39" t="n">
        <v>1.1433</v>
      </c>
      <c r="M1537" s="39" t="n">
        <v>1.1433</v>
      </c>
      <c r="P1537" t="n">
        <v>0</v>
      </c>
      <c r="Q1537" t="n">
        <v>0</v>
      </c>
      <c r="R1537" t="inlineStr">
        <is>
          <t>469-2024-06-30</t>
        </is>
      </c>
    </row>
    <row r="1538" hidden="1">
      <c r="A1538" t="n">
        <v>469</v>
      </c>
      <c r="B1538" t="inlineStr">
        <is>
          <t>Cumplimiento Plan Anual Áreas sede Medellín</t>
        </is>
      </c>
      <c r="C1538" t="inlineStr">
        <is>
          <t>Planeación Estratégica</t>
        </is>
      </c>
      <c r="D1538" t="inlineStr">
        <is>
          <t>Trimestral</t>
        </is>
      </c>
      <c r="E1538" t="inlineStr">
        <is>
          <t>Positivo</t>
        </is>
      </c>
      <c r="F1538" s="113" t="n">
        <v>45657</v>
      </c>
      <c r="G1538" t="n">
        <v>2024</v>
      </c>
      <c r="H1538" t="inlineStr">
        <is>
          <t>Diciembre</t>
        </is>
      </c>
      <c r="I1538" t="inlineStr">
        <is>
          <t>2024-2</t>
        </is>
      </c>
      <c r="J1538" t="n">
        <v>100</v>
      </c>
      <c r="K1538" t="n">
        <v>99.7</v>
      </c>
      <c r="L1538" s="39" t="n">
        <v>0.997</v>
      </c>
      <c r="M1538" s="39" t="n">
        <v>0.997</v>
      </c>
      <c r="P1538" t="n">
        <v>0</v>
      </c>
      <c r="Q1538" t="n">
        <v>0</v>
      </c>
      <c r="R1538" t="inlineStr">
        <is>
          <t>469-2024-12-31</t>
        </is>
      </c>
    </row>
    <row r="1539" hidden="1">
      <c r="A1539" t="n">
        <v>469</v>
      </c>
      <c r="B1539" t="inlineStr">
        <is>
          <t>Cumplimiento Plan Anual Áreas sede Medellín</t>
        </is>
      </c>
      <c r="C1539" t="inlineStr">
        <is>
          <t>Planeación Estratégica</t>
        </is>
      </c>
      <c r="D1539" t="inlineStr">
        <is>
          <t>Semestral</t>
        </is>
      </c>
      <c r="E1539" t="inlineStr">
        <is>
          <t>Positivo</t>
        </is>
      </c>
      <c r="F1539" s="113" t="n">
        <v>45838</v>
      </c>
      <c r="G1539" t="n">
        <v>2025</v>
      </c>
      <c r="H1539" t="inlineStr">
        <is>
          <t>Junio</t>
        </is>
      </c>
      <c r="I1539" t="inlineStr">
        <is>
          <t>2025-1</t>
        </is>
      </c>
      <c r="J1539" t="n">
        <v>100</v>
      </c>
      <c r="K1539" t="n">
        <v>103.52</v>
      </c>
      <c r="L1539" s="39" t="n">
        <v>1.0352</v>
      </c>
      <c r="M1539" s="39" t="n">
        <v>1.0352</v>
      </c>
      <c r="N1539" t="inlineStr">
        <is>
          <t>%</t>
        </is>
      </c>
      <c r="O1539" t="inlineStr">
        <is>
          <t>%</t>
        </is>
      </c>
      <c r="P1539" t="n">
        <v>0</v>
      </c>
      <c r="Q1539" t="n">
        <v>0</v>
      </c>
      <c r="R1539" t="inlineStr">
        <is>
          <t>469-2025-06-30</t>
        </is>
      </c>
    </row>
    <row r="1540" hidden="1">
      <c r="A1540" t="n">
        <v>469</v>
      </c>
      <c r="B1540" t="inlineStr">
        <is>
          <t>Cumplimiento Plan Anual Áreas sede Medellín</t>
        </is>
      </c>
      <c r="C1540" t="inlineStr">
        <is>
          <t>Planeación Estratégica</t>
        </is>
      </c>
      <c r="D1540" t="inlineStr">
        <is>
          <t>Semestral</t>
        </is>
      </c>
      <c r="E1540" t="inlineStr">
        <is>
          <t>Positivo</t>
        </is>
      </c>
      <c r="F1540" s="113" t="n">
        <v>46022</v>
      </c>
      <c r="G1540" t="n">
        <v>2025</v>
      </c>
      <c r="H1540" t="inlineStr">
        <is>
          <t>Diciembre</t>
        </is>
      </c>
      <c r="I1540" t="inlineStr">
        <is>
          <t>2025-2</t>
        </is>
      </c>
      <c r="J1540" t="n">
        <v>100</v>
      </c>
      <c r="K1540" t="n">
        <v>99.13</v>
      </c>
      <c r="L1540" s="39" t="n">
        <v>0.9913</v>
      </c>
      <c r="M1540" s="39" t="n">
        <v>0.9913</v>
      </c>
      <c r="N1540" t="inlineStr">
        <is>
          <t>%</t>
        </is>
      </c>
      <c r="O1540" t="inlineStr">
        <is>
          <t>%</t>
        </is>
      </c>
      <c r="P1540" t="n">
        <v>0</v>
      </c>
      <c r="Q1540" t="n">
        <v>0</v>
      </c>
      <c r="R1540" t="inlineStr">
        <is>
          <t>469-2025-12-31</t>
        </is>
      </c>
    </row>
    <row r="1541" hidden="1">
      <c r="A1541" t="n">
        <v>470</v>
      </c>
      <c r="B1541" t="inlineStr">
        <is>
          <t>Cumplimiento plan anual Secretaria académica y de extensión</t>
        </is>
      </c>
      <c r="C1541" t="inlineStr">
        <is>
          <t>Planeación Estratégica</t>
        </is>
      </c>
      <c r="D1541" t="inlineStr">
        <is>
          <t>Trimestral</t>
        </is>
      </c>
      <c r="E1541" t="inlineStr">
        <is>
          <t>Positivo</t>
        </is>
      </c>
      <c r="F1541" s="113" t="n">
        <v>45473</v>
      </c>
      <c r="G1541" t="n">
        <v>2024</v>
      </c>
      <c r="H1541" t="inlineStr">
        <is>
          <t>Junio</t>
        </is>
      </c>
      <c r="I1541" t="inlineStr">
        <is>
          <t>2024-1</t>
        </is>
      </c>
      <c r="J1541" t="n">
        <v>100</v>
      </c>
      <c r="K1541" t="n">
        <v>118.1</v>
      </c>
      <c r="L1541" s="39" t="n">
        <v>1.181</v>
      </c>
      <c r="M1541" s="39" t="n">
        <v>1.181</v>
      </c>
      <c r="P1541" t="n">
        <v>0</v>
      </c>
      <c r="Q1541" t="n">
        <v>0</v>
      </c>
      <c r="R1541" t="inlineStr">
        <is>
          <t>470-2024-06-30</t>
        </is>
      </c>
    </row>
    <row r="1542" hidden="1">
      <c r="A1542" t="n">
        <v>470</v>
      </c>
      <c r="B1542" t="inlineStr">
        <is>
          <t>Cumplimiento plan anual Secretaria académica y de extensión</t>
        </is>
      </c>
      <c r="C1542" t="inlineStr">
        <is>
          <t>Planeación Estratégica</t>
        </is>
      </c>
      <c r="D1542" t="inlineStr">
        <is>
          <t>Trimestral</t>
        </is>
      </c>
      <c r="E1542" t="inlineStr">
        <is>
          <t>Positivo</t>
        </is>
      </c>
      <c r="F1542" s="113" t="n">
        <v>45657</v>
      </c>
      <c r="G1542" t="n">
        <v>2024</v>
      </c>
      <c r="H1542" t="inlineStr">
        <is>
          <t>Diciembre</t>
        </is>
      </c>
      <c r="I1542" t="inlineStr">
        <is>
          <t>2024-2</t>
        </is>
      </c>
      <c r="J1542" t="n">
        <v>100</v>
      </c>
      <c r="K1542" t="n">
        <v>100</v>
      </c>
      <c r="L1542" s="39" t="n">
        <v>1</v>
      </c>
      <c r="M1542" s="39" t="n">
        <v>1</v>
      </c>
      <c r="P1542" t="n">
        <v>0</v>
      </c>
      <c r="Q1542" t="n">
        <v>0</v>
      </c>
      <c r="R1542" t="inlineStr">
        <is>
          <t>470-2024-12-31</t>
        </is>
      </c>
    </row>
    <row r="1543" hidden="1">
      <c r="A1543" t="n">
        <v>470</v>
      </c>
      <c r="B1543" t="inlineStr">
        <is>
          <t>Cumplimiento plan anual Secretaria académica y de extensión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13" t="n">
        <v>45838</v>
      </c>
      <c r="G1543" t="n">
        <v>2025</v>
      </c>
      <c r="H1543" t="inlineStr">
        <is>
          <t>Junio</t>
        </is>
      </c>
      <c r="I1543" t="inlineStr">
        <is>
          <t>2025-1</t>
        </is>
      </c>
      <c r="J1543" t="n">
        <v>100</v>
      </c>
      <c r="K1543" t="n">
        <v>148.38</v>
      </c>
      <c r="L1543" s="39" t="n">
        <v>1.3</v>
      </c>
      <c r="M1543" s="39" t="n">
        <v>1.4838</v>
      </c>
      <c r="N1543" t="inlineStr">
        <is>
          <t>%</t>
        </is>
      </c>
      <c r="O1543" t="inlineStr">
        <is>
          <t>%</t>
        </is>
      </c>
      <c r="P1543" t="n">
        <v>0</v>
      </c>
      <c r="Q1543" t="n">
        <v>0</v>
      </c>
      <c r="R1543" t="inlineStr">
        <is>
          <t>470-2025-06-30</t>
        </is>
      </c>
    </row>
    <row r="1544" hidden="1">
      <c r="A1544" t="n">
        <v>470</v>
      </c>
      <c r="B1544" t="inlineStr">
        <is>
          <t>Cumplimiento plan anual Secretaria académica y de extensión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13" t="n">
        <v>46022</v>
      </c>
      <c r="G1544" t="n">
        <v>2025</v>
      </c>
      <c r="H1544" t="inlineStr">
        <is>
          <t>Diciembre</t>
        </is>
      </c>
      <c r="I1544" t="inlineStr">
        <is>
          <t>2025-2</t>
        </is>
      </c>
      <c r="J1544" t="n">
        <v>100</v>
      </c>
      <c r="K1544" t="n">
        <v>100</v>
      </c>
      <c r="L1544" s="39" t="n">
        <v>1</v>
      </c>
      <c r="M1544" s="39" t="n">
        <v>1</v>
      </c>
      <c r="N1544" t="inlineStr">
        <is>
          <t>%</t>
        </is>
      </c>
      <c r="O1544" t="inlineStr">
        <is>
          <t>%</t>
        </is>
      </c>
      <c r="P1544" t="n">
        <v>0</v>
      </c>
      <c r="Q1544" t="n">
        <v>0</v>
      </c>
      <c r="R1544" t="inlineStr">
        <is>
          <t>470-2025-12-31</t>
        </is>
      </c>
    </row>
    <row r="1545" hidden="1">
      <c r="A1545" t="n">
        <v>471</v>
      </c>
      <c r="B1545" t="inlineStr">
        <is>
          <t>Cumplimiento plan anual Gerencia de Talento Humano</t>
        </is>
      </c>
      <c r="C1545" t="inlineStr">
        <is>
          <t>Planeación Estratégica</t>
        </is>
      </c>
      <c r="D1545" t="inlineStr">
        <is>
          <t>Trimestral</t>
        </is>
      </c>
      <c r="E1545" t="inlineStr">
        <is>
          <t>Positivo</t>
        </is>
      </c>
      <c r="F1545" s="113" t="n">
        <v>45473</v>
      </c>
      <c r="G1545" t="n">
        <v>2024</v>
      </c>
      <c r="H1545" t="inlineStr">
        <is>
          <t>Junio</t>
        </is>
      </c>
      <c r="I1545" t="inlineStr">
        <is>
          <t>2024-1</t>
        </is>
      </c>
      <c r="J1545" t="n">
        <v>100</v>
      </c>
      <c r="K1545" t="n">
        <v>105.56</v>
      </c>
      <c r="L1545" s="39" t="n">
        <v>1.0556</v>
      </c>
      <c r="M1545" s="39" t="n">
        <v>1.0556</v>
      </c>
      <c r="P1545" t="n">
        <v>0</v>
      </c>
      <c r="Q1545" t="n">
        <v>0</v>
      </c>
      <c r="R1545" t="inlineStr">
        <is>
          <t>471-2024-06-30</t>
        </is>
      </c>
    </row>
    <row r="1546" hidden="1">
      <c r="A1546" t="n">
        <v>471</v>
      </c>
      <c r="B1546" t="inlineStr">
        <is>
          <t>Cumplimiento plan anual Gerencia de Talento Humano</t>
        </is>
      </c>
      <c r="C1546" t="inlineStr">
        <is>
          <t>Planeación Estratégica</t>
        </is>
      </c>
      <c r="D1546" t="inlineStr">
        <is>
          <t>Trimestral</t>
        </is>
      </c>
      <c r="E1546" t="inlineStr">
        <is>
          <t>Positivo</t>
        </is>
      </c>
      <c r="F1546" s="113" t="n">
        <v>45657</v>
      </c>
      <c r="G1546" t="n">
        <v>2024</v>
      </c>
      <c r="H1546" t="inlineStr">
        <is>
          <t>Diciembre</t>
        </is>
      </c>
      <c r="I1546" t="inlineStr">
        <is>
          <t>2024-2</t>
        </is>
      </c>
      <c r="J1546" t="n">
        <v>100</v>
      </c>
      <c r="K1546" t="n">
        <v>99</v>
      </c>
      <c r="L1546" s="39" t="n">
        <v>0.99</v>
      </c>
      <c r="M1546" s="39" t="n">
        <v>0.99</v>
      </c>
      <c r="P1546" t="n">
        <v>0</v>
      </c>
      <c r="Q1546" t="n">
        <v>0</v>
      </c>
      <c r="R1546" t="inlineStr">
        <is>
          <t>471-2024-12-31</t>
        </is>
      </c>
    </row>
    <row r="1547" hidden="1">
      <c r="A1547" t="n">
        <v>471</v>
      </c>
      <c r="B1547" t="inlineStr">
        <is>
          <t>Cumplimiento plan anual Gerencia de Talento Humano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13" t="n">
        <v>45838</v>
      </c>
      <c r="G1547" t="n">
        <v>2025</v>
      </c>
      <c r="H1547" t="inlineStr">
        <is>
          <t>Junio</t>
        </is>
      </c>
      <c r="I1547" t="inlineStr">
        <is>
          <t>2025-1</t>
        </is>
      </c>
      <c r="J1547" t="n">
        <v>100</v>
      </c>
      <c r="K1547" t="n">
        <v>94.02</v>
      </c>
      <c r="L1547" s="39" t="n">
        <v>0.9401999999999999</v>
      </c>
      <c r="M1547" s="39" t="n">
        <v>0.9401999999999999</v>
      </c>
      <c r="N1547" t="inlineStr">
        <is>
          <t>%</t>
        </is>
      </c>
      <c r="O1547" t="inlineStr">
        <is>
          <t>%</t>
        </is>
      </c>
      <c r="P1547" t="n">
        <v>0</v>
      </c>
      <c r="Q1547" t="n">
        <v>0</v>
      </c>
      <c r="R1547" t="inlineStr">
        <is>
          <t>471-2025-06-30</t>
        </is>
      </c>
    </row>
    <row r="1548" hidden="1">
      <c r="A1548" t="n">
        <v>471</v>
      </c>
      <c r="B1548" t="inlineStr">
        <is>
          <t>Cumplimiento plan anual Gerencia de Talento Humano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3" t="n">
        <v>46022</v>
      </c>
      <c r="G1548" t="n">
        <v>2025</v>
      </c>
      <c r="H1548" t="inlineStr">
        <is>
          <t>Diciembre</t>
        </is>
      </c>
      <c r="I1548" t="inlineStr">
        <is>
          <t>2025-2</t>
        </is>
      </c>
      <c r="J1548" t="n">
        <v>100</v>
      </c>
      <c r="K1548" t="n">
        <v>99.86</v>
      </c>
      <c r="L1548" s="39" t="n">
        <v>0.9986</v>
      </c>
      <c r="M1548" s="39" t="n">
        <v>0.9986</v>
      </c>
      <c r="N1548" t="inlineStr">
        <is>
          <t>%</t>
        </is>
      </c>
      <c r="O1548" t="inlineStr">
        <is>
          <t>%</t>
        </is>
      </c>
      <c r="P1548" t="n">
        <v>0</v>
      </c>
      <c r="Q1548" t="n">
        <v>0</v>
      </c>
      <c r="R1548" t="inlineStr">
        <is>
          <t>471-2025-12-31</t>
        </is>
      </c>
    </row>
    <row r="1549" hidden="1">
      <c r="A1549" t="n">
        <v>472</v>
      </c>
      <c r="B1549" t="inlineStr">
        <is>
          <t>Cobertura de Recolección de Variables ADA (Arquitectura de datos para la analitica)</t>
        </is>
      </c>
      <c r="C1549" t="inlineStr">
        <is>
          <t>DATOS Y ANALÍTICA</t>
        </is>
      </c>
      <c r="D1549" t="inlineStr">
        <is>
          <t>Semestral</t>
        </is>
      </c>
      <c r="E1549" t="inlineStr">
        <is>
          <t>Positivo</t>
        </is>
      </c>
      <c r="F1549" s="113" t="n">
        <v>45473</v>
      </c>
      <c r="G1549" t="n">
        <v>2024</v>
      </c>
      <c r="H1549" t="inlineStr">
        <is>
          <t>Junio</t>
        </is>
      </c>
      <c r="I1549" t="inlineStr">
        <is>
          <t>2024-1</t>
        </is>
      </c>
      <c r="J1549" t="n">
        <v>100</v>
      </c>
      <c r="K1549" t="n">
        <v>82.09999999999999</v>
      </c>
      <c r="L1549" s="39" t="n">
        <v>0.821</v>
      </c>
      <c r="M1549" s="39" t="n">
        <v>0.821</v>
      </c>
      <c r="P1549" t="n">
        <v>0</v>
      </c>
      <c r="Q1549" t="n">
        <v>0</v>
      </c>
      <c r="R1549" t="inlineStr">
        <is>
          <t>472-2024-06-30</t>
        </is>
      </c>
    </row>
    <row r="1550" hidden="1">
      <c r="A1550" t="n">
        <v>472</v>
      </c>
      <c r="B1550" t="inlineStr">
        <is>
          <t>Cobertura de Recolección de Variables ADA (Arquitectura de datos para la analitica)</t>
        </is>
      </c>
      <c r="C1550" t="inlineStr">
        <is>
          <t>DATOS Y ANALÍTICA</t>
        </is>
      </c>
      <c r="D1550" t="inlineStr">
        <is>
          <t>Semestral</t>
        </is>
      </c>
      <c r="E1550" t="inlineStr">
        <is>
          <t>Positivo</t>
        </is>
      </c>
      <c r="F1550" s="113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100</v>
      </c>
      <c r="K1550" t="n">
        <v>100</v>
      </c>
      <c r="L1550" s="39" t="n">
        <v>1</v>
      </c>
      <c r="M1550" s="39" t="n">
        <v>1</v>
      </c>
      <c r="P1550" t="n">
        <v>0</v>
      </c>
      <c r="Q1550" t="n">
        <v>0</v>
      </c>
      <c r="R1550" t="inlineStr">
        <is>
          <t>472-2024-12-31</t>
        </is>
      </c>
    </row>
    <row r="1551" hidden="1">
      <c r="A1551" t="n">
        <v>473</v>
      </c>
      <c r="B1551" t="inlineStr">
        <is>
          <t>Programas con alineación curricular</t>
        </is>
      </c>
      <c r="C1551" t="inlineStr">
        <is>
          <t>Gestión, Evaluación e Innovación Curricular</t>
        </is>
      </c>
      <c r="D1551" t="inlineStr">
        <is>
          <t>Semestral</t>
        </is>
      </c>
      <c r="E1551" t="inlineStr">
        <is>
          <t>Positivo</t>
        </is>
      </c>
      <c r="F1551" s="113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100</v>
      </c>
      <c r="K1551" t="n">
        <v>100</v>
      </c>
      <c r="L1551" s="39" t="n">
        <v>1</v>
      </c>
      <c r="M1551" s="39" t="n">
        <v>1</v>
      </c>
      <c r="P1551" t="n">
        <v>0</v>
      </c>
      <c r="Q1551" t="n">
        <v>0</v>
      </c>
      <c r="R1551" t="inlineStr">
        <is>
          <t>473-2024-06-30</t>
        </is>
      </c>
    </row>
    <row r="1552" hidden="1">
      <c r="A1552" t="n">
        <v>473</v>
      </c>
      <c r="B1552" t="inlineStr">
        <is>
          <t>Programas con planes de estudios definidos</t>
        </is>
      </c>
      <c r="C1552" t="inlineStr">
        <is>
          <t>Gestión, Evaluación e Innovación Curricular</t>
        </is>
      </c>
      <c r="D1552" t="inlineStr">
        <is>
          <t>Semestral</t>
        </is>
      </c>
      <c r="E1552" t="inlineStr">
        <is>
          <t>Positivo</t>
        </is>
      </c>
      <c r="F1552" s="113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100</v>
      </c>
      <c r="K1552" t="n">
        <v>100</v>
      </c>
      <c r="L1552" s="39" t="n">
        <v>1</v>
      </c>
      <c r="M1552" s="39" t="n">
        <v>1</v>
      </c>
      <c r="P1552" t="n">
        <v>0</v>
      </c>
      <c r="Q1552" t="n">
        <v>0</v>
      </c>
      <c r="R1552" t="inlineStr">
        <is>
          <t>473-2024-12-31</t>
        </is>
      </c>
    </row>
    <row r="1553" hidden="1">
      <c r="A1553" t="n">
        <v>473</v>
      </c>
      <c r="B1553" t="inlineStr">
        <is>
          <t>Programas con planes de estudios definidos</t>
        </is>
      </c>
      <c r="C1553" t="inlineStr">
        <is>
          <t>Gestión, Evaluación e Innovación Curricular</t>
        </is>
      </c>
      <c r="D1553" t="inlineStr">
        <is>
          <t>Semestral</t>
        </is>
      </c>
      <c r="E1553" t="inlineStr">
        <is>
          <t>Positivo</t>
        </is>
      </c>
      <c r="F1553" s="113" t="n">
        <v>45838</v>
      </c>
      <c r="G1553" t="n">
        <v>2025</v>
      </c>
      <c r="H1553" t="inlineStr">
        <is>
          <t>Junio</t>
        </is>
      </c>
      <c r="I1553" t="inlineStr">
        <is>
          <t>2025-1</t>
        </is>
      </c>
      <c r="J1553" t="n">
        <v>100</v>
      </c>
      <c r="K1553" t="n">
        <v>100</v>
      </c>
      <c r="L1553" s="39" t="n">
        <v>1</v>
      </c>
      <c r="M1553" s="39" t="n">
        <v>1</v>
      </c>
      <c r="P1553" t="n">
        <v>0</v>
      </c>
      <c r="Q1553" t="n">
        <v>0</v>
      </c>
      <c r="R1553" t="inlineStr">
        <is>
          <t>473-2025-06-30</t>
        </is>
      </c>
    </row>
    <row r="1554" hidden="1">
      <c r="A1554" t="n">
        <v>474</v>
      </c>
      <c r="B1554" t="inlineStr">
        <is>
          <t>Programas con planes de estudios definidos por escuela (Nuevos Programas)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113" t="n">
        <v>45473</v>
      </c>
      <c r="G1554" t="n">
        <v>2024</v>
      </c>
      <c r="H1554" t="inlineStr">
        <is>
          <t>Junio</t>
        </is>
      </c>
      <c r="I1554" t="inlineStr">
        <is>
          <t>2024-1</t>
        </is>
      </c>
      <c r="J1554" t="n">
        <v>100</v>
      </c>
      <c r="K1554" t="n">
        <v>100</v>
      </c>
      <c r="L1554" s="39" t="n">
        <v>1</v>
      </c>
      <c r="M1554" s="39" t="n">
        <v>1</v>
      </c>
      <c r="P1554" t="n">
        <v>0</v>
      </c>
      <c r="Q1554" t="n">
        <v>0</v>
      </c>
      <c r="R1554" t="inlineStr">
        <is>
          <t>474-2024-06-30</t>
        </is>
      </c>
    </row>
    <row r="1555" hidden="1">
      <c r="A1555" t="n">
        <v>474</v>
      </c>
      <c r="B1555" t="inlineStr">
        <is>
          <t>Programas con planes de estudios definidos por escuela (Nuevos Programas)</t>
        </is>
      </c>
      <c r="C1555" t="inlineStr">
        <is>
          <t>Gestión de Unidades Académicas</t>
        </is>
      </c>
      <c r="D1555" t="inlineStr">
        <is>
          <t>Semestral</t>
        </is>
      </c>
      <c r="E1555" t="inlineStr">
        <is>
          <t>Positivo</t>
        </is>
      </c>
      <c r="F1555" s="113" t="n">
        <v>45657</v>
      </c>
      <c r="G1555" t="n">
        <v>2024</v>
      </c>
      <c r="H1555" t="inlineStr">
        <is>
          <t>Diciembre</t>
        </is>
      </c>
      <c r="I1555" t="inlineStr">
        <is>
          <t>2024-2</t>
        </is>
      </c>
      <c r="J1555" t="n">
        <v>100</v>
      </c>
      <c r="K1555" t="n">
        <v>100</v>
      </c>
      <c r="L1555" s="39" t="n">
        <v>1</v>
      </c>
      <c r="M1555" s="39" t="n">
        <v>1</v>
      </c>
      <c r="P1555" t="n">
        <v>0</v>
      </c>
      <c r="Q1555" t="n">
        <v>0</v>
      </c>
      <c r="R1555" t="inlineStr">
        <is>
          <t>474-2024-12-31</t>
        </is>
      </c>
    </row>
    <row r="1556" hidden="1">
      <c r="A1556" t="n">
        <v>474</v>
      </c>
      <c r="B1556" t="inlineStr">
        <is>
          <t>Programas con planes de estudios definidos por escuela (Nuevos Programas)</t>
        </is>
      </c>
      <c r="C1556" t="inlineStr">
        <is>
          <t>Gestión de Unidades Académicas</t>
        </is>
      </c>
      <c r="D1556" t="inlineStr">
        <is>
          <t>Trimestral</t>
        </is>
      </c>
      <c r="E1556" t="inlineStr">
        <is>
          <t>Positivo</t>
        </is>
      </c>
      <c r="F1556" s="113" t="n">
        <v>45838</v>
      </c>
      <c r="G1556" t="n">
        <v>2025</v>
      </c>
      <c r="H1556" t="inlineStr">
        <is>
          <t>Junio</t>
        </is>
      </c>
      <c r="I1556" t="inlineStr">
        <is>
          <t>2025-1</t>
        </is>
      </c>
      <c r="K1556" t="n">
        <v>0</v>
      </c>
      <c r="L1556" s="39" t="n"/>
      <c r="M1556" s="39" t="n"/>
      <c r="N1556" t="inlineStr">
        <is>
          <t>ENT</t>
        </is>
      </c>
      <c r="O1556" t="inlineStr">
        <is>
          <t>ENT</t>
        </is>
      </c>
      <c r="P1556" t="n">
        <v>0</v>
      </c>
      <c r="Q1556" t="n">
        <v>0</v>
      </c>
      <c r="R1556" t="inlineStr">
        <is>
          <t>474-2025-06-30</t>
        </is>
      </c>
    </row>
    <row r="1557" hidden="1">
      <c r="A1557" t="n">
        <v>475</v>
      </c>
      <c r="B1557" t="inlineStr">
        <is>
          <t>Número de renovaciones de registro calificado radicadas al MEN</t>
        </is>
      </c>
      <c r="C1557" t="inlineStr">
        <is>
          <t>Creación, modificación y cierre de programas académicos</t>
        </is>
      </c>
      <c r="D1557" t="inlineStr">
        <is>
          <t>Semestral</t>
        </is>
      </c>
      <c r="E1557" t="inlineStr">
        <is>
          <t>Positivo</t>
        </is>
      </c>
      <c r="F1557" s="113" t="n">
        <v>45473</v>
      </c>
      <c r="G1557" t="n">
        <v>2024</v>
      </c>
      <c r="H1557" t="inlineStr">
        <is>
          <t>Junio</t>
        </is>
      </c>
      <c r="I1557" t="inlineStr">
        <is>
          <t>2024-1</t>
        </is>
      </c>
      <c r="J1557" t="n">
        <v>100</v>
      </c>
      <c r="L1557" s="39" t="n"/>
      <c r="M1557" s="39" t="n"/>
      <c r="P1557" t="n">
        <v>0</v>
      </c>
      <c r="Q1557" t="n">
        <v>0</v>
      </c>
      <c r="R1557" t="inlineStr">
        <is>
          <t>475-2024-06-30</t>
        </is>
      </c>
      <c r="S1557" t="inlineStr">
        <is>
          <t>No Aplica</t>
        </is>
      </c>
    </row>
    <row r="1558" hidden="1">
      <c r="A1558" t="n">
        <v>475</v>
      </c>
      <c r="B1558" t="inlineStr">
        <is>
          <t>Número de renovaciones de registro calificado radicadas al MEN</t>
        </is>
      </c>
      <c r="C1558" t="inlineStr">
        <is>
          <t>Creación, modificación y cierre de programas académicos</t>
        </is>
      </c>
      <c r="D1558" t="inlineStr">
        <is>
          <t>Semestral</t>
        </is>
      </c>
      <c r="E1558" t="inlineStr">
        <is>
          <t>Positivo</t>
        </is>
      </c>
      <c r="F1558" s="113" t="n">
        <v>45657</v>
      </c>
      <c r="G1558" t="n">
        <v>2024</v>
      </c>
      <c r="H1558" t="inlineStr">
        <is>
          <t>Diciembre</t>
        </is>
      </c>
      <c r="I1558" t="inlineStr">
        <is>
          <t>2024-2</t>
        </is>
      </c>
      <c r="J1558" t="n">
        <v>100</v>
      </c>
      <c r="K1558" t="n">
        <v>140</v>
      </c>
      <c r="L1558" s="39" t="n">
        <v>1.3</v>
      </c>
      <c r="M1558" s="39" t="n">
        <v>1.4</v>
      </c>
      <c r="N1558" t="inlineStr">
        <is>
          <t>ENT</t>
        </is>
      </c>
      <c r="O1558" t="inlineStr">
        <is>
          <t>ENT</t>
        </is>
      </c>
      <c r="P1558" t="n">
        <v>0</v>
      </c>
      <c r="Q1558" t="n">
        <v>0</v>
      </c>
      <c r="R1558" t="inlineStr">
        <is>
          <t>475-2024-12-31</t>
        </is>
      </c>
    </row>
    <row r="1559" hidden="1">
      <c r="A1559" t="n">
        <v>475</v>
      </c>
      <c r="B1559" t="inlineStr">
        <is>
          <t>Número de renovaciones de registro calificado radicadas al MEN</t>
        </is>
      </c>
      <c r="C1559" t="inlineStr">
        <is>
          <t>Creación, modificación y cierre de programas académicos</t>
        </is>
      </c>
      <c r="D1559" t="inlineStr">
        <is>
          <t>Trimestral</t>
        </is>
      </c>
      <c r="E1559" t="inlineStr">
        <is>
          <t>Positivo</t>
        </is>
      </c>
      <c r="F1559" s="113" t="n">
        <v>46022</v>
      </c>
      <c r="G1559" t="n">
        <v>2025</v>
      </c>
      <c r="H1559" t="inlineStr">
        <is>
          <t>Diciembre</t>
        </is>
      </c>
      <c r="I1559" t="inlineStr">
        <is>
          <t>2025-2</t>
        </is>
      </c>
      <c r="J1559" t="n">
        <v>100</v>
      </c>
      <c r="K1559" t="n">
        <v>100</v>
      </c>
      <c r="L1559" s="39" t="n">
        <v>1</v>
      </c>
      <c r="M1559" s="39" t="n">
        <v>1</v>
      </c>
      <c r="N1559" t="inlineStr">
        <is>
          <t>ENT</t>
        </is>
      </c>
      <c r="O1559" t="inlineStr">
        <is>
          <t>ENT</t>
        </is>
      </c>
      <c r="P1559" t="n">
        <v>0</v>
      </c>
      <c r="Q1559" t="n">
        <v>0</v>
      </c>
      <c r="R1559" t="inlineStr">
        <is>
          <t>475-2025-12-31</t>
        </is>
      </c>
    </row>
    <row r="1560" hidden="1">
      <c r="A1560" t="n">
        <v>476</v>
      </c>
      <c r="B1560" t="inlineStr">
        <is>
          <t>Programas con resultados de aprendizaje definidos</t>
        </is>
      </c>
      <c r="C1560" t="inlineStr">
        <is>
          <t>Gestión, Evaluación e Innovación Curricular</t>
        </is>
      </c>
      <c r="D1560" t="inlineStr">
        <is>
          <t>Semestral</t>
        </is>
      </c>
      <c r="E1560" t="inlineStr">
        <is>
          <t>Positivo</t>
        </is>
      </c>
      <c r="F1560" s="113" t="n">
        <v>45473</v>
      </c>
      <c r="G1560" t="n">
        <v>2024</v>
      </c>
      <c r="H1560" t="inlineStr">
        <is>
          <t>Junio</t>
        </is>
      </c>
      <c r="I1560" t="inlineStr">
        <is>
          <t>2024-1</t>
        </is>
      </c>
      <c r="J1560" t="n">
        <v>100</v>
      </c>
      <c r="K1560" t="n">
        <v>100</v>
      </c>
      <c r="L1560" s="39" t="n">
        <v>1</v>
      </c>
      <c r="M1560" s="39" t="n">
        <v>1</v>
      </c>
      <c r="P1560" t="n">
        <v>0</v>
      </c>
      <c r="Q1560" t="n">
        <v>0</v>
      </c>
      <c r="R1560" t="inlineStr">
        <is>
          <t>476-2024-06-30</t>
        </is>
      </c>
    </row>
    <row r="1561" hidden="1">
      <c r="A1561" t="n">
        <v>476</v>
      </c>
      <c r="B1561" t="inlineStr">
        <is>
          <t>Programas con resultados de aprendizaje definidos</t>
        </is>
      </c>
      <c r="C1561" t="inlineStr">
        <is>
          <t>Gestión, Evaluación e Innovación Curricular</t>
        </is>
      </c>
      <c r="D1561" t="inlineStr">
        <is>
          <t>Semestral</t>
        </is>
      </c>
      <c r="E1561" t="inlineStr">
        <is>
          <t>Positivo</t>
        </is>
      </c>
      <c r="F1561" s="113" t="n">
        <v>45657</v>
      </c>
      <c r="G1561" t="n">
        <v>2024</v>
      </c>
      <c r="H1561" t="inlineStr">
        <is>
          <t>Diciembre</t>
        </is>
      </c>
      <c r="I1561" t="inlineStr">
        <is>
          <t>2024-2</t>
        </is>
      </c>
      <c r="J1561" t="n">
        <v>100</v>
      </c>
      <c r="K1561" t="n">
        <v>100</v>
      </c>
      <c r="L1561" s="39" t="n">
        <v>1</v>
      </c>
      <c r="M1561" s="39" t="n">
        <v>1</v>
      </c>
      <c r="P1561" t="n">
        <v>0</v>
      </c>
      <c r="Q1561" t="n">
        <v>0</v>
      </c>
      <c r="R1561" t="inlineStr">
        <is>
          <t>476-2024-12-31</t>
        </is>
      </c>
    </row>
    <row r="1562" hidden="1">
      <c r="A1562" t="n">
        <v>476</v>
      </c>
      <c r="B1562" t="inlineStr">
        <is>
          <t>Programas con resultados de aprendizaje definidos</t>
        </is>
      </c>
      <c r="C1562" t="inlineStr">
        <is>
          <t>Gestión, Evaluación e Innovación Curricular</t>
        </is>
      </c>
      <c r="D1562" t="inlineStr">
        <is>
          <t>Semestral</t>
        </is>
      </c>
      <c r="E1562" t="inlineStr">
        <is>
          <t>Positivo</t>
        </is>
      </c>
      <c r="F1562" s="113" t="n">
        <v>45838</v>
      </c>
      <c r="G1562" t="n">
        <v>2025</v>
      </c>
      <c r="H1562" t="inlineStr">
        <is>
          <t>Junio</t>
        </is>
      </c>
      <c r="I1562" t="inlineStr">
        <is>
          <t>2025-1</t>
        </is>
      </c>
      <c r="J1562" t="n">
        <v>100</v>
      </c>
      <c r="K1562" t="n">
        <v>100</v>
      </c>
      <c r="L1562" s="39" t="n">
        <v>1</v>
      </c>
      <c r="M1562" s="39" t="n">
        <v>1</v>
      </c>
      <c r="N1562" t="inlineStr">
        <is>
          <t>ENT</t>
        </is>
      </c>
      <c r="O1562" t="inlineStr">
        <is>
          <t>ENT</t>
        </is>
      </c>
      <c r="P1562" t="n">
        <v>0</v>
      </c>
      <c r="Q1562" t="n">
        <v>0</v>
      </c>
      <c r="R1562" t="inlineStr">
        <is>
          <t>476-2025-06-30</t>
        </is>
      </c>
    </row>
    <row r="1563" hidden="1">
      <c r="A1563" t="n">
        <v>476</v>
      </c>
      <c r="B1563" t="inlineStr">
        <is>
          <t>Programas con resultados de aprendizaje definidos</t>
        </is>
      </c>
      <c r="C1563" t="inlineStr">
        <is>
          <t>Gestión, Evaluación e Innovación Curricular</t>
        </is>
      </c>
      <c r="D1563" t="inlineStr">
        <is>
          <t>Trimestral</t>
        </is>
      </c>
      <c r="E1563" t="inlineStr">
        <is>
          <t>Positivo</t>
        </is>
      </c>
      <c r="F1563" s="113" t="n">
        <v>46022</v>
      </c>
      <c r="G1563" t="n">
        <v>2025</v>
      </c>
      <c r="H1563" t="inlineStr">
        <is>
          <t>Diciembre</t>
        </is>
      </c>
      <c r="I1563" t="inlineStr">
        <is>
          <t>2025-2</t>
        </is>
      </c>
      <c r="J1563" t="n">
        <v>100</v>
      </c>
      <c r="K1563" t="n">
        <v>100</v>
      </c>
      <c r="L1563" s="39" t="n">
        <v>1</v>
      </c>
      <c r="M1563" s="39" t="n">
        <v>1</v>
      </c>
      <c r="N1563" t="inlineStr">
        <is>
          <t>ENT</t>
        </is>
      </c>
      <c r="O1563" t="inlineStr">
        <is>
          <t>ENT</t>
        </is>
      </c>
      <c r="P1563" t="n">
        <v>0</v>
      </c>
      <c r="Q1563" t="n">
        <v>0</v>
      </c>
      <c r="R1563" t="inlineStr">
        <is>
          <t>476-2025-12-31</t>
        </is>
      </c>
    </row>
    <row r="1564" hidden="1">
      <c r="A1564" t="n">
        <v>477</v>
      </c>
      <c r="B1564" t="inlineStr">
        <is>
          <t>Programas con planes de estudios definidos por escuela (Programas Renovación, modificación y acreditación)</t>
        </is>
      </c>
      <c r="C1564" t="inlineStr">
        <is>
          <t>Gestión de Unidades Académicas</t>
        </is>
      </c>
      <c r="D1564" t="inlineStr">
        <is>
          <t>Semestral</t>
        </is>
      </c>
      <c r="E1564" t="inlineStr">
        <is>
          <t>Positivo</t>
        </is>
      </c>
      <c r="F1564" s="113" t="n">
        <v>45473</v>
      </c>
      <c r="G1564" t="n">
        <v>2024</v>
      </c>
      <c r="H1564" t="inlineStr">
        <is>
          <t>Junio</t>
        </is>
      </c>
      <c r="I1564" t="inlineStr">
        <is>
          <t>2024-1</t>
        </is>
      </c>
      <c r="J1564" t="n">
        <v>100</v>
      </c>
      <c r="K1564" t="n">
        <v>100</v>
      </c>
      <c r="L1564" s="39" t="n">
        <v>1</v>
      </c>
      <c r="M1564" s="39" t="n">
        <v>1</v>
      </c>
      <c r="P1564" t="n">
        <v>0</v>
      </c>
      <c r="Q1564" t="n">
        <v>0</v>
      </c>
      <c r="R1564" t="inlineStr">
        <is>
          <t>477-2024-06-30</t>
        </is>
      </c>
    </row>
    <row r="1565" hidden="1">
      <c r="A1565" t="n">
        <v>477</v>
      </c>
      <c r="B1565" t="inlineStr">
        <is>
          <t>Programas con planes de estudios definidos por escuela (Programas Renovación, modificación y acreditación)</t>
        </is>
      </c>
      <c r="C1565" t="inlineStr">
        <is>
          <t>Gestión de Unidades Académicas</t>
        </is>
      </c>
      <c r="D1565" t="inlineStr">
        <is>
          <t>Semestral</t>
        </is>
      </c>
      <c r="E1565" t="inlineStr">
        <is>
          <t>Positivo</t>
        </is>
      </c>
      <c r="F1565" s="113" t="n">
        <v>45657</v>
      </c>
      <c r="G1565" t="n">
        <v>2024</v>
      </c>
      <c r="H1565" t="inlineStr">
        <is>
          <t>Diciembre</t>
        </is>
      </c>
      <c r="I1565" t="inlineStr">
        <is>
          <t>2024-2</t>
        </is>
      </c>
      <c r="J1565" t="n">
        <v>100</v>
      </c>
      <c r="K1565" t="n">
        <v>100</v>
      </c>
      <c r="L1565" s="39" t="n">
        <v>1</v>
      </c>
      <c r="M1565" s="39" t="n">
        <v>1</v>
      </c>
      <c r="P1565" t="n">
        <v>0</v>
      </c>
      <c r="Q1565" t="n">
        <v>0</v>
      </c>
      <c r="R1565" t="inlineStr">
        <is>
          <t>477-2024-12-31</t>
        </is>
      </c>
    </row>
    <row r="1566" hidden="1">
      <c r="A1566" t="n">
        <v>478</v>
      </c>
      <c r="B1566" t="inlineStr">
        <is>
          <t>Programas con planes de estudios definidos por escuela (Mantenimiento de programas)</t>
        </is>
      </c>
      <c r="C1566" t="inlineStr">
        <is>
          <t>Gestión de Unidades Académicas</t>
        </is>
      </c>
      <c r="D1566" t="inlineStr">
        <is>
          <t>Semestral</t>
        </is>
      </c>
      <c r="E1566" t="inlineStr">
        <is>
          <t>Positivo</t>
        </is>
      </c>
      <c r="F1566" s="113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J1566" t="n">
        <v>100</v>
      </c>
      <c r="L1566" s="39" t="n"/>
      <c r="M1566" s="39" t="n"/>
      <c r="N1566" t="inlineStr">
        <is>
          <t>ENT</t>
        </is>
      </c>
      <c r="O1566" t="inlineStr">
        <is>
          <t>N/A</t>
        </is>
      </c>
      <c r="P1566" t="n">
        <v>0</v>
      </c>
      <c r="Q1566" t="n">
        <v>0</v>
      </c>
      <c r="R1566" t="inlineStr">
        <is>
          <t>478-2024-06-30</t>
        </is>
      </c>
    </row>
    <row r="1567" hidden="1">
      <c r="A1567" t="n">
        <v>478</v>
      </c>
      <c r="B1567" t="inlineStr">
        <is>
          <t>Programas con planes de estudios definidos por escuela (Mantenimiento de programas)</t>
        </is>
      </c>
      <c r="C1567" t="inlineStr">
        <is>
          <t>Gestión de Unidades Académicas</t>
        </is>
      </c>
      <c r="D1567" t="inlineStr">
        <is>
          <t>Semestral</t>
        </is>
      </c>
      <c r="E1567" t="inlineStr">
        <is>
          <t>Positivo</t>
        </is>
      </c>
      <c r="F1567" s="113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100</v>
      </c>
      <c r="K1567" t="n">
        <v>100</v>
      </c>
      <c r="L1567" s="39" t="n">
        <v>1</v>
      </c>
      <c r="M1567" s="39" t="n">
        <v>1</v>
      </c>
      <c r="P1567" t="n">
        <v>0</v>
      </c>
      <c r="Q1567" t="n">
        <v>0</v>
      </c>
      <c r="R1567" t="inlineStr">
        <is>
          <t>478-2024-12-31</t>
        </is>
      </c>
    </row>
    <row r="1568" hidden="1">
      <c r="A1568" t="n">
        <v>478</v>
      </c>
      <c r="B1568" t="inlineStr">
        <is>
          <t>Programas con planes de estudios definidos por escuela (Mantenimiento de programas)</t>
        </is>
      </c>
      <c r="C1568" t="inlineStr">
        <is>
          <t>Gestión de Unidades Académicas</t>
        </is>
      </c>
      <c r="D1568" t="inlineStr">
        <is>
          <t>Trimestral</t>
        </is>
      </c>
      <c r="E1568" t="inlineStr">
        <is>
          <t>Positivo</t>
        </is>
      </c>
      <c r="F1568" s="113" t="n">
        <v>45838</v>
      </c>
      <c r="G1568" t="n">
        <v>2025</v>
      </c>
      <c r="H1568" t="inlineStr">
        <is>
          <t>Junio</t>
        </is>
      </c>
      <c r="I1568" t="inlineStr">
        <is>
          <t>2025-1</t>
        </is>
      </c>
      <c r="K1568" t="n">
        <v>0</v>
      </c>
      <c r="L1568" s="39" t="n"/>
      <c r="M1568" s="39" t="n"/>
      <c r="N1568" t="inlineStr">
        <is>
          <t>ENT</t>
        </is>
      </c>
      <c r="O1568" t="inlineStr">
        <is>
          <t>ENT</t>
        </is>
      </c>
      <c r="P1568" t="n">
        <v>0</v>
      </c>
      <c r="Q1568" t="n">
        <v>0</v>
      </c>
      <c r="R1568" t="inlineStr">
        <is>
          <t>478-2025-06-30</t>
        </is>
      </c>
    </row>
    <row r="1569" hidden="1">
      <c r="A1569" t="n">
        <v>479</v>
      </c>
      <c r="B1569" t="inlineStr">
        <is>
          <t>Programas con resultados de aprendizaje definidos por escuela (Nuevos Programas)</t>
        </is>
      </c>
      <c r="C1569" t="inlineStr">
        <is>
          <t>Gestión de Unidades Académicas</t>
        </is>
      </c>
      <c r="D1569" t="inlineStr">
        <is>
          <t>Semestral</t>
        </is>
      </c>
      <c r="E1569" t="inlineStr">
        <is>
          <t>Positivo</t>
        </is>
      </c>
      <c r="F1569" s="113" t="n">
        <v>45473</v>
      </c>
      <c r="G1569" t="n">
        <v>2024</v>
      </c>
      <c r="H1569" t="inlineStr">
        <is>
          <t>Junio</t>
        </is>
      </c>
      <c r="I1569" t="inlineStr">
        <is>
          <t>2024-1</t>
        </is>
      </c>
      <c r="J1569" t="n">
        <v>100</v>
      </c>
      <c r="K1569" t="n">
        <v>100</v>
      </c>
      <c r="L1569" s="39" t="n">
        <v>1</v>
      </c>
      <c r="M1569" s="39" t="n">
        <v>1</v>
      </c>
      <c r="P1569" t="n">
        <v>0</v>
      </c>
      <c r="Q1569" t="n">
        <v>0</v>
      </c>
      <c r="R1569" t="inlineStr">
        <is>
          <t>479-2024-06-30</t>
        </is>
      </c>
    </row>
    <row r="1570" hidden="1">
      <c r="A1570" t="n">
        <v>479</v>
      </c>
      <c r="B1570" t="inlineStr">
        <is>
          <t>Programas con resultados de aprendizaje definidos por escuela (Nuevos Programas)</t>
        </is>
      </c>
      <c r="C1570" t="inlineStr">
        <is>
          <t>Gestión de Unidades Académicas</t>
        </is>
      </c>
      <c r="D1570" t="inlineStr">
        <is>
          <t>Semestral</t>
        </is>
      </c>
      <c r="E1570" t="inlineStr">
        <is>
          <t>Positivo</t>
        </is>
      </c>
      <c r="F1570" s="113" t="n">
        <v>45657</v>
      </c>
      <c r="G1570" t="n">
        <v>2024</v>
      </c>
      <c r="H1570" t="inlineStr">
        <is>
          <t>Diciembre</t>
        </is>
      </c>
      <c r="I1570" t="inlineStr">
        <is>
          <t>2024-2</t>
        </is>
      </c>
      <c r="J1570" t="n">
        <v>100</v>
      </c>
      <c r="K1570" t="n">
        <v>100</v>
      </c>
      <c r="L1570" s="39" t="n">
        <v>1</v>
      </c>
      <c r="M1570" s="39" t="n">
        <v>1</v>
      </c>
      <c r="P1570" t="n">
        <v>0</v>
      </c>
      <c r="Q1570" t="n">
        <v>0</v>
      </c>
      <c r="R1570" t="inlineStr">
        <is>
          <t>479-2024-12-31</t>
        </is>
      </c>
    </row>
    <row r="1571" hidden="1">
      <c r="A1571" t="n">
        <v>480</v>
      </c>
      <c r="B1571" t="inlineStr">
        <is>
          <t>Programas con resultados de aprendizaje definidos por escuela (Programas Renovación, modificación y acreditación)</t>
        </is>
      </c>
      <c r="C1571" t="inlineStr">
        <is>
          <t>Gestión de Unidades Académicas</t>
        </is>
      </c>
      <c r="D1571" t="inlineStr">
        <is>
          <t>Semestral</t>
        </is>
      </c>
      <c r="E1571" t="inlineStr">
        <is>
          <t>Positivo</t>
        </is>
      </c>
      <c r="F1571" s="113" t="n">
        <v>45473</v>
      </c>
      <c r="G1571" t="n">
        <v>2024</v>
      </c>
      <c r="H1571" t="inlineStr">
        <is>
          <t>Junio</t>
        </is>
      </c>
      <c r="I1571" t="inlineStr">
        <is>
          <t>2024-1</t>
        </is>
      </c>
      <c r="J1571" t="n">
        <v>100</v>
      </c>
      <c r="K1571" t="n">
        <v>100</v>
      </c>
      <c r="L1571" s="39" t="n">
        <v>1</v>
      </c>
      <c r="M1571" s="39" t="n">
        <v>1</v>
      </c>
      <c r="P1571" t="n">
        <v>0</v>
      </c>
      <c r="Q1571" t="n">
        <v>0</v>
      </c>
      <c r="R1571" t="inlineStr">
        <is>
          <t>480-2024-06-30</t>
        </is>
      </c>
    </row>
    <row r="1572" hidden="1">
      <c r="A1572" t="n">
        <v>480</v>
      </c>
      <c r="B1572" t="inlineStr">
        <is>
          <t>Programas con resultados de aprendizaje definidos por escuela (Programas Renovación, modificación y acreditación)</t>
        </is>
      </c>
      <c r="C1572" t="inlineStr">
        <is>
          <t>Gestión de Unidades Académicas</t>
        </is>
      </c>
      <c r="D1572" t="inlineStr">
        <is>
          <t>Semestral</t>
        </is>
      </c>
      <c r="E1572" t="inlineStr">
        <is>
          <t>Positivo</t>
        </is>
      </c>
      <c r="F1572" s="113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100</v>
      </c>
      <c r="K1572" t="n">
        <v>100</v>
      </c>
      <c r="L1572" s="39" t="n">
        <v>1</v>
      </c>
      <c r="M1572" s="39" t="n">
        <v>1</v>
      </c>
      <c r="P1572" t="n">
        <v>0</v>
      </c>
      <c r="Q1572" t="n">
        <v>0</v>
      </c>
      <c r="R1572" t="inlineStr">
        <is>
          <t>480-2024-12-31</t>
        </is>
      </c>
    </row>
    <row r="1573" hidden="1">
      <c r="A1573" t="n">
        <v>481</v>
      </c>
      <c r="B1573" t="inlineStr">
        <is>
          <t>Solicitudes de documentación completadas</t>
        </is>
      </c>
      <c r="C1573" t="inlineStr">
        <is>
          <t>Gestión, Evaluación e Innovación Curricular</t>
        </is>
      </c>
      <c r="D1573" t="inlineStr">
        <is>
          <t>Semestral</t>
        </is>
      </c>
      <c r="E1573" t="inlineStr">
        <is>
          <t>Positivo</t>
        </is>
      </c>
      <c r="F1573" s="113" t="n">
        <v>45473</v>
      </c>
      <c r="G1573" t="n">
        <v>2024</v>
      </c>
      <c r="H1573" t="inlineStr">
        <is>
          <t>Junio</t>
        </is>
      </c>
      <c r="I1573" t="inlineStr">
        <is>
          <t>2024-1</t>
        </is>
      </c>
      <c r="J1573" t="n">
        <v>100</v>
      </c>
      <c r="K1573" t="n">
        <v>100</v>
      </c>
      <c r="L1573" s="39" t="n">
        <v>1</v>
      </c>
      <c r="M1573" s="39" t="n">
        <v>1</v>
      </c>
      <c r="P1573" t="n">
        <v>0</v>
      </c>
      <c r="Q1573" t="n">
        <v>0</v>
      </c>
      <c r="R1573" t="inlineStr">
        <is>
          <t>481-2024-06-30</t>
        </is>
      </c>
    </row>
    <row r="1574" hidden="1">
      <c r="A1574" t="n">
        <v>481</v>
      </c>
      <c r="B1574" t="inlineStr">
        <is>
          <t>Solicitudes de documentación completadas</t>
        </is>
      </c>
      <c r="C1574" t="inlineStr">
        <is>
          <t>Gestión, Evaluación e Innovación Curricular</t>
        </is>
      </c>
      <c r="D1574" t="inlineStr">
        <is>
          <t>Semestral</t>
        </is>
      </c>
      <c r="E1574" t="inlineStr">
        <is>
          <t>Positivo</t>
        </is>
      </c>
      <c r="F1574" s="113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100</v>
      </c>
      <c r="L1574" s="39" t="n"/>
      <c r="M1574" s="39" t="n"/>
      <c r="N1574" t="inlineStr">
        <is>
          <t>ENT</t>
        </is>
      </c>
      <c r="O1574" t="inlineStr">
        <is>
          <t>N/A</t>
        </is>
      </c>
      <c r="P1574" t="n">
        <v>0</v>
      </c>
      <c r="Q1574" t="n">
        <v>0</v>
      </c>
      <c r="R1574" t="inlineStr">
        <is>
          <t>481-2024-12-31</t>
        </is>
      </c>
    </row>
    <row r="1575" hidden="1">
      <c r="A1575" t="n">
        <v>481</v>
      </c>
      <c r="B1575" t="inlineStr">
        <is>
          <t>Solicitudes de documentación completadas</t>
        </is>
      </c>
      <c r="C1575" t="inlineStr">
        <is>
          <t>Gestión, Evaluación e Innovación Curricular</t>
        </is>
      </c>
      <c r="D1575" t="inlineStr">
        <is>
          <t>Trimestral</t>
        </is>
      </c>
      <c r="E1575" t="inlineStr">
        <is>
          <t>Positivo</t>
        </is>
      </c>
      <c r="F1575" s="113" t="n">
        <v>45838</v>
      </c>
      <c r="G1575" t="n">
        <v>2025</v>
      </c>
      <c r="H1575" t="inlineStr">
        <is>
          <t>Junio</t>
        </is>
      </c>
      <c r="I1575" t="inlineStr">
        <is>
          <t>2025-1</t>
        </is>
      </c>
      <c r="J1575" t="n">
        <v>100</v>
      </c>
      <c r="K1575" t="n">
        <v>100</v>
      </c>
      <c r="L1575" s="39" t="n">
        <v>1</v>
      </c>
      <c r="M1575" s="39" t="n">
        <v>1</v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481-2025-06-30</t>
        </is>
      </c>
    </row>
    <row r="1576" hidden="1">
      <c r="A1576" t="n">
        <v>483</v>
      </c>
      <c r="B1576" t="inlineStr">
        <is>
          <t>Tasa de incremento en la resolución de solicitudes de la vicerrectoría de crecimiento</t>
        </is>
      </c>
      <c r="C1576" t="inlineStr">
        <is>
          <t>Gestión de campañas integradas de marketing</t>
        </is>
      </c>
      <c r="D1576" t="inlineStr">
        <is>
          <t>Anual</t>
        </is>
      </c>
      <c r="E1576" t="inlineStr">
        <is>
          <t>Positivo</t>
        </is>
      </c>
      <c r="F1576" s="113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10</v>
      </c>
      <c r="K1576" t="n">
        <v>91.65000000000001</v>
      </c>
      <c r="L1576" s="39" t="n">
        <v>1.3</v>
      </c>
      <c r="M1576" s="39" t="n">
        <v>9.165000000000001</v>
      </c>
      <c r="P1576" t="n">
        <v>0</v>
      </c>
      <c r="Q1576" t="n">
        <v>0</v>
      </c>
      <c r="R1576" t="inlineStr">
        <is>
          <t>483-2024-12-31</t>
        </is>
      </c>
    </row>
    <row r="1577" hidden="1">
      <c r="A1577" t="n">
        <v>484</v>
      </c>
      <c r="B1577" t="inlineStr">
        <is>
          <t>Cumplimiento del Programa de la Cultura del Autocuidado</t>
        </is>
      </c>
      <c r="C1577" t="inlineStr">
        <is>
          <t>GESTIÓN DE SEGURIDAD Y SALUD EN EL TRABAJO</t>
        </is>
      </c>
      <c r="D1577" t="inlineStr">
        <is>
          <t>Trimestral</t>
        </is>
      </c>
      <c r="E1577" t="inlineStr">
        <is>
          <t>Positivo</t>
        </is>
      </c>
      <c r="F1577" s="113" t="n">
        <v>45473</v>
      </c>
      <c r="G1577" t="n">
        <v>2024</v>
      </c>
      <c r="H1577" t="inlineStr">
        <is>
          <t>Junio</t>
        </is>
      </c>
      <c r="I1577" t="inlineStr">
        <is>
          <t>2024-1</t>
        </is>
      </c>
      <c r="J1577" t="n">
        <v>90</v>
      </c>
      <c r="K1577" t="n">
        <v>100</v>
      </c>
      <c r="L1577" s="39" t="n">
        <v>1.111111111111111</v>
      </c>
      <c r="M1577" s="39" t="n">
        <v>1.111111111111111</v>
      </c>
      <c r="P1577" t="n">
        <v>0</v>
      </c>
      <c r="Q1577" t="n">
        <v>0</v>
      </c>
      <c r="R1577" t="inlineStr">
        <is>
          <t>484-2024-06-30</t>
        </is>
      </c>
    </row>
    <row r="1578" hidden="1">
      <c r="A1578" t="n">
        <v>484</v>
      </c>
      <c r="B1578" t="inlineStr">
        <is>
          <t>Cumplimiento del Programa de la Cultura del Autocuidado</t>
        </is>
      </c>
      <c r="C1578" t="inlineStr">
        <is>
          <t>GESTIÓN DE SEGURIDAD Y SALUD EN EL TRABAJO</t>
        </is>
      </c>
      <c r="D1578" t="inlineStr">
        <is>
          <t>Trimestral</t>
        </is>
      </c>
      <c r="E1578" t="inlineStr">
        <is>
          <t>Positivo</t>
        </is>
      </c>
      <c r="F1578" s="113" t="n">
        <v>45657</v>
      </c>
      <c r="G1578" t="n">
        <v>2024</v>
      </c>
      <c r="H1578" t="inlineStr">
        <is>
          <t>Diciembre</t>
        </is>
      </c>
      <c r="I1578" t="inlineStr">
        <is>
          <t>2024-2</t>
        </is>
      </c>
      <c r="J1578" t="n">
        <v>90</v>
      </c>
      <c r="K1578" t="n">
        <v>100</v>
      </c>
      <c r="L1578" s="39" t="n">
        <v>1.111111111111111</v>
      </c>
      <c r="M1578" s="39" t="n">
        <v>1.111111111111111</v>
      </c>
      <c r="P1578" t="n">
        <v>0</v>
      </c>
      <c r="Q1578" t="n">
        <v>0</v>
      </c>
      <c r="R1578" t="inlineStr">
        <is>
          <t>484-2024-12-31</t>
        </is>
      </c>
    </row>
    <row r="1579" hidden="1">
      <c r="A1579" t="n">
        <v>484</v>
      </c>
      <c r="B1579" t="inlineStr">
        <is>
          <t>Cumplimiento del Programa de la Cultura del Autocuidado</t>
        </is>
      </c>
      <c r="C1579" t="inlineStr">
        <is>
          <t>GESTIÓN DE SEGURIDAD Y SALUD EN EL TRABAJO</t>
        </is>
      </c>
      <c r="D1579" t="inlineStr">
        <is>
          <t>Trimestral</t>
        </is>
      </c>
      <c r="E1579" t="inlineStr">
        <is>
          <t>Positivo</t>
        </is>
      </c>
      <c r="F1579" s="113" t="n">
        <v>45838</v>
      </c>
      <c r="G1579" t="n">
        <v>2025</v>
      </c>
      <c r="H1579" t="inlineStr">
        <is>
          <t>Junio</t>
        </is>
      </c>
      <c r="I1579" t="inlineStr">
        <is>
          <t>2025-1</t>
        </is>
      </c>
      <c r="J1579" t="n">
        <v>90</v>
      </c>
      <c r="K1579" t="n">
        <v>100</v>
      </c>
      <c r="L1579" s="39" t="n">
        <v>1.111111111111111</v>
      </c>
      <c r="M1579" s="39" t="n">
        <v>1.111111111111111</v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484-2025-06-30</t>
        </is>
      </c>
    </row>
    <row r="1580" hidden="1">
      <c r="A1580" t="n">
        <v>484</v>
      </c>
      <c r="B1580" t="inlineStr">
        <is>
          <t>Cumplimiento del Programa de la Cultura del Autocuidado</t>
        </is>
      </c>
      <c r="C1580" t="inlineStr">
        <is>
          <t>GESTIÓN DE SEGURIDAD Y SALUD EN EL TRABAJO</t>
        </is>
      </c>
      <c r="D1580" t="inlineStr">
        <is>
          <t>Semestral</t>
        </is>
      </c>
      <c r="E1580" t="inlineStr">
        <is>
          <t>Positivo</t>
        </is>
      </c>
      <c r="F1580" s="113" t="n">
        <v>46022</v>
      </c>
      <c r="G1580" t="n">
        <v>2025</v>
      </c>
      <c r="H1580" t="inlineStr">
        <is>
          <t>Diciembre</t>
        </is>
      </c>
      <c r="I1580" t="inlineStr">
        <is>
          <t>2025-2</t>
        </is>
      </c>
      <c r="J1580" t="n">
        <v>90</v>
      </c>
      <c r="K1580" t="n">
        <v>100</v>
      </c>
      <c r="L1580" s="39" t="n">
        <v>1.111111111111111</v>
      </c>
      <c r="M1580" s="39" t="n">
        <v>1.111111111111111</v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484-2025-12-31</t>
        </is>
      </c>
    </row>
    <row r="1581" hidden="1">
      <c r="A1581" t="n">
        <v>484</v>
      </c>
      <c r="B1581" t="inlineStr">
        <is>
          <t>Cumplimiento del Programa de la Cultura del Autocuidado</t>
        </is>
      </c>
      <c r="C1581" t="inlineStr">
        <is>
          <t>GESTIÓN DE SEGURIDAD Y SALUD EN EL TRABAJO</t>
        </is>
      </c>
      <c r="D1581" t="inlineStr">
        <is>
          <t>Semestral</t>
        </is>
      </c>
      <c r="E1581" t="inlineStr">
        <is>
          <t>Positivo</t>
        </is>
      </c>
      <c r="F1581" s="113" t="n">
        <v>46203</v>
      </c>
      <c r="G1581" t="n">
        <v>2026</v>
      </c>
      <c r="H1581" t="inlineStr">
        <is>
          <t>Junio</t>
        </is>
      </c>
      <c r="I1581" t="inlineStr">
        <is>
          <t>2026-1</t>
        </is>
      </c>
      <c r="K1581" t="n">
        <v>100</v>
      </c>
      <c r="L1581" s="39" t="n"/>
      <c r="M1581" s="39" t="n"/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484-2026-06-30</t>
        </is>
      </c>
    </row>
    <row r="1582" hidden="1">
      <c r="A1582" t="n">
        <v>485</v>
      </c>
      <c r="B1582" t="inlineStr">
        <is>
          <t>Oportunidad en el cierre de acciones</t>
        </is>
      </c>
      <c r="C1582" t="inlineStr">
        <is>
          <t>Gestión de calidad</t>
        </is>
      </c>
      <c r="D1582" t="inlineStr">
        <is>
          <t>Mensual</t>
        </is>
      </c>
      <c r="E1582" t="inlineStr">
        <is>
          <t>Positivo</t>
        </is>
      </c>
      <c r="F1582" s="113" t="n">
        <v>45473</v>
      </c>
      <c r="G1582" t="n">
        <v>2024</v>
      </c>
      <c r="H1582" t="inlineStr">
        <is>
          <t>Junio</t>
        </is>
      </c>
      <c r="I1582" t="inlineStr">
        <is>
          <t>2024-1</t>
        </is>
      </c>
      <c r="L1582" s="39" t="n"/>
      <c r="M1582" s="39" t="n"/>
      <c r="P1582" t="n">
        <v>0</v>
      </c>
      <c r="Q1582" t="n">
        <v>0</v>
      </c>
      <c r="R1582" t="inlineStr">
        <is>
          <t>485-2024-06-30</t>
        </is>
      </c>
    </row>
    <row r="1583" hidden="1">
      <c r="A1583" t="n">
        <v>485</v>
      </c>
      <c r="B1583" t="inlineStr">
        <is>
          <t>Oportunidad en el cierre de acciones</t>
        </is>
      </c>
      <c r="C1583" t="inlineStr">
        <is>
          <t>Gestión de calidad</t>
        </is>
      </c>
      <c r="D1583" t="inlineStr">
        <is>
          <t>Mensual</t>
        </is>
      </c>
      <c r="E1583" t="inlineStr">
        <is>
          <t>Positivo</t>
        </is>
      </c>
      <c r="F1583" s="113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91.66666666666666</v>
      </c>
      <c r="L1583" s="39" t="n">
        <v>1.145833333333333</v>
      </c>
      <c r="M1583" s="39" t="n">
        <v>1.145833333333333</v>
      </c>
      <c r="P1583" t="n">
        <v>0</v>
      </c>
      <c r="Q1583" t="n">
        <v>0</v>
      </c>
      <c r="R1583" t="inlineStr">
        <is>
          <t>485-2024-12-31</t>
        </is>
      </c>
    </row>
    <row r="1584" hidden="1">
      <c r="A1584" t="n">
        <v>485</v>
      </c>
      <c r="B1584" t="inlineStr">
        <is>
          <t>Oportunidad en el cierre de acciones</t>
        </is>
      </c>
      <c r="C1584" t="inlineStr">
        <is>
          <t>Gestión de calidad</t>
        </is>
      </c>
      <c r="D1584" t="inlineStr">
        <is>
          <t>Mensual</t>
        </is>
      </c>
      <c r="E1584" t="inlineStr">
        <is>
          <t>Positivo</t>
        </is>
      </c>
      <c r="F1584" s="113" t="n">
        <v>45838</v>
      </c>
      <c r="G1584" t="n">
        <v>2025</v>
      </c>
      <c r="H1584" t="inlineStr">
        <is>
          <t>Junio</t>
        </is>
      </c>
      <c r="I1584" t="inlineStr">
        <is>
          <t>2025-1</t>
        </is>
      </c>
      <c r="J1584" t="n">
        <v>80</v>
      </c>
      <c r="K1584" t="n">
        <v>86.11166666666666</v>
      </c>
      <c r="L1584" s="39" t="n">
        <v>1.076395833333333</v>
      </c>
      <c r="M1584" s="39" t="n">
        <v>1.076395833333333</v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485-2025-06-30</t>
        </is>
      </c>
    </row>
    <row r="1585" hidden="1">
      <c r="A1585" t="n">
        <v>485</v>
      </c>
      <c r="B1585" t="inlineStr">
        <is>
          <t>Oportunidad en el cierre de acciones</t>
        </is>
      </c>
      <c r="C1585" t="inlineStr">
        <is>
          <t>Gestión de calidad</t>
        </is>
      </c>
      <c r="D1585" t="inlineStr">
        <is>
          <t>Mensual</t>
        </is>
      </c>
      <c r="E1585" t="inlineStr">
        <is>
          <t>Positivo</t>
        </is>
      </c>
      <c r="F1585" s="113" t="n">
        <v>46022</v>
      </c>
      <c r="G1585" t="n">
        <v>2025</v>
      </c>
      <c r="H1585" t="inlineStr">
        <is>
          <t>Diciembre</t>
        </is>
      </c>
      <c r="I1585" t="inlineStr">
        <is>
          <t>2025-2</t>
        </is>
      </c>
      <c r="J1585" t="n">
        <v>80</v>
      </c>
      <c r="K1585" t="n">
        <v>72.976</v>
      </c>
      <c r="L1585" s="39" t="n">
        <v>0.9122</v>
      </c>
      <c r="M1585" s="39" t="n">
        <v>0.9122</v>
      </c>
      <c r="N1585" t="inlineStr">
        <is>
          <t>%</t>
        </is>
      </c>
      <c r="O1585" t="inlineStr">
        <is>
          <t>%</t>
        </is>
      </c>
      <c r="P1585" t="n">
        <v>0</v>
      </c>
      <c r="Q1585" t="n">
        <v>0</v>
      </c>
      <c r="R1585" t="inlineStr">
        <is>
          <t>485-2025-12-31</t>
        </is>
      </c>
    </row>
    <row r="1586" hidden="1">
      <c r="A1586" t="n">
        <v>486</v>
      </c>
      <c r="B1586" t="inlineStr">
        <is>
          <t>Número de visitas a la página web</t>
        </is>
      </c>
      <c r="C1586" t="inlineStr">
        <is>
          <t>Comunicaciones Internas</t>
        </is>
      </c>
      <c r="D1586" t="inlineStr">
        <is>
          <t>Semestral</t>
        </is>
      </c>
      <c r="E1586" t="inlineStr">
        <is>
          <t>Positivo</t>
        </is>
      </c>
      <c r="F1586" s="113" t="n">
        <v>45473</v>
      </c>
      <c r="G1586" t="n">
        <v>2024</v>
      </c>
      <c r="H1586" t="inlineStr">
        <is>
          <t>Junio</t>
        </is>
      </c>
      <c r="I1586" t="inlineStr">
        <is>
          <t>2024-1</t>
        </is>
      </c>
      <c r="J1586" t="n">
        <v>0</v>
      </c>
      <c r="K1586" t="n">
        <v>4900000</v>
      </c>
      <c r="L1586" s="39" t="n"/>
      <c r="M1586" s="39" t="n"/>
      <c r="P1586" t="n">
        <v>0</v>
      </c>
      <c r="Q1586" t="n">
        <v>0</v>
      </c>
      <c r="R1586" t="inlineStr">
        <is>
          <t>486-2024-06-30</t>
        </is>
      </c>
    </row>
    <row r="1587" hidden="1">
      <c r="A1587" t="n">
        <v>486</v>
      </c>
      <c r="B1587" t="inlineStr">
        <is>
          <t>Número de visitas a la página web</t>
        </is>
      </c>
      <c r="C1587" t="inlineStr">
        <is>
          <t>Comunicaciones Internas</t>
        </is>
      </c>
      <c r="D1587" t="inlineStr">
        <is>
          <t>Semestral</t>
        </is>
      </c>
      <c r="E1587" t="inlineStr">
        <is>
          <t>Positivo</t>
        </is>
      </c>
      <c r="F1587" s="113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0</v>
      </c>
      <c r="K1587" t="n">
        <v>2700000</v>
      </c>
      <c r="L1587" s="39" t="n"/>
      <c r="M1587" s="39" t="n"/>
      <c r="P1587" t="n">
        <v>0</v>
      </c>
      <c r="Q1587" t="n">
        <v>0</v>
      </c>
      <c r="R1587" t="inlineStr">
        <is>
          <t>486-2024-12-31</t>
        </is>
      </c>
    </row>
    <row r="1588" hidden="1">
      <c r="A1588" t="n">
        <v>486</v>
      </c>
      <c r="B1588" t="inlineStr">
        <is>
          <t>Número de visitas a la página web</t>
        </is>
      </c>
      <c r="C1588" t="inlineStr">
        <is>
          <t>Comunicaciones Internas</t>
        </is>
      </c>
      <c r="D1588" t="inlineStr">
        <is>
          <t>Trimestral</t>
        </is>
      </c>
      <c r="E1588" t="inlineStr">
        <is>
          <t>Positivo</t>
        </is>
      </c>
      <c r="F1588" s="113" t="n">
        <v>45838</v>
      </c>
      <c r="G1588" t="n">
        <v>2025</v>
      </c>
      <c r="H1588" t="inlineStr">
        <is>
          <t>Junio</t>
        </is>
      </c>
      <c r="I1588" t="inlineStr">
        <is>
          <t>2025-1</t>
        </is>
      </c>
      <c r="K1588" t="n">
        <v>2890610</v>
      </c>
      <c r="L1588" s="39" t="n"/>
      <c r="M1588" s="39" t="n"/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486-2025-06-30</t>
        </is>
      </c>
    </row>
    <row r="1589" hidden="1">
      <c r="A1589" t="n">
        <v>486</v>
      </c>
      <c r="B1589" t="inlineStr">
        <is>
          <t>Número de visitas a la página web</t>
        </is>
      </c>
      <c r="C1589" t="inlineStr">
        <is>
          <t>Comunicaciones Internas</t>
        </is>
      </c>
      <c r="D1589" t="inlineStr">
        <is>
          <t>Trimestral</t>
        </is>
      </c>
      <c r="E1589" t="inlineStr">
        <is>
          <t>Positivo</t>
        </is>
      </c>
      <c r="F1589" s="113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K1589" t="n">
        <v>2703941</v>
      </c>
      <c r="L1589" s="39" t="n"/>
      <c r="M1589" s="39" t="n"/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486-2025-12-31</t>
        </is>
      </c>
    </row>
    <row r="1590" hidden="1">
      <c r="A1590" t="n">
        <v>487</v>
      </c>
      <c r="B1590" t="inlineStr">
        <is>
          <t>Impactados Talleres de formación</t>
        </is>
      </c>
      <c r="C1590" t="inlineStr">
        <is>
          <t>Centro de Medios Audiovisuales</t>
        </is>
      </c>
      <c r="D1590" t="inlineStr">
        <is>
          <t>Anual</t>
        </is>
      </c>
      <c r="E1590" t="inlineStr">
        <is>
          <t>Positivo</t>
        </is>
      </c>
      <c r="F1590" s="113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20</v>
      </c>
      <c r="K1590" t="n">
        <v>6.06</v>
      </c>
      <c r="L1590" s="39" t="n">
        <v>0.303</v>
      </c>
      <c r="M1590" s="39" t="n">
        <v>0.303</v>
      </c>
      <c r="P1590" t="n">
        <v>0</v>
      </c>
      <c r="Q1590" t="n">
        <v>0</v>
      </c>
      <c r="R1590" t="inlineStr">
        <is>
          <t>487-2024-12-31</t>
        </is>
      </c>
    </row>
    <row r="1591" hidden="1">
      <c r="A1591" t="n">
        <v>487</v>
      </c>
      <c r="B1591" t="inlineStr">
        <is>
          <t>Número Impactados Talleres de formación</t>
        </is>
      </c>
      <c r="C1591" t="inlineStr">
        <is>
          <t>Centro de Medios Audiovisuales</t>
        </is>
      </c>
      <c r="D1591" t="inlineStr">
        <is>
          <t>Anual</t>
        </is>
      </c>
      <c r="E1591" t="inlineStr">
        <is>
          <t>Positivo</t>
        </is>
      </c>
      <c r="F1591" s="113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20</v>
      </c>
      <c r="K1591" t="n">
        <v>58.86</v>
      </c>
      <c r="L1591" s="39" t="n">
        <v>1.3</v>
      </c>
      <c r="M1591" s="39" t="n">
        <v>2.943</v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487-2025-12-31</t>
        </is>
      </c>
    </row>
    <row r="1592" hidden="1">
      <c r="A1592" t="n">
        <v>488</v>
      </c>
      <c r="B1592" t="inlineStr">
        <is>
          <t>Oportunidad en el cierre de actividades de los planes de mejora</t>
        </is>
      </c>
      <c r="C1592" t="inlineStr">
        <is>
          <t>Gestión de calidad</t>
        </is>
      </c>
      <c r="D1592" t="inlineStr">
        <is>
          <t>Mensual</t>
        </is>
      </c>
      <c r="E1592" t="inlineStr">
        <is>
          <t>Positivo</t>
        </is>
      </c>
      <c r="F1592" s="113" t="n">
        <v>45473</v>
      </c>
      <c r="G1592" t="n">
        <v>2024</v>
      </c>
      <c r="H1592" t="inlineStr">
        <is>
          <t>Junio</t>
        </is>
      </c>
      <c r="I1592" t="inlineStr">
        <is>
          <t>2024-1</t>
        </is>
      </c>
      <c r="L1592" s="39" t="n"/>
      <c r="M1592" s="39" t="n"/>
      <c r="P1592" t="n">
        <v>0</v>
      </c>
      <c r="Q1592" t="n">
        <v>0</v>
      </c>
      <c r="R1592" t="inlineStr">
        <is>
          <t>488-2024-06-30</t>
        </is>
      </c>
    </row>
    <row r="1593" hidden="1">
      <c r="A1593" t="n">
        <v>488</v>
      </c>
      <c r="B1593" t="inlineStr">
        <is>
          <t>Oportunidad en el cierre de actividades de los planes de mejora</t>
        </is>
      </c>
      <c r="C1593" t="inlineStr">
        <is>
          <t>Gestión de calidad</t>
        </is>
      </c>
      <c r="D1593" t="inlineStr">
        <is>
          <t>Mensual</t>
        </is>
      </c>
      <c r="E1593" t="inlineStr">
        <is>
          <t>Positivo</t>
        </is>
      </c>
      <c r="F1593" s="113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85</v>
      </c>
      <c r="K1593" t="n">
        <v>92.96128846079502</v>
      </c>
      <c r="L1593" s="39" t="n">
        <v>1.093662217185824</v>
      </c>
      <c r="M1593" s="39" t="n">
        <v>1.093662217185824</v>
      </c>
      <c r="P1593" t="n">
        <v>0</v>
      </c>
      <c r="Q1593" t="n">
        <v>0</v>
      </c>
      <c r="R1593" t="inlineStr">
        <is>
          <t>488-2024-12-31</t>
        </is>
      </c>
    </row>
    <row r="1594" hidden="1">
      <c r="A1594" t="n">
        <v>488</v>
      </c>
      <c r="B1594" t="inlineStr">
        <is>
          <t>Oportunidad en el cierre de actividades de los planes de mejora</t>
        </is>
      </c>
      <c r="C1594" t="inlineStr">
        <is>
          <t>Gestión de calidad</t>
        </is>
      </c>
      <c r="D1594" t="inlineStr">
        <is>
          <t>Mensual</t>
        </is>
      </c>
      <c r="E1594" t="inlineStr">
        <is>
          <t>Positivo</t>
        </is>
      </c>
      <c r="F1594" s="113" t="n">
        <v>45838</v>
      </c>
      <c r="G1594" t="n">
        <v>2025</v>
      </c>
      <c r="H1594" t="inlineStr">
        <is>
          <t>Junio</t>
        </is>
      </c>
      <c r="I1594" t="inlineStr">
        <is>
          <t>2025-1</t>
        </is>
      </c>
      <c r="J1594" t="n">
        <v>85</v>
      </c>
      <c r="K1594" t="n">
        <v>72.08693256814921</v>
      </c>
      <c r="L1594" s="39" t="n">
        <v>0.8480815596252848</v>
      </c>
      <c r="M1594" s="39" t="n">
        <v>0.8480815596252848</v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488-2025-06-30</t>
        </is>
      </c>
    </row>
    <row r="1595" hidden="1">
      <c r="A1595" t="n">
        <v>488</v>
      </c>
      <c r="B1595" t="inlineStr">
        <is>
          <t>Oportunidad en el cierre de actividades de los planes de mejora</t>
        </is>
      </c>
      <c r="C1595" t="inlineStr">
        <is>
          <t>Gestión de calidad</t>
        </is>
      </c>
      <c r="D1595" t="inlineStr">
        <is>
          <t>Mensual</t>
        </is>
      </c>
      <c r="E1595" t="inlineStr">
        <is>
          <t>Positivo</t>
        </is>
      </c>
      <c r="F1595" s="113" t="n">
        <v>46022</v>
      </c>
      <c r="G1595" t="n">
        <v>2025</v>
      </c>
      <c r="H1595" t="inlineStr">
        <is>
          <t>Diciembre</t>
        </is>
      </c>
      <c r="I1595" t="inlineStr">
        <is>
          <t>2025-2</t>
        </is>
      </c>
      <c r="J1595" t="n">
        <v>85</v>
      </c>
      <c r="K1595" t="n">
        <v>81.46166666666666</v>
      </c>
      <c r="L1595" s="39" t="n">
        <v>0.9583725490196078</v>
      </c>
      <c r="M1595" s="39" t="n">
        <v>0.9583725490196078</v>
      </c>
      <c r="N1595" t="inlineStr">
        <is>
          <t>%</t>
        </is>
      </c>
      <c r="O1595" t="inlineStr">
        <is>
          <t>%</t>
        </is>
      </c>
      <c r="P1595" t="n">
        <v>0</v>
      </c>
      <c r="Q1595" t="n">
        <v>0</v>
      </c>
      <c r="R1595" t="inlineStr">
        <is>
          <t>488-2025-12-31</t>
        </is>
      </c>
    </row>
    <row r="1596" hidden="1">
      <c r="A1596" t="n">
        <v>488</v>
      </c>
      <c r="B1596" t="inlineStr">
        <is>
          <t>Oportunidad en el cierre de actividades de los planes de mejora</t>
        </is>
      </c>
      <c r="C1596" t="inlineStr">
        <is>
          <t>Gestión de calidad</t>
        </is>
      </c>
      <c r="D1596" t="inlineStr">
        <is>
          <t>Mensual</t>
        </is>
      </c>
      <c r="E1596" t="inlineStr">
        <is>
          <t>Positivo</t>
        </is>
      </c>
      <c r="F1596" s="113" t="n">
        <v>46203</v>
      </c>
      <c r="G1596" t="n">
        <v>2026</v>
      </c>
      <c r="H1596" t="inlineStr">
        <is>
          <t>Junio</t>
        </is>
      </c>
      <c r="I1596" t="inlineStr">
        <is>
          <t>2026-1</t>
        </is>
      </c>
      <c r="J1596" t="n">
        <v>85</v>
      </c>
      <c r="K1596" t="n">
        <v>82.78999999999999</v>
      </c>
      <c r="L1596" s="39" t="n">
        <v>0.9739999999999999</v>
      </c>
      <c r="M1596" s="39" t="n">
        <v>0.9739999999999999</v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488-2026-06-30</t>
        </is>
      </c>
    </row>
    <row r="1597" hidden="1">
      <c r="A1597" t="n">
        <v>489</v>
      </c>
      <c r="B1597" t="inlineStr">
        <is>
          <t>Cumplimiento en la evaluación de las oportunidades de mejora (OM)</t>
        </is>
      </c>
      <c r="C1597" t="inlineStr">
        <is>
          <t>Gestión de calidad</t>
        </is>
      </c>
      <c r="D1597" t="inlineStr">
        <is>
          <t>Mensual</t>
        </is>
      </c>
      <c r="E1597" t="inlineStr">
        <is>
          <t>Positivo</t>
        </is>
      </c>
      <c r="F1597" s="113" t="n">
        <v>45473</v>
      </c>
      <c r="G1597" t="n">
        <v>2024</v>
      </c>
      <c r="H1597" t="inlineStr">
        <is>
          <t>Junio</t>
        </is>
      </c>
      <c r="I1597" t="inlineStr">
        <is>
          <t>2024-1</t>
        </is>
      </c>
      <c r="L1597" s="39" t="n"/>
      <c r="M1597" s="39" t="n"/>
      <c r="P1597" t="n">
        <v>0</v>
      </c>
      <c r="Q1597" t="n">
        <v>0</v>
      </c>
      <c r="R1597" t="inlineStr">
        <is>
          <t>489-2024-06-30</t>
        </is>
      </c>
    </row>
    <row r="1598" hidden="1">
      <c r="A1598" t="n">
        <v>489</v>
      </c>
      <c r="B1598" t="inlineStr">
        <is>
          <t>Cumplimiento en la evaluación de las oportunidades de mejora (OM)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Positivo</t>
        </is>
      </c>
      <c r="F1598" s="113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100</v>
      </c>
      <c r="L1598" s="39" t="n">
        <v>1.25</v>
      </c>
      <c r="M1598" s="39" t="n">
        <v>1.25</v>
      </c>
      <c r="P1598" t="n">
        <v>0</v>
      </c>
      <c r="Q1598" t="n">
        <v>0</v>
      </c>
      <c r="R1598" t="inlineStr">
        <is>
          <t>489-2024-12-31</t>
        </is>
      </c>
    </row>
    <row r="1599" hidden="1">
      <c r="A1599" t="n">
        <v>490</v>
      </c>
      <c r="B1599" t="inlineStr">
        <is>
          <t>Nivel de Satisfacción Servicios Prestados - Planeación Estratégica</t>
        </is>
      </c>
      <c r="C1599" t="inlineStr">
        <is>
          <t>Planeación Estratégica</t>
        </is>
      </c>
      <c r="D1599" t="inlineStr">
        <is>
          <t>Anual</t>
        </is>
      </c>
      <c r="E1599" t="inlineStr">
        <is>
          <t>Positivo</t>
        </is>
      </c>
      <c r="F1599" s="113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88</v>
      </c>
      <c r="L1599" s="39" t="n">
        <v>1.1</v>
      </c>
      <c r="M1599" s="39" t="n">
        <v>1.1</v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490-2024-12-31</t>
        </is>
      </c>
    </row>
    <row r="1600" hidden="1">
      <c r="A1600" t="n">
        <v>490</v>
      </c>
      <c r="B1600" t="inlineStr">
        <is>
          <t>Nivel de Satisfacción Servicios Prestados - Planeación Estratégica</t>
        </is>
      </c>
      <c r="C1600" t="inlineStr">
        <is>
          <t>Planeación Estratégica</t>
        </is>
      </c>
      <c r="D1600" t="inlineStr">
        <is>
          <t>Anual</t>
        </is>
      </c>
      <c r="E1600" t="inlineStr">
        <is>
          <t>Positivo</t>
        </is>
      </c>
      <c r="F1600" s="113" t="n">
        <v>46022</v>
      </c>
      <c r="G1600" t="n">
        <v>2025</v>
      </c>
      <c r="H1600" t="inlineStr">
        <is>
          <t>Diciembre</t>
        </is>
      </c>
      <c r="I1600" t="inlineStr">
        <is>
          <t>2025-2</t>
        </is>
      </c>
      <c r="J1600" t="n">
        <v>80</v>
      </c>
      <c r="K1600" t="n">
        <v>100</v>
      </c>
      <c r="L1600" s="39" t="n">
        <v>1.25</v>
      </c>
      <c r="M1600" s="39" t="n">
        <v>1.25</v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490-2025-12-31</t>
        </is>
      </c>
    </row>
    <row r="1601" hidden="1">
      <c r="A1601" t="n">
        <v>491</v>
      </c>
      <c r="B1601" t="inlineStr">
        <is>
          <t>Nivel de Satisfacción Servicios Prestados - Gestión de proyectos</t>
        </is>
      </c>
      <c r="C1601" t="inlineStr">
        <is>
          <t>Gestión de Proyectos</t>
        </is>
      </c>
      <c r="D1601" t="inlineStr">
        <is>
          <t>Anual</t>
        </is>
      </c>
      <c r="E1601" t="inlineStr">
        <is>
          <t>Positivo</t>
        </is>
      </c>
      <c r="F1601" s="113" t="n">
        <v>45657</v>
      </c>
      <c r="G1601" t="n">
        <v>2024</v>
      </c>
      <c r="H1601" t="inlineStr">
        <is>
          <t>Diciembre</t>
        </is>
      </c>
      <c r="I1601" t="inlineStr">
        <is>
          <t>2024-2</t>
        </is>
      </c>
      <c r="J1601" t="n">
        <v>80</v>
      </c>
      <c r="K1601" t="n">
        <v>88</v>
      </c>
      <c r="L1601" s="39" t="n">
        <v>1.1</v>
      </c>
      <c r="M1601" s="39" t="n">
        <v>1.1</v>
      </c>
      <c r="P1601" t="n">
        <v>0</v>
      </c>
      <c r="Q1601" t="n">
        <v>0</v>
      </c>
      <c r="R1601" t="inlineStr">
        <is>
          <t>491-2024-12-31</t>
        </is>
      </c>
    </row>
    <row r="1602" hidden="1">
      <c r="A1602" t="n">
        <v>491</v>
      </c>
      <c r="B1602" t="inlineStr">
        <is>
          <t>Nivel de Satisfacción Servicios Prestados - Gestión de proyectos</t>
        </is>
      </c>
      <c r="C1602" t="inlineStr">
        <is>
          <t>Gestión de Proyectos</t>
        </is>
      </c>
      <c r="D1602" t="inlineStr">
        <is>
          <t>Anual</t>
        </is>
      </c>
      <c r="E1602" t="inlineStr">
        <is>
          <t>Positivo</t>
        </is>
      </c>
      <c r="F1602" s="113" t="n">
        <v>46022</v>
      </c>
      <c r="G1602" t="n">
        <v>2025</v>
      </c>
      <c r="H1602" t="inlineStr">
        <is>
          <t>Diciembre</t>
        </is>
      </c>
      <c r="I1602" t="inlineStr">
        <is>
          <t>2025-2</t>
        </is>
      </c>
      <c r="J1602" t="n">
        <v>80</v>
      </c>
      <c r="K1602" t="n">
        <v>100</v>
      </c>
      <c r="L1602" s="39" t="n">
        <v>1.25</v>
      </c>
      <c r="M1602" s="39" t="n">
        <v>1.25</v>
      </c>
      <c r="N1602" t="inlineStr">
        <is>
          <t>%</t>
        </is>
      </c>
      <c r="O1602" t="inlineStr">
        <is>
          <t>%</t>
        </is>
      </c>
      <c r="P1602" t="n">
        <v>0</v>
      </c>
      <c r="Q1602" t="n">
        <v>0</v>
      </c>
      <c r="R1602" t="inlineStr">
        <is>
          <t>491-2025-12-31</t>
        </is>
      </c>
    </row>
    <row r="1603" hidden="1">
      <c r="A1603" t="n">
        <v>492</v>
      </c>
      <c r="B1603" t="inlineStr">
        <is>
          <t>Nivel de Satisfacción Servicios Prestados - Desempeño Institucional</t>
        </is>
      </c>
      <c r="C1603" t="inlineStr">
        <is>
          <t>Desempeño Institucional</t>
        </is>
      </c>
      <c r="D1603" t="inlineStr">
        <is>
          <t>Anual</t>
        </is>
      </c>
      <c r="E1603" t="inlineStr">
        <is>
          <t>Positivo</t>
        </is>
      </c>
      <c r="F1603" s="113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80</v>
      </c>
      <c r="K1603" t="n">
        <v>83</v>
      </c>
      <c r="L1603" s="39" t="n">
        <v>1.0375</v>
      </c>
      <c r="M1603" s="39" t="n">
        <v>1.0375</v>
      </c>
      <c r="P1603" t="n">
        <v>0</v>
      </c>
      <c r="Q1603" t="n">
        <v>0</v>
      </c>
      <c r="R1603" t="inlineStr">
        <is>
          <t>492-2024-12-31</t>
        </is>
      </c>
    </row>
    <row r="1604" hidden="1">
      <c r="A1604" t="n">
        <v>492</v>
      </c>
      <c r="B1604" t="inlineStr">
        <is>
          <t>Nivel de Satisfacción Servicios Prestados - Desempeño Institucional</t>
        </is>
      </c>
      <c r="C1604" t="inlineStr">
        <is>
          <t>Desempeño Institucional</t>
        </is>
      </c>
      <c r="D1604" t="inlineStr">
        <is>
          <t>Anual</t>
        </is>
      </c>
      <c r="E1604" t="inlineStr">
        <is>
          <t>Positivo</t>
        </is>
      </c>
      <c r="F1604" s="113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95</v>
      </c>
      <c r="L1604" s="39" t="n">
        <v>1.1875</v>
      </c>
      <c r="M1604" s="39" t="n">
        <v>1.1875</v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492-2025-12-31</t>
        </is>
      </c>
    </row>
    <row r="1605" hidden="1">
      <c r="A1605" t="n">
        <v>493</v>
      </c>
      <c r="B1605" t="inlineStr">
        <is>
          <t>Nivel de Satisfacción Servicios Prestados - Gestión Jurídica Y Normativa</t>
        </is>
      </c>
      <c r="C1605" t="inlineStr">
        <is>
          <t>GESTIÓN JURÍDICA Y NORMATIVA</t>
        </is>
      </c>
      <c r="D1605" t="inlineStr">
        <is>
          <t>Anual</t>
        </is>
      </c>
      <c r="E1605" t="inlineStr">
        <is>
          <t>Positivo</t>
        </is>
      </c>
      <c r="F1605" s="113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81</v>
      </c>
      <c r="L1605" s="39" t="n">
        <v>1.0125</v>
      </c>
      <c r="M1605" s="39" t="n">
        <v>1.0125</v>
      </c>
      <c r="P1605" t="n">
        <v>0</v>
      </c>
      <c r="Q1605" t="n">
        <v>0</v>
      </c>
      <c r="R1605" t="inlineStr">
        <is>
          <t>493-2024-12-31</t>
        </is>
      </c>
    </row>
    <row r="1606" hidden="1">
      <c r="A1606" t="n">
        <v>493</v>
      </c>
      <c r="B1606" t="inlineStr">
        <is>
          <t>Nivel de Satisfacción Servicios Prestados - Gestión Jurídica Y Normativa</t>
        </is>
      </c>
      <c r="C1606" t="inlineStr">
        <is>
          <t>GESTIÓN JURÍDICA Y NORMATIVA</t>
        </is>
      </c>
      <c r="D1606" t="inlineStr">
        <is>
          <t>Anual</t>
        </is>
      </c>
      <c r="E1606" t="inlineStr">
        <is>
          <t>Positivo</t>
        </is>
      </c>
      <c r="F1606" s="113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77</v>
      </c>
      <c r="L1606" s="39" t="n">
        <v>0.9625</v>
      </c>
      <c r="M1606" s="39" t="n">
        <v>0.9625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493-2025-12-31</t>
        </is>
      </c>
    </row>
    <row r="1607" hidden="1">
      <c r="A1607" t="n">
        <v>494</v>
      </c>
      <c r="B1607" t="inlineStr">
        <is>
          <t>Nivel de Satisfacción Servicios Prestados - Administración De Servicios Generales</t>
        </is>
      </c>
      <c r="C1607" t="inlineStr">
        <is>
          <t>Administración de Servicios Generales</t>
        </is>
      </c>
      <c r="D1607" t="inlineStr">
        <is>
          <t>Anual</t>
        </is>
      </c>
      <c r="E1607" t="inlineStr">
        <is>
          <t>Positivo</t>
        </is>
      </c>
      <c r="F1607" s="113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80</v>
      </c>
      <c r="K1607" t="n">
        <v>89</v>
      </c>
      <c r="L1607" s="39" t="n">
        <v>1.1125</v>
      </c>
      <c r="M1607" s="39" t="n">
        <v>1.1125</v>
      </c>
      <c r="P1607" t="n">
        <v>0</v>
      </c>
      <c r="Q1607" t="n">
        <v>0</v>
      </c>
      <c r="R1607" t="inlineStr">
        <is>
          <t>494-2024-12-31</t>
        </is>
      </c>
    </row>
    <row r="1608" hidden="1">
      <c r="A1608" t="n">
        <v>494</v>
      </c>
      <c r="B1608" t="inlineStr">
        <is>
          <t>Nivel de Satisfacción Servicios Prestados - Administración De Servicios Generales</t>
        </is>
      </c>
      <c r="C1608" t="inlineStr">
        <is>
          <t>Administración de Servicios Generales</t>
        </is>
      </c>
      <c r="D1608" t="inlineStr">
        <is>
          <t>Anual</t>
        </is>
      </c>
      <c r="E1608" t="inlineStr">
        <is>
          <t>Positivo</t>
        </is>
      </c>
      <c r="F1608" s="113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80</v>
      </c>
      <c r="K1608" t="n">
        <v>93</v>
      </c>
      <c r="L1608" s="39" t="n">
        <v>1.1625</v>
      </c>
      <c r="M1608" s="39" t="n">
        <v>1.1625</v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494-2025-12-31</t>
        </is>
      </c>
    </row>
    <row r="1609" hidden="1">
      <c r="A1609" t="n">
        <v>495</v>
      </c>
      <c r="B1609" t="inlineStr">
        <is>
          <t>Nivel de Satisfacción Servicios Prestados - Contabilidad</t>
        </is>
      </c>
      <c r="C1609" t="inlineStr">
        <is>
          <t>Contabilidad</t>
        </is>
      </c>
      <c r="D1609" t="inlineStr">
        <is>
          <t>Anual</t>
        </is>
      </c>
      <c r="E1609" t="inlineStr">
        <is>
          <t>Positivo</t>
        </is>
      </c>
      <c r="F1609" s="113" t="n">
        <v>45657</v>
      </c>
      <c r="G1609" t="n">
        <v>2024</v>
      </c>
      <c r="H1609" t="inlineStr">
        <is>
          <t>Diciembre</t>
        </is>
      </c>
      <c r="I1609" t="inlineStr">
        <is>
          <t>2024-2</t>
        </is>
      </c>
      <c r="J1609" t="n">
        <v>80</v>
      </c>
      <c r="K1609" t="n">
        <v>92</v>
      </c>
      <c r="L1609" s="39" t="n">
        <v>1.15</v>
      </c>
      <c r="M1609" s="39" t="n">
        <v>1.15</v>
      </c>
      <c r="P1609" t="n">
        <v>0</v>
      </c>
      <c r="Q1609" t="n">
        <v>0</v>
      </c>
      <c r="R1609" t="inlineStr">
        <is>
          <t>495-2024-12-31</t>
        </is>
      </c>
    </row>
    <row r="1610" hidden="1">
      <c r="A1610" t="n">
        <v>495</v>
      </c>
      <c r="B1610" t="inlineStr">
        <is>
          <t>Nivel de Satisfacción Servicios Prestados - Contabilidad</t>
        </is>
      </c>
      <c r="C1610" t="inlineStr">
        <is>
          <t>Contabilidad</t>
        </is>
      </c>
      <c r="D1610" t="inlineStr">
        <is>
          <t>Anual</t>
        </is>
      </c>
      <c r="E1610" t="inlineStr">
        <is>
          <t>Positivo</t>
        </is>
      </c>
      <c r="F1610" s="113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J1610" t="n">
        <v>80</v>
      </c>
      <c r="K1610" t="n">
        <v>63</v>
      </c>
      <c r="L1610" s="39" t="n">
        <v>0.7875</v>
      </c>
      <c r="M1610" s="39" t="n">
        <v>0.7875</v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495-2025-12-31</t>
        </is>
      </c>
    </row>
    <row r="1611" hidden="1">
      <c r="A1611" t="n">
        <v>496</v>
      </c>
      <c r="B1611" t="inlineStr">
        <is>
          <t>Nivel de Satisfacción Servicios Prestados - Planeación Financiera</t>
        </is>
      </c>
      <c r="C1611" t="inlineStr">
        <is>
          <t>Planeación Financiera</t>
        </is>
      </c>
      <c r="D1611" t="inlineStr">
        <is>
          <t>Anual</t>
        </is>
      </c>
      <c r="E1611" t="inlineStr">
        <is>
          <t>Positivo</t>
        </is>
      </c>
      <c r="F1611" s="113" t="n">
        <v>45657</v>
      </c>
      <c r="G1611" t="n">
        <v>2024</v>
      </c>
      <c r="H1611" t="inlineStr">
        <is>
          <t>Diciembre</t>
        </is>
      </c>
      <c r="I1611" t="inlineStr">
        <is>
          <t>2024-2</t>
        </is>
      </c>
      <c r="J1611" t="n">
        <v>80</v>
      </c>
      <c r="K1611" t="n">
        <v>88</v>
      </c>
      <c r="L1611" s="39" t="n">
        <v>1.1</v>
      </c>
      <c r="M1611" s="39" t="n">
        <v>1.1</v>
      </c>
      <c r="P1611" t="n">
        <v>0</v>
      </c>
      <c r="Q1611" t="n">
        <v>0</v>
      </c>
      <c r="R1611" t="inlineStr">
        <is>
          <t>496-2024-12-31</t>
        </is>
      </c>
    </row>
    <row r="1612" hidden="1">
      <c r="A1612" t="n">
        <v>496</v>
      </c>
      <c r="B1612" t="inlineStr">
        <is>
          <t>Nivel de Satisfacción Servicios Prestados - Planeación Financiera</t>
        </is>
      </c>
      <c r="C1612" t="inlineStr">
        <is>
          <t>Planeación Financiera</t>
        </is>
      </c>
      <c r="D1612" t="inlineStr">
        <is>
          <t>Anual</t>
        </is>
      </c>
      <c r="E1612" t="inlineStr">
        <is>
          <t>Positivo</t>
        </is>
      </c>
      <c r="F1612" s="113" t="n">
        <v>46022</v>
      </c>
      <c r="G1612" t="n">
        <v>2025</v>
      </c>
      <c r="H1612" t="inlineStr">
        <is>
          <t>Diciembre</t>
        </is>
      </c>
      <c r="I1612" t="inlineStr">
        <is>
          <t>2025-2</t>
        </is>
      </c>
      <c r="J1612" t="n">
        <v>80</v>
      </c>
      <c r="K1612" t="n">
        <v>100</v>
      </c>
      <c r="L1612" s="39" t="n">
        <v>1.25</v>
      </c>
      <c r="M1612" s="39" t="n">
        <v>1.25</v>
      </c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496-2025-12-31</t>
        </is>
      </c>
    </row>
    <row r="1613" hidden="1">
      <c r="A1613" t="n">
        <v>497</v>
      </c>
      <c r="B1613" t="inlineStr">
        <is>
          <t>Nivel de Satisfacción Servicios Prestados - Tesorería</t>
        </is>
      </c>
      <c r="C1613" t="inlineStr">
        <is>
          <t>Tesorería</t>
        </is>
      </c>
      <c r="D1613" t="inlineStr">
        <is>
          <t>Anual</t>
        </is>
      </c>
      <c r="E1613" t="inlineStr">
        <is>
          <t>Positivo</t>
        </is>
      </c>
      <c r="F1613" s="113" t="n">
        <v>45657</v>
      </c>
      <c r="G1613" t="n">
        <v>2024</v>
      </c>
      <c r="H1613" t="inlineStr">
        <is>
          <t>Diciembre</t>
        </is>
      </c>
      <c r="I1613" t="inlineStr">
        <is>
          <t>2024-2</t>
        </is>
      </c>
      <c r="J1613" t="n">
        <v>80</v>
      </c>
      <c r="K1613" t="n">
        <v>83</v>
      </c>
      <c r="L1613" s="39" t="n">
        <v>1.0375</v>
      </c>
      <c r="M1613" s="39" t="n">
        <v>1.0375</v>
      </c>
      <c r="P1613" t="n">
        <v>0</v>
      </c>
      <c r="Q1613" t="n">
        <v>0</v>
      </c>
      <c r="R1613" t="inlineStr">
        <is>
          <t>497-2024-12-31</t>
        </is>
      </c>
    </row>
    <row r="1614" hidden="1">
      <c r="A1614" t="n">
        <v>498</v>
      </c>
      <c r="B1614" t="inlineStr">
        <is>
          <t>Nivel de Satisfacción Servicios Prestados - Centro de Medios Audiovisuales</t>
        </is>
      </c>
      <c r="C1614" t="inlineStr">
        <is>
          <t>Centro de Medios Audiovisuales</t>
        </is>
      </c>
      <c r="D1614" t="inlineStr">
        <is>
          <t>Anual</t>
        </is>
      </c>
      <c r="E1614" t="inlineStr">
        <is>
          <t>Positivo</t>
        </is>
      </c>
      <c r="F1614" s="113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92</v>
      </c>
      <c r="L1614" s="39" t="n">
        <v>1.15</v>
      </c>
      <c r="M1614" s="39" t="n">
        <v>1.15</v>
      </c>
      <c r="P1614" t="n">
        <v>0</v>
      </c>
      <c r="Q1614" t="n">
        <v>0</v>
      </c>
      <c r="R1614" t="inlineStr">
        <is>
          <t>498-2024-12-31</t>
        </is>
      </c>
    </row>
    <row r="1615" hidden="1">
      <c r="A1615" t="n">
        <v>498</v>
      </c>
      <c r="B1615" t="inlineStr">
        <is>
          <t>Nivel de Satisfacción Servicios Prestados - Centro de Medios Audiovisuales</t>
        </is>
      </c>
      <c r="C1615" t="inlineStr">
        <is>
          <t>Centro de Medios Audiovisuales</t>
        </is>
      </c>
      <c r="D1615" t="inlineStr">
        <is>
          <t>Anual</t>
        </is>
      </c>
      <c r="E1615" t="inlineStr">
        <is>
          <t>Positivo</t>
        </is>
      </c>
      <c r="F1615" s="113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J1615" t="n">
        <v>80</v>
      </c>
      <c r="K1615" t="n">
        <v>95</v>
      </c>
      <c r="L1615" s="39" t="n">
        <v>1.1875</v>
      </c>
      <c r="M1615" s="39" t="n">
        <v>1.1875</v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498-2025-12-31</t>
        </is>
      </c>
    </row>
    <row r="1616">
      <c r="A1616" t="n">
        <v>499</v>
      </c>
      <c r="B1616" t="inlineStr">
        <is>
          <t>Nivel de Satisfacción Servicios Prestados - Datos y analítica</t>
        </is>
      </c>
      <c r="C1616" t="inlineStr">
        <is>
          <t>DATOS Y ANALÍTICA</t>
        </is>
      </c>
      <c r="D1616" t="inlineStr">
        <is>
          <t>Anual</t>
        </is>
      </c>
      <c r="E1616" t="inlineStr">
        <is>
          <t>Positivo</t>
        </is>
      </c>
      <c r="F1616" s="113" t="n">
        <v>45657</v>
      </c>
      <c r="G1616" t="n">
        <v>2024</v>
      </c>
      <c r="H1616" t="inlineStr">
        <is>
          <t>Diciembre</t>
        </is>
      </c>
      <c r="I1616" t="inlineStr">
        <is>
          <t>2024-2</t>
        </is>
      </c>
      <c r="J1616" t="n">
        <v>80</v>
      </c>
      <c r="K1616" t="n">
        <v>87</v>
      </c>
      <c r="L1616" s="39" t="n">
        <v>1.0875</v>
      </c>
      <c r="M1616" s="39" t="n">
        <v>1.0875</v>
      </c>
      <c r="P1616" t="n">
        <v>0</v>
      </c>
      <c r="Q1616" t="n">
        <v>0</v>
      </c>
      <c r="R1616" t="inlineStr">
        <is>
          <t>499-2024-12-31</t>
        </is>
      </c>
    </row>
    <row r="1617" hidden="1">
      <c r="A1617" t="n">
        <v>499</v>
      </c>
      <c r="B1617" t="inlineStr">
        <is>
          <t>Nivel de Satisfacción Servicios Prestados - Datos y analítica</t>
        </is>
      </c>
      <c r="C1617" t="inlineStr">
        <is>
          <t>DATOS Y ANALÍTICA</t>
        </is>
      </c>
      <c r="D1617" t="inlineStr">
        <is>
          <t>Anual</t>
        </is>
      </c>
      <c r="E1617" t="inlineStr">
        <is>
          <t>Positivo</t>
        </is>
      </c>
      <c r="F1617" s="113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J1617" t="n">
        <v>80</v>
      </c>
      <c r="L1617" s="39" t="n"/>
      <c r="M1617" s="39" t="n"/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499-2025-12-31</t>
        </is>
      </c>
      <c r="S1617" t="inlineStr">
        <is>
          <t>No Aplica</t>
        </is>
      </c>
    </row>
    <row r="1618" hidden="1">
      <c r="A1618" t="n">
        <v>500</v>
      </c>
      <c r="B1618" t="inlineStr">
        <is>
          <t>Nivel de Satisfacción Servicios Prestados -Servicio de Salud</t>
        </is>
      </c>
      <c r="C1618" t="inlineStr">
        <is>
          <t>Servicio de Salud</t>
        </is>
      </c>
      <c r="D1618" t="inlineStr">
        <is>
          <t>Anual</t>
        </is>
      </c>
      <c r="E1618" t="inlineStr">
        <is>
          <t>Positivo</t>
        </is>
      </c>
      <c r="F1618" s="113" t="n">
        <v>45657</v>
      </c>
      <c r="G1618" t="n">
        <v>2024</v>
      </c>
      <c r="H1618" t="inlineStr">
        <is>
          <t>Diciembre</t>
        </is>
      </c>
      <c r="I1618" t="inlineStr">
        <is>
          <t>2024-2</t>
        </is>
      </c>
      <c r="J1618" t="n">
        <v>80</v>
      </c>
      <c r="K1618" t="n">
        <v>89</v>
      </c>
      <c r="L1618" s="39" t="n">
        <v>1.1125</v>
      </c>
      <c r="M1618" s="39" t="n">
        <v>1.1125</v>
      </c>
      <c r="P1618" t="n">
        <v>0</v>
      </c>
      <c r="Q1618" t="n">
        <v>0</v>
      </c>
      <c r="R1618" t="inlineStr">
        <is>
          <t>500-2024-12-31</t>
        </is>
      </c>
    </row>
    <row r="1619" hidden="1">
      <c r="A1619" t="n">
        <v>500</v>
      </c>
      <c r="B1619" t="inlineStr">
        <is>
          <t>Nivel de Satisfacción Servicios Prestados -Servicio de Salud</t>
        </is>
      </c>
      <c r="C1619" t="inlineStr">
        <is>
          <t>Servicio de Salud</t>
        </is>
      </c>
      <c r="D1619" t="inlineStr">
        <is>
          <t>Anual</t>
        </is>
      </c>
      <c r="E1619" t="inlineStr">
        <is>
          <t>Positivo</t>
        </is>
      </c>
      <c r="F1619" s="113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J1619" t="n">
        <v>80</v>
      </c>
      <c r="K1619" t="n">
        <v>100</v>
      </c>
      <c r="L1619" s="39" t="n">
        <v>1.25</v>
      </c>
      <c r="M1619" s="39" t="n">
        <v>1.25</v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500-2025-12-31</t>
        </is>
      </c>
    </row>
    <row r="1620" hidden="1">
      <c r="A1620" t="n">
        <v>501</v>
      </c>
      <c r="B1620" t="inlineStr">
        <is>
          <t>Nivel de Satisfacción Servicios Prestados -Gestión, evaluación e innovación curricular</t>
        </is>
      </c>
      <c r="C1620" t="inlineStr">
        <is>
          <t>Gestión, Evaluación e Innovación Curricular</t>
        </is>
      </c>
      <c r="D1620" t="inlineStr">
        <is>
          <t>Anual</t>
        </is>
      </c>
      <c r="E1620" t="inlineStr">
        <is>
          <t>Positivo</t>
        </is>
      </c>
      <c r="F1620" s="113" t="n">
        <v>45657</v>
      </c>
      <c r="G1620" t="n">
        <v>2024</v>
      </c>
      <c r="H1620" t="inlineStr">
        <is>
          <t>Diciembre</t>
        </is>
      </c>
      <c r="I1620" t="inlineStr">
        <is>
          <t>2024-2</t>
        </is>
      </c>
      <c r="J1620" t="n">
        <v>80</v>
      </c>
      <c r="K1620" t="n">
        <v>88</v>
      </c>
      <c r="L1620" s="39" t="n">
        <v>1.1</v>
      </c>
      <c r="M1620" s="39" t="n">
        <v>1.1</v>
      </c>
      <c r="P1620" t="n">
        <v>0</v>
      </c>
      <c r="Q1620" t="n">
        <v>0</v>
      </c>
      <c r="R1620" t="inlineStr">
        <is>
          <t>501-2024-12-31</t>
        </is>
      </c>
    </row>
    <row r="1621" hidden="1">
      <c r="A1621" t="n">
        <v>501</v>
      </c>
      <c r="B1621" t="inlineStr">
        <is>
          <t>Nivel de Satisfacción Servicios Prestados -Gestión, evaluación e innovación curricular</t>
        </is>
      </c>
      <c r="C1621" t="inlineStr">
        <is>
          <t>Gestión, Evaluación e Innovación Curricular</t>
        </is>
      </c>
      <c r="D1621" t="inlineStr">
        <is>
          <t>Anual</t>
        </is>
      </c>
      <c r="E1621" t="inlineStr">
        <is>
          <t>Positivo</t>
        </is>
      </c>
      <c r="F1621" s="113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80</v>
      </c>
      <c r="K1621" t="n">
        <v>100</v>
      </c>
      <c r="L1621" s="39" t="n">
        <v>1.25</v>
      </c>
      <c r="M1621" s="39" t="n">
        <v>1.25</v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501-2025-12-31</t>
        </is>
      </c>
    </row>
    <row r="1622" hidden="1">
      <c r="A1622" t="n">
        <v>502</v>
      </c>
      <c r="B1622" t="inlineStr">
        <is>
          <t>Nivel de Satisfacción Servicios Prestados -Formación para la investigación, creación e innovación</t>
        </is>
      </c>
      <c r="C1622" t="inlineStr">
        <is>
          <t>Formación para la investigación, creación e innovación</t>
        </is>
      </c>
      <c r="D1622" t="inlineStr">
        <is>
          <t>Anual</t>
        </is>
      </c>
      <c r="E1622" t="inlineStr">
        <is>
          <t>Positivo</t>
        </is>
      </c>
      <c r="F1622" s="113" t="n">
        <v>45657</v>
      </c>
      <c r="G1622" t="n">
        <v>2024</v>
      </c>
      <c r="H1622" t="inlineStr">
        <is>
          <t>Diciembre</t>
        </is>
      </c>
      <c r="I1622" t="inlineStr">
        <is>
          <t>2024-2</t>
        </is>
      </c>
      <c r="J1622" t="n">
        <v>80</v>
      </c>
      <c r="K1622" t="n">
        <v>90</v>
      </c>
      <c r="L1622" s="39" t="n">
        <v>1.125</v>
      </c>
      <c r="M1622" s="39" t="n">
        <v>1.125</v>
      </c>
      <c r="P1622" t="n">
        <v>0</v>
      </c>
      <c r="Q1622" t="n">
        <v>0</v>
      </c>
      <c r="R1622" t="inlineStr">
        <is>
          <t>502-2024-12-31</t>
        </is>
      </c>
    </row>
    <row r="1623" hidden="1">
      <c r="A1623" t="n">
        <v>502</v>
      </c>
      <c r="B1623" t="inlineStr">
        <is>
          <t>Nivel de Satisfacción Servicios Prestados -Formación para la investigación, creación e innovación</t>
        </is>
      </c>
      <c r="C1623" t="inlineStr">
        <is>
          <t>Formación para la investigación, creación e innovación</t>
        </is>
      </c>
      <c r="D1623" t="inlineStr">
        <is>
          <t>Anual</t>
        </is>
      </c>
      <c r="E1623" t="inlineStr">
        <is>
          <t>Positivo</t>
        </is>
      </c>
      <c r="F1623" s="113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80</v>
      </c>
      <c r="K1623" t="n">
        <v>97</v>
      </c>
      <c r="L1623" s="39" t="n">
        <v>1.2125</v>
      </c>
      <c r="M1623" s="39" t="n">
        <v>1.2125</v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502-2025-12-31</t>
        </is>
      </c>
    </row>
    <row r="1624" hidden="1">
      <c r="A1624" t="n">
        <v>503</v>
      </c>
      <c r="B1624" t="inlineStr">
        <is>
          <t>Nivel de Satisfacción Servicios Prestados -Gestión de Unidades Académicas</t>
        </is>
      </c>
      <c r="C1624" t="inlineStr">
        <is>
          <t>Gestión de Unidades Académicas</t>
        </is>
      </c>
      <c r="D1624" t="inlineStr">
        <is>
          <t>Anual</t>
        </is>
      </c>
      <c r="E1624" t="inlineStr">
        <is>
          <t>Positivo</t>
        </is>
      </c>
      <c r="F1624" s="113" t="n">
        <v>45657</v>
      </c>
      <c r="G1624" t="n">
        <v>2024</v>
      </c>
      <c r="H1624" t="inlineStr">
        <is>
          <t>Diciembre</t>
        </is>
      </c>
      <c r="I1624" t="inlineStr">
        <is>
          <t>2024-2</t>
        </is>
      </c>
      <c r="J1624" t="n">
        <v>80</v>
      </c>
      <c r="K1624" t="n">
        <v>86</v>
      </c>
      <c r="L1624" s="39" t="n">
        <v>1.075</v>
      </c>
      <c r="M1624" s="39" t="n">
        <v>1.075</v>
      </c>
      <c r="P1624" t="n">
        <v>0</v>
      </c>
      <c r="Q1624" t="n">
        <v>0</v>
      </c>
      <c r="R1624" t="inlineStr">
        <is>
          <t>503-2024-12-31</t>
        </is>
      </c>
    </row>
    <row r="1625" hidden="1">
      <c r="A1625" t="n">
        <v>503</v>
      </c>
      <c r="B1625" t="inlineStr">
        <is>
          <t>Nivel de Satisfacción Servicios Prestados -Gestión de Unidades Académicas</t>
        </is>
      </c>
      <c r="C1625" t="inlineStr">
        <is>
          <t>Gestión de Unidades Académicas</t>
        </is>
      </c>
      <c r="D1625" t="inlineStr">
        <is>
          <t>Anual</t>
        </is>
      </c>
      <c r="E1625" t="inlineStr">
        <is>
          <t>Positivo</t>
        </is>
      </c>
      <c r="F1625" s="113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J1625" t="n">
        <v>80</v>
      </c>
      <c r="K1625" t="n">
        <v>94</v>
      </c>
      <c r="L1625" s="39" t="n">
        <v>1.175</v>
      </c>
      <c r="M1625" s="39" t="n">
        <v>1.175</v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503-2025-12-31</t>
        </is>
      </c>
    </row>
    <row r="1626" hidden="1">
      <c r="A1626" t="n">
        <v>504</v>
      </c>
      <c r="B1626" t="inlineStr">
        <is>
          <t>Nivel de Satisfacción Servicios Prestados - LEI</t>
        </is>
      </c>
      <c r="C1626" t="inlineStr">
        <is>
          <t>LEI</t>
        </is>
      </c>
      <c r="D1626" t="inlineStr">
        <is>
          <t>Anual</t>
        </is>
      </c>
      <c r="E1626" t="inlineStr">
        <is>
          <t>Positivo</t>
        </is>
      </c>
      <c r="F1626" s="113" t="n">
        <v>45657</v>
      </c>
      <c r="G1626" t="n">
        <v>2024</v>
      </c>
      <c r="H1626" t="inlineStr">
        <is>
          <t>Diciembre</t>
        </is>
      </c>
      <c r="I1626" t="inlineStr">
        <is>
          <t>2024-2</t>
        </is>
      </c>
      <c r="J1626" t="n">
        <v>80</v>
      </c>
      <c r="K1626" t="n">
        <v>88</v>
      </c>
      <c r="L1626" s="39" t="n">
        <v>1.1</v>
      </c>
      <c r="M1626" s="39" t="n">
        <v>1.1</v>
      </c>
      <c r="P1626" t="n">
        <v>0</v>
      </c>
      <c r="Q1626" t="n">
        <v>0</v>
      </c>
      <c r="R1626" t="inlineStr">
        <is>
          <t>504-2024-12-31</t>
        </is>
      </c>
    </row>
    <row r="1627" hidden="1">
      <c r="A1627" t="n">
        <v>504</v>
      </c>
      <c r="B1627" t="inlineStr">
        <is>
          <t>Nivel de Satisfacción Servicios Prestados - LEI</t>
        </is>
      </c>
      <c r="C1627" t="inlineStr">
        <is>
          <t>LEI</t>
        </is>
      </c>
      <c r="D1627" t="inlineStr">
        <is>
          <t>Anual</t>
        </is>
      </c>
      <c r="E1627" t="inlineStr">
        <is>
          <t>Positivo</t>
        </is>
      </c>
      <c r="F1627" s="113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80</v>
      </c>
      <c r="K1627" t="n">
        <v>88</v>
      </c>
      <c r="L1627" s="39" t="n">
        <v>1.1</v>
      </c>
      <c r="M1627" s="39" t="n">
        <v>1.1</v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504-2025-12-31</t>
        </is>
      </c>
    </row>
    <row r="1628" hidden="1">
      <c r="A1628" t="n">
        <v>505</v>
      </c>
      <c r="B1628" t="inlineStr">
        <is>
          <t>Nivel de Satisfacción Servicios Prestados - Mercadeo de programas académicos</t>
        </is>
      </c>
      <c r="C1628" t="inlineStr">
        <is>
          <t>Mercadeo de programas académicos</t>
        </is>
      </c>
      <c r="D1628" t="inlineStr">
        <is>
          <t>Anual</t>
        </is>
      </c>
      <c r="E1628" t="inlineStr">
        <is>
          <t>Positivo</t>
        </is>
      </c>
      <c r="F1628" s="113" t="n">
        <v>45657</v>
      </c>
      <c r="G1628" t="n">
        <v>2024</v>
      </c>
      <c r="H1628" t="inlineStr">
        <is>
          <t>Diciembre</t>
        </is>
      </c>
      <c r="I1628" t="inlineStr">
        <is>
          <t>2024-2</t>
        </is>
      </c>
      <c r="J1628" t="n">
        <v>80</v>
      </c>
      <c r="K1628" t="n">
        <v>85</v>
      </c>
      <c r="L1628" s="39" t="n">
        <v>1.0625</v>
      </c>
      <c r="M1628" s="39" t="n">
        <v>1.0625</v>
      </c>
      <c r="P1628" t="n">
        <v>0</v>
      </c>
      <c r="Q1628" t="n">
        <v>0</v>
      </c>
      <c r="R1628" t="inlineStr">
        <is>
          <t>505-2024-12-31</t>
        </is>
      </c>
    </row>
    <row r="1629" hidden="1">
      <c r="A1629" t="n">
        <v>505</v>
      </c>
      <c r="B1629" t="inlineStr">
        <is>
          <t>Nivel de Satisfacción Servicios Prestados - Mercadeo de programas académicos</t>
        </is>
      </c>
      <c r="C1629" t="inlineStr">
        <is>
          <t>Mercadeo de programas académicos</t>
        </is>
      </c>
      <c r="D1629" t="inlineStr">
        <is>
          <t>Anual</t>
        </is>
      </c>
      <c r="E1629" t="inlineStr">
        <is>
          <t>Positivo</t>
        </is>
      </c>
      <c r="F1629" s="113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J1629" t="n">
        <v>80</v>
      </c>
      <c r="K1629" t="n">
        <v>86</v>
      </c>
      <c r="L1629" s="39" t="n">
        <v>1.075</v>
      </c>
      <c r="M1629" s="39" t="n">
        <v>1.075</v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505-2025-12-31</t>
        </is>
      </c>
    </row>
    <row r="1630" hidden="1">
      <c r="A1630" t="n">
        <v>506</v>
      </c>
      <c r="B1630" t="inlineStr">
        <is>
          <t>Nivel de Satisfacción Servicios Prestados - Prácticas</t>
        </is>
      </c>
      <c r="C1630" t="inlineStr">
        <is>
          <t>Prácticas</t>
        </is>
      </c>
      <c r="D1630" t="inlineStr">
        <is>
          <t>Anual</t>
        </is>
      </c>
      <c r="E1630" t="inlineStr">
        <is>
          <t>Positivo</t>
        </is>
      </c>
      <c r="F1630" s="113" t="n">
        <v>45657</v>
      </c>
      <c r="G1630" t="n">
        <v>2024</v>
      </c>
      <c r="H1630" t="inlineStr">
        <is>
          <t>Diciembre</t>
        </is>
      </c>
      <c r="I1630" t="inlineStr">
        <is>
          <t>2024-2</t>
        </is>
      </c>
      <c r="J1630" t="n">
        <v>80</v>
      </c>
      <c r="K1630" t="n">
        <v>67</v>
      </c>
      <c r="L1630" s="39" t="n">
        <v>0.8375</v>
      </c>
      <c r="M1630" s="39" t="n">
        <v>0.8375</v>
      </c>
      <c r="P1630" t="n">
        <v>0</v>
      </c>
      <c r="Q1630" t="n">
        <v>0</v>
      </c>
      <c r="R1630" t="inlineStr">
        <is>
          <t>506-2024-12-31</t>
        </is>
      </c>
    </row>
    <row r="1631" hidden="1">
      <c r="A1631" t="n">
        <v>506</v>
      </c>
      <c r="B1631" t="inlineStr">
        <is>
          <t>Nivel de Satisfacción Servicios Prestados - Prácticas</t>
        </is>
      </c>
      <c r="C1631" t="inlineStr">
        <is>
          <t>Prácticas</t>
        </is>
      </c>
      <c r="D1631" t="inlineStr">
        <is>
          <t>Trimestral</t>
        </is>
      </c>
      <c r="E1631" t="inlineStr">
        <is>
          <t>Positivo</t>
        </is>
      </c>
      <c r="F1631" s="113" t="n">
        <v>45838</v>
      </c>
      <c r="G1631" t="n">
        <v>2025</v>
      </c>
      <c r="H1631" t="inlineStr">
        <is>
          <t>Junio</t>
        </is>
      </c>
      <c r="I1631" t="inlineStr">
        <is>
          <t>2025-1</t>
        </is>
      </c>
      <c r="J1631" t="n">
        <v>80</v>
      </c>
      <c r="K1631" t="n">
        <v>95</v>
      </c>
      <c r="L1631" s="39" t="n">
        <v>1.1875</v>
      </c>
      <c r="M1631" s="39" t="n">
        <v>1.1875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506-2025-06-30</t>
        </is>
      </c>
    </row>
    <row r="1632" hidden="1">
      <c r="A1632" t="n">
        <v>506</v>
      </c>
      <c r="B1632" t="inlineStr">
        <is>
          <t>Nivel de Satisfacción Servicios Prestados - Prácticas</t>
        </is>
      </c>
      <c r="C1632" t="inlineStr">
        <is>
          <t>Prácticas</t>
        </is>
      </c>
      <c r="D1632" t="inlineStr">
        <is>
          <t>Trimestral</t>
        </is>
      </c>
      <c r="E1632" t="inlineStr">
        <is>
          <t>Positivo</t>
        </is>
      </c>
      <c r="F1632" s="113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80</v>
      </c>
      <c r="K1632" t="n">
        <v>92.5</v>
      </c>
      <c r="L1632" s="39" t="n">
        <v>1.15625</v>
      </c>
      <c r="M1632" s="39" t="n">
        <v>1.15625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506-2025-12-31</t>
        </is>
      </c>
    </row>
    <row r="1633" hidden="1">
      <c r="A1633" t="n">
        <v>507</v>
      </c>
      <c r="B1633" t="inlineStr">
        <is>
          <t>Nivel de Satisfacción Servicios Prestados -Cultura y Deporte</t>
        </is>
      </c>
      <c r="C1633" t="inlineStr">
        <is>
          <t>Cultura y Deporte</t>
        </is>
      </c>
      <c r="D1633" t="inlineStr">
        <is>
          <t>Anual</t>
        </is>
      </c>
      <c r="E1633" t="inlineStr">
        <is>
          <t>Positivo</t>
        </is>
      </c>
      <c r="F1633" s="113" t="n">
        <v>45657</v>
      </c>
      <c r="G1633" t="n">
        <v>2024</v>
      </c>
      <c r="H1633" t="inlineStr">
        <is>
          <t>Diciembre</t>
        </is>
      </c>
      <c r="I1633" t="inlineStr">
        <is>
          <t>2024-2</t>
        </is>
      </c>
      <c r="J1633" t="n">
        <v>80</v>
      </c>
      <c r="K1633" t="n">
        <v>77</v>
      </c>
      <c r="L1633" s="39" t="n">
        <v>0.9625</v>
      </c>
      <c r="M1633" s="39" t="n">
        <v>0.9625</v>
      </c>
      <c r="P1633" t="n">
        <v>0</v>
      </c>
      <c r="Q1633" t="n">
        <v>0</v>
      </c>
      <c r="R1633" t="inlineStr">
        <is>
          <t>507-2024-12-31</t>
        </is>
      </c>
    </row>
    <row r="1634" hidden="1">
      <c r="A1634" t="n">
        <v>507</v>
      </c>
      <c r="B1634" t="inlineStr">
        <is>
          <t>Nivel de Satisfacción Servicios Prestados -Cultura y Deporte</t>
        </is>
      </c>
      <c r="C1634" t="inlineStr">
        <is>
          <t>Cultura y Deporte</t>
        </is>
      </c>
      <c r="D1634" t="inlineStr">
        <is>
          <t>Trimestral</t>
        </is>
      </c>
      <c r="E1634" t="inlineStr">
        <is>
          <t>Positivo</t>
        </is>
      </c>
      <c r="F1634" s="113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80</v>
      </c>
      <c r="K1634" t="n">
        <v>98.75</v>
      </c>
      <c r="L1634" s="39" t="n">
        <v>1.234375</v>
      </c>
      <c r="M1634" s="39" t="n">
        <v>1.234375</v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507-2025-06-30</t>
        </is>
      </c>
    </row>
    <row r="1635" hidden="1">
      <c r="A1635" t="n">
        <v>507</v>
      </c>
      <c r="B1635" t="inlineStr">
        <is>
          <t>Nivel de Satisfacción Servicios Prestados -Cultura y Deporte</t>
        </is>
      </c>
      <c r="C1635" t="inlineStr">
        <is>
          <t>Cultura y Deporte</t>
        </is>
      </c>
      <c r="D1635" t="inlineStr">
        <is>
          <t>Trimestral</t>
        </is>
      </c>
      <c r="E1635" t="inlineStr">
        <is>
          <t>Positivo</t>
        </is>
      </c>
      <c r="F1635" s="113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80</v>
      </c>
      <c r="K1635" t="n">
        <v>99</v>
      </c>
      <c r="L1635" s="39" t="n">
        <v>1.2375</v>
      </c>
      <c r="M1635" s="39" t="n">
        <v>1.2375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507-2025-12-31</t>
        </is>
      </c>
    </row>
    <row r="1636" hidden="1">
      <c r="A1636" t="n">
        <v>508</v>
      </c>
      <c r="B1636" t="inlineStr">
        <is>
          <t>Nivel de Satisfacción Servicios Prestados - Diseño y contenido virtual</t>
        </is>
      </c>
      <c r="C1636" t="inlineStr">
        <is>
          <t>Diseño de Contenido Virtual</t>
        </is>
      </c>
      <c r="D1636" t="inlineStr">
        <is>
          <t>Anual</t>
        </is>
      </c>
      <c r="E1636" t="inlineStr">
        <is>
          <t>Positivo</t>
        </is>
      </c>
      <c r="F1636" s="113" t="n">
        <v>45657</v>
      </c>
      <c r="G1636" t="n">
        <v>2024</v>
      </c>
      <c r="H1636" t="inlineStr">
        <is>
          <t>Diciembre</t>
        </is>
      </c>
      <c r="I1636" t="inlineStr">
        <is>
          <t>2024-2</t>
        </is>
      </c>
      <c r="J1636" t="n">
        <v>80</v>
      </c>
      <c r="K1636" t="n">
        <v>88</v>
      </c>
      <c r="L1636" s="39" t="n">
        <v>1.1</v>
      </c>
      <c r="M1636" s="39" t="n">
        <v>1.1</v>
      </c>
      <c r="P1636" t="n">
        <v>0</v>
      </c>
      <c r="Q1636" t="n">
        <v>0</v>
      </c>
      <c r="R1636" t="inlineStr">
        <is>
          <t>508-2024-12-31</t>
        </is>
      </c>
    </row>
    <row r="1637" hidden="1">
      <c r="A1637" t="n">
        <v>508</v>
      </c>
      <c r="B1637" t="inlineStr">
        <is>
          <t>Nivel de Satisfacción Servicios Prestados - Diseño y contenido virtual</t>
        </is>
      </c>
      <c r="C1637" t="inlineStr">
        <is>
          <t>Diseño de Contenido Virtual</t>
        </is>
      </c>
      <c r="D1637" t="inlineStr">
        <is>
          <t>Anual</t>
        </is>
      </c>
      <c r="E1637" t="inlineStr">
        <is>
          <t>Positivo</t>
        </is>
      </c>
      <c r="F1637" s="113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80</v>
      </c>
      <c r="K1637" t="n">
        <v>89</v>
      </c>
      <c r="L1637" s="39" t="n">
        <v>1.1125</v>
      </c>
      <c r="M1637" s="39" t="n">
        <v>1.1125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508-2025-12-31</t>
        </is>
      </c>
    </row>
    <row r="1638" hidden="1">
      <c r="A1638" t="n">
        <v>509</v>
      </c>
      <c r="B1638" t="inlineStr">
        <is>
          <t>Cumplimiento a cronograma de proyectos 2025</t>
        </is>
      </c>
      <c r="C1638" t="inlineStr">
        <is>
          <t>Gestión de Proyectos</t>
        </is>
      </c>
      <c r="D1638" t="inlineStr">
        <is>
          <t>Mensual</t>
        </is>
      </c>
      <c r="E1638" t="inlineStr">
        <is>
          <t>Positivo</t>
        </is>
      </c>
      <c r="F1638" s="113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90</v>
      </c>
      <c r="K1638" t="n">
        <v>100.59</v>
      </c>
      <c r="L1638" s="39" t="n">
        <v>1.117666666666667</v>
      </c>
      <c r="M1638" s="39" t="n">
        <v>1.117666666666667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509-2025-06-30</t>
        </is>
      </c>
    </row>
    <row r="1639" hidden="1">
      <c r="A1639" t="n">
        <v>509</v>
      </c>
      <c r="B1639" t="inlineStr">
        <is>
          <t>Cumplimiento a cronograma de proyectos 2025</t>
        </is>
      </c>
      <c r="C1639" t="inlineStr">
        <is>
          <t>Gestión de Proyectos</t>
        </is>
      </c>
      <c r="D1639" t="inlineStr">
        <is>
          <t>Mensual</t>
        </is>
      </c>
      <c r="E1639" t="inlineStr">
        <is>
          <t>Positivo</t>
        </is>
      </c>
      <c r="F1639" s="113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90</v>
      </c>
      <c r="K1639" t="n">
        <v>97.33</v>
      </c>
      <c r="L1639" s="39" t="n">
        <v>1.081444444444444</v>
      </c>
      <c r="M1639" s="39" t="n">
        <v>1.081444444444444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509-2025-12-31</t>
        </is>
      </c>
    </row>
    <row r="1640" hidden="1">
      <c r="A1640" t="n">
        <v>510</v>
      </c>
      <c r="B1640" t="inlineStr">
        <is>
          <t>Frecuencia de incidentes de riesgos</t>
        </is>
      </c>
      <c r="C1640" t="inlineStr">
        <is>
          <t>GESTIÓN DE RIESGOS</t>
        </is>
      </c>
      <c r="D1640" t="inlineStr">
        <is>
          <t>Semestral</t>
        </is>
      </c>
      <c r="E1640" t="inlineStr">
        <is>
          <t>Positivo</t>
        </is>
      </c>
      <c r="F1640" s="113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K1640" t="n">
        <v>0</v>
      </c>
      <c r="L1640" s="39" t="n"/>
      <c r="M1640" s="39" t="n"/>
      <c r="N1640" t="inlineStr">
        <is>
          <t>Linea Base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510-2025-06-30</t>
        </is>
      </c>
    </row>
    <row r="1641" hidden="1">
      <c r="A1641" t="n">
        <v>510</v>
      </c>
      <c r="B1641" t="inlineStr">
        <is>
          <t>Frecuencia de incidentes de riesgos</t>
        </is>
      </c>
      <c r="C1641" t="inlineStr">
        <is>
          <t>GESTIÓN DE RIESGOS</t>
        </is>
      </c>
      <c r="D1641" t="inlineStr">
        <is>
          <t>Semestral</t>
        </is>
      </c>
      <c r="E1641" t="inlineStr">
        <is>
          <t>Positivo</t>
        </is>
      </c>
      <c r="F1641" s="113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K1641" t="n">
        <v>0</v>
      </c>
      <c r="L1641" s="39" t="n"/>
      <c r="M1641" s="39" t="n"/>
      <c r="N1641" t="inlineStr">
        <is>
          <t>Linea Base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510-2025-12-31</t>
        </is>
      </c>
    </row>
    <row r="1642" hidden="1">
      <c r="A1642" t="n">
        <v>511</v>
      </c>
      <c r="B1642" t="inlineStr">
        <is>
          <t>Eficacia de controles</t>
        </is>
      </c>
      <c r="C1642" t="inlineStr">
        <is>
          <t>GESTIÓN DE RIESGOS</t>
        </is>
      </c>
      <c r="D1642" t="inlineStr">
        <is>
          <t>Semestral</t>
        </is>
      </c>
      <c r="E1642" t="inlineStr">
        <is>
          <t>Positivo</t>
        </is>
      </c>
      <c r="F1642" s="113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K1642" t="n">
        <v>86.36</v>
      </c>
      <c r="L1642" s="39" t="n"/>
      <c r="M1642" s="39" t="n"/>
      <c r="N1642" t="inlineStr">
        <is>
          <t>Linea Base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511-2025-06-30</t>
        </is>
      </c>
    </row>
    <row r="1643" hidden="1">
      <c r="A1643" t="n">
        <v>511</v>
      </c>
      <c r="B1643" t="inlineStr">
        <is>
          <t>Eficacia de controles</t>
        </is>
      </c>
      <c r="C1643" t="inlineStr">
        <is>
          <t>GESTIÓN DE RIESGOS</t>
        </is>
      </c>
      <c r="D1643" t="inlineStr">
        <is>
          <t>Semestral</t>
        </is>
      </c>
      <c r="E1643" t="inlineStr">
        <is>
          <t>Positivo</t>
        </is>
      </c>
      <c r="F1643" s="113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K1643" t="n">
        <v>171.12</v>
      </c>
      <c r="L1643" s="39" t="n"/>
      <c r="M1643" s="39" t="n"/>
      <c r="N1643" t="inlineStr">
        <is>
          <t>Linea Base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511-2025-12-31</t>
        </is>
      </c>
    </row>
    <row r="1644" hidden="1">
      <c r="A1644" s="5" t="n">
        <v>513</v>
      </c>
      <c r="B1644" s="5" t="inlineStr">
        <is>
          <t>Nivel de cumplimiento del plan de seguimiento a controles</t>
        </is>
      </c>
      <c r="C1644" s="5" t="inlineStr">
        <is>
          <t>GESTIÓN DE RIESGOS</t>
        </is>
      </c>
      <c r="D1644" s="5" t="inlineStr">
        <is>
          <t>Semestral</t>
        </is>
      </c>
      <c r="E1644" s="5" t="inlineStr">
        <is>
          <t>Positivo</t>
        </is>
      </c>
      <c r="F1644" s="108" t="n">
        <v>45838</v>
      </c>
      <c r="G1644" s="15" t="n">
        <v>2025</v>
      </c>
      <c r="H1644" s="6" t="inlineStr">
        <is>
          <t>Junio</t>
        </is>
      </c>
      <c r="I1644" s="27" t="inlineStr">
        <is>
          <t>2025-1</t>
        </is>
      </c>
      <c r="J1644" s="5" t="n"/>
      <c r="K1644" s="3" t="n">
        <v>100</v>
      </c>
      <c r="L1644" s="14" t="n"/>
      <c r="M1644" s="14" t="n"/>
      <c r="N1644" s="5" t="inlineStr">
        <is>
          <t>Linea Base</t>
        </is>
      </c>
      <c r="O1644" s="5" t="inlineStr">
        <is>
          <t>%</t>
        </is>
      </c>
      <c r="P1644" s="5" t="n">
        <v>0</v>
      </c>
      <c r="Q1644" s="5" t="n">
        <v>0</v>
      </c>
      <c r="R1644" s="5" t="inlineStr">
        <is>
          <t>513-2025-06-30</t>
        </is>
      </c>
    </row>
    <row r="1645" hidden="1">
      <c r="A1645" s="5" t="n">
        <v>514</v>
      </c>
      <c r="B1645" s="5" t="inlineStr">
        <is>
          <t>Respuesta ante nuevas necesidades de control</t>
        </is>
      </c>
      <c r="C1645" s="5" t="inlineStr">
        <is>
          <t>GESTIÓN DE RIESGOS</t>
        </is>
      </c>
      <c r="D1645" s="5" t="inlineStr">
        <is>
          <t>Trimestral</t>
        </is>
      </c>
      <c r="E1645" s="5" t="inlineStr">
        <is>
          <t>Positivo</t>
        </is>
      </c>
      <c r="F1645" s="109" t="n">
        <v>45838</v>
      </c>
      <c r="G1645" s="5" t="n">
        <v>2025</v>
      </c>
      <c r="H1645" s="5" t="inlineStr">
        <is>
          <t>Junio</t>
        </is>
      </c>
      <c r="I1645" s="6" t="inlineStr">
        <is>
          <t>2025-1</t>
        </is>
      </c>
      <c r="J1645" s="5" t="n">
        <v>70</v>
      </c>
      <c r="K1645" s="3" t="n">
        <v>91.81999999999999</v>
      </c>
      <c r="L1645" s="14" t="n">
        <v>1.3</v>
      </c>
      <c r="M1645" s="14" t="n">
        <v>1.311714285714286</v>
      </c>
      <c r="N1645" s="5" t="inlineStr">
        <is>
          <t>%</t>
        </is>
      </c>
      <c r="O1645" s="5" t="inlineStr">
        <is>
          <t>%</t>
        </is>
      </c>
      <c r="P1645" s="5" t="n">
        <v>0</v>
      </c>
      <c r="Q1645" s="5" t="n">
        <v>0</v>
      </c>
      <c r="R1645" s="5" t="inlineStr">
        <is>
          <t>514-2025-06-30</t>
        </is>
      </c>
    </row>
    <row r="1646" hidden="1">
      <c r="A1646" s="5" t="n">
        <v>514</v>
      </c>
      <c r="B1646" s="5" t="inlineStr">
        <is>
          <t>Respuesta ante nuevas necesidades de control</t>
        </is>
      </c>
      <c r="C1646" s="5" t="inlineStr">
        <is>
          <t>GESTIÓN DE RIESGOS</t>
        </is>
      </c>
      <c r="D1646" s="5" t="inlineStr">
        <is>
          <t>Trimestral</t>
        </is>
      </c>
      <c r="E1646" s="5" t="inlineStr">
        <is>
          <t>Positivo</t>
        </is>
      </c>
      <c r="F1646" s="109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16" t="n">
        <v>70</v>
      </c>
      <c r="K1646" s="62" t="n">
        <v>45.96</v>
      </c>
      <c r="L1646" s="14" t="n">
        <v>0.6565714285714286</v>
      </c>
      <c r="M1646" s="14" t="n">
        <v>0.6565714285714286</v>
      </c>
      <c r="N1646" s="5" t="inlineStr">
        <is>
          <t>%</t>
        </is>
      </c>
      <c r="O1646" s="5" t="inlineStr">
        <is>
          <t>%</t>
        </is>
      </c>
      <c r="P1646" s="5" t="n">
        <v>0</v>
      </c>
      <c r="Q1646" s="5" t="n">
        <v>0</v>
      </c>
      <c r="R1646" s="5" t="inlineStr">
        <is>
          <t>514-2025-12-31</t>
        </is>
      </c>
    </row>
    <row r="1647" hidden="1">
      <c r="A1647" s="5" t="n">
        <v>515</v>
      </c>
      <c r="B1647" s="5" t="inlineStr">
        <is>
          <t>Porcentaje de procesos de control implementados</t>
        </is>
      </c>
      <c r="C1647" s="5" t="inlineStr">
        <is>
          <t>GESTIÓN DE LA TECNOLOGÍA E INNOVACIÓN DIGITAL</t>
        </is>
      </c>
      <c r="D1647" s="5" t="inlineStr">
        <is>
          <t>Trimestral</t>
        </is>
      </c>
      <c r="E1647" s="5" t="inlineStr">
        <is>
          <t>Positivo</t>
        </is>
      </c>
      <c r="F1647" s="109" t="n">
        <v>46022</v>
      </c>
      <c r="G1647" s="5" t="n">
        <v>2025</v>
      </c>
      <c r="H1647" s="5" t="inlineStr">
        <is>
          <t>Diciembre</t>
        </is>
      </c>
      <c r="I1647" s="6" t="inlineStr">
        <is>
          <t>2025-2</t>
        </is>
      </c>
      <c r="J1647" s="5" t="n"/>
      <c r="K1647" s="3" t="n">
        <v>66.67</v>
      </c>
      <c r="L1647" s="14" t="n"/>
      <c r="M1647" s="14" t="n"/>
      <c r="N1647" s="5" t="inlineStr">
        <is>
          <t>%</t>
        </is>
      </c>
      <c r="O1647" s="5" t="inlineStr">
        <is>
          <t>%</t>
        </is>
      </c>
      <c r="P1647" s="5" t="n">
        <v>0</v>
      </c>
      <c r="Q1647" s="5" t="n">
        <v>0</v>
      </c>
      <c r="R1647" s="5" t="inlineStr">
        <is>
          <t>515-2025-12-31</t>
        </is>
      </c>
    </row>
    <row r="1648" hidden="1">
      <c r="A1648" s="5" t="n">
        <v>516</v>
      </c>
      <c r="B1648" s="5" t="inlineStr">
        <is>
          <t>Porcentaje de colaboradores formados en ciberseguridad</t>
        </is>
      </c>
      <c r="C1648" s="5" t="inlineStr">
        <is>
          <t>GESTIÓN DE LA TECNOLOGÍA E INNOVACIÓN DIGITAL</t>
        </is>
      </c>
      <c r="D1648" s="5" t="inlineStr">
        <is>
          <t>Trimestral</t>
        </is>
      </c>
      <c r="E1648" s="5" t="inlineStr">
        <is>
          <t>Positivo</t>
        </is>
      </c>
      <c r="F1648" s="109" t="n">
        <v>46022</v>
      </c>
      <c r="G1648" s="5" t="n">
        <v>2025</v>
      </c>
      <c r="H1648" s="5" t="inlineStr">
        <is>
          <t>Diciembre</t>
        </is>
      </c>
      <c r="I1648" s="6" t="inlineStr">
        <is>
          <t>2025-2</t>
        </is>
      </c>
      <c r="J1648" s="81" t="n"/>
      <c r="K1648" s="51" t="n">
        <v>315.79</v>
      </c>
      <c r="L1648" s="14" t="n"/>
      <c r="M1648" s="14" t="n"/>
      <c r="N1648" s="5" t="inlineStr">
        <is>
          <t>%</t>
        </is>
      </c>
      <c r="O1648" s="5" t="inlineStr">
        <is>
          <t>%</t>
        </is>
      </c>
      <c r="P1648" s="5" t="n">
        <v>0</v>
      </c>
      <c r="Q1648" s="5" t="n">
        <v>0</v>
      </c>
      <c r="R1648" s="5" t="inlineStr">
        <is>
          <t>516-2025-12-31</t>
        </is>
      </c>
    </row>
    <row r="1649" hidden="1">
      <c r="A1649" s="5" t="n">
        <v>518</v>
      </c>
      <c r="B1649" s="5" t="inlineStr">
        <is>
          <t>Cumplimiento programa de auditoría</t>
        </is>
      </c>
      <c r="C1649" s="5" t="inlineStr">
        <is>
          <t>AUDITORÍA INTERNA</t>
        </is>
      </c>
      <c r="D1649" s="5" t="inlineStr">
        <is>
          <t>Bimestral</t>
        </is>
      </c>
      <c r="E1649" s="5" t="inlineStr">
        <is>
          <t>Positivo</t>
        </is>
      </c>
      <c r="F1649" s="109" t="n">
        <v>45838</v>
      </c>
      <c r="G1649" s="5" t="n">
        <v>2025</v>
      </c>
      <c r="H1649" s="5" t="inlineStr">
        <is>
          <t>Junio</t>
        </is>
      </c>
      <c r="I1649" s="6" t="inlineStr">
        <is>
          <t>2025-1</t>
        </is>
      </c>
      <c r="J1649" s="82" t="n">
        <v>100</v>
      </c>
      <c r="K1649" s="9" t="n">
        <v>87.5</v>
      </c>
      <c r="L1649" s="14" t="n">
        <v>0.875</v>
      </c>
      <c r="M1649" s="14" t="n">
        <v>0.875</v>
      </c>
      <c r="N1649" s="5" t="inlineStr">
        <is>
          <t>%</t>
        </is>
      </c>
      <c r="O1649" s="5" t="inlineStr">
        <is>
          <t>%</t>
        </is>
      </c>
      <c r="P1649" s="5" t="n">
        <v>0</v>
      </c>
      <c r="Q1649" s="5" t="n">
        <v>0</v>
      </c>
      <c r="R1649" s="5" t="inlineStr">
        <is>
          <t>518-2025-06-30</t>
        </is>
      </c>
    </row>
    <row r="1650" hidden="1">
      <c r="A1650" s="5" t="n">
        <v>518</v>
      </c>
      <c r="B1650" s="5" t="inlineStr">
        <is>
          <t>Cumplimiento programa de auditoría</t>
        </is>
      </c>
      <c r="C1650" s="5" t="inlineStr">
        <is>
          <t>AUDITORÍA INTERNA</t>
        </is>
      </c>
      <c r="D1650" s="5" t="inlineStr">
        <is>
          <t>Semestral</t>
        </is>
      </c>
      <c r="E1650" s="5" t="inlineStr">
        <is>
          <t>Positivo</t>
        </is>
      </c>
      <c r="F1650" s="108" t="n">
        <v>46022</v>
      </c>
      <c r="G1650" s="15" t="n">
        <v>2025</v>
      </c>
      <c r="H1650" s="6" t="inlineStr">
        <is>
          <t>Diciembre</t>
        </is>
      </c>
      <c r="I1650" s="27" t="inlineStr">
        <is>
          <t>2025-2</t>
        </is>
      </c>
      <c r="J1650" s="5" t="n">
        <v>100</v>
      </c>
      <c r="K1650" s="23" t="n">
        <v>137.5</v>
      </c>
      <c r="L1650" s="14" t="n">
        <v>1.3</v>
      </c>
      <c r="M1650" s="14" t="n">
        <v>1.375</v>
      </c>
      <c r="N1650" s="5" t="inlineStr">
        <is>
          <t>%</t>
        </is>
      </c>
      <c r="O1650" s="5" t="inlineStr">
        <is>
          <t>%</t>
        </is>
      </c>
      <c r="P1650" s="5" t="n">
        <v>0</v>
      </c>
      <c r="Q1650" s="5" t="n">
        <v>0</v>
      </c>
      <c r="R1650" s="5" t="inlineStr">
        <is>
          <t>518-2025-12-31</t>
        </is>
      </c>
    </row>
    <row r="1651" hidden="1">
      <c r="A1651" s="26" t="n">
        <v>519</v>
      </c>
      <c r="B1651" s="5" t="inlineStr">
        <is>
          <t>% de publicaciones con sentimiento neutro o negativo</t>
        </is>
      </c>
      <c r="C1651" s="5" t="inlineStr">
        <is>
          <t>Comunicaciones Externas</t>
        </is>
      </c>
      <c r="D1651" s="5" t="inlineStr">
        <is>
          <t>Trimestral</t>
        </is>
      </c>
      <c r="E1651" s="5" t="inlineStr">
        <is>
          <t>Positivo</t>
        </is>
      </c>
      <c r="F1651" s="109" t="n">
        <v>45838</v>
      </c>
      <c r="G1651" s="5" t="n">
        <v>2025</v>
      </c>
      <c r="H1651" s="5" t="inlineStr">
        <is>
          <t>Junio</t>
        </is>
      </c>
      <c r="I1651" s="6" t="inlineStr">
        <is>
          <t>2025-1</t>
        </is>
      </c>
      <c r="J1651" s="73" t="n">
        <v>100</v>
      </c>
      <c r="K1651" s="9" t="n">
        <v>431.45</v>
      </c>
      <c r="L1651" s="14" t="n">
        <v>1.3</v>
      </c>
      <c r="M1651" s="14" t="n">
        <v>4.3145</v>
      </c>
      <c r="N1651" s="5" t="inlineStr">
        <is>
          <t>%</t>
        </is>
      </c>
      <c r="O1651" s="5" t="inlineStr">
        <is>
          <t>%</t>
        </is>
      </c>
      <c r="P1651" s="5" t="n">
        <v>0</v>
      </c>
      <c r="Q1651" s="5" t="n">
        <v>0</v>
      </c>
      <c r="R1651" s="5" t="inlineStr">
        <is>
          <t>519-2025-06-30</t>
        </is>
      </c>
    </row>
    <row r="1652" hidden="1">
      <c r="A1652" s="5" t="n">
        <v>519</v>
      </c>
      <c r="B1652" s="5" t="inlineStr">
        <is>
          <t>% de publicaciones con sentimiento neutro o negativo</t>
        </is>
      </c>
      <c r="C1652" s="5" t="inlineStr">
        <is>
          <t>Comunicaciones Externas</t>
        </is>
      </c>
      <c r="D1652" s="5" t="inlineStr">
        <is>
          <t>Trimestral</t>
        </is>
      </c>
      <c r="E1652" s="5" t="inlineStr">
        <is>
          <t>Positivo</t>
        </is>
      </c>
      <c r="F1652" s="109" t="n">
        <v>46022</v>
      </c>
      <c r="G1652" s="5" t="n">
        <v>2025</v>
      </c>
      <c r="H1652" s="5" t="inlineStr">
        <is>
          <t>Diciembre</t>
        </is>
      </c>
      <c r="I1652" s="6" t="inlineStr">
        <is>
          <t>2025-2</t>
        </is>
      </c>
      <c r="J1652" s="73" t="n">
        <v>100</v>
      </c>
      <c r="K1652" s="9" t="n">
        <v>131.13</v>
      </c>
      <c r="L1652" s="14" t="n">
        <v>1.3</v>
      </c>
      <c r="M1652" s="14" t="n">
        <v>1.3113</v>
      </c>
      <c r="N1652" s="5" t="inlineStr">
        <is>
          <t>%</t>
        </is>
      </c>
      <c r="O1652" s="5" t="inlineStr">
        <is>
          <t>%</t>
        </is>
      </c>
      <c r="P1652" s="5" t="n">
        <v>0</v>
      </c>
      <c r="Q1652" s="5" t="n">
        <v>0</v>
      </c>
      <c r="R1652" s="5" t="inlineStr">
        <is>
          <t>519-2025-12-31</t>
        </is>
      </c>
    </row>
    <row r="1653" hidden="1">
      <c r="A1653" s="5" t="n">
        <v>522</v>
      </c>
      <c r="B1653" s="5" t="inlineStr">
        <is>
          <t>Asignaturas o modulos con mecanismos de evaluación implementados</t>
        </is>
      </c>
      <c r="C1653" s="5" t="inlineStr">
        <is>
          <t>Gestión, Evaluación e Innovación Curricular</t>
        </is>
      </c>
      <c r="D1653" s="5" t="inlineStr">
        <is>
          <t>Anual</t>
        </is>
      </c>
      <c r="E1653" s="5" t="inlineStr">
        <is>
          <t>Positivo</t>
        </is>
      </c>
      <c r="F1653" s="109" t="n">
        <v>46022</v>
      </c>
      <c r="G1653" s="5" t="n">
        <v>2025</v>
      </c>
      <c r="H1653" s="5" t="inlineStr">
        <is>
          <t>Diciembre</t>
        </is>
      </c>
      <c r="I1653" s="6" t="inlineStr">
        <is>
          <t>2025-2</t>
        </is>
      </c>
      <c r="J1653" s="73" t="n">
        <v>20</v>
      </c>
      <c r="K1653" s="9" t="n">
        <v>100</v>
      </c>
      <c r="L1653" s="14" t="n">
        <v>1.3</v>
      </c>
      <c r="M1653" s="14" t="n">
        <v>5</v>
      </c>
      <c r="N1653" s="5" t="inlineStr">
        <is>
          <t>%</t>
        </is>
      </c>
      <c r="O1653" s="5" t="inlineStr">
        <is>
          <t>%</t>
        </is>
      </c>
      <c r="P1653" s="5" t="n">
        <v>0</v>
      </c>
      <c r="Q1653" s="5" t="n">
        <v>0</v>
      </c>
      <c r="R1653" s="5" t="inlineStr">
        <is>
          <t>522-2025-12-31</t>
        </is>
      </c>
    </row>
    <row r="1654" hidden="1">
      <c r="A1654" s="5" t="n">
        <v>523</v>
      </c>
      <c r="B1654" s="5" t="inlineStr">
        <is>
          <t>Ingresos totales de educación para la vida</t>
        </is>
      </c>
      <c r="C1654" s="5" t="inlineStr">
        <is>
          <t>Planeación Financiera</t>
        </is>
      </c>
      <c r="D1654" s="5" t="inlineStr">
        <is>
          <t>Trimestral</t>
        </is>
      </c>
      <c r="E1654" s="5" t="inlineStr">
        <is>
          <t>Positivo</t>
        </is>
      </c>
      <c r="F1654" s="109" t="n">
        <v>45838</v>
      </c>
      <c r="G1654" s="5" t="n">
        <v>2025</v>
      </c>
      <c r="H1654" s="5" t="inlineStr">
        <is>
          <t>Junio</t>
        </is>
      </c>
      <c r="I1654" s="6" t="inlineStr">
        <is>
          <t>2025-1</t>
        </is>
      </c>
      <c r="J1654" s="5" t="n">
        <v>95</v>
      </c>
      <c r="K1654" s="5" t="n">
        <v>128.41</v>
      </c>
      <c r="L1654" s="14" t="n">
        <v>1.3</v>
      </c>
      <c r="M1654" s="14" t="n">
        <v>1.351684210526316</v>
      </c>
      <c r="N1654" s="5" t="inlineStr">
        <is>
          <t>%</t>
        </is>
      </c>
      <c r="O1654" s="5" t="inlineStr">
        <is>
          <t>%</t>
        </is>
      </c>
      <c r="P1654" s="5" t="n">
        <v>0</v>
      </c>
      <c r="Q1654" s="5" t="n">
        <v>0</v>
      </c>
      <c r="R1654" s="5" t="inlineStr">
        <is>
          <t>523-2025-06-30</t>
        </is>
      </c>
    </row>
    <row r="1655" hidden="1">
      <c r="A1655" s="5" t="n">
        <v>523</v>
      </c>
      <c r="B1655" s="5" t="inlineStr">
        <is>
          <t>Ingresos totales de educación para la vida</t>
        </is>
      </c>
      <c r="C1655" s="5" t="inlineStr">
        <is>
          <t>Planeación Financiera</t>
        </is>
      </c>
      <c r="D1655" s="5" t="inlineStr">
        <is>
          <t>Trimestral</t>
        </is>
      </c>
      <c r="E1655" s="5" t="inlineStr">
        <is>
          <t>Positivo</t>
        </is>
      </c>
      <c r="F1655" s="109" t="n">
        <v>46022</v>
      </c>
      <c r="G1655" s="5" t="n">
        <v>2025</v>
      </c>
      <c r="H1655" s="5" t="inlineStr">
        <is>
          <t>Diciembre</t>
        </is>
      </c>
      <c r="I1655" s="6" t="inlineStr">
        <is>
          <t>2025-2</t>
        </is>
      </c>
      <c r="J1655" s="5" t="n">
        <v>95</v>
      </c>
      <c r="K1655" s="5" t="n">
        <v>95.76000000000001</v>
      </c>
      <c r="L1655" s="14" t="n">
        <v>1.008</v>
      </c>
      <c r="M1655" s="14" t="n">
        <v>1.008</v>
      </c>
      <c r="N1655" s="5" t="inlineStr">
        <is>
          <t>%</t>
        </is>
      </c>
      <c r="O1655" s="5" t="inlineStr">
        <is>
          <t>%</t>
        </is>
      </c>
      <c r="P1655" s="5" t="n">
        <v>0</v>
      </c>
      <c r="Q1655" s="5" t="n">
        <v>0</v>
      </c>
      <c r="R1655" s="5" t="inlineStr">
        <is>
          <t>523-2025-12-31</t>
        </is>
      </c>
    </row>
    <row r="1656" hidden="1">
      <c r="A1656" t="n">
        <v>524</v>
      </c>
      <c r="B1656" t="inlineStr">
        <is>
          <t>Total Leads por canales de captación</t>
        </is>
      </c>
      <c r="C1656" t="inlineStr">
        <is>
          <t>Mercadeo de programas académicos</t>
        </is>
      </c>
      <c r="D1656" t="inlineStr">
        <is>
          <t>Trimestral</t>
        </is>
      </c>
      <c r="E1656" t="inlineStr">
        <is>
          <t>Positivo</t>
        </is>
      </c>
      <c r="F1656" s="113" t="n">
        <v>45838</v>
      </c>
      <c r="G1656" t="n">
        <v>2025</v>
      </c>
      <c r="H1656" t="inlineStr">
        <is>
          <t>Junio</t>
        </is>
      </c>
      <c r="I1656" t="inlineStr">
        <is>
          <t>2025-1</t>
        </is>
      </c>
      <c r="J1656" t="n">
        <v>100</v>
      </c>
      <c r="K1656" t="n">
        <v>99.38</v>
      </c>
      <c r="L1656" s="39" t="n">
        <v>0.9937999999999999</v>
      </c>
      <c r="M1656" s="39" t="n">
        <v>0.9937999999999999</v>
      </c>
      <c r="N1656" t="inlineStr">
        <is>
          <t>ENT</t>
        </is>
      </c>
      <c r="O1656" t="inlineStr">
        <is>
          <t>ENT</t>
        </is>
      </c>
      <c r="P1656" t="n">
        <v>0</v>
      </c>
      <c r="Q1656" t="n">
        <v>0</v>
      </c>
      <c r="R1656" t="inlineStr">
        <is>
          <t>524-2025-06-30</t>
        </is>
      </c>
    </row>
    <row r="1657" hidden="1">
      <c r="A1657" t="n">
        <v>524</v>
      </c>
      <c r="B1657" t="inlineStr">
        <is>
          <t>Total Leads por canales de captación</t>
        </is>
      </c>
      <c r="C1657" t="inlineStr">
        <is>
          <t>Mercadeo de programas académicos</t>
        </is>
      </c>
      <c r="D1657" t="inlineStr">
        <is>
          <t>Trimestral</t>
        </is>
      </c>
      <c r="E1657" t="inlineStr">
        <is>
          <t>Positivo</t>
        </is>
      </c>
      <c r="F1657" s="113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J1657" t="n">
        <v>100</v>
      </c>
      <c r="K1657" t="n">
        <v>106.07</v>
      </c>
      <c r="L1657" s="39" t="n">
        <v>1.0607</v>
      </c>
      <c r="M1657" s="39" t="n">
        <v>1.0607</v>
      </c>
      <c r="N1657" t="inlineStr">
        <is>
          <t>ENT</t>
        </is>
      </c>
      <c r="O1657" t="inlineStr">
        <is>
          <t>ENT</t>
        </is>
      </c>
      <c r="P1657" t="n">
        <v>0</v>
      </c>
      <c r="Q1657" t="n">
        <v>0</v>
      </c>
      <c r="R1657" t="inlineStr">
        <is>
          <t>524-2025-12-31</t>
        </is>
      </c>
    </row>
    <row r="1658" hidden="1">
      <c r="A1658" t="n">
        <v>526</v>
      </c>
      <c r="B1658" t="inlineStr">
        <is>
          <t>Cumplimiento Politica Polisigs</t>
        </is>
      </c>
      <c r="C1658" t="inlineStr">
        <is>
          <t>Planificación POLISIGS</t>
        </is>
      </c>
      <c r="D1658" t="inlineStr">
        <is>
          <t>Semestral</t>
        </is>
      </c>
      <c r="E1658" t="inlineStr">
        <is>
          <t>Positivo</t>
        </is>
      </c>
      <c r="F1658" s="113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95</v>
      </c>
      <c r="K1658" t="n">
        <v>96.59999999999999</v>
      </c>
      <c r="L1658" s="39" t="n">
        <v>1.016842105263158</v>
      </c>
      <c r="M1658" s="39" t="n">
        <v>1.016842105263158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526-2025-12-31</t>
        </is>
      </c>
      <c r="S1658" t="inlineStr">
        <is>
          <t>Sin Reporte</t>
        </is>
      </c>
    </row>
    <row r="1659" hidden="1">
      <c r="A1659" t="n">
        <v>527</v>
      </c>
      <c r="B1659" t="inlineStr">
        <is>
          <t>Participación de Grupos de Interés en la construcción del nuevo plan de desarrollo (PDI)</t>
        </is>
      </c>
      <c r="C1659" t="inlineStr">
        <is>
          <t>Planeación Estratégica</t>
        </is>
      </c>
      <c r="D1659" t="inlineStr">
        <is>
          <t>Anual</t>
        </is>
      </c>
      <c r="E1659" t="inlineStr">
        <is>
          <t>Positivo</t>
        </is>
      </c>
      <c r="F1659" s="113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3690</v>
      </c>
      <c r="K1659" t="n">
        <v>7304</v>
      </c>
      <c r="L1659" s="39" t="n">
        <v>1.3</v>
      </c>
      <c r="M1659" s="39" t="n">
        <v>1.97940379403794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527-2025-12-31</t>
        </is>
      </c>
    </row>
    <row r="1660" hidden="1">
      <c r="A1660" t="n">
        <v>528</v>
      </c>
      <c r="B1660" t="inlineStr">
        <is>
          <t>Participación de la comunidad en la Rendición de Cuentas</t>
        </is>
      </c>
      <c r="C1660" t="inlineStr">
        <is>
          <t>Planeación Estratégica</t>
        </is>
      </c>
      <c r="D1660" t="inlineStr">
        <is>
          <t>Anual</t>
        </is>
      </c>
      <c r="E1660" t="inlineStr">
        <is>
          <t>Positivo</t>
        </is>
      </c>
      <c r="F1660" s="113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J1660" t="n">
        <v>100</v>
      </c>
      <c r="K1660" t="n">
        <v>173.92055267703</v>
      </c>
      <c r="L1660" s="39" t="n">
        <v>1.3</v>
      </c>
      <c r="M1660" s="39" t="n">
        <v>1.7392055267703</v>
      </c>
      <c r="N1660" t="inlineStr">
        <is>
          <t>ENT</t>
        </is>
      </c>
      <c r="O1660" t="inlineStr">
        <is>
          <t>ENT</t>
        </is>
      </c>
      <c r="P1660" t="n">
        <v>0</v>
      </c>
      <c r="Q1660" t="n">
        <v>0</v>
      </c>
      <c r="R1660" t="inlineStr">
        <is>
          <t>528-2025-06-30</t>
        </is>
      </c>
    </row>
    <row r="1661" hidden="1">
      <c r="A1661" t="n">
        <v>528</v>
      </c>
      <c r="B1661" t="inlineStr">
        <is>
          <t>Participación de la comunidad en la Rendición de Cuentas</t>
        </is>
      </c>
      <c r="C1661" t="inlineStr">
        <is>
          <t>Planeación Estratégica</t>
        </is>
      </c>
      <c r="D1661" t="inlineStr">
        <is>
          <t>Anual</t>
        </is>
      </c>
      <c r="E1661" t="inlineStr">
        <is>
          <t>Positivo</t>
        </is>
      </c>
      <c r="F1661" s="113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100</v>
      </c>
      <c r="K1661" t="n">
        <v>2014</v>
      </c>
      <c r="L1661" s="39" t="n">
        <v>1.3</v>
      </c>
      <c r="M1661" s="39" t="n">
        <v>20.14</v>
      </c>
      <c r="N1661" t="inlineStr">
        <is>
          <t>ENT</t>
        </is>
      </c>
      <c r="O1661" t="inlineStr">
        <is>
          <t>ENT</t>
        </is>
      </c>
      <c r="P1661" t="n">
        <v>0</v>
      </c>
      <c r="Q1661" t="n">
        <v>0</v>
      </c>
      <c r="R1661" t="inlineStr">
        <is>
          <t>528-2025-12-31</t>
        </is>
      </c>
    </row>
    <row r="1662" hidden="1">
      <c r="A1662" t="n">
        <v>529</v>
      </c>
      <c r="B1662" t="inlineStr">
        <is>
          <t>Oportunidad en la solución de solicitudes de infraestructura</t>
        </is>
      </c>
      <c r="C1662" t="inlineStr">
        <is>
          <t>Gestión Infraestructura Física</t>
        </is>
      </c>
      <c r="D1662" t="inlineStr">
        <is>
          <t>Semestral</t>
        </is>
      </c>
      <c r="E1662" t="inlineStr">
        <is>
          <t>Positivo</t>
        </is>
      </c>
      <c r="F1662" s="113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180</v>
      </c>
      <c r="K1662" t="n">
        <v>294.16</v>
      </c>
      <c r="L1662" s="39" t="n">
        <v>1.3</v>
      </c>
      <c r="M1662" s="39" t="n">
        <v>1.634222222222222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529-2025-12-31</t>
        </is>
      </c>
    </row>
    <row r="1663" hidden="1">
      <c r="A1663" t="n">
        <v>529</v>
      </c>
      <c r="B1663" t="inlineStr">
        <is>
          <t>Oportunidad en la solución de solicitudes de infraestructura</t>
        </is>
      </c>
      <c r="C1663" t="inlineStr">
        <is>
          <t>Gestión Infraestructura Física</t>
        </is>
      </c>
      <c r="D1663" t="inlineStr">
        <is>
          <t>Semestral</t>
        </is>
      </c>
      <c r="E1663" t="inlineStr">
        <is>
          <t>Positivo</t>
        </is>
      </c>
      <c r="F1663" s="113" t="n">
        <v>46203</v>
      </c>
      <c r="G1663" t="n">
        <v>2026</v>
      </c>
      <c r="H1663" t="inlineStr">
        <is>
          <t>Junio</t>
        </is>
      </c>
      <c r="I1663" t="inlineStr">
        <is>
          <t>2026-1</t>
        </is>
      </c>
      <c r="K1663" t="n">
        <v>100</v>
      </c>
      <c r="L1663" s="39" t="n"/>
      <c r="M1663" s="39" t="n"/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529-2026-06-30</t>
        </is>
      </c>
    </row>
    <row r="1664" hidden="1">
      <c r="A1664" t="n">
        <v>530</v>
      </c>
      <c r="B1664" t="inlineStr">
        <is>
          <t>Índice de Cumplimiento del Sprint</t>
        </is>
      </c>
      <c r="C1664" t="inlineStr">
        <is>
          <t>GESTIÓN DE LA TECNOLOGÍA E INNOVACIÓN DIGITAL</t>
        </is>
      </c>
      <c r="D1664" t="inlineStr">
        <is>
          <t>Trimestral</t>
        </is>
      </c>
      <c r="E1664" t="inlineStr">
        <is>
          <t>Positivo</t>
        </is>
      </c>
      <c r="F1664" s="113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97</v>
      </c>
      <c r="K1664" t="n">
        <v>85.56</v>
      </c>
      <c r="L1664" s="39" t="n">
        <v>0.8820618556701031</v>
      </c>
      <c r="M1664" s="39" t="n">
        <v>0.8820618556701031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530-2025-12-31</t>
        </is>
      </c>
    </row>
    <row r="1665" hidden="1">
      <c r="A1665" t="n">
        <v>531</v>
      </c>
      <c r="B1665" t="inlineStr">
        <is>
          <t>Eficiencia de capacidad instalada</t>
        </is>
      </c>
      <c r="C1665" t="inlineStr">
        <is>
          <t>GESTIÓN DE LA TECNOLOGÍA E INNOVACIÓN DIGITAL</t>
        </is>
      </c>
      <c r="D1665" t="inlineStr">
        <is>
          <t>Trimestral</t>
        </is>
      </c>
      <c r="E1665" t="inlineStr">
        <is>
          <t>Positivo</t>
        </is>
      </c>
      <c r="F1665" s="113" t="n">
        <v>46022</v>
      </c>
      <c r="G1665" t="n">
        <v>2025</v>
      </c>
      <c r="H1665" t="inlineStr">
        <is>
          <t>Diciembre</t>
        </is>
      </c>
      <c r="I1665" t="inlineStr">
        <is>
          <t>2025-2</t>
        </is>
      </c>
      <c r="J1665" t="n">
        <v>90</v>
      </c>
      <c r="K1665" t="n">
        <v>93.94</v>
      </c>
      <c r="L1665" s="39" t="n">
        <v>1.043777777777778</v>
      </c>
      <c r="M1665" s="39" t="n">
        <v>1.043777777777778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531-2025-12-31</t>
        </is>
      </c>
    </row>
    <row r="1666" hidden="1">
      <c r="A1666" t="n">
        <v>532</v>
      </c>
      <c r="B1666" t="inlineStr">
        <is>
          <t>Actividades de Cooperación en Internacionalización</t>
        </is>
      </c>
      <c r="C1666" t="inlineStr">
        <is>
          <t>VISIBILIDAD NACIONAL E INTERNACIONAL</t>
        </is>
      </c>
      <c r="D1666" t="inlineStr">
        <is>
          <t>Trimestral</t>
        </is>
      </c>
      <c r="E1666" t="inlineStr">
        <is>
          <t>Positivo</t>
        </is>
      </c>
      <c r="F1666" s="113" t="n">
        <v>45838</v>
      </c>
      <c r="G1666" t="n">
        <v>2025</v>
      </c>
      <c r="H1666" t="inlineStr">
        <is>
          <t>Junio</t>
        </is>
      </c>
      <c r="I1666" t="inlineStr">
        <is>
          <t>2025-1</t>
        </is>
      </c>
      <c r="J1666" t="n">
        <v>100</v>
      </c>
      <c r="K1666" t="n">
        <v>133.15</v>
      </c>
      <c r="L1666" s="39" t="n">
        <v>1.3</v>
      </c>
      <c r="M1666" s="39" t="n">
        <v>1.3315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532-2025-06-30</t>
        </is>
      </c>
    </row>
    <row r="1667" hidden="1">
      <c r="A1667" t="n">
        <v>532</v>
      </c>
      <c r="B1667" t="inlineStr">
        <is>
          <t>Actividades de Cooperación en Internacionalización</t>
        </is>
      </c>
      <c r="C1667" t="inlineStr">
        <is>
          <t>VISIBILIDAD NACIONAL E INTERNACIONAL</t>
        </is>
      </c>
      <c r="D1667" t="inlineStr">
        <is>
          <t>Trimestral</t>
        </is>
      </c>
      <c r="E1667" t="inlineStr">
        <is>
          <t>Positivo</t>
        </is>
      </c>
      <c r="F1667" s="113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100</v>
      </c>
      <c r="K1667" t="n">
        <v>134.78</v>
      </c>
      <c r="L1667" s="39" t="n">
        <v>1.3</v>
      </c>
      <c r="M1667" s="39" t="n">
        <v>1.3478</v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532-2025-12-31</t>
        </is>
      </c>
    </row>
    <row r="1668" hidden="1">
      <c r="A1668" t="n">
        <v>533</v>
      </c>
      <c r="B1668" t="inlineStr">
        <is>
          <t>Participación de estudiantes externos invitados a actividades de cooperación nacional e internacional</t>
        </is>
      </c>
      <c r="C1668" t="inlineStr">
        <is>
          <t>VISIBILIDAD NACIONAL E INTERNACIONAL</t>
        </is>
      </c>
      <c r="D1668" t="inlineStr">
        <is>
          <t>Trimestral</t>
        </is>
      </c>
      <c r="E1668" t="inlineStr">
        <is>
          <t>Positivo</t>
        </is>
      </c>
      <c r="F1668" s="113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J1668" t="n">
        <v>100</v>
      </c>
      <c r="K1668" t="n">
        <v>124.89</v>
      </c>
      <c r="L1668" s="39" t="n">
        <v>1.2489</v>
      </c>
      <c r="M1668" s="39" t="n">
        <v>1.2489</v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533-2025-06-30</t>
        </is>
      </c>
    </row>
    <row r="1669" hidden="1">
      <c r="A1669" t="n">
        <v>533</v>
      </c>
      <c r="B1669" t="inlineStr">
        <is>
          <t>Participación de estudiantes externos invitados a actividades de cooperación nacional e internacional</t>
        </is>
      </c>
      <c r="C1669" t="inlineStr">
        <is>
          <t>VISIBILIDAD NACIONAL E INTERNACIONAL</t>
        </is>
      </c>
      <c r="D1669" t="inlineStr">
        <is>
          <t>Trimestral</t>
        </is>
      </c>
      <c r="E1669" t="inlineStr">
        <is>
          <t>Positivo</t>
        </is>
      </c>
      <c r="F1669" s="113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100</v>
      </c>
      <c r="K1669" t="n">
        <v>177.95</v>
      </c>
      <c r="L1669" s="39" t="n">
        <v>1.3</v>
      </c>
      <c r="M1669" s="39" t="n">
        <v>1.7795</v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533-2025-12-31</t>
        </is>
      </c>
    </row>
    <row r="1670" hidden="1">
      <c r="A1670" t="n">
        <v>534</v>
      </c>
      <c r="B1670" t="inlineStr">
        <is>
          <t>Participación de estudiantes POLI en actividades de cooperación nacional e internacional</t>
        </is>
      </c>
      <c r="C1670" t="inlineStr">
        <is>
          <t>VISIBILIDAD NACIONAL E INTERNACIONAL</t>
        </is>
      </c>
      <c r="D1670" t="inlineStr">
        <is>
          <t>Trimestral</t>
        </is>
      </c>
      <c r="E1670" t="inlineStr">
        <is>
          <t>Positivo</t>
        </is>
      </c>
      <c r="F1670" s="113" t="n">
        <v>45838</v>
      </c>
      <c r="G1670" t="n">
        <v>2025</v>
      </c>
      <c r="H1670" t="inlineStr">
        <is>
          <t>Junio</t>
        </is>
      </c>
      <c r="I1670" t="inlineStr">
        <is>
          <t>2025-1</t>
        </is>
      </c>
      <c r="J1670" t="n">
        <v>100</v>
      </c>
      <c r="K1670" t="n">
        <v>134.09</v>
      </c>
      <c r="L1670" s="39" t="n">
        <v>1.3</v>
      </c>
      <c r="M1670" s="39" t="n">
        <v>1.3409</v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534-2025-06-30</t>
        </is>
      </c>
    </row>
    <row r="1671" hidden="1">
      <c r="A1671" t="n">
        <v>534</v>
      </c>
      <c r="B1671" t="inlineStr">
        <is>
          <t>Participación de estudiantes POLI en actividades de cooperación nacional e internacional</t>
        </is>
      </c>
      <c r="C1671" t="inlineStr">
        <is>
          <t>VISIBILIDAD NACIONAL E INTERNACIONAL</t>
        </is>
      </c>
      <c r="D1671" t="inlineStr">
        <is>
          <t>Trimestral</t>
        </is>
      </c>
      <c r="E1671" t="inlineStr">
        <is>
          <t>Positivo</t>
        </is>
      </c>
      <c r="F1671" s="113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100</v>
      </c>
      <c r="K1671" t="n">
        <v>134.53</v>
      </c>
      <c r="L1671" s="39" t="n">
        <v>1.3</v>
      </c>
      <c r="M1671" s="39" t="n">
        <v>1.3453</v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534-2025-12-31</t>
        </is>
      </c>
    </row>
    <row r="1672" hidden="1">
      <c r="A1672" t="n">
        <v>535</v>
      </c>
      <c r="B1672" t="inlineStr">
        <is>
          <t>Participación de profesores externos invitados a actividades de cooperación nacional e internacional</t>
        </is>
      </c>
      <c r="C1672" t="inlineStr">
        <is>
          <t>VISIBILIDAD NACIONAL E INTERNACIONAL</t>
        </is>
      </c>
      <c r="D1672" t="inlineStr">
        <is>
          <t>Trimestral</t>
        </is>
      </c>
      <c r="E1672" t="inlineStr">
        <is>
          <t>Positivo</t>
        </is>
      </c>
      <c r="F1672" s="113" t="n">
        <v>45838</v>
      </c>
      <c r="G1672" t="n">
        <v>2025</v>
      </c>
      <c r="H1672" t="inlineStr">
        <is>
          <t>Junio</t>
        </is>
      </c>
      <c r="I1672" t="inlineStr">
        <is>
          <t>2025-1</t>
        </is>
      </c>
      <c r="J1672" t="n">
        <v>100</v>
      </c>
      <c r="K1672" t="n">
        <v>132.67</v>
      </c>
      <c r="L1672" s="39" t="n">
        <v>1.3</v>
      </c>
      <c r="M1672" s="39" t="n">
        <v>1.3267</v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535-2025-06-30</t>
        </is>
      </c>
    </row>
    <row r="1673" hidden="1">
      <c r="A1673" t="n">
        <v>535</v>
      </c>
      <c r="B1673" t="inlineStr">
        <is>
          <t>Participación de profesores externos invitados a actividades de cooperación nacional e internacional</t>
        </is>
      </c>
      <c r="C1673" t="inlineStr">
        <is>
          <t>VISIBILIDAD NACIONAL E INTERNACIONAL</t>
        </is>
      </c>
      <c r="D1673" t="inlineStr">
        <is>
          <t>Trimestral</t>
        </is>
      </c>
      <c r="E1673" t="inlineStr">
        <is>
          <t>Positivo</t>
        </is>
      </c>
      <c r="F1673" s="113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100</v>
      </c>
      <c r="K1673" t="n">
        <v>209.63</v>
      </c>
      <c r="L1673" s="39" t="n">
        <v>1.3</v>
      </c>
      <c r="M1673" s="39" t="n">
        <v>2.0963</v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535-2025-12-31</t>
        </is>
      </c>
    </row>
    <row r="1674" hidden="1">
      <c r="A1674" t="n">
        <v>536</v>
      </c>
      <c r="B1674" t="inlineStr">
        <is>
          <t>Participación de profesores POLI en actividades de cooperación nacional e internacional</t>
        </is>
      </c>
      <c r="C1674" t="inlineStr">
        <is>
          <t>VISIBILIDAD NACIONAL E INTERNACIONAL</t>
        </is>
      </c>
      <c r="D1674" t="inlineStr">
        <is>
          <t>Trimestral</t>
        </is>
      </c>
      <c r="E1674" t="inlineStr">
        <is>
          <t>Positivo</t>
        </is>
      </c>
      <c r="F1674" s="113" t="n">
        <v>45838</v>
      </c>
      <c r="G1674" t="n">
        <v>2025</v>
      </c>
      <c r="H1674" t="inlineStr">
        <is>
          <t>Junio</t>
        </is>
      </c>
      <c r="I1674" t="inlineStr">
        <is>
          <t>2025-1</t>
        </is>
      </c>
      <c r="J1674" t="n">
        <v>100</v>
      </c>
      <c r="K1674" t="n">
        <v>109.33</v>
      </c>
      <c r="L1674" s="39" t="n">
        <v>1.0933</v>
      </c>
      <c r="M1674" s="39" t="n">
        <v>1.0933</v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536-2025-06-30</t>
        </is>
      </c>
    </row>
    <row r="1675" hidden="1">
      <c r="A1675" t="n">
        <v>536</v>
      </c>
      <c r="B1675" t="inlineStr">
        <is>
          <t>Participación de profesores POLI en actividades de cooperación nacional e internacional</t>
        </is>
      </c>
      <c r="C1675" t="inlineStr">
        <is>
          <t>VISIBILIDAD NACIONAL E INTERNACIONAL</t>
        </is>
      </c>
      <c r="D1675" t="inlineStr">
        <is>
          <t>Trimestral</t>
        </is>
      </c>
      <c r="E1675" t="inlineStr">
        <is>
          <t>Positivo</t>
        </is>
      </c>
      <c r="F1675" s="113" t="n">
        <v>46022</v>
      </c>
      <c r="G1675" t="n">
        <v>2025</v>
      </c>
      <c r="H1675" t="inlineStr">
        <is>
          <t>Diciembre</t>
        </is>
      </c>
      <c r="I1675" t="inlineStr">
        <is>
          <t>2025-2</t>
        </is>
      </c>
      <c r="J1675" t="n">
        <v>100</v>
      </c>
      <c r="K1675" t="n">
        <v>260.75</v>
      </c>
      <c r="L1675" s="39" t="n">
        <v>1.3</v>
      </c>
      <c r="M1675" s="39" t="n">
        <v>2.6075</v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536-2025-12-31</t>
        </is>
      </c>
    </row>
    <row r="1676" hidden="1">
      <c r="A1676" t="n">
        <v>537</v>
      </c>
      <c r="B1676" t="inlineStr">
        <is>
          <t>FCR- Resolución en primer contacto</t>
        </is>
      </c>
      <c r="C1676" t="inlineStr">
        <is>
          <t>Servicio</t>
        </is>
      </c>
      <c r="D1676" t="inlineStr">
        <is>
          <t>Trimestral</t>
        </is>
      </c>
      <c r="E1676" t="inlineStr">
        <is>
          <t>Positivo</t>
        </is>
      </c>
      <c r="F1676" s="113" t="n">
        <v>45838</v>
      </c>
      <c r="G1676" t="n">
        <v>2025</v>
      </c>
      <c r="H1676" t="inlineStr">
        <is>
          <t>Junio</t>
        </is>
      </c>
      <c r="I1676" t="inlineStr">
        <is>
          <t>2025-1</t>
        </is>
      </c>
      <c r="J1676" t="n">
        <v>65</v>
      </c>
      <c r="K1676" t="n">
        <v>58.9</v>
      </c>
      <c r="L1676" s="39" t="n">
        <v>0.9061538461538461</v>
      </c>
      <c r="M1676" s="39" t="n">
        <v>0.9061538461538461</v>
      </c>
      <c r="N1676" t="inlineStr">
        <is>
          <t>ENT</t>
        </is>
      </c>
      <c r="O1676" t="inlineStr">
        <is>
          <t>ENT</t>
        </is>
      </c>
      <c r="P1676" t="n">
        <v>0</v>
      </c>
      <c r="Q1676" t="n">
        <v>0</v>
      </c>
      <c r="R1676" t="inlineStr">
        <is>
          <t>537-2025-06-30</t>
        </is>
      </c>
    </row>
    <row r="1677" hidden="1">
      <c r="A1677" t="n">
        <v>537</v>
      </c>
      <c r="B1677" t="inlineStr">
        <is>
          <t>FCR- Resolución en primer contacto</t>
        </is>
      </c>
      <c r="C1677" t="inlineStr">
        <is>
          <t>Servicio</t>
        </is>
      </c>
      <c r="D1677" t="inlineStr">
        <is>
          <t>Trimestral</t>
        </is>
      </c>
      <c r="E1677" t="inlineStr">
        <is>
          <t>Positivo</t>
        </is>
      </c>
      <c r="F1677" s="113" t="n">
        <v>46022</v>
      </c>
      <c r="G1677" t="n">
        <v>2025</v>
      </c>
      <c r="H1677" t="inlineStr">
        <is>
          <t>Diciembre</t>
        </is>
      </c>
      <c r="I1677" t="inlineStr">
        <is>
          <t>2025-2</t>
        </is>
      </c>
      <c r="J1677" t="n">
        <v>65</v>
      </c>
      <c r="K1677" t="n">
        <v>64.3</v>
      </c>
      <c r="L1677" s="39" t="n">
        <v>0.9892307692307691</v>
      </c>
      <c r="M1677" s="39" t="n">
        <v>0.9892307692307691</v>
      </c>
      <c r="N1677" t="inlineStr">
        <is>
          <t>ENT</t>
        </is>
      </c>
      <c r="O1677" t="inlineStr">
        <is>
          <t>ENT</t>
        </is>
      </c>
      <c r="P1677" t="n">
        <v>0</v>
      </c>
      <c r="Q1677" t="n">
        <v>0</v>
      </c>
      <c r="R1677" t="inlineStr">
        <is>
          <t>537-2025-12-31</t>
        </is>
      </c>
    </row>
    <row r="1678" hidden="1">
      <c r="A1678" t="n">
        <v>538</v>
      </c>
      <c r="B1678" t="inlineStr">
        <is>
          <t>Cumplimiento de sesiones de socialización de planeación académica</t>
        </is>
      </c>
      <c r="C1678" t="inlineStr">
        <is>
          <t>Registro y Control</t>
        </is>
      </c>
      <c r="D1678" t="inlineStr">
        <is>
          <t>Trimestral</t>
        </is>
      </c>
      <c r="E1678" t="inlineStr">
        <is>
          <t>Positivo</t>
        </is>
      </c>
      <c r="F1678" s="113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90</v>
      </c>
      <c r="K1678" t="n">
        <v>100</v>
      </c>
      <c r="L1678" s="39" t="n">
        <v>1.111111111111111</v>
      </c>
      <c r="M1678" s="39" t="n">
        <v>1.111111111111111</v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538-2025-12-31</t>
        </is>
      </c>
    </row>
    <row r="1679" hidden="1">
      <c r="A1679" t="n">
        <v>539</v>
      </c>
      <c r="B1679" t="inlineStr">
        <is>
          <t>CES emisión de certificados</t>
        </is>
      </c>
      <c r="C1679" t="inlineStr">
        <is>
          <t>Registro y Control</t>
        </is>
      </c>
      <c r="D1679" t="inlineStr">
        <is>
          <t>Trimestral</t>
        </is>
      </c>
      <c r="E1679" t="inlineStr">
        <is>
          <t>Negativo</t>
        </is>
      </c>
      <c r="F1679" s="113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2.5</v>
      </c>
      <c r="K1679" t="n">
        <v>2.5</v>
      </c>
      <c r="L1679" s="39" t="n">
        <v>1</v>
      </c>
      <c r="M1679" s="39" t="n">
        <v>1</v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539-2025-12-31</t>
        </is>
      </c>
    </row>
    <row r="1680">
      <c r="A1680" t="n">
        <v>540</v>
      </c>
      <c r="B1680" t="inlineStr">
        <is>
          <t>Nivel de Calidad de los Datos Cargados al SNIES</t>
        </is>
      </c>
      <c r="C1680" t="inlineStr">
        <is>
          <t>DATOS Y ANALÍTICA</t>
        </is>
      </c>
      <c r="D1680" t="inlineStr">
        <is>
          <t>Trimestral</t>
        </is>
      </c>
      <c r="E1680" t="inlineStr">
        <is>
          <t>Positivo</t>
        </is>
      </c>
      <c r="F1680" s="113" t="n">
        <v>45838</v>
      </c>
      <c r="G1680" t="n">
        <v>2025</v>
      </c>
      <c r="H1680" t="inlineStr">
        <is>
          <t>Junio</t>
        </is>
      </c>
      <c r="I1680" t="inlineStr">
        <is>
          <t>2025-1</t>
        </is>
      </c>
      <c r="J1680" t="n">
        <v>97</v>
      </c>
      <c r="K1680" t="n">
        <v>97.33</v>
      </c>
      <c r="L1680" s="39" t="n">
        <v>1.00340206185567</v>
      </c>
      <c r="M1680" s="39" t="n">
        <v>1.00340206185567</v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540-2025-06-30</t>
        </is>
      </c>
    </row>
    <row r="1681">
      <c r="A1681" t="n">
        <v>540</v>
      </c>
      <c r="B1681" t="inlineStr">
        <is>
          <t>Nivel de Calidad de los Datos Cargados al SNIES</t>
        </is>
      </c>
      <c r="C1681" t="inlineStr">
        <is>
          <t>DATOS Y ANALÍTICA</t>
        </is>
      </c>
      <c r="D1681" t="inlineStr">
        <is>
          <t>Trimestral</t>
        </is>
      </c>
      <c r="E1681" t="inlineStr">
        <is>
          <t>Positivo</t>
        </is>
      </c>
      <c r="F1681" s="113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97</v>
      </c>
      <c r="K1681" t="n">
        <v>97.90000000000001</v>
      </c>
      <c r="L1681" s="39" t="n">
        <v>1.009278350515464</v>
      </c>
      <c r="M1681" s="39" t="n">
        <v>1.009278350515464</v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540-2025-12-31</t>
        </is>
      </c>
    </row>
    <row r="1682">
      <c r="A1682" t="n">
        <v>541</v>
      </c>
      <c r="B1682" t="inlineStr">
        <is>
          <t>Participación de graduados en actividades de empleabilidad y relacionamiento</t>
        </is>
      </c>
      <c r="C1682" t="inlineStr">
        <is>
          <t>Gestión de Graduados</t>
        </is>
      </c>
      <c r="D1682" t="inlineStr">
        <is>
          <t>Anual</t>
        </is>
      </c>
      <c r="E1682" t="inlineStr">
        <is>
          <t>Positivo</t>
        </is>
      </c>
      <c r="F1682" s="113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4</v>
      </c>
      <c r="K1682" t="n">
        <v>6.99</v>
      </c>
      <c r="L1682" s="39" t="n">
        <v>1.3</v>
      </c>
      <c r="M1682" s="39" t="n">
        <v>1.7475</v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541-2025-12-31</t>
        </is>
      </c>
    </row>
    <row r="1683">
      <c r="A1683" t="n">
        <v>542</v>
      </c>
      <c r="B1683" t="inlineStr">
        <is>
          <t>Tasa de cotización del graduado - Metrica</t>
        </is>
      </c>
      <c r="C1683" t="inlineStr">
        <is>
          <t>Gestión de Graduados</t>
        </is>
      </c>
      <c r="D1683" t="inlineStr">
        <is>
          <t>Anual</t>
        </is>
      </c>
      <c r="E1683" t="inlineStr">
        <is>
          <t>Positivo</t>
        </is>
      </c>
      <c r="F1683" s="113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K1683" t="n">
        <v>81.23999999999999</v>
      </c>
      <c r="L1683" s="39" t="n"/>
      <c r="M1683" s="39" t="n"/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542-2025-12-31</t>
        </is>
      </c>
      <c r="S1683" t="inlineStr">
        <is>
          <t>Metrica</t>
        </is>
      </c>
    </row>
    <row r="1684">
      <c r="A1684" t="n">
        <v>543</v>
      </c>
      <c r="B1684" t="inlineStr">
        <is>
          <t>Tasa de interacción por usuario</t>
        </is>
      </c>
      <c r="C1684" t="inlineStr">
        <is>
          <t>Editorial y Publicaciones</t>
        </is>
      </c>
      <c r="D1684" t="inlineStr">
        <is>
          <t>Trimestral</t>
        </is>
      </c>
      <c r="E1684" t="inlineStr">
        <is>
          <t>Positivo</t>
        </is>
      </c>
      <c r="F1684" s="113" t="n">
        <v>45838</v>
      </c>
      <c r="G1684" t="n">
        <v>2025</v>
      </c>
      <c r="H1684" t="inlineStr">
        <is>
          <t>Junio</t>
        </is>
      </c>
      <c r="I1684" t="inlineStr">
        <is>
          <t>2025-1</t>
        </is>
      </c>
      <c r="K1684" t="n">
        <v>7.29</v>
      </c>
      <c r="L1684" s="39" t="n"/>
      <c r="M1684" s="39" t="n"/>
      <c r="N1684" t="inlineStr">
        <is>
          <t>ENT</t>
        </is>
      </c>
      <c r="O1684" t="inlineStr">
        <is>
          <t>ENT</t>
        </is>
      </c>
      <c r="P1684" t="n">
        <v>0</v>
      </c>
      <c r="Q1684" t="n">
        <v>0</v>
      </c>
      <c r="R1684" t="inlineStr">
        <is>
          <t>543-2025-06-30</t>
        </is>
      </c>
    </row>
    <row r="1685">
      <c r="A1685" t="n">
        <v>543</v>
      </c>
      <c r="B1685" t="inlineStr">
        <is>
          <t>Tasa de interacción por usuario</t>
        </is>
      </c>
      <c r="C1685" t="inlineStr">
        <is>
          <t>Editorial y Publicaciones</t>
        </is>
      </c>
      <c r="D1685" t="inlineStr">
        <is>
          <t>Trimestral</t>
        </is>
      </c>
      <c r="E1685" t="inlineStr">
        <is>
          <t>Positivo</t>
        </is>
      </c>
      <c r="F1685" s="113" t="n">
        <v>46022</v>
      </c>
      <c r="G1685" t="n">
        <v>2025</v>
      </c>
      <c r="H1685" t="inlineStr">
        <is>
          <t>Diciembre</t>
        </is>
      </c>
      <c r="I1685" t="inlineStr">
        <is>
          <t>2025-2</t>
        </is>
      </c>
      <c r="K1685" t="n">
        <v>6.91</v>
      </c>
      <c r="L1685" s="39" t="n"/>
      <c r="M1685" s="39" t="n"/>
      <c r="N1685" t="inlineStr">
        <is>
          <t>ENT</t>
        </is>
      </c>
      <c r="O1685" t="inlineStr">
        <is>
          <t>ENT</t>
        </is>
      </c>
      <c r="P1685" t="n">
        <v>0</v>
      </c>
      <c r="Q1685" t="n">
        <v>0</v>
      </c>
      <c r="R1685" t="inlineStr">
        <is>
          <t>543-2025-12-31</t>
        </is>
      </c>
    </row>
    <row r="1686">
      <c r="A1686" t="n">
        <v>544</v>
      </c>
      <c r="B1686" t="inlineStr">
        <is>
          <t>Producción de ambientes inmersivos LEI</t>
        </is>
      </c>
      <c r="C1686" t="inlineStr">
        <is>
          <t>LEI</t>
        </is>
      </c>
      <c r="D1686" t="inlineStr">
        <is>
          <t>Trimestral</t>
        </is>
      </c>
      <c r="E1686" t="inlineStr">
        <is>
          <t>Positivo</t>
        </is>
      </c>
      <c r="F1686" s="113" t="n">
        <v>45838</v>
      </c>
      <c r="G1686" t="n">
        <v>2025</v>
      </c>
      <c r="H1686" t="inlineStr">
        <is>
          <t>Junio</t>
        </is>
      </c>
      <c r="I1686" t="inlineStr">
        <is>
          <t>2025-1</t>
        </is>
      </c>
      <c r="J1686" t="n">
        <v>100</v>
      </c>
      <c r="K1686" t="n">
        <v>250</v>
      </c>
      <c r="L1686" s="39" t="n">
        <v>1.3</v>
      </c>
      <c r="M1686" s="39" t="n">
        <v>2.5</v>
      </c>
      <c r="N1686" t="inlineStr">
        <is>
          <t>ENT</t>
        </is>
      </c>
      <c r="O1686" t="inlineStr">
        <is>
          <t>ENT</t>
        </is>
      </c>
      <c r="P1686" t="n">
        <v>0</v>
      </c>
      <c r="Q1686" t="n">
        <v>0</v>
      </c>
      <c r="R1686" t="inlineStr">
        <is>
          <t>544-2025-06-30</t>
        </is>
      </c>
    </row>
    <row r="1687">
      <c r="A1687" t="n">
        <v>544</v>
      </c>
      <c r="B1687" t="inlineStr">
        <is>
          <t>Producción de ambientes inmersivos LEI</t>
        </is>
      </c>
      <c r="C1687" t="inlineStr">
        <is>
          <t>LEI</t>
        </is>
      </c>
      <c r="D1687" t="inlineStr">
        <is>
          <t>Trimestral</t>
        </is>
      </c>
      <c r="E1687" t="inlineStr">
        <is>
          <t>Positivo</t>
        </is>
      </c>
      <c r="F1687" s="113" t="n">
        <v>46022</v>
      </c>
      <c r="G1687" t="n">
        <v>2025</v>
      </c>
      <c r="H1687" t="inlineStr">
        <is>
          <t>Diciembre</t>
        </is>
      </c>
      <c r="I1687" t="inlineStr">
        <is>
          <t>2025-2</t>
        </is>
      </c>
      <c r="J1687" t="n">
        <v>100</v>
      </c>
      <c r="K1687" t="n">
        <v>162.5</v>
      </c>
      <c r="L1687" s="39" t="n">
        <v>1.3</v>
      </c>
      <c r="M1687" s="39" t="n">
        <v>1.625</v>
      </c>
      <c r="N1687" t="inlineStr">
        <is>
          <t>ENT</t>
        </is>
      </c>
      <c r="O1687" t="inlineStr">
        <is>
          <t>ENT</t>
        </is>
      </c>
      <c r="P1687" t="n">
        <v>0</v>
      </c>
      <c r="Q1687" t="n">
        <v>0</v>
      </c>
      <c r="R1687" t="inlineStr">
        <is>
          <t>544-2025-12-31</t>
        </is>
      </c>
    </row>
    <row r="1688">
      <c r="A1688" t="n">
        <v>546</v>
      </c>
      <c r="B1688" t="inlineStr">
        <is>
          <t>Tasa de participación de graduados en instrumentos de seguimiento (M0, M1, M5)</t>
        </is>
      </c>
      <c r="C1688" t="inlineStr">
        <is>
          <t>Gestión de Graduados</t>
        </is>
      </c>
      <c r="D1688" t="inlineStr">
        <is>
          <t>Anual</t>
        </is>
      </c>
      <c r="E1688" t="inlineStr">
        <is>
          <t>Positivo</t>
        </is>
      </c>
      <c r="F1688" s="113" t="n">
        <v>46022</v>
      </c>
      <c r="G1688" t="n">
        <v>2025</v>
      </c>
      <c r="H1688" t="inlineStr">
        <is>
          <t>Diciembre</t>
        </is>
      </c>
      <c r="I1688" t="inlineStr">
        <is>
          <t>2025-2</t>
        </is>
      </c>
      <c r="J1688" t="n">
        <v>100</v>
      </c>
      <c r="K1688" t="n">
        <v>113.38</v>
      </c>
      <c r="L1688" s="39" t="n">
        <v>1.1338</v>
      </c>
      <c r="M1688" s="39" t="n">
        <v>1.1338</v>
      </c>
      <c r="N1688" t="inlineStr">
        <is>
          <t>%</t>
        </is>
      </c>
      <c r="O1688" t="inlineStr">
        <is>
          <t>%</t>
        </is>
      </c>
      <c r="P1688" t="n">
        <v>0</v>
      </c>
      <c r="Q1688" t="n">
        <v>0</v>
      </c>
      <c r="R1688" t="inlineStr">
        <is>
          <t>546-2025-12-31</t>
        </is>
      </c>
    </row>
    <row r="1689">
      <c r="A1689" t="n">
        <v>547</v>
      </c>
      <c r="B1689" t="inlineStr">
        <is>
          <t>Nivel de satisfacción del graduado con la institución</t>
        </is>
      </c>
      <c r="C1689" t="inlineStr">
        <is>
          <t>Gestión de Graduados</t>
        </is>
      </c>
      <c r="D1689" t="inlineStr">
        <is>
          <t>Anual</t>
        </is>
      </c>
      <c r="E1689" t="inlineStr">
        <is>
          <t>Positivo</t>
        </is>
      </c>
      <c r="F1689" s="113" t="n">
        <v>46022</v>
      </c>
      <c r="G1689" t="n">
        <v>2025</v>
      </c>
      <c r="H1689" t="inlineStr">
        <is>
          <t>Diciembre</t>
        </is>
      </c>
      <c r="I1689" t="inlineStr">
        <is>
          <t>2025-2</t>
        </is>
      </c>
      <c r="K1689" t="n">
        <v>92</v>
      </c>
      <c r="L1689" s="39" t="n"/>
      <c r="M1689" s="39" t="n"/>
      <c r="N1689" t="inlineStr">
        <is>
          <t>%</t>
        </is>
      </c>
      <c r="O1689" t="inlineStr">
        <is>
          <t>%</t>
        </is>
      </c>
      <c r="P1689" t="n">
        <v>0</v>
      </c>
      <c r="Q1689" t="n">
        <v>0</v>
      </c>
      <c r="R1689" t="inlineStr">
        <is>
          <t>547-2025-12-31</t>
        </is>
      </c>
    </row>
    <row r="1690">
      <c r="A1690" t="n">
        <v>550</v>
      </c>
      <c r="B1690" t="inlineStr">
        <is>
          <t>Nivel de satisfacción con las actividades de formación</t>
        </is>
      </c>
      <c r="C1690" t="inlineStr">
        <is>
          <t>Emprendimiento</t>
        </is>
      </c>
      <c r="D1690" t="inlineStr">
        <is>
          <t>Trimestral</t>
        </is>
      </c>
      <c r="E1690" t="inlineStr">
        <is>
          <t>Positivo</t>
        </is>
      </c>
      <c r="F1690" s="113" t="n">
        <v>45838</v>
      </c>
      <c r="G1690" t="n">
        <v>2025</v>
      </c>
      <c r="H1690" t="inlineStr">
        <is>
          <t>Junio</t>
        </is>
      </c>
      <c r="I1690" t="inlineStr">
        <is>
          <t>2025-1</t>
        </is>
      </c>
      <c r="J1690" t="n">
        <v>80</v>
      </c>
      <c r="K1690" t="n">
        <v>95</v>
      </c>
      <c r="L1690" s="39" t="n">
        <v>1.1875</v>
      </c>
      <c r="M1690" s="39" t="n">
        <v>1.1875</v>
      </c>
      <c r="N1690" t="inlineStr">
        <is>
          <t>%</t>
        </is>
      </c>
      <c r="O1690" t="inlineStr">
        <is>
          <t>%</t>
        </is>
      </c>
      <c r="P1690" t="n">
        <v>0</v>
      </c>
      <c r="Q1690" t="n">
        <v>0</v>
      </c>
      <c r="R1690" t="inlineStr">
        <is>
          <t>550-2025-06-30</t>
        </is>
      </c>
    </row>
    <row r="1691">
      <c r="A1691" t="n">
        <v>550</v>
      </c>
      <c r="B1691" t="inlineStr">
        <is>
          <t>Nivel de satisfacción con las actividades de formación</t>
        </is>
      </c>
      <c r="C1691" t="inlineStr">
        <is>
          <t>Emprendimiento</t>
        </is>
      </c>
      <c r="D1691" t="inlineStr">
        <is>
          <t>Trimestral</t>
        </is>
      </c>
      <c r="E1691" t="inlineStr">
        <is>
          <t>Positivo</t>
        </is>
      </c>
      <c r="F1691" s="113" t="n">
        <v>46022</v>
      </c>
      <c r="G1691" t="n">
        <v>2025</v>
      </c>
      <c r="H1691" t="inlineStr">
        <is>
          <t>Diciembre</t>
        </is>
      </c>
      <c r="I1691" t="inlineStr">
        <is>
          <t>2025-2</t>
        </is>
      </c>
      <c r="J1691" t="n">
        <v>80</v>
      </c>
      <c r="K1691" t="n">
        <v>95.5</v>
      </c>
      <c r="L1691" s="39" t="n">
        <v>1.19375</v>
      </c>
      <c r="M1691" s="39" t="n">
        <v>1.19375</v>
      </c>
      <c r="N1691" t="inlineStr">
        <is>
          <t>%</t>
        </is>
      </c>
      <c r="O1691" t="inlineStr">
        <is>
          <t>%</t>
        </is>
      </c>
      <c r="P1691" t="n">
        <v>0</v>
      </c>
      <c r="Q1691" t="n">
        <v>0</v>
      </c>
      <c r="R1691" t="inlineStr">
        <is>
          <t>550-2025-12-31</t>
        </is>
      </c>
    </row>
    <row r="1692">
      <c r="A1692" t="n">
        <v>551</v>
      </c>
      <c r="B1692" t="inlineStr">
        <is>
          <t>Evaluación del desempeño de los mentores</t>
        </is>
      </c>
      <c r="C1692" t="inlineStr">
        <is>
          <t>Emprendimiento</t>
        </is>
      </c>
      <c r="D1692" t="inlineStr">
        <is>
          <t>Trimestral</t>
        </is>
      </c>
      <c r="E1692" t="inlineStr">
        <is>
          <t>Positivo</t>
        </is>
      </c>
      <c r="F1692" s="113" t="n">
        <v>45838</v>
      </c>
      <c r="G1692" t="n">
        <v>2025</v>
      </c>
      <c r="H1692" t="inlineStr">
        <is>
          <t>Junio</t>
        </is>
      </c>
      <c r="I1692" t="inlineStr">
        <is>
          <t>2025-1</t>
        </is>
      </c>
      <c r="J1692" t="n">
        <v>4</v>
      </c>
      <c r="K1692" t="n">
        <v>5</v>
      </c>
      <c r="L1692" s="39" t="n">
        <v>1.25</v>
      </c>
      <c r="M1692" s="39" t="n">
        <v>1.25</v>
      </c>
      <c r="N1692" t="inlineStr">
        <is>
          <t>%</t>
        </is>
      </c>
      <c r="O1692" t="inlineStr">
        <is>
          <t>%</t>
        </is>
      </c>
      <c r="P1692" t="n">
        <v>0</v>
      </c>
      <c r="Q1692" t="n">
        <v>0</v>
      </c>
      <c r="R1692" t="inlineStr">
        <is>
          <t>551-2025-06-30</t>
        </is>
      </c>
    </row>
    <row r="1693">
      <c r="A1693" t="n">
        <v>551</v>
      </c>
      <c r="B1693" t="inlineStr">
        <is>
          <t>Evaluación del desempeño de los mentores</t>
        </is>
      </c>
      <c r="C1693" t="inlineStr">
        <is>
          <t>Emprendimiento</t>
        </is>
      </c>
      <c r="D1693" t="inlineStr">
        <is>
          <t>Trimestral</t>
        </is>
      </c>
      <c r="E1693" t="inlineStr">
        <is>
          <t>Positivo</t>
        </is>
      </c>
      <c r="F1693" s="113" t="n">
        <v>46022</v>
      </c>
      <c r="G1693" t="n">
        <v>2025</v>
      </c>
      <c r="H1693" t="inlineStr">
        <is>
          <t>Diciembre</t>
        </is>
      </c>
      <c r="I1693" t="inlineStr">
        <is>
          <t>2025-2</t>
        </is>
      </c>
      <c r="J1693" t="n">
        <v>4</v>
      </c>
      <c r="K1693" t="n">
        <v>5</v>
      </c>
      <c r="L1693" s="39" t="n">
        <v>1.25</v>
      </c>
      <c r="M1693" s="39" t="n">
        <v>1.25</v>
      </c>
      <c r="N1693" t="inlineStr">
        <is>
          <t>%</t>
        </is>
      </c>
      <c r="O1693" t="inlineStr">
        <is>
          <t>%</t>
        </is>
      </c>
      <c r="P1693" t="n">
        <v>0</v>
      </c>
      <c r="Q1693" t="n">
        <v>0</v>
      </c>
      <c r="R1693" t="inlineStr">
        <is>
          <t>551-2025-12-31</t>
        </is>
      </c>
    </row>
    <row r="1694">
      <c r="A1694" t="n">
        <v>552</v>
      </c>
      <c r="B1694" t="inlineStr">
        <is>
          <t>Nivel de Satisfacción Servicios Prestados -Gestión de la Responsabilidad Social</t>
        </is>
      </c>
      <c r="C1694" t="inlineStr">
        <is>
          <t>Gestión de la Responsabilidad Social</t>
        </is>
      </c>
      <c r="D1694" t="inlineStr">
        <is>
          <t>Anual</t>
        </is>
      </c>
      <c r="E1694" t="inlineStr">
        <is>
          <t>Positivo</t>
        </is>
      </c>
      <c r="F1694" s="113" t="n">
        <v>45838</v>
      </c>
      <c r="G1694" t="n">
        <v>2025</v>
      </c>
      <c r="H1694" t="inlineStr">
        <is>
          <t>Junio</t>
        </is>
      </c>
      <c r="I1694" t="inlineStr">
        <is>
          <t>2025-1</t>
        </is>
      </c>
      <c r="J1694" t="n">
        <v>80</v>
      </c>
      <c r="K1694" t="n">
        <v>92</v>
      </c>
      <c r="L1694" s="39" t="n">
        <v>1.15</v>
      </c>
      <c r="M1694" s="39" t="n">
        <v>1.15</v>
      </c>
      <c r="N1694" t="inlineStr">
        <is>
          <t>%</t>
        </is>
      </c>
      <c r="O1694" t="inlineStr">
        <is>
          <t>%</t>
        </is>
      </c>
      <c r="P1694" t="n">
        <v>0</v>
      </c>
      <c r="Q1694" t="n">
        <v>0</v>
      </c>
      <c r="R1694" t="inlineStr">
        <is>
          <t>552-2025-06-30</t>
        </is>
      </c>
    </row>
    <row r="1695">
      <c r="A1695" t="n">
        <v>552</v>
      </c>
      <c r="B1695" t="inlineStr">
        <is>
          <t>Nivel de Satisfacción Servicios Prestados -Gestión de la Responsabilidad Social</t>
        </is>
      </c>
      <c r="C1695" t="inlineStr">
        <is>
          <t>Gestión de la Responsabilidad Social</t>
        </is>
      </c>
      <c r="D1695" t="inlineStr">
        <is>
          <t>Anual</t>
        </is>
      </c>
      <c r="E1695" t="inlineStr">
        <is>
          <t>Positivo</t>
        </is>
      </c>
      <c r="F1695" s="113" t="n">
        <v>46022</v>
      </c>
      <c r="G1695" t="n">
        <v>2025</v>
      </c>
      <c r="H1695" t="inlineStr">
        <is>
          <t>Diciembre</t>
        </is>
      </c>
      <c r="I1695" t="inlineStr">
        <is>
          <t>2025-2</t>
        </is>
      </c>
      <c r="J1695" t="n">
        <v>80</v>
      </c>
      <c r="K1695" t="n">
        <v>92</v>
      </c>
      <c r="L1695" s="39" t="n">
        <v>1.15</v>
      </c>
      <c r="M1695" s="39" t="n">
        <v>1.15</v>
      </c>
      <c r="N1695" t="inlineStr">
        <is>
          <t>%</t>
        </is>
      </c>
      <c r="O1695" t="inlineStr">
        <is>
          <t>%</t>
        </is>
      </c>
      <c r="P1695" t="n">
        <v>0</v>
      </c>
      <c r="Q1695" t="n">
        <v>0</v>
      </c>
      <c r="R1695" t="inlineStr">
        <is>
          <t>552-2025-12-31</t>
        </is>
      </c>
    </row>
    <row r="1696">
      <c r="A1696" t="n">
        <v>553</v>
      </c>
      <c r="B1696" t="inlineStr">
        <is>
          <t>Nivel de Satisfacción Servicios Prestados -Inscripción, admisión y matrícula de estudiantes nuevos</t>
        </is>
      </c>
      <c r="C1696" t="inlineStr">
        <is>
          <t>Inscripción, admisión y matrícula de estudiantes nuevos</t>
        </is>
      </c>
      <c r="D1696" t="inlineStr">
        <is>
          <t>Anual</t>
        </is>
      </c>
      <c r="E1696" t="inlineStr">
        <is>
          <t>Positivo</t>
        </is>
      </c>
      <c r="F1696" s="113" t="n">
        <v>46022</v>
      </c>
      <c r="G1696" t="n">
        <v>2025</v>
      </c>
      <c r="H1696" t="inlineStr">
        <is>
          <t>Diciembre</t>
        </is>
      </c>
      <c r="I1696" t="inlineStr">
        <is>
          <t>2025-2</t>
        </is>
      </c>
      <c r="J1696" t="n">
        <v>80</v>
      </c>
      <c r="K1696" t="n">
        <v>83</v>
      </c>
      <c r="L1696" s="39" t="n">
        <v>1.0375</v>
      </c>
      <c r="M1696" s="39" t="n">
        <v>1.0375</v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553-2025-12-31</t>
        </is>
      </c>
    </row>
    <row r="1697">
      <c r="A1697" t="n">
        <v>554</v>
      </c>
      <c r="B1697" t="inlineStr">
        <is>
          <t>Nivel de Satisfacción Servicios Prestados -Permanencia</t>
        </is>
      </c>
      <c r="C1697" t="inlineStr">
        <is>
          <t>Permanencia</t>
        </is>
      </c>
      <c r="D1697" t="inlineStr">
        <is>
          <t>Trimestral</t>
        </is>
      </c>
      <c r="E1697" t="inlineStr">
        <is>
          <t>Positivo</t>
        </is>
      </c>
      <c r="F1697" s="113" t="n">
        <v>45838</v>
      </c>
      <c r="G1697" t="n">
        <v>2025</v>
      </c>
      <c r="H1697" t="inlineStr">
        <is>
          <t>Junio</t>
        </is>
      </c>
      <c r="I1697" t="inlineStr">
        <is>
          <t>2025-1</t>
        </is>
      </c>
      <c r="J1697" t="n">
        <v>80</v>
      </c>
      <c r="L1697" s="39" t="n"/>
      <c r="M1697" s="39" t="n"/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554-2025-06-30</t>
        </is>
      </c>
      <c r="S1697" t="inlineStr">
        <is>
          <t>No Aplica</t>
        </is>
      </c>
    </row>
    <row r="1698">
      <c r="A1698" t="n">
        <v>554</v>
      </c>
      <c r="B1698" t="inlineStr">
        <is>
          <t>Nivel de Satisfacción Servicios Prestados -Permanencia</t>
        </is>
      </c>
      <c r="C1698" t="inlineStr">
        <is>
          <t>Permanencia</t>
        </is>
      </c>
      <c r="D1698" t="inlineStr">
        <is>
          <t>Trimestral</t>
        </is>
      </c>
      <c r="E1698" t="inlineStr">
        <is>
          <t>Positivo</t>
        </is>
      </c>
      <c r="F1698" s="113" t="n">
        <v>46022</v>
      </c>
      <c r="G1698" t="n">
        <v>2025</v>
      </c>
      <c r="H1698" t="inlineStr">
        <is>
          <t>Diciembre</t>
        </is>
      </c>
      <c r="I1698" t="inlineStr">
        <is>
          <t>2025-2</t>
        </is>
      </c>
      <c r="J1698" t="n">
        <v>80</v>
      </c>
      <c r="K1698" t="n">
        <v>95</v>
      </c>
      <c r="L1698" s="39" t="n">
        <v>1.1875</v>
      </c>
      <c r="M1698" s="39" t="n">
        <v>1.1875</v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554-2025-12-31</t>
        </is>
      </c>
    </row>
    <row r="1699">
      <c r="A1699" t="n">
        <v>555</v>
      </c>
      <c r="B1699" t="inlineStr">
        <is>
          <t>Nivel de Satisfacción Servicios Prestados -Mercadeo y venta de educación para la vida</t>
        </is>
      </c>
      <c r="C1699" t="inlineStr">
        <is>
          <t>Mercadeo y venta de educación para la vida</t>
        </is>
      </c>
      <c r="D1699" t="inlineStr">
        <is>
          <t>Trimestral</t>
        </is>
      </c>
      <c r="E1699" t="inlineStr">
        <is>
          <t>Positivo</t>
        </is>
      </c>
      <c r="F1699" s="113" t="n">
        <v>46022</v>
      </c>
      <c r="G1699" t="n">
        <v>2025</v>
      </c>
      <c r="H1699" t="inlineStr">
        <is>
          <t>Diciembre</t>
        </is>
      </c>
      <c r="I1699" t="inlineStr">
        <is>
          <t>2025-2</t>
        </is>
      </c>
      <c r="J1699" t="n">
        <v>80</v>
      </c>
      <c r="K1699" t="n">
        <v>100</v>
      </c>
      <c r="L1699" s="39" t="n">
        <v>1.25</v>
      </c>
      <c r="M1699" s="39" t="n">
        <v>1.25</v>
      </c>
      <c r="N1699" t="inlineStr">
        <is>
          <t>%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555-2025-12-31</t>
        </is>
      </c>
    </row>
    <row r="1700">
      <c r="A1700" t="n">
        <v>556</v>
      </c>
      <c r="B1700" t="inlineStr">
        <is>
          <t>Cumplimiento Plan de formación Institucional</t>
        </is>
      </c>
      <c r="C1700" t="inlineStr">
        <is>
          <t>GESTIÓN Y DESARROLLO DEL TALENTO HUMANO</t>
        </is>
      </c>
      <c r="D1700" t="inlineStr">
        <is>
          <t>Anual</t>
        </is>
      </c>
      <c r="E1700" t="inlineStr">
        <is>
          <t>Positivo</t>
        </is>
      </c>
      <c r="F1700" s="113" t="n">
        <v>46022</v>
      </c>
      <c r="G1700" t="n">
        <v>2025</v>
      </c>
      <c r="H1700" t="inlineStr">
        <is>
          <t>Diciembre</t>
        </is>
      </c>
      <c r="I1700" t="inlineStr">
        <is>
          <t>2025-2</t>
        </is>
      </c>
      <c r="J1700" t="n">
        <v>70</v>
      </c>
      <c r="K1700" t="n">
        <v>113.75</v>
      </c>
      <c r="L1700" s="39" t="n">
        <v>1.3</v>
      </c>
      <c r="M1700" s="39" t="n">
        <v>1.625</v>
      </c>
      <c r="N1700" t="inlineStr">
        <is>
          <t>%</t>
        </is>
      </c>
      <c r="O1700" t="inlineStr">
        <is>
          <t>%</t>
        </is>
      </c>
      <c r="P1700" t="n">
        <v>0</v>
      </c>
      <c r="Q1700" t="n">
        <v>0</v>
      </c>
      <c r="R1700" t="inlineStr">
        <is>
          <t>556-2025-12-31</t>
        </is>
      </c>
    </row>
    <row r="1701">
      <c r="A1701" t="n">
        <v>561</v>
      </c>
      <c r="B1701" t="inlineStr">
        <is>
          <t>Tasa de Ejecución Presupuestal del Proceso</t>
        </is>
      </c>
      <c r="C1701" t="inlineStr">
        <is>
          <t>Operación de nuevos negocios y CI</t>
        </is>
      </c>
      <c r="D1701" t="inlineStr">
        <is>
          <t>Quincenal</t>
        </is>
      </c>
      <c r="E1701" t="inlineStr">
        <is>
          <t>Negativo</t>
        </is>
      </c>
      <c r="F1701" s="113" t="n">
        <v>46203</v>
      </c>
      <c r="G1701" t="n">
        <v>2026</v>
      </c>
      <c r="H1701" t="inlineStr">
        <is>
          <t>Junio</t>
        </is>
      </c>
      <c r="I1701" t="inlineStr">
        <is>
          <t>2026-1</t>
        </is>
      </c>
      <c r="J1701" t="n">
        <v>1</v>
      </c>
      <c r="L1701" s="39" t="n"/>
      <c r="M1701" s="39" t="n"/>
      <c r="N1701" t="inlineStr">
        <is>
          <t>%</t>
        </is>
      </c>
      <c r="O1701" t="inlineStr">
        <is>
          <t>No Aplica</t>
        </is>
      </c>
      <c r="P1701" t="n">
        <v>0</v>
      </c>
      <c r="Q1701" t="n">
        <v>0</v>
      </c>
      <c r="R1701" t="inlineStr">
        <is>
          <t>561-2026-06-30</t>
        </is>
      </c>
      <c r="S1701" t="inlineStr">
        <is>
          <t>No Aplica</t>
        </is>
      </c>
    </row>
  </sheetData>
  <autoFilter ref="A1:S1679">
    <filterColumn colId="0" hiddenButton="0" showButton="1">
      <filters>
        <filter val="527"/>
      </filters>
    </filterColumn>
  </autoFilter>
  <conditionalFormatting sqref="A36:A40">
    <cfRule type="duplicateValues" priority="29" dxfId="0"/>
    <cfRule type="duplicateValues" priority="30" dxfId="0"/>
    <cfRule type="duplicateValues" priority="31" dxfId="0"/>
  </conditionalFormatting>
  <conditionalFormatting sqref="A42:A53">
    <cfRule type="duplicateValues" priority="12" dxfId="0"/>
  </conditionalFormatting>
  <conditionalFormatting sqref="A611">
    <cfRule type="duplicateValues" priority="6" dxfId="0"/>
    <cfRule type="duplicateValues" priority="7" dxfId="0"/>
    <cfRule type="duplicateValues" priority="8" dxfId="0"/>
  </conditionalFormatting>
  <conditionalFormatting sqref="A1535">
    <cfRule type="duplicateValues" priority="4" dxfId="0"/>
    <cfRule type="duplicateValues" priority="5" dxfId="0"/>
  </conditionalFormatting>
  <conditionalFormatting sqref="A1541:A1542">
    <cfRule type="duplicateValues" priority="3" dxfId="0"/>
  </conditionalFormatting>
  <conditionalFormatting sqref="A1672:A1677">
    <cfRule type="duplicateValues" priority="2" dxfId="0"/>
  </conditionalFormatting>
  <conditionalFormatting sqref="A1678:A167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1008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9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 t="n">
        <v>1.1375</v>
      </c>
      <c r="M2" s="14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9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 t="n">
        <v>1.103125</v>
      </c>
      <c r="M3" s="14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9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 t="n">
        <v>1.084375</v>
      </c>
      <c r="M4" s="14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09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4" t="n">
        <v>1.005294117647059</v>
      </c>
      <c r="M5" s="14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9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 t="n">
        <v>1.049338364617541</v>
      </c>
      <c r="M6" s="14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9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 t="n">
        <v>1.018387371149503</v>
      </c>
      <c r="M7" s="14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9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 t="n">
        <v>1.013388888888889</v>
      </c>
      <c r="M8" s="14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9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4" t="n">
        <v>1.008861111111111</v>
      </c>
      <c r="M9" s="14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69</v>
      </c>
      <c r="B10" s="20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9" t="n">
        <v>46112</v>
      </c>
      <c r="G10" s="15" t="n">
        <v>2026</v>
      </c>
      <c r="H10" s="6" t="inlineStr">
        <is>
          <t>Marzo</t>
        </is>
      </c>
      <c r="I10" s="6" t="inlineStr">
        <is>
          <t>2026-1</t>
        </is>
      </c>
      <c r="J10" s="5" t="n">
        <v>90</v>
      </c>
      <c r="K10" s="5" t="n">
        <v>90.45999999999999</v>
      </c>
      <c r="L10" s="14" t="n">
        <v>1.005111111111111</v>
      </c>
      <c r="M10" s="14" t="n">
        <v>1.005111111111111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69-2026-03-31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Trimestral</t>
        </is>
      </c>
      <c r="E11" s="5" t="inlineStr">
        <is>
          <t>Negativo</t>
        </is>
      </c>
      <c r="F11" s="109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73" t="n">
        <v>20</v>
      </c>
      <c r="K11" s="9" t="n">
        <v>18.835</v>
      </c>
      <c r="L11" s="14" t="n">
        <v>1.061852933368728</v>
      </c>
      <c r="M11" s="14" t="n">
        <v>1.061852933368728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73-2022-12-31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9" t="n">
        <v>45291</v>
      </c>
      <c r="G12" s="5" t="n">
        <v>2023</v>
      </c>
      <c r="H12" s="5" t="inlineStr">
        <is>
          <t>Diciembre</t>
        </is>
      </c>
      <c r="I12" s="6" t="inlineStr">
        <is>
          <t>2023-2</t>
        </is>
      </c>
      <c r="J12" s="5" t="n">
        <v>20</v>
      </c>
      <c r="K12" s="5" t="n">
        <v>18</v>
      </c>
      <c r="L12" s="14" t="n">
        <v>1.111111111111111</v>
      </c>
      <c r="M12" s="14" t="n">
        <v>1.111111111111111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73-2023-12-31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Semestral</t>
        </is>
      </c>
      <c r="E13" s="5" t="inlineStr">
        <is>
          <t>Negativo</t>
        </is>
      </c>
      <c r="F13" s="109" t="n">
        <v>45657</v>
      </c>
      <c r="G13" s="5" t="n">
        <v>2024</v>
      </c>
      <c r="H13" s="5" t="inlineStr">
        <is>
          <t>Diciembre</t>
        </is>
      </c>
      <c r="I13" s="6" t="inlineStr">
        <is>
          <t>2024-2</t>
        </is>
      </c>
      <c r="J13" s="5" t="n">
        <v>20</v>
      </c>
      <c r="K13" s="5" t="n">
        <v>18.5</v>
      </c>
      <c r="L13" s="14" t="n">
        <v>1.081081081081081</v>
      </c>
      <c r="M13" s="14" t="n">
        <v>1.081081081081081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73-2024-12-31</t>
        </is>
      </c>
    </row>
    <row r="14">
      <c r="A14" s="5" t="n">
        <v>73</v>
      </c>
      <c r="B14" s="5" t="inlineStr">
        <is>
          <t>Tiempo respuesta selección y contratación de colaboradores de planta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Negativo</t>
        </is>
      </c>
      <c r="F14" s="109" t="n">
        <v>46022</v>
      </c>
      <c r="G14" s="5" t="n">
        <v>2025</v>
      </c>
      <c r="H14" s="5" t="inlineStr">
        <is>
          <t>Diciembre</t>
        </is>
      </c>
      <c r="I14" s="6" t="inlineStr">
        <is>
          <t>2025-2</t>
        </is>
      </c>
      <c r="J14" s="5" t="n">
        <v>20</v>
      </c>
      <c r="K14" s="15" t="n">
        <v>19.5</v>
      </c>
      <c r="L14" s="14" t="n">
        <v>1.025641025641026</v>
      </c>
      <c r="M14" s="14" t="n">
        <v>1.025641025641026</v>
      </c>
      <c r="N14" s="5" t="inlineStr">
        <is>
          <t>Días</t>
        </is>
      </c>
      <c r="O14" s="5" t="inlineStr">
        <is>
          <t>Días</t>
        </is>
      </c>
      <c r="P14" s="5" t="n">
        <v>0</v>
      </c>
      <c r="Q14" s="5" t="n">
        <v>0</v>
      </c>
      <c r="R14" s="5" t="inlineStr">
        <is>
          <t>73-2025-12-31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Trimestral</t>
        </is>
      </c>
      <c r="E15" s="5" t="inlineStr">
        <is>
          <t>Positivo</t>
        </is>
      </c>
      <c r="F15" s="109" t="n">
        <v>44926</v>
      </c>
      <c r="G15" s="5" t="n">
        <v>2022</v>
      </c>
      <c r="H15" s="5" t="inlineStr">
        <is>
          <t>Diciembre</t>
        </is>
      </c>
      <c r="I15" s="6" t="inlineStr">
        <is>
          <t>2022-2</t>
        </is>
      </c>
      <c r="J15" s="5" t="n">
        <v>80</v>
      </c>
      <c r="K15" s="5" t="n">
        <v>85.4473684210525</v>
      </c>
      <c r="L15" s="14" t="n">
        <v>1.068092105263156</v>
      </c>
      <c r="M15" s="14" t="n">
        <v>1.068092105263156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74-2022-12-31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9" t="n">
        <v>45291</v>
      </c>
      <c r="G16" s="15" t="n">
        <v>2023</v>
      </c>
      <c r="H16" s="6" t="inlineStr">
        <is>
          <t>Diciembre</t>
        </is>
      </c>
      <c r="I16" s="6" t="inlineStr">
        <is>
          <t>2023-2</t>
        </is>
      </c>
      <c r="J16" s="5" t="n">
        <v>80</v>
      </c>
      <c r="K16" s="5" t="n">
        <v>90.9097435897435</v>
      </c>
      <c r="L16" s="14" t="n">
        <v>1.136371794871794</v>
      </c>
      <c r="M16" s="14" t="n">
        <v>1.136371794871794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74-2023-12-31</t>
        </is>
      </c>
    </row>
    <row r="17">
      <c r="A17" s="5" t="n">
        <v>74</v>
      </c>
      <c r="B17" s="61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Semestral</t>
        </is>
      </c>
      <c r="E17" s="5" t="inlineStr">
        <is>
          <t>Positivo</t>
        </is>
      </c>
      <c r="F17" s="108" t="n">
        <v>45657</v>
      </c>
      <c r="G17" s="15" t="n">
        <v>2024</v>
      </c>
      <c r="H17" s="6" t="inlineStr">
        <is>
          <t>Diciembre</t>
        </is>
      </c>
      <c r="I17" s="6" t="inlineStr">
        <is>
          <t>2024-2</t>
        </is>
      </c>
      <c r="J17" s="5" t="n">
        <v>80</v>
      </c>
      <c r="K17" s="5" t="n">
        <v>93.49000000000001</v>
      </c>
      <c r="L17" s="14" t="n">
        <v>1.168625</v>
      </c>
      <c r="M17" s="14" t="n">
        <v>1.168625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74-2024-12-31</t>
        </is>
      </c>
    </row>
    <row r="18">
      <c r="A18" s="5" t="n">
        <v>74</v>
      </c>
      <c r="B18" s="5" t="inlineStr">
        <is>
          <t>Efectividad en las contrataciones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Positivo</t>
        </is>
      </c>
      <c r="F18" s="108" t="n">
        <v>46022</v>
      </c>
      <c r="G18" s="15" t="n">
        <v>2025</v>
      </c>
      <c r="H18" s="6" t="inlineStr">
        <is>
          <t>Diciembre</t>
        </is>
      </c>
      <c r="I18" s="6" t="inlineStr">
        <is>
          <t>2025-2</t>
        </is>
      </c>
      <c r="J18" s="5" t="n">
        <v>80</v>
      </c>
      <c r="K18" s="5" t="n">
        <v>90.905</v>
      </c>
      <c r="L18" s="14" t="n">
        <v>1.1363125</v>
      </c>
      <c r="M18" s="14" t="n">
        <v>1.1363125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 t="inlineStr">
        <is>
          <t>74-2025-12-31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8" t="n">
        <v>44926</v>
      </c>
      <c r="G19" s="15" t="n">
        <v>2022</v>
      </c>
      <c r="H19" s="6" t="inlineStr">
        <is>
          <t>Diciembre</t>
        </is>
      </c>
      <c r="I19" s="6" t="inlineStr">
        <is>
          <t>2022-2</t>
        </is>
      </c>
      <c r="J19" s="96" t="n">
        <v>97</v>
      </c>
      <c r="K19" s="96" t="n">
        <v>97.89999999999999</v>
      </c>
      <c r="L19" s="14" t="n">
        <v>1.009278350515464</v>
      </c>
      <c r="M19" s="14" t="n">
        <v>1.009278350515464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77-2022-12-31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9" t="n">
        <v>45291</v>
      </c>
      <c r="G20" s="5" t="n">
        <v>2023</v>
      </c>
      <c r="H20" s="5" t="inlineStr">
        <is>
          <t>Diciembre</t>
        </is>
      </c>
      <c r="I20" s="6" t="inlineStr">
        <is>
          <t>2023-2</t>
        </is>
      </c>
      <c r="J20" s="9" t="n">
        <v>97</v>
      </c>
      <c r="K20" s="9" t="n">
        <v>97.63333333333333</v>
      </c>
      <c r="L20" s="14" t="n">
        <v>1.006529209621993</v>
      </c>
      <c r="M20" s="14" t="n">
        <v>1.006529209621993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77-2023-12-31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9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97</v>
      </c>
      <c r="K21" s="5" t="n">
        <v>97.4325</v>
      </c>
      <c r="L21" s="14" t="n">
        <v>1.004458762886598</v>
      </c>
      <c r="M21" s="14" t="n">
        <v>1.004458762886598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77-2024-12-31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9" t="n">
        <v>46022</v>
      </c>
      <c r="G22" s="15" t="n">
        <v>2025</v>
      </c>
      <c r="H22" s="6" t="inlineStr">
        <is>
          <t>Diciembre</t>
        </is>
      </c>
      <c r="I22" s="6" t="inlineStr">
        <is>
          <t>2025-2</t>
        </is>
      </c>
      <c r="J22" s="5" t="n">
        <v>97</v>
      </c>
      <c r="K22" s="5" t="n">
        <v>95.71666666666665</v>
      </c>
      <c r="L22" s="14" t="n">
        <v>0.9867697594501716</v>
      </c>
      <c r="M22" s="14" t="n">
        <v>0.9867697594501716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77-2025-12-31</t>
        </is>
      </c>
    </row>
    <row r="23">
      <c r="A23" s="5" t="n">
        <v>77</v>
      </c>
      <c r="B23" s="5" t="inlineStr">
        <is>
          <t>Disponibilidad de servicios tecnológicos</t>
        </is>
      </c>
      <c r="C23" s="5" t="inlineStr">
        <is>
          <t>GESTIÓN DE LA TECNOLOGÍA E INNOVACIÓN DIGITAL</t>
        </is>
      </c>
      <c r="D23" s="5" t="inlineStr">
        <is>
          <t>Mensual</t>
        </is>
      </c>
      <c r="E23" s="5" t="inlineStr">
        <is>
          <t>Positivo</t>
        </is>
      </c>
      <c r="F23" s="109" t="n">
        <v>46142</v>
      </c>
      <c r="G23" s="5" t="n">
        <v>2026</v>
      </c>
      <c r="H23" s="5" t="inlineStr">
        <is>
          <t>Abril</t>
        </is>
      </c>
      <c r="I23" s="6" t="inlineStr">
        <is>
          <t>2026-1</t>
        </is>
      </c>
      <c r="J23" s="5" t="n">
        <v>97</v>
      </c>
      <c r="K23" s="5" t="n">
        <v>94.5</v>
      </c>
      <c r="L23" s="14" t="n">
        <v>0.9742268041237113</v>
      </c>
      <c r="M23" s="14" t="n">
        <v>0.9742268041237113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77-2026-04-30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9" t="n">
        <v>45291</v>
      </c>
      <c r="G24" s="5" t="n">
        <v>2023</v>
      </c>
      <c r="H24" s="5" t="inlineStr">
        <is>
          <t>Diciembre</t>
        </is>
      </c>
      <c r="I24" s="6" t="inlineStr">
        <is>
          <t>2023-2</t>
        </is>
      </c>
      <c r="J24" s="5" t="n">
        <v>100</v>
      </c>
      <c r="K24" s="5" t="n">
        <v>122</v>
      </c>
      <c r="L24" s="14" t="n">
        <v>1.22</v>
      </c>
      <c r="M24" s="14" t="n">
        <v>1.22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78-2023-12-31</t>
        </is>
      </c>
    </row>
    <row r="25">
      <c r="A25" s="5" t="n">
        <v>78</v>
      </c>
      <c r="B25" s="5" t="inlineStr">
        <is>
          <t>Cumplimiento programa de auditoría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9" t="n">
        <v>45657</v>
      </c>
      <c r="G25" s="5" t="n">
        <v>2024</v>
      </c>
      <c r="H25" s="5" t="inlineStr">
        <is>
          <t>Diciembre</t>
        </is>
      </c>
      <c r="I25" s="6" t="inlineStr">
        <is>
          <t>2024-2</t>
        </is>
      </c>
      <c r="J25" s="5" t="n">
        <v>100</v>
      </c>
      <c r="K25" s="5" t="n">
        <v>112.5</v>
      </c>
      <c r="L25" s="14" t="n">
        <v>1.125</v>
      </c>
      <c r="M25" s="14" t="n">
        <v>1.125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78-2024-12-31</t>
        </is>
      </c>
    </row>
    <row r="26">
      <c r="A26" s="5" t="n">
        <v>79</v>
      </c>
      <c r="B26" s="5" t="inlineStr">
        <is>
          <t>Cierre Eficaz De Oportunidades De Mejora De Auditoria Interna</t>
        </is>
      </c>
      <c r="C26" s="5" t="inlineStr">
        <is>
          <t>AUDITORÍA INTERNA</t>
        </is>
      </c>
      <c r="D26" s="5" t="inlineStr">
        <is>
          <t>Bimestral</t>
        </is>
      </c>
      <c r="E26" s="5" t="inlineStr">
        <is>
          <t>Positivo</t>
        </is>
      </c>
      <c r="F26" s="109" t="n">
        <v>45291</v>
      </c>
      <c r="G26" s="15" t="n">
        <v>2023</v>
      </c>
      <c r="H26" s="6" t="inlineStr">
        <is>
          <t>Diciembre</t>
        </is>
      </c>
      <c r="I26" s="6" t="inlineStr">
        <is>
          <t>2023-2</t>
        </is>
      </c>
      <c r="J26" s="5" t="n">
        <v>85</v>
      </c>
      <c r="K26" s="10" t="n">
        <v>98.8625</v>
      </c>
      <c r="L26" s="14" t="n">
        <v>1.163088235294118</v>
      </c>
      <c r="M26" s="14" t="n">
        <v>1.163088235294118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79-2023-12-31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9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100</v>
      </c>
      <c r="K27" s="5" t="n">
        <v>100</v>
      </c>
      <c r="L27" s="14" t="n">
        <v>1</v>
      </c>
      <c r="M27" s="14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84-2022-12-31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9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100</v>
      </c>
      <c r="K28" s="5" t="n">
        <v>100</v>
      </c>
      <c r="L28" s="14" t="n">
        <v>1</v>
      </c>
      <c r="M28" s="14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84-2023-12-31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9" t="n">
        <v>45657</v>
      </c>
      <c r="G29" s="5" t="n">
        <v>2024</v>
      </c>
      <c r="H29" s="5" t="inlineStr">
        <is>
          <t>Diciembre</t>
        </is>
      </c>
      <c r="I29" s="6" t="inlineStr">
        <is>
          <t>2024-2</t>
        </is>
      </c>
      <c r="J29" s="5" t="n">
        <v>100</v>
      </c>
      <c r="K29" s="5" t="n">
        <v>100</v>
      </c>
      <c r="L29" s="14" t="n">
        <v>1</v>
      </c>
      <c r="M29" s="14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84-2024-12-31</t>
        </is>
      </c>
    </row>
    <row r="30">
      <c r="A30" s="5" t="n">
        <v>84</v>
      </c>
      <c r="B30" s="5" t="inlineStr">
        <is>
          <t>Funcionamiento del COPASST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9" t="n">
        <v>46022</v>
      </c>
      <c r="G30" s="5" t="n">
        <v>2025</v>
      </c>
      <c r="H30" s="5" t="inlineStr">
        <is>
          <t>Diciembre</t>
        </is>
      </c>
      <c r="I30" s="6" t="inlineStr">
        <is>
          <t>2025-2</t>
        </is>
      </c>
      <c r="J30" s="5" t="n">
        <v>100</v>
      </c>
      <c r="K30" s="5" t="n">
        <v>100</v>
      </c>
      <c r="L30" s="14" t="n">
        <v>1</v>
      </c>
      <c r="M30" s="14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84-2025-12-31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9" t="n">
        <v>44926</v>
      </c>
      <c r="G31" s="5" t="n">
        <v>2022</v>
      </c>
      <c r="H31" s="5" t="inlineStr">
        <is>
          <t>Diciembre</t>
        </is>
      </c>
      <c r="I31" s="6" t="inlineStr">
        <is>
          <t>2022-2</t>
        </is>
      </c>
      <c r="J31" s="5" t="n">
        <v>100</v>
      </c>
      <c r="K31" s="5" t="n">
        <v>100</v>
      </c>
      <c r="L31" s="14" t="n">
        <v>1</v>
      </c>
      <c r="M31" s="14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85-2022-12-31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9" t="n">
        <v>45291</v>
      </c>
      <c r="G32" s="15" t="n">
        <v>2023</v>
      </c>
      <c r="H32" s="6" t="inlineStr">
        <is>
          <t>Diciembre</t>
        </is>
      </c>
      <c r="I32" s="6" t="inlineStr">
        <is>
          <t>2023-2</t>
        </is>
      </c>
      <c r="J32" s="5" t="n">
        <v>100</v>
      </c>
      <c r="K32" s="5" t="n">
        <v>100</v>
      </c>
      <c r="L32" s="14" t="n">
        <v>1</v>
      </c>
      <c r="M32" s="14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85-2023-12-31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9" t="n">
        <v>45657</v>
      </c>
      <c r="G33" s="5" t="n">
        <v>2024</v>
      </c>
      <c r="H33" s="5" t="inlineStr">
        <is>
          <t>Diciembre</t>
        </is>
      </c>
      <c r="I33" s="6" t="inlineStr">
        <is>
          <t>2024-2</t>
        </is>
      </c>
      <c r="J33" s="5" t="n">
        <v>100</v>
      </c>
      <c r="K33" s="5" t="n">
        <v>100</v>
      </c>
      <c r="L33" s="14" t="n">
        <v>1</v>
      </c>
      <c r="M33" s="14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85-2024-12-31</t>
        </is>
      </c>
    </row>
    <row r="34">
      <c r="A34" s="5" t="n">
        <v>85</v>
      </c>
      <c r="B34" s="5" t="inlineStr">
        <is>
          <t>Plan de Emergencias</t>
        </is>
      </c>
      <c r="C34" s="5" t="inlineStr">
        <is>
          <t>GESTIÓN DE SEGURIDAD Y SALUD EN EL TRABAJO</t>
        </is>
      </c>
      <c r="D34" s="5" t="inlineStr">
        <is>
          <t>Anual</t>
        </is>
      </c>
      <c r="E34" s="5" t="inlineStr">
        <is>
          <t>Positivo</t>
        </is>
      </c>
      <c r="F34" s="109" t="n">
        <v>46022</v>
      </c>
      <c r="G34" s="5" t="n">
        <v>2025</v>
      </c>
      <c r="H34" s="5" t="inlineStr">
        <is>
          <t>Diciembre</t>
        </is>
      </c>
      <c r="I34" s="6" t="inlineStr">
        <is>
          <t>2025-2</t>
        </is>
      </c>
      <c r="J34" s="5" t="n">
        <v>100</v>
      </c>
      <c r="K34" s="5" t="n">
        <v>100</v>
      </c>
      <c r="L34" s="14" t="n">
        <v>1</v>
      </c>
      <c r="M34" s="14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85-2025-12-31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Trimestral</t>
        </is>
      </c>
      <c r="E35" s="5" t="inlineStr">
        <is>
          <t>Positivo</t>
        </is>
      </c>
      <c r="F35" s="10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100</v>
      </c>
      <c r="K35" s="5" t="n">
        <v>100</v>
      </c>
      <c r="L35" s="14" t="n">
        <v>1</v>
      </c>
      <c r="M35" s="14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86-2022-12-31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9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100</v>
      </c>
      <c r="K36" s="5" t="n">
        <v>100</v>
      </c>
      <c r="L36" s="14" t="n">
        <v>1</v>
      </c>
      <c r="M36" s="14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86-2023-12-31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Semestral</t>
        </is>
      </c>
      <c r="E37" s="5" t="inlineStr">
        <is>
          <t>Positivo</t>
        </is>
      </c>
      <c r="F37" s="109" t="n">
        <v>45657</v>
      </c>
      <c r="G37" s="5" t="n">
        <v>2024</v>
      </c>
      <c r="H37" s="5" t="inlineStr">
        <is>
          <t>Diciembre</t>
        </is>
      </c>
      <c r="I37" s="6" t="inlineStr">
        <is>
          <t>2024-2</t>
        </is>
      </c>
      <c r="J37" s="5" t="n">
        <v>100</v>
      </c>
      <c r="K37" s="5" t="n">
        <v>100</v>
      </c>
      <c r="L37" s="14" t="n">
        <v>1</v>
      </c>
      <c r="M37" s="14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86-2024-12-31</t>
        </is>
      </c>
    </row>
    <row r="38">
      <c r="A38" s="5" t="n">
        <v>86</v>
      </c>
      <c r="B38" s="5" t="inlineStr">
        <is>
          <t>Reporte e investigación</t>
        </is>
      </c>
      <c r="C38" s="5" t="inlineStr">
        <is>
          <t>GESTIÓN DE SEGURIDAD Y SALUD EN EL TRABAJO</t>
        </is>
      </c>
      <c r="D38" s="5" t="inlineStr">
        <is>
          <t>Trimestral</t>
        </is>
      </c>
      <c r="E38" s="5" t="inlineStr">
        <is>
          <t>Positivo</t>
        </is>
      </c>
      <c r="F38" s="109" t="n">
        <v>46022</v>
      </c>
      <c r="G38" s="5" t="n">
        <v>2025</v>
      </c>
      <c r="H38" s="5" t="inlineStr">
        <is>
          <t>Diciembre</t>
        </is>
      </c>
      <c r="I38" s="6" t="inlineStr">
        <is>
          <t>2025-2</t>
        </is>
      </c>
      <c r="J38" s="5" t="n">
        <v>100</v>
      </c>
      <c r="K38" s="5" t="n">
        <v>100</v>
      </c>
      <c r="L38" s="14" t="n">
        <v>1</v>
      </c>
      <c r="M38" s="14" t="n">
        <v>1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86-2025-12-31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9" t="n">
        <v>44926</v>
      </c>
      <c r="G39" s="5" t="n">
        <v>2022</v>
      </c>
      <c r="H39" s="5" t="inlineStr">
        <is>
          <t>Diciembre</t>
        </is>
      </c>
      <c r="I39" s="6" t="inlineStr">
        <is>
          <t>2022-2</t>
        </is>
      </c>
      <c r="J39" s="5" t="n">
        <v>80</v>
      </c>
      <c r="K39" s="5" t="n">
        <v>99</v>
      </c>
      <c r="L39" s="14" t="n">
        <v>1.2375</v>
      </c>
      <c r="M39" s="14" t="n">
        <v>1.2375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87-2022-12-31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9" t="n">
        <v>45291</v>
      </c>
      <c r="G40" s="5" t="n">
        <v>2023</v>
      </c>
      <c r="H40" s="5" t="inlineStr">
        <is>
          <t>Diciembre</t>
        </is>
      </c>
      <c r="I40" s="6" t="inlineStr">
        <is>
          <t>2023-2</t>
        </is>
      </c>
      <c r="J40" s="5" t="n">
        <v>90</v>
      </c>
      <c r="K40" s="5" t="n">
        <v>100</v>
      </c>
      <c r="L40" s="14" t="n">
        <v>1.111111111111111</v>
      </c>
      <c r="M40" s="14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87-2023-12-31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9" t="n">
        <v>45657</v>
      </c>
      <c r="G41" s="5" t="n">
        <v>2024</v>
      </c>
      <c r="H41" s="5" t="inlineStr">
        <is>
          <t>Diciembre</t>
        </is>
      </c>
      <c r="I41" s="6" t="inlineStr">
        <is>
          <t>2024-2</t>
        </is>
      </c>
      <c r="J41" s="5" t="n">
        <v>90</v>
      </c>
      <c r="K41" s="5" t="n">
        <v>100</v>
      </c>
      <c r="L41" s="14" t="n">
        <v>1.111111111111111</v>
      </c>
      <c r="M41" s="14" t="n">
        <v>1.111111111111111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87-2024-12-31</t>
        </is>
      </c>
    </row>
    <row r="42">
      <c r="A42" s="5" t="n">
        <v>87</v>
      </c>
      <c r="B42" s="5" t="inlineStr">
        <is>
          <t>Autoevaluación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9" t="n">
        <v>46022</v>
      </c>
      <c r="G42" s="5" t="n">
        <v>2025</v>
      </c>
      <c r="H42" s="5" t="inlineStr">
        <is>
          <t>Diciembre</t>
        </is>
      </c>
      <c r="I42" s="6" t="inlineStr">
        <is>
          <t>2025-2</t>
        </is>
      </c>
      <c r="J42" s="5" t="n">
        <v>80</v>
      </c>
      <c r="K42" s="5" t="n">
        <v>100</v>
      </c>
      <c r="L42" s="14" t="n">
        <v>1.25</v>
      </c>
      <c r="M42" s="14" t="n">
        <v>1.25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87-2025-12-31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9" t="n">
        <v>44926</v>
      </c>
      <c r="G43" s="5" t="n">
        <v>2022</v>
      </c>
      <c r="H43" s="5" t="inlineStr">
        <is>
          <t>Diciembre</t>
        </is>
      </c>
      <c r="I43" s="6" t="inlineStr">
        <is>
          <t>2022-2</t>
        </is>
      </c>
      <c r="J43" s="5" t="n">
        <v>100</v>
      </c>
      <c r="K43" s="5" t="n">
        <v>99.344262295082</v>
      </c>
      <c r="L43" s="14" t="n">
        <v>0.9934426229508201</v>
      </c>
      <c r="M43" s="14" t="n">
        <v>0.9934426229508201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88-2022-12-31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9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100</v>
      </c>
      <c r="L44" s="14" t="n">
        <v>1</v>
      </c>
      <c r="M44" s="14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88-2023-12-31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9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100</v>
      </c>
      <c r="L45" s="14" t="n">
        <v>1</v>
      </c>
      <c r="M45" s="14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88-2024-12-31</t>
        </is>
      </c>
    </row>
    <row r="46">
      <c r="A46" s="5" t="n">
        <v>88</v>
      </c>
      <c r="B46" s="5" t="inlineStr">
        <is>
          <t>Ejecución del plan de trabajo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9" t="n">
        <v>46022</v>
      </c>
      <c r="G46" s="5" t="n">
        <v>2025</v>
      </c>
      <c r="H46" s="5" t="inlineStr">
        <is>
          <t>Diciembre</t>
        </is>
      </c>
      <c r="I46" s="6" t="inlineStr">
        <is>
          <t>2025-2</t>
        </is>
      </c>
      <c r="J46" s="5" t="n">
        <v>100</v>
      </c>
      <c r="K46" s="5" t="n">
        <v>100</v>
      </c>
      <c r="L46" s="14" t="n">
        <v>1</v>
      </c>
      <c r="M46" s="14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88-2025-12-31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9" t="n">
        <v>44926</v>
      </c>
      <c r="G47" s="5" t="n">
        <v>2022</v>
      </c>
      <c r="H47" s="5" t="inlineStr">
        <is>
          <t>Diciembre</t>
        </is>
      </c>
      <c r="I47" s="6" t="inlineStr">
        <is>
          <t>2022-2</t>
        </is>
      </c>
      <c r="J47" s="73" t="n">
        <v>100</v>
      </c>
      <c r="K47" s="9" t="n">
        <v>100</v>
      </c>
      <c r="L47" s="14" t="n">
        <v>1</v>
      </c>
      <c r="M47" s="14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89-2022-12-31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9" t="n">
        <v>45291</v>
      </c>
      <c r="G48" s="15" t="n">
        <v>2023</v>
      </c>
      <c r="H48" s="6" t="inlineStr">
        <is>
          <t>Diciembre</t>
        </is>
      </c>
      <c r="I48" s="6" t="inlineStr">
        <is>
          <t>2023-2</t>
        </is>
      </c>
      <c r="J48" s="5" t="n">
        <v>100</v>
      </c>
      <c r="K48" s="5" t="n">
        <v>100</v>
      </c>
      <c r="L48" s="14" t="n">
        <v>1</v>
      </c>
      <c r="M48" s="14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89-2023-12-31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9" t="n">
        <v>45657</v>
      </c>
      <c r="G49" s="5" t="n">
        <v>2024</v>
      </c>
      <c r="H49" s="5" t="inlineStr">
        <is>
          <t>Diciembre</t>
        </is>
      </c>
      <c r="I49" s="6" t="inlineStr">
        <is>
          <t>2024-2</t>
        </is>
      </c>
      <c r="J49" s="5" t="n">
        <v>100</v>
      </c>
      <c r="K49" s="5" t="n">
        <v>100</v>
      </c>
      <c r="L49" s="14" t="n">
        <v>1</v>
      </c>
      <c r="M49" s="14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89-2024-12-31</t>
        </is>
      </c>
    </row>
    <row r="50">
      <c r="A50" s="5" t="n">
        <v>89</v>
      </c>
      <c r="B50" s="5" t="inlineStr">
        <is>
          <t>Ejecución plan de capacitación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9" t="n">
        <v>46022</v>
      </c>
      <c r="G50" s="5" t="n">
        <v>2025</v>
      </c>
      <c r="H50" s="5" t="inlineStr">
        <is>
          <t>Diciembre</t>
        </is>
      </c>
      <c r="I50" s="6" t="inlineStr">
        <is>
          <t>2025-2</t>
        </is>
      </c>
      <c r="J50" s="5" t="n">
        <v>100</v>
      </c>
      <c r="K50" s="10" t="n">
        <v>100</v>
      </c>
      <c r="L50" s="1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89-2025-12-31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9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1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90-2022-12-31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9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1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90-2023-12-31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9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73" t="n">
        <v>100</v>
      </c>
      <c r="K53" s="9" t="n">
        <v>100</v>
      </c>
      <c r="L53" s="1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90-2024-12-31</t>
        </is>
      </c>
    </row>
    <row r="54">
      <c r="A54" s="5" t="n">
        <v>90</v>
      </c>
      <c r="B54" s="5" t="inlineStr">
        <is>
          <t>Ejecución de Simulacros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9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90-2025-12-31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9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91-2022-12-31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9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5" t="n">
        <v>100</v>
      </c>
      <c r="K56" s="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91-2023-12-31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9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91-2024-12-31</t>
        </is>
      </c>
    </row>
    <row r="58">
      <c r="A58" s="5" t="n">
        <v>91</v>
      </c>
      <c r="B58" s="5" t="inlineStr">
        <is>
          <t>Participación en capacitaciones SST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9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15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91-2025-12-31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9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5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92-2022-12-31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9" t="n">
        <v>45291</v>
      </c>
      <c r="G60" s="5" t="n">
        <v>2023</v>
      </c>
      <c r="H60" s="5" t="inlineStr">
        <is>
          <t>Diciembre</t>
        </is>
      </c>
      <c r="I60" s="6" t="inlineStr">
        <is>
          <t>2023-2</t>
        </is>
      </c>
      <c r="J60" s="5" t="n">
        <v>100</v>
      </c>
      <c r="K60" s="5" t="n">
        <v>100</v>
      </c>
      <c r="L60" s="14" t="n">
        <v>1</v>
      </c>
      <c r="M60" s="14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92-2023-12-31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9" t="n">
        <v>45657</v>
      </c>
      <c r="G61" s="5" t="n">
        <v>2024</v>
      </c>
      <c r="H61" s="5" t="inlineStr">
        <is>
          <t>Diciembre</t>
        </is>
      </c>
      <c r="I61" s="6" t="inlineStr">
        <is>
          <t>2024-2</t>
        </is>
      </c>
      <c r="J61" s="5" t="n">
        <v>98</v>
      </c>
      <c r="K61" s="5" t="n">
        <v>100</v>
      </c>
      <c r="L61" s="14" t="n">
        <v>1.020408163265306</v>
      </c>
      <c r="M61" s="14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92-2024-12-31</t>
        </is>
      </c>
    </row>
    <row r="62">
      <c r="A62" s="5" t="n">
        <v>92</v>
      </c>
      <c r="B62" s="5" t="inlineStr">
        <is>
          <t>Evaluación condiciones de salud (examen médico)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9" t="n">
        <v>46022</v>
      </c>
      <c r="G62" s="5" t="n">
        <v>2025</v>
      </c>
      <c r="H62" s="5" t="inlineStr">
        <is>
          <t>Diciembre</t>
        </is>
      </c>
      <c r="I62" s="6" t="inlineStr">
        <is>
          <t>2025-2</t>
        </is>
      </c>
      <c r="J62" s="5" t="n">
        <v>98</v>
      </c>
      <c r="K62" s="5" t="n">
        <v>100</v>
      </c>
      <c r="L62" s="14" t="n">
        <v>1.020408163265306</v>
      </c>
      <c r="M62" s="14" t="n">
        <v>1.020408163265306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92-2025-12-31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9" t="n">
        <v>44926</v>
      </c>
      <c r="G63" s="5" t="n">
        <v>2022</v>
      </c>
      <c r="H63" s="5" t="inlineStr">
        <is>
          <t>Diciembre</t>
        </is>
      </c>
      <c r="I63" s="6" t="inlineStr">
        <is>
          <t>2022-2</t>
        </is>
      </c>
      <c r="J63" s="96" t="n">
        <v>100</v>
      </c>
      <c r="K63" s="96" t="n">
        <v>100</v>
      </c>
      <c r="L63" s="1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94-2022-12-31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9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100</v>
      </c>
      <c r="K64" s="5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94-2023-12-31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9" t="n">
        <v>45657</v>
      </c>
      <c r="G65" s="5" t="n">
        <v>2024</v>
      </c>
      <c r="H65" s="5" t="inlineStr">
        <is>
          <t>Diciembre</t>
        </is>
      </c>
      <c r="I65" s="6" t="inlineStr">
        <is>
          <t>2024-2</t>
        </is>
      </c>
      <c r="J65" s="5" t="n">
        <v>100</v>
      </c>
      <c r="K65" s="5" t="n">
        <v>100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94-2024-12-31</t>
        </is>
      </c>
    </row>
    <row r="66">
      <c r="A66" s="5" t="n">
        <v>94</v>
      </c>
      <c r="B66" s="5" t="inlineStr">
        <is>
          <t>Cobertura Elementos de Protección Personal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9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94-2025-12-31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Trimestral</t>
        </is>
      </c>
      <c r="E67" s="5" t="inlineStr">
        <is>
          <t>Positivo</t>
        </is>
      </c>
      <c r="F67" s="109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100</v>
      </c>
      <c r="K67" s="5" t="n">
        <v>100</v>
      </c>
      <c r="L67" s="14" t="n">
        <v>1</v>
      </c>
      <c r="M67" s="14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95-2022-12-31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9" t="n">
        <v>45291</v>
      </c>
      <c r="G68" s="15" t="n">
        <v>2023</v>
      </c>
      <c r="H68" s="6" t="inlineStr">
        <is>
          <t>Diciembre</t>
        </is>
      </c>
      <c r="I68" s="6" t="inlineStr">
        <is>
          <t>2023-2</t>
        </is>
      </c>
      <c r="J68" s="5" t="n">
        <v>100</v>
      </c>
      <c r="K68" s="5" t="n">
        <v>100</v>
      </c>
      <c r="L68" s="14" t="n">
        <v>1</v>
      </c>
      <c r="M68" s="14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95-2023-12-31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Semestral</t>
        </is>
      </c>
      <c r="E69" s="5" t="inlineStr">
        <is>
          <t>Positivo</t>
        </is>
      </c>
      <c r="F69" s="109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100</v>
      </c>
      <c r="K69" s="5" t="n">
        <v>100</v>
      </c>
      <c r="L69" s="14" t="n">
        <v>1</v>
      </c>
      <c r="M69" s="14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95-2024-12-31</t>
        </is>
      </c>
    </row>
    <row r="70">
      <c r="A70" s="5" t="n">
        <v>95</v>
      </c>
      <c r="B70" s="5" t="inlineStr">
        <is>
          <t>Inspecciones de seguridad</t>
        </is>
      </c>
      <c r="C70" s="5" t="inlineStr">
        <is>
          <t>GESTIÓN DE SEGURIDAD Y SALUD EN EL TRABAJO</t>
        </is>
      </c>
      <c r="D70" s="5" t="inlineStr">
        <is>
          <t>Trimestral</t>
        </is>
      </c>
      <c r="E70" s="5" t="inlineStr">
        <is>
          <t>Positivo</t>
        </is>
      </c>
      <c r="F70" s="109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100</v>
      </c>
      <c r="K70" s="5" t="n">
        <v>100</v>
      </c>
      <c r="L70" s="14" t="n">
        <v>1</v>
      </c>
      <c r="M70" s="14" t="n">
        <v>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95-2025-12-31</t>
        </is>
      </c>
    </row>
    <row r="71">
      <c r="A71" s="5" t="n">
        <v>96</v>
      </c>
      <c r="B71" s="5" t="inlineStr">
        <is>
          <t>Productos de investigación, innovación y creación</t>
        </is>
      </c>
      <c r="C71" s="5" t="inlineStr">
        <is>
          <t>Investigación, desarrollo tecnológico, innovación y creación</t>
        </is>
      </c>
      <c r="D71" s="5" t="inlineStr">
        <is>
          <t>Semestral</t>
        </is>
      </c>
      <c r="E71" s="5" t="inlineStr">
        <is>
          <t>Positivo</t>
        </is>
      </c>
      <c r="F71" s="109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509</v>
      </c>
      <c r="K71" s="5" t="n">
        <v>565</v>
      </c>
      <c r="L71" s="14" t="n">
        <v>1.110019646365422</v>
      </c>
      <c r="M71" s="14" t="n">
        <v>1.110019646365422</v>
      </c>
      <c r="N71" s="5" t="inlineStr">
        <is>
          <t>ENT</t>
        </is>
      </c>
      <c r="O71" s="5" t="inlineStr">
        <is>
          <t>ENT</t>
        </is>
      </c>
      <c r="P71" s="5" t="n">
        <v>0</v>
      </c>
      <c r="Q71" s="5" t="n">
        <v>0</v>
      </c>
      <c r="R71" s="5" t="inlineStr">
        <is>
          <t>96-2022-12-31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9" t="n">
        <v>44926</v>
      </c>
      <c r="G72" s="5" t="n">
        <v>2022</v>
      </c>
      <c r="H72" s="5" t="inlineStr">
        <is>
          <t>Diciembre</t>
        </is>
      </c>
      <c r="I72" s="6" t="inlineStr">
        <is>
          <t>2022-2</t>
        </is>
      </c>
      <c r="J72" s="5" t="n">
        <v>100</v>
      </c>
      <c r="K72" s="5" t="n">
        <v>98.3</v>
      </c>
      <c r="L72" s="14" t="n">
        <v>0.983</v>
      </c>
      <c r="M72" s="14" t="n">
        <v>0.983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100-2022-12-31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9" t="n">
        <v>45291</v>
      </c>
      <c r="G73" s="5" t="n">
        <v>2023</v>
      </c>
      <c r="H73" s="5" t="inlineStr">
        <is>
          <t>Diciembre</t>
        </is>
      </c>
      <c r="I73" s="6" t="inlineStr">
        <is>
          <t>2023-2</t>
        </is>
      </c>
      <c r="J73" s="5" t="n">
        <v>100</v>
      </c>
      <c r="K73" s="5" t="n">
        <v>99</v>
      </c>
      <c r="L73" s="14" t="n">
        <v>0.99</v>
      </c>
      <c r="M73" s="14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100-2023-12-31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9" t="n">
        <v>45657</v>
      </c>
      <c r="G74" s="5" t="n">
        <v>2024</v>
      </c>
      <c r="H74" s="5" t="inlineStr">
        <is>
          <t>Diciembre</t>
        </is>
      </c>
      <c r="I74" s="6" t="inlineStr">
        <is>
          <t>2024-2</t>
        </is>
      </c>
      <c r="J74" s="5" t="n">
        <v>100</v>
      </c>
      <c r="K74" s="5" t="n">
        <v>99</v>
      </c>
      <c r="L74" s="14" t="n">
        <v>0.99</v>
      </c>
      <c r="M74" s="14" t="n">
        <v>0.99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100-2024-12-31</t>
        </is>
      </c>
    </row>
    <row r="75">
      <c r="A75" s="5" t="n">
        <v>100</v>
      </c>
      <c r="B75" s="5" t="inlineStr">
        <is>
          <t>Cumplimiento de requisitos legales SST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9" t="n">
        <v>46022</v>
      </c>
      <c r="G75" s="5" t="n">
        <v>2025</v>
      </c>
      <c r="H75" s="5" t="inlineStr">
        <is>
          <t>Diciembre</t>
        </is>
      </c>
      <c r="I75" s="6" t="inlineStr">
        <is>
          <t>2025-2</t>
        </is>
      </c>
      <c r="J75" s="5" t="n">
        <v>100</v>
      </c>
      <c r="K75" s="5" t="n">
        <v>100</v>
      </c>
      <c r="L75" s="1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100-2025-12-31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9" t="n">
        <v>44926</v>
      </c>
      <c r="G76" s="5" t="n">
        <v>2022</v>
      </c>
      <c r="H76" s="5" t="inlineStr">
        <is>
          <t>Diciembre</t>
        </is>
      </c>
      <c r="I76" s="6" t="inlineStr">
        <is>
          <t>2022-2</t>
        </is>
      </c>
      <c r="J76" s="5" t="n">
        <v>2.14</v>
      </c>
      <c r="K76" s="5" t="n">
        <v>0.37174721189591</v>
      </c>
      <c r="L76" s="14" t="n">
        <v>1.3</v>
      </c>
      <c r="M76" s="14" t="n">
        <v>5.756600000000013</v>
      </c>
      <c r="N76" s="5" t="inlineStr">
        <is>
          <t>DEC</t>
        </is>
      </c>
      <c r="O76" s="5" t="inlineStr">
        <is>
          <t>DEC</t>
        </is>
      </c>
      <c r="P76" s="5" t="n">
        <v>1</v>
      </c>
      <c r="Q76" s="5" t="n">
        <v>2</v>
      </c>
      <c r="R76" s="5" t="inlineStr">
        <is>
          <t>104-2022-12-31</t>
        </is>
      </c>
    </row>
    <row r="77">
      <c r="A77" s="5" t="n">
        <v>104</v>
      </c>
      <c r="B77" s="61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9" t="n">
        <v>45291</v>
      </c>
      <c r="G77" s="5" t="n">
        <v>2023</v>
      </c>
      <c r="H77" s="5" t="inlineStr">
        <is>
          <t>Diciembre</t>
        </is>
      </c>
      <c r="I77" s="6" t="inlineStr">
        <is>
          <t>2023-2</t>
        </is>
      </c>
      <c r="J77" s="5" t="n">
        <v>2.14</v>
      </c>
      <c r="K77" s="5" t="n">
        <v>0.47</v>
      </c>
      <c r="L77" s="14" t="n">
        <v>1.3</v>
      </c>
      <c r="M77" s="14" t="n">
        <v>4.553191489361702</v>
      </c>
      <c r="N77" s="5" t="inlineStr">
        <is>
          <t>DEC</t>
        </is>
      </c>
      <c r="O77" s="5" t="inlineStr">
        <is>
          <t>DEC</t>
        </is>
      </c>
      <c r="P77" s="5" t="n">
        <v>2</v>
      </c>
      <c r="Q77" s="5" t="n">
        <v>2</v>
      </c>
      <c r="R77" s="5" t="inlineStr">
        <is>
          <t>104-2023-12-31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9" t="n">
        <v>45657</v>
      </c>
      <c r="G78" s="5" t="n">
        <v>2024</v>
      </c>
      <c r="H78" s="5" t="inlineStr">
        <is>
          <t>Diciembre</t>
        </is>
      </c>
      <c r="I78" s="6" t="inlineStr">
        <is>
          <t>2024-2</t>
        </is>
      </c>
      <c r="J78" s="5" t="n">
        <v>1.2</v>
      </c>
      <c r="K78" s="5" t="n">
        <v>0.11</v>
      </c>
      <c r="L78" s="14" t="n">
        <v>1.3</v>
      </c>
      <c r="M78" s="14" t="n">
        <v>10.90909090909091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104-2024-12-31</t>
        </is>
      </c>
    </row>
    <row r="79">
      <c r="A79" s="5" t="n">
        <v>104</v>
      </c>
      <c r="B79" s="5" t="inlineStr">
        <is>
          <t>Tasa de accidentalidad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9" t="n">
        <v>46022</v>
      </c>
      <c r="G79" s="5" t="n">
        <v>2025</v>
      </c>
      <c r="H79" s="5" t="inlineStr">
        <is>
          <t>Diciembre</t>
        </is>
      </c>
      <c r="I79" s="6" t="inlineStr">
        <is>
          <t>2025-2</t>
        </is>
      </c>
      <c r="J79" s="5" t="n">
        <v>2.14</v>
      </c>
      <c r="K79" s="5" t="n">
        <v>0.21</v>
      </c>
      <c r="L79" s="14" t="n">
        <v>1.3</v>
      </c>
      <c r="M79" s="14" t="n">
        <v>10.19047619047619</v>
      </c>
      <c r="N79" s="5" t="inlineStr">
        <is>
          <t>DEC</t>
        </is>
      </c>
      <c r="O79" s="5" t="inlineStr">
        <is>
          <t>DEC</t>
        </is>
      </c>
      <c r="P79" s="5" t="n">
        <v>1</v>
      </c>
      <c r="Q79" s="5" t="n">
        <v>2</v>
      </c>
      <c r="R79" s="5" t="inlineStr">
        <is>
          <t>104-2025-12-31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9" t="n">
        <v>44926</v>
      </c>
      <c r="G80" s="5" t="n">
        <v>2022</v>
      </c>
      <c r="H80" s="5" t="inlineStr">
        <is>
          <t>Diciembre</t>
        </is>
      </c>
      <c r="I80" s="6" t="inlineStr">
        <is>
          <t>2022-2</t>
        </is>
      </c>
      <c r="J80" s="5" t="n">
        <v>0</v>
      </c>
      <c r="K80" s="5" t="n">
        <v>0</v>
      </c>
      <c r="L80" s="14" t="n">
        <v>1</v>
      </c>
      <c r="M80" s="14" t="n">
        <v>1</v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106-2022-12-31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9" t="n">
        <v>45291</v>
      </c>
      <c r="G81" s="5" t="n">
        <v>2023</v>
      </c>
      <c r="H81" s="5" t="inlineStr">
        <is>
          <t>Diciembre</t>
        </is>
      </c>
      <c r="I81" s="6" t="inlineStr">
        <is>
          <t>2023-2</t>
        </is>
      </c>
      <c r="J81" s="73" t="n">
        <v>0</v>
      </c>
      <c r="K81" s="9" t="n">
        <v>0</v>
      </c>
      <c r="L81" s="14" t="n">
        <v>1</v>
      </c>
      <c r="M81" s="14" t="n">
        <v>1</v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106-2023-12-31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9" t="n">
        <v>45657</v>
      </c>
      <c r="G82" s="5" t="n">
        <v>2024</v>
      </c>
      <c r="H82" s="5" t="inlineStr">
        <is>
          <t>Diciembre</t>
        </is>
      </c>
      <c r="I82" s="6" t="inlineStr">
        <is>
          <t>2024-2</t>
        </is>
      </c>
      <c r="J82" s="5" t="n">
        <v>0</v>
      </c>
      <c r="K82" s="5" t="n">
        <v>0</v>
      </c>
      <c r="L82" s="14" t="n">
        <v>1</v>
      </c>
      <c r="M82" s="14" t="n">
        <v>1</v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106-2024-12-31</t>
        </is>
      </c>
    </row>
    <row r="83">
      <c r="A83" s="5" t="n">
        <v>106</v>
      </c>
      <c r="B83" s="5" t="inlineStr">
        <is>
          <t>Mortalidad de los accidentes laborales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Negativo</t>
        </is>
      </c>
      <c r="F83" s="109" t="n">
        <v>46022</v>
      </c>
      <c r="G83" s="5" t="n">
        <v>2025</v>
      </c>
      <c r="H83" s="5" t="inlineStr">
        <is>
          <t>Diciembre</t>
        </is>
      </c>
      <c r="I83" s="6" t="inlineStr">
        <is>
          <t>2025-2</t>
        </is>
      </c>
      <c r="J83" s="5" t="n">
        <v>0</v>
      </c>
      <c r="K83" s="5" t="n">
        <v>0</v>
      </c>
      <c r="L83" s="14" t="n">
        <v>1</v>
      </c>
      <c r="M83" s="14" t="n">
        <v>1</v>
      </c>
      <c r="N83" s="5" t="inlineStr">
        <is>
          <t>DEC</t>
        </is>
      </c>
      <c r="O83" s="5" t="inlineStr">
        <is>
          <t>DEC</t>
        </is>
      </c>
      <c r="P83" s="5" t="n">
        <v>0</v>
      </c>
      <c r="Q83" s="5" t="n">
        <v>0</v>
      </c>
      <c r="R83" s="5" t="inlineStr">
        <is>
          <t>106-2025-12-31</t>
        </is>
      </c>
    </row>
    <row r="84">
      <c r="A84" s="5" t="n">
        <v>108</v>
      </c>
      <c r="B84" s="5" t="inlineStr">
        <is>
          <t>Nivel de Satisfacción Servicios Prestados</t>
        </is>
      </c>
      <c r="C84" s="5" t="inlineStr">
        <is>
          <t>DIRECCIONAMIENTO ESTRATÉGICO</t>
        </is>
      </c>
      <c r="D84" s="5" t="inlineStr">
        <is>
          <t>Anual</t>
        </is>
      </c>
      <c r="E84" s="5" t="inlineStr">
        <is>
          <t>Positivo</t>
        </is>
      </c>
      <c r="F84" s="109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73" t="n"/>
      <c r="K84" s="9" t="n"/>
      <c r="L84" s="14" t="n"/>
      <c r="M84" s="14" t="n"/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108-2024-12-31</t>
        </is>
      </c>
    </row>
    <row r="85">
      <c r="A85" s="5" t="n">
        <v>109</v>
      </c>
      <c r="B85" s="5" t="inlineStr">
        <is>
          <t>Nivel de Satisfacción Servicios Prestados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9" t="n">
        <v>45230</v>
      </c>
      <c r="G85" s="5" t="n">
        <v>2023</v>
      </c>
      <c r="H85" s="5" t="inlineStr">
        <is>
          <t>Octubre</t>
        </is>
      </c>
      <c r="I85" s="6" t="inlineStr">
        <is>
          <t>2023-2</t>
        </is>
      </c>
      <c r="J85" s="5" t="n">
        <v>80</v>
      </c>
      <c r="K85" s="5" t="n">
        <v>0</v>
      </c>
      <c r="L85" s="14" t="n">
        <v>0</v>
      </c>
      <c r="M85" s="14" t="n">
        <v>0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109-2023-10-31</t>
        </is>
      </c>
    </row>
    <row r="86">
      <c r="A86" s="5" t="n">
        <v>109</v>
      </c>
      <c r="B86" s="5" t="inlineStr">
        <is>
          <t>Nivel de Satisfacción -Comunicaciones internas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9" t="n">
        <v>45291</v>
      </c>
      <c r="G86" s="5" t="n">
        <v>2023</v>
      </c>
      <c r="H86" s="5" t="inlineStr">
        <is>
          <t>Diciembre</t>
        </is>
      </c>
      <c r="I86" s="6" t="inlineStr">
        <is>
          <t>2023-2</t>
        </is>
      </c>
      <c r="J86" s="5" t="n">
        <v>80</v>
      </c>
      <c r="K86" s="5" t="n">
        <v>87.3927677036683</v>
      </c>
      <c r="L86" s="14" t="n">
        <v>1.092409596295854</v>
      </c>
      <c r="M86" s="14" t="n">
        <v>1.092409596295854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109-2023-12-31</t>
        </is>
      </c>
    </row>
    <row r="87">
      <c r="A87" s="5" t="n">
        <v>109</v>
      </c>
      <c r="B87" s="5" t="inlineStr">
        <is>
          <t>Nivel de Satisfacción Servicios Prestados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9" t="n">
        <v>45596</v>
      </c>
      <c r="G87" s="5" t="n">
        <v>2024</v>
      </c>
      <c r="H87" s="5" t="inlineStr">
        <is>
          <t>Octubre</t>
        </is>
      </c>
      <c r="I87" s="6" t="inlineStr">
        <is>
          <t>2024-2</t>
        </is>
      </c>
      <c r="J87" s="5" t="n">
        <v>80</v>
      </c>
      <c r="K87" s="5" t="n">
        <v>85</v>
      </c>
      <c r="L87" s="14" t="n">
        <v>1.0625</v>
      </c>
      <c r="M87" s="14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109-2024-10-31</t>
        </is>
      </c>
    </row>
    <row r="88">
      <c r="A88" s="5" t="n">
        <v>109</v>
      </c>
      <c r="B88" s="5" t="inlineStr">
        <is>
          <t>Nivel de Satisfacción -Comunicaciones internas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9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80</v>
      </c>
      <c r="K88" s="5" t="n">
        <v>85</v>
      </c>
      <c r="L88" s="14" t="n">
        <v>1.0625</v>
      </c>
      <c r="M88" s="14" t="n">
        <v>1.0625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109-2024-12-31</t>
        </is>
      </c>
    </row>
    <row r="89">
      <c r="A89" s="5" t="n">
        <v>109</v>
      </c>
      <c r="B89" s="5" t="inlineStr">
        <is>
          <t>Nivel de Satisfacción Servicios Prestados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9" t="n">
        <v>45961</v>
      </c>
      <c r="G89" s="5" t="n">
        <v>2025</v>
      </c>
      <c r="H89" s="5" t="inlineStr">
        <is>
          <t>Octubre</t>
        </is>
      </c>
      <c r="I89" s="6" t="inlineStr">
        <is>
          <t>2025-2</t>
        </is>
      </c>
      <c r="J89" s="5" t="n">
        <v>80</v>
      </c>
      <c r="K89" s="5" t="n">
        <v>94</v>
      </c>
      <c r="L89" s="14" t="n">
        <v>1.175</v>
      </c>
      <c r="M89" s="14" t="n">
        <v>1.175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109-2025-10-31</t>
        </is>
      </c>
    </row>
    <row r="90">
      <c r="A90" s="5" t="n">
        <v>109</v>
      </c>
      <c r="B90" s="5" t="inlineStr">
        <is>
          <t>Nivel de Satisfacción Servicios Prestados - Comunicaciones Internas</t>
        </is>
      </c>
      <c r="C90" s="5" t="inlineStr">
        <is>
          <t>Comunicaciones Internas</t>
        </is>
      </c>
      <c r="D90" s="5" t="inlineStr">
        <is>
          <t>Anual</t>
        </is>
      </c>
      <c r="E90" s="5" t="inlineStr">
        <is>
          <t>Positivo</t>
        </is>
      </c>
      <c r="F90" s="109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80</v>
      </c>
      <c r="K90" s="5" t="n">
        <v>94</v>
      </c>
      <c r="L90" s="14" t="n">
        <v>1.175</v>
      </c>
      <c r="M90" s="14" t="n">
        <v>1.175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109-2025-12-31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9" t="n">
        <v>44865</v>
      </c>
      <c r="G91" s="5" t="n">
        <v>2022</v>
      </c>
      <c r="H91" s="5" t="inlineStr">
        <is>
          <t>Octubre</t>
        </is>
      </c>
      <c r="I91" s="6" t="inlineStr">
        <is>
          <t>2022-2</t>
        </is>
      </c>
      <c r="J91" s="5" t="n">
        <v>80</v>
      </c>
      <c r="K91" s="5" t="n">
        <v>73.4019151138716</v>
      </c>
      <c r="L91" s="14" t="n">
        <v>0.9175239389233949</v>
      </c>
      <c r="M91" s="14" t="n">
        <v>0.9175239389233949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110-2022-10-31</t>
        </is>
      </c>
    </row>
    <row r="92">
      <c r="A92" s="5" t="n">
        <v>110</v>
      </c>
      <c r="B92" s="5" t="inlineStr">
        <is>
          <t>Nivel de Satisfacción Servicios Prestados</t>
        </is>
      </c>
      <c r="C92" s="5" t="inlineStr">
        <is>
          <t>Planeación Financiera</t>
        </is>
      </c>
      <c r="D92" s="5" t="inlineStr">
        <is>
          <t>Anual</t>
        </is>
      </c>
      <c r="E92" s="5" t="inlineStr">
        <is>
          <t>Positivo</t>
        </is>
      </c>
      <c r="F92" s="109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80</v>
      </c>
      <c r="K92" s="5" t="n">
        <v>78</v>
      </c>
      <c r="L92" s="14" t="n">
        <v>0.975</v>
      </c>
      <c r="M92" s="14" t="n">
        <v>0.975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110-2023-12-31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Semestral</t>
        </is>
      </c>
      <c r="E93" s="5" t="inlineStr">
        <is>
          <t>Positivo</t>
        </is>
      </c>
      <c r="F93" s="109" t="n">
        <v>44834</v>
      </c>
      <c r="G93" s="5" t="n">
        <v>2022</v>
      </c>
      <c r="H93" s="5" t="inlineStr">
        <is>
          <t>Septiembre</t>
        </is>
      </c>
      <c r="I93" s="6" t="inlineStr">
        <is>
          <t>2022-2</t>
        </is>
      </c>
      <c r="J93" s="5" t="n">
        <v>80</v>
      </c>
      <c r="K93" s="5" t="n">
        <v>70</v>
      </c>
      <c r="L93" s="14" t="n">
        <v>0.875</v>
      </c>
      <c r="M93" s="14" t="n">
        <v>0.875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111-2022-09-30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9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80</v>
      </c>
      <c r="K94" s="5" t="n">
        <v>91.5</v>
      </c>
      <c r="L94" s="14" t="n">
        <v>1.14375</v>
      </c>
      <c r="M94" s="14" t="n">
        <v>1.14375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111-2023-12-31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Trimestral</t>
        </is>
      </c>
      <c r="E95" s="5" t="inlineStr">
        <is>
          <t>Positivo</t>
        </is>
      </c>
      <c r="F95" s="109" t="n">
        <v>45657</v>
      </c>
      <c r="G95" s="5" t="n">
        <v>2024</v>
      </c>
      <c r="H95" s="5" t="inlineStr">
        <is>
          <t>Diciembre</t>
        </is>
      </c>
      <c r="I95" s="6" t="inlineStr">
        <is>
          <t>2024-2</t>
        </is>
      </c>
      <c r="J95" s="5" t="n">
        <v>80</v>
      </c>
      <c r="K95" s="5" t="n">
        <v>92.675</v>
      </c>
      <c r="L95" s="14" t="n">
        <v>1.1584375</v>
      </c>
      <c r="M95" s="14" t="n">
        <v>1.1584375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111-2024-12-31</t>
        </is>
      </c>
    </row>
    <row r="96">
      <c r="A96" s="5" t="n">
        <v>111</v>
      </c>
      <c r="B96" s="5" t="inlineStr">
        <is>
          <t>Nivel de Satisfacción Servicios Prestados</t>
        </is>
      </c>
      <c r="C96" s="5" t="inlineStr">
        <is>
          <t>GESTIÓN DE ABASTECIMIENTO</t>
        </is>
      </c>
      <c r="D96" s="5" t="inlineStr">
        <is>
          <t>Semestral</t>
        </is>
      </c>
      <c r="E96" s="5" t="inlineStr">
        <is>
          <t>Positivo</t>
        </is>
      </c>
      <c r="F96" s="109" t="n">
        <v>46022</v>
      </c>
      <c r="G96" s="5" t="n">
        <v>2025</v>
      </c>
      <c r="H96" s="5" t="inlineStr">
        <is>
          <t>Diciembre</t>
        </is>
      </c>
      <c r="I96" s="6" t="inlineStr">
        <is>
          <t>2025-2</t>
        </is>
      </c>
      <c r="J96" s="5" t="n">
        <v>80</v>
      </c>
      <c r="K96" s="5" t="n">
        <v>93.93333333333334</v>
      </c>
      <c r="L96" s="14" t="n">
        <v>1.174166666666667</v>
      </c>
      <c r="M96" s="14" t="n">
        <v>1.174166666666667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111-2025-12-31</t>
        </is>
      </c>
    </row>
    <row r="97">
      <c r="A97" s="5" t="n">
        <v>111</v>
      </c>
      <c r="B97" s="5" t="inlineStr">
        <is>
          <t>Nivel de Satisfacción Servicios Prestados</t>
        </is>
      </c>
      <c r="C97" s="5" t="inlineStr">
        <is>
          <t>GESTIÓN DE ABASTECIMIENTO</t>
        </is>
      </c>
      <c r="D97" s="5" t="inlineStr">
        <is>
          <t>Semestral</t>
        </is>
      </c>
      <c r="E97" s="5" t="inlineStr">
        <is>
          <t>Positivo</t>
        </is>
      </c>
      <c r="F97" s="109" t="n">
        <v>46112</v>
      </c>
      <c r="G97" s="5" t="n">
        <v>2026</v>
      </c>
      <c r="H97" s="5" t="inlineStr">
        <is>
          <t>Marzo</t>
        </is>
      </c>
      <c r="I97" s="6" t="inlineStr">
        <is>
          <t>2026-1</t>
        </is>
      </c>
      <c r="J97" s="5" t="n">
        <v>80</v>
      </c>
      <c r="K97" s="5" t="n">
        <v>97.59999999999999</v>
      </c>
      <c r="L97" s="49" t="n">
        <v>1.22</v>
      </c>
      <c r="M97" s="14" t="n">
        <v>1.22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111-2026-03-31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9" t="n">
        <v>44865</v>
      </c>
      <c r="G98" s="5" t="n">
        <v>2022</v>
      </c>
      <c r="H98" s="5" t="inlineStr">
        <is>
          <t>Octubre</t>
        </is>
      </c>
      <c r="I98" s="6" t="inlineStr">
        <is>
          <t>2022-2</t>
        </is>
      </c>
      <c r="J98" s="5" t="n">
        <v>80</v>
      </c>
      <c r="K98" s="5" t="n">
        <v>85</v>
      </c>
      <c r="L98" s="14" t="n">
        <v>1.0625</v>
      </c>
      <c r="M98" s="14" t="n">
        <v>1.0625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112-2022-10-31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9" t="n">
        <v>45230</v>
      </c>
      <c r="G99" s="5" t="n">
        <v>2023</v>
      </c>
      <c r="H99" s="5" t="inlineStr">
        <is>
          <t>Octubre</t>
        </is>
      </c>
      <c r="I99" s="6" t="inlineStr">
        <is>
          <t>2023-2</t>
        </is>
      </c>
      <c r="J99" s="5" t="n">
        <v>80</v>
      </c>
      <c r="K99" s="5" t="n">
        <v>90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112-2023-10-31</t>
        </is>
      </c>
    </row>
    <row r="100">
      <c r="A100" s="5" t="n">
        <v>112</v>
      </c>
      <c r="B100" s="5" t="inlineStr">
        <is>
          <t>Nivel de Satisfacción Servicios Prestados</t>
        </is>
      </c>
      <c r="C100" s="5" t="inlineStr">
        <is>
          <t>Gestión Infraestructura Física</t>
        </is>
      </c>
      <c r="D100" s="5" t="inlineStr">
        <is>
          <t>Anual</t>
        </is>
      </c>
      <c r="E100" s="5" t="inlineStr">
        <is>
          <t>Positivo</t>
        </is>
      </c>
      <c r="F100" s="109" t="n">
        <v>45596</v>
      </c>
      <c r="G100" s="5" t="n">
        <v>2024</v>
      </c>
      <c r="H100" s="5" t="inlineStr">
        <is>
          <t>Octubre</t>
        </is>
      </c>
      <c r="I100" s="6" t="inlineStr">
        <is>
          <t>2024-2</t>
        </is>
      </c>
      <c r="J100" s="5" t="n">
        <v>80</v>
      </c>
      <c r="K100" s="5" t="n">
        <v>90</v>
      </c>
      <c r="L100" s="14" t="n">
        <v>1.125</v>
      </c>
      <c r="M100" s="14" t="n">
        <v>1.125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112-2024-10-31</t>
        </is>
      </c>
    </row>
    <row r="101">
      <c r="A101" s="5" t="n">
        <v>112</v>
      </c>
      <c r="B101" s="5" t="inlineStr">
        <is>
          <t>Nivel de Satisfacción Servicios Prestados</t>
        </is>
      </c>
      <c r="C101" s="5" t="inlineStr">
        <is>
          <t>Gestión Infraestructura Física</t>
        </is>
      </c>
      <c r="D101" s="5" t="inlineStr">
        <is>
          <t>Anual</t>
        </is>
      </c>
      <c r="E101" s="5" t="inlineStr">
        <is>
          <t>Positivo</t>
        </is>
      </c>
      <c r="F101" s="109" t="n">
        <v>45961</v>
      </c>
      <c r="G101" s="5" t="n">
        <v>2025</v>
      </c>
      <c r="H101" s="5" t="inlineStr">
        <is>
          <t>Octubre</t>
        </is>
      </c>
      <c r="I101" s="6" t="inlineStr">
        <is>
          <t>2025-2</t>
        </is>
      </c>
      <c r="J101" s="5" t="n">
        <v>80</v>
      </c>
      <c r="K101" s="5" t="n">
        <v>90</v>
      </c>
      <c r="L101" s="14" t="n">
        <v>1.125</v>
      </c>
      <c r="M101" s="14" t="n">
        <v>1.125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112-2025-10-31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9" t="n">
        <v>44865</v>
      </c>
      <c r="G102" s="5" t="n">
        <v>2022</v>
      </c>
      <c r="H102" s="5" t="inlineStr">
        <is>
          <t>Octubre</t>
        </is>
      </c>
      <c r="I102" s="6" t="inlineStr">
        <is>
          <t>2022-2</t>
        </is>
      </c>
      <c r="J102" s="5" t="n">
        <v>80</v>
      </c>
      <c r="K102" s="5" t="n">
        <v>78</v>
      </c>
      <c r="L102" s="14" t="n">
        <v>0.975</v>
      </c>
      <c r="M102" s="14" t="n">
        <v>0.975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113-2022-10-31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9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80</v>
      </c>
      <c r="K103" s="5" t="n">
        <v>88</v>
      </c>
      <c r="L103" s="14" t="n">
        <v>1.1</v>
      </c>
      <c r="M103" s="14" t="n">
        <v>1.1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113-2023-10-31</t>
        </is>
      </c>
    </row>
    <row r="104">
      <c r="A104" s="5" t="n">
        <v>113</v>
      </c>
      <c r="B104" s="5" t="inlineStr">
        <is>
          <t>Nivel de Satisfacción Servicios Prestados</t>
        </is>
      </c>
      <c r="C104" s="5" t="inlineStr">
        <is>
          <t>Gestión y Desarrollo del Talento Humano</t>
        </is>
      </c>
      <c r="D104" s="5" t="inlineStr">
        <is>
          <t>Anual</t>
        </is>
      </c>
      <c r="E104" s="5" t="inlineStr">
        <is>
          <t>Positivo</t>
        </is>
      </c>
      <c r="F104" s="109" t="n">
        <v>45596</v>
      </c>
      <c r="G104" s="5" t="n">
        <v>2024</v>
      </c>
      <c r="H104" s="5" t="inlineStr">
        <is>
          <t>Octubre</t>
        </is>
      </c>
      <c r="I104" s="6" t="inlineStr">
        <is>
          <t>2024-2</t>
        </is>
      </c>
      <c r="J104" s="5" t="n">
        <v>80</v>
      </c>
      <c r="K104" s="5" t="n">
        <v>88</v>
      </c>
      <c r="L104" s="14" t="n">
        <v>1.1</v>
      </c>
      <c r="M104" s="14" t="n">
        <v>1.1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113-2024-10-31</t>
        </is>
      </c>
    </row>
    <row r="105">
      <c r="A105" s="5" t="n">
        <v>113</v>
      </c>
      <c r="B105" s="5" t="inlineStr">
        <is>
          <t>Nivel de Satisfacción Servicios Prestados</t>
        </is>
      </c>
      <c r="C105" s="5" t="inlineStr">
        <is>
          <t>GESTIÓN Y DESARROLLO DEL TALENTO HUMANO</t>
        </is>
      </c>
      <c r="D105" s="5" t="inlineStr">
        <is>
          <t>Anual</t>
        </is>
      </c>
      <c r="E105" s="5" t="inlineStr">
        <is>
          <t>Positivo</t>
        </is>
      </c>
      <c r="F105" s="109" t="n">
        <v>45961</v>
      </c>
      <c r="G105" s="5" t="n">
        <v>2025</v>
      </c>
      <c r="H105" s="5" t="inlineStr">
        <is>
          <t>Octubre</t>
        </is>
      </c>
      <c r="I105" s="6" t="inlineStr">
        <is>
          <t>2025-2</t>
        </is>
      </c>
      <c r="J105" s="5" t="n">
        <v>80</v>
      </c>
      <c r="K105" s="5" t="n">
        <v>94</v>
      </c>
      <c r="L105" s="14" t="n">
        <v>1.175</v>
      </c>
      <c r="M105" s="14" t="n">
        <v>1.175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113-2025-10-31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9" t="n">
        <v>44865</v>
      </c>
      <c r="G106" s="5" t="n">
        <v>2022</v>
      </c>
      <c r="H106" s="5" t="inlineStr">
        <is>
          <t>Octubre</t>
        </is>
      </c>
      <c r="I106" s="6" t="inlineStr">
        <is>
          <t>2022-2</t>
        </is>
      </c>
      <c r="J106" s="5" t="n">
        <v>80</v>
      </c>
      <c r="K106" s="5" t="n">
        <v>82</v>
      </c>
      <c r="L106" s="14" t="n">
        <v>1.025</v>
      </c>
      <c r="M106" s="14" t="n">
        <v>1.025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114-2022-10-31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9" t="n">
        <v>45230</v>
      </c>
      <c r="G107" s="5" t="n">
        <v>2023</v>
      </c>
      <c r="H107" s="5" t="inlineStr">
        <is>
          <t>Octubre</t>
        </is>
      </c>
      <c r="I107" s="6" t="inlineStr">
        <is>
          <t>2023-2</t>
        </is>
      </c>
      <c r="J107" s="5" t="n">
        <v>80</v>
      </c>
      <c r="K107" s="5" t="n">
        <v>86</v>
      </c>
      <c r="L107" s="14" t="n">
        <v>1.075</v>
      </c>
      <c r="M107" s="14" t="n">
        <v>1.075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114-2023-10-31</t>
        </is>
      </c>
    </row>
    <row r="108">
      <c r="A108" s="5" t="n">
        <v>114</v>
      </c>
      <c r="B108" s="5" t="inlineStr">
        <is>
          <t>Nivel de Satisfacción Servicios Prestados</t>
        </is>
      </c>
      <c r="C108" s="5" t="inlineStr">
        <is>
          <t>GESTIÓN DE LA TECNOLOGÍA E INNOVACIÓN DIGITAL</t>
        </is>
      </c>
      <c r="D108" s="5" t="inlineStr">
        <is>
          <t>Anual</t>
        </is>
      </c>
      <c r="E108" s="5" t="inlineStr">
        <is>
          <t>Positivo</t>
        </is>
      </c>
      <c r="F108" s="109" t="n">
        <v>45596</v>
      </c>
      <c r="G108" s="5" t="n">
        <v>2024</v>
      </c>
      <c r="H108" s="5" t="inlineStr">
        <is>
          <t>Octubre</t>
        </is>
      </c>
      <c r="I108" s="6" t="inlineStr">
        <is>
          <t>2024-2</t>
        </is>
      </c>
      <c r="J108" s="5" t="n">
        <v>80</v>
      </c>
      <c r="K108" s="5" t="n">
        <v>81</v>
      </c>
      <c r="L108" s="14" t="n">
        <v>1.0125</v>
      </c>
      <c r="M108" s="14" t="n">
        <v>1.0125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114-2024-10-31</t>
        </is>
      </c>
    </row>
    <row r="109">
      <c r="A109" s="5" t="n">
        <v>114</v>
      </c>
      <c r="B109" s="5" t="inlineStr">
        <is>
          <t>Nivel de Satisfacción Servicios Prestados</t>
        </is>
      </c>
      <c r="C109" s="5" t="inlineStr">
        <is>
          <t>GESTIÓN DE LA TECNOLOGÍA E INNOVACIÓN DIGITAL</t>
        </is>
      </c>
      <c r="D109" s="5" t="inlineStr">
        <is>
          <t>Anual</t>
        </is>
      </c>
      <c r="E109" s="5" t="inlineStr">
        <is>
          <t>Positivo</t>
        </is>
      </c>
      <c r="F109" s="109" t="n">
        <v>45961</v>
      </c>
      <c r="G109" s="5" t="n">
        <v>2025</v>
      </c>
      <c r="H109" s="5" t="inlineStr">
        <is>
          <t>Octubre</t>
        </is>
      </c>
      <c r="I109" s="6" t="inlineStr">
        <is>
          <t>2025-2</t>
        </is>
      </c>
      <c r="J109" s="5" t="n">
        <v>80</v>
      </c>
      <c r="K109" s="5" t="n">
        <v>74</v>
      </c>
      <c r="L109" s="14" t="n">
        <v>0.925</v>
      </c>
      <c r="M109" s="14" t="n">
        <v>0.925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114-2025-10-31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9" t="n">
        <v>44865</v>
      </c>
      <c r="G110" s="5" t="n">
        <v>2022</v>
      </c>
      <c r="H110" s="5" t="inlineStr">
        <is>
          <t>Octubre</t>
        </is>
      </c>
      <c r="I110" s="6" t="inlineStr">
        <is>
          <t>2022-2</t>
        </is>
      </c>
      <c r="J110" s="5" t="n">
        <v>80</v>
      </c>
      <c r="K110" s="5" t="n">
        <v>90</v>
      </c>
      <c r="L110" s="14" t="n">
        <v>1.125</v>
      </c>
      <c r="M110" s="14" t="n">
        <v>1.125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115-2022-10-31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9" t="n">
        <v>45230</v>
      </c>
      <c r="G111" s="5" t="n">
        <v>2023</v>
      </c>
      <c r="H111" s="5" t="inlineStr">
        <is>
          <t>Octubre</t>
        </is>
      </c>
      <c r="I111" s="6" t="inlineStr">
        <is>
          <t>2023-2</t>
        </is>
      </c>
      <c r="J111" s="5" t="n">
        <v>80</v>
      </c>
      <c r="K111" s="5" t="n">
        <v>91</v>
      </c>
      <c r="L111" s="74" t="n">
        <v>1.1375</v>
      </c>
      <c r="M111" s="14" t="n">
        <v>1.1375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115-2023-10-31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9" t="n">
        <v>45596</v>
      </c>
      <c r="G112" s="5" t="n">
        <v>2024</v>
      </c>
      <c r="H112" s="5" t="inlineStr">
        <is>
          <t>Octubre</t>
        </is>
      </c>
      <c r="I112" s="6" t="inlineStr">
        <is>
          <t>2024-2</t>
        </is>
      </c>
      <c r="J112" s="5" t="n">
        <v>80</v>
      </c>
      <c r="K112" s="5" t="n">
        <v>90</v>
      </c>
      <c r="L112" s="14" t="n">
        <v>1.125</v>
      </c>
      <c r="M112" s="14" t="n">
        <v>1.125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115-2024-10-31</t>
        </is>
      </c>
    </row>
    <row r="113">
      <c r="A113" s="5" t="n">
        <v>115</v>
      </c>
      <c r="B113" s="5" t="inlineStr">
        <is>
          <t>Nivel de Satisfacción Servicios Prestados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Positivo</t>
        </is>
      </c>
      <c r="F113" s="109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/>
      <c r="K113" s="5" t="n"/>
      <c r="L113" s="14" t="n"/>
      <c r="M113" s="14" t="n"/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115-2024-12-31</t>
        </is>
      </c>
    </row>
    <row r="114">
      <c r="A114" s="5" t="n">
        <v>115</v>
      </c>
      <c r="B114" s="5" t="inlineStr">
        <is>
          <t>Nivel de Satisfacción Servicios Prestados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Positivo</t>
        </is>
      </c>
      <c r="F114" s="109" t="n">
        <v>45961</v>
      </c>
      <c r="G114" s="5" t="n">
        <v>2025</v>
      </c>
      <c r="H114" s="5" t="inlineStr">
        <is>
          <t>Octubre</t>
        </is>
      </c>
      <c r="I114" s="6" t="inlineStr">
        <is>
          <t>2025-2</t>
        </is>
      </c>
      <c r="J114" s="5" t="n">
        <v>80</v>
      </c>
      <c r="K114" s="5" t="n">
        <v>89</v>
      </c>
      <c r="L114" s="14" t="n">
        <v>1.1125</v>
      </c>
      <c r="M114" s="14" t="n">
        <v>1.1125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115-2025-10-31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Bimestral</t>
        </is>
      </c>
      <c r="E115" s="5" t="inlineStr">
        <is>
          <t>Positivo</t>
        </is>
      </c>
      <c r="F115" s="109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73" t="n">
        <v>80</v>
      </c>
      <c r="K115" s="9" t="n">
        <v>88</v>
      </c>
      <c r="L115" s="14" t="n">
        <v>1.1</v>
      </c>
      <c r="M115" s="14" t="n">
        <v>1.1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116-2023-12-31</t>
        </is>
      </c>
    </row>
    <row r="116">
      <c r="A116" s="5" t="n">
        <v>116</v>
      </c>
      <c r="B116" s="5" t="inlineStr">
        <is>
          <t>Nivel de Satisfacción Servicios Prestados</t>
        </is>
      </c>
      <c r="C116" s="5" t="inlineStr">
        <is>
          <t>AUDITORÍA INTERNA</t>
        </is>
      </c>
      <c r="D116" s="5" t="inlineStr">
        <is>
          <t>Bimestral</t>
        </is>
      </c>
      <c r="E116" s="5" t="inlineStr">
        <is>
          <t>Positivo</t>
        </is>
      </c>
      <c r="F116" s="109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>
        <v>80</v>
      </c>
      <c r="K116" s="3" t="n">
        <v>88</v>
      </c>
      <c r="L116" s="14" t="n">
        <v>1.1</v>
      </c>
      <c r="M116" s="14" t="n">
        <v>1.1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116-2024-12-31</t>
        </is>
      </c>
    </row>
    <row r="117">
      <c r="A117" s="5" t="n">
        <v>116</v>
      </c>
      <c r="B117" s="5" t="inlineStr">
        <is>
          <t>Nivel de Satisfacción Servicios Prestados</t>
        </is>
      </c>
      <c r="C117" s="5" t="inlineStr">
        <is>
          <t>AUDITORÍA INTERNA</t>
        </is>
      </c>
      <c r="D117" s="5" t="inlineStr">
        <is>
          <t>Anual</t>
        </is>
      </c>
      <c r="E117" s="5" t="inlineStr">
        <is>
          <t>Positivo</t>
        </is>
      </c>
      <c r="F117" s="109" t="n">
        <v>46022</v>
      </c>
      <c r="G117" s="5" t="n">
        <v>2025</v>
      </c>
      <c r="H117" s="5" t="inlineStr">
        <is>
          <t>Diciembre</t>
        </is>
      </c>
      <c r="I117" s="6" t="inlineStr">
        <is>
          <t>2025-2</t>
        </is>
      </c>
      <c r="J117" s="5" t="n">
        <v>80</v>
      </c>
      <c r="K117" s="5" t="n">
        <v>100</v>
      </c>
      <c r="L117" s="14" t="n">
        <v>1.25</v>
      </c>
      <c r="M117" s="14" t="n">
        <v>1.25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116-2025-12-31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9" t="n">
        <v>44865</v>
      </c>
      <c r="G118" s="5" t="n">
        <v>2022</v>
      </c>
      <c r="H118" s="5" t="inlineStr">
        <is>
          <t>Octubre</t>
        </is>
      </c>
      <c r="I118" s="6" t="inlineStr">
        <is>
          <t>2022-2</t>
        </is>
      </c>
      <c r="J118" s="5" t="n">
        <v>80</v>
      </c>
      <c r="K118" s="5" t="n">
        <v>93</v>
      </c>
      <c r="L118" s="14" t="n">
        <v>1.1625</v>
      </c>
      <c r="M118" s="14" t="n">
        <v>1.1625</v>
      </c>
      <c r="N118" s="11" t="inlineStr">
        <is>
          <t>%</t>
        </is>
      </c>
      <c r="O118" s="11" t="inlineStr">
        <is>
          <t>%</t>
        </is>
      </c>
      <c r="P118" s="5" t="n">
        <v>0</v>
      </c>
      <c r="Q118" s="5" t="n">
        <v>0</v>
      </c>
      <c r="R118" s="5" t="inlineStr">
        <is>
          <t>117-2022-10-31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9" t="n">
        <v>45230</v>
      </c>
      <c r="G119" s="5" t="n">
        <v>2023</v>
      </c>
      <c r="H119" s="5" t="inlineStr">
        <is>
          <t>Octubre</t>
        </is>
      </c>
      <c r="I119" s="6" t="inlineStr">
        <is>
          <t>2023-2</t>
        </is>
      </c>
      <c r="J119" s="5" t="n">
        <v>80</v>
      </c>
      <c r="K119" s="5" t="n">
        <v>90</v>
      </c>
      <c r="L119" s="14" t="n">
        <v>1.125</v>
      </c>
      <c r="M119" s="14" t="n">
        <v>1.125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117-2023-10-31</t>
        </is>
      </c>
    </row>
    <row r="120">
      <c r="A120" s="5" t="n">
        <v>117</v>
      </c>
      <c r="B120" s="5" t="inlineStr">
        <is>
          <t>Nivel de Satisfacción Servicios Prestados</t>
        </is>
      </c>
      <c r="C120" s="5" t="inlineStr">
        <is>
          <t>GESTIÓN AMBIENTAL</t>
        </is>
      </c>
      <c r="D120" s="5" t="inlineStr">
        <is>
          <t>Anual</t>
        </is>
      </c>
      <c r="E120" s="5" t="inlineStr">
        <is>
          <t>Positivo</t>
        </is>
      </c>
      <c r="F120" s="109" t="n">
        <v>45596</v>
      </c>
      <c r="G120" s="5" t="n">
        <v>2024</v>
      </c>
      <c r="H120" s="5" t="inlineStr">
        <is>
          <t>Octubre</t>
        </is>
      </c>
      <c r="I120" s="6" t="inlineStr">
        <is>
          <t>2024-2</t>
        </is>
      </c>
      <c r="J120" s="5" t="n">
        <v>80</v>
      </c>
      <c r="K120" s="5" t="n">
        <v>89</v>
      </c>
      <c r="L120" s="14" t="n">
        <v>1.1125</v>
      </c>
      <c r="M120" s="14" t="n">
        <v>1.1125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117-2024-10-31</t>
        </is>
      </c>
    </row>
    <row r="121">
      <c r="A121" s="5" t="n">
        <v>117</v>
      </c>
      <c r="B121" s="5" t="inlineStr">
        <is>
          <t>Nivel de Satisfacción Servicios Prestados</t>
        </is>
      </c>
      <c r="C121" s="5" t="inlineStr">
        <is>
          <t>GESTIÓN AMBIENTAL</t>
        </is>
      </c>
      <c r="D121" s="5" t="inlineStr">
        <is>
          <t>Anual</t>
        </is>
      </c>
      <c r="E121" s="5" t="inlineStr">
        <is>
          <t>Positivo</t>
        </is>
      </c>
      <c r="F121" s="109" t="n">
        <v>45961</v>
      </c>
      <c r="G121" s="5" t="n">
        <v>2025</v>
      </c>
      <c r="H121" s="5" t="inlineStr">
        <is>
          <t>Octubre</t>
        </is>
      </c>
      <c r="I121" s="6" t="inlineStr">
        <is>
          <t>2025-2</t>
        </is>
      </c>
      <c r="J121" s="5" t="n">
        <v>80</v>
      </c>
      <c r="K121" s="5" t="n">
        <v>100</v>
      </c>
      <c r="L121" s="14" t="n">
        <v>1.25</v>
      </c>
      <c r="M121" s="14" t="n">
        <v>1.25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117-2025-10-31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9" t="n">
        <v>44865</v>
      </c>
      <c r="G122" s="5" t="n">
        <v>2022</v>
      </c>
      <c r="H122" s="5" t="inlineStr">
        <is>
          <t>Octubre</t>
        </is>
      </c>
      <c r="I122" s="6" t="inlineStr">
        <is>
          <t>2022-2</t>
        </is>
      </c>
      <c r="J122" s="5" t="n">
        <v>80</v>
      </c>
      <c r="K122" s="5" t="n">
        <v>88</v>
      </c>
      <c r="L122" s="14" t="n">
        <v>1.1</v>
      </c>
      <c r="M122" s="14" t="n">
        <v>1.1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118-2022-10-31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9" t="n">
        <v>45230</v>
      </c>
      <c r="G123" s="5" t="n">
        <v>2023</v>
      </c>
      <c r="H123" s="5" t="inlineStr">
        <is>
          <t>Octubre</t>
        </is>
      </c>
      <c r="I123" s="6" t="inlineStr">
        <is>
          <t>2023-2</t>
        </is>
      </c>
      <c r="J123" s="5" t="n">
        <v>80</v>
      </c>
      <c r="K123" s="5" t="n">
        <v>94</v>
      </c>
      <c r="L123" s="14" t="n">
        <v>1.175</v>
      </c>
      <c r="M123" s="14" t="n">
        <v>1.175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118-2023-10-31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9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94.1385767790262</v>
      </c>
      <c r="L124" s="14" t="n">
        <v>1.176732209737827</v>
      </c>
      <c r="M124" s="14" t="n">
        <v>1.176732209737827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118-2023-12-31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9" t="n">
        <v>45596</v>
      </c>
      <c r="G125" s="5" t="n">
        <v>2024</v>
      </c>
      <c r="H125" s="5" t="inlineStr">
        <is>
          <t>Octubre</t>
        </is>
      </c>
      <c r="I125" s="6" t="inlineStr">
        <is>
          <t>2024-2</t>
        </is>
      </c>
      <c r="J125" s="5" t="n">
        <v>80</v>
      </c>
      <c r="K125" s="5" t="n">
        <v>86</v>
      </c>
      <c r="L125" s="14" t="n">
        <v>1.075</v>
      </c>
      <c r="M125" s="14" t="n">
        <v>1.075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118-2024-10-31</t>
        </is>
      </c>
    </row>
    <row r="126">
      <c r="A126" s="5" t="n">
        <v>118</v>
      </c>
      <c r="B126" s="5" t="inlineStr">
        <is>
          <t>Nivel de Satisfacción del sistema de gestión de calidad</t>
        </is>
      </c>
      <c r="C126" s="5" t="inlineStr">
        <is>
          <t>Gestión de calidad</t>
        </is>
      </c>
      <c r="D126" s="5" t="inlineStr">
        <is>
          <t>Anual</t>
        </is>
      </c>
      <c r="E126" s="5" t="inlineStr">
        <is>
          <t>Positivo</t>
        </is>
      </c>
      <c r="F126" s="109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86</v>
      </c>
      <c r="L126" s="14" t="n">
        <v>1.075</v>
      </c>
      <c r="M126" s="14" t="n">
        <v>1.075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118-2024-12-31</t>
        </is>
      </c>
    </row>
    <row r="127">
      <c r="A127" s="5" t="n">
        <v>118</v>
      </c>
      <c r="B127" s="5" t="inlineStr">
        <is>
          <t>Nivel de Satisfacción del sistema de gestión de calidad</t>
        </is>
      </c>
      <c r="C127" s="5" t="inlineStr">
        <is>
          <t>Gestión de calidad</t>
        </is>
      </c>
      <c r="D127" s="5" t="inlineStr">
        <is>
          <t>Anual</t>
        </is>
      </c>
      <c r="E127" s="5" t="inlineStr">
        <is>
          <t>Positivo</t>
        </is>
      </c>
      <c r="F127" s="109" t="n">
        <v>45961</v>
      </c>
      <c r="G127" s="5" t="n">
        <v>2025</v>
      </c>
      <c r="H127" s="5" t="inlineStr">
        <is>
          <t>Octubre</t>
        </is>
      </c>
      <c r="I127" s="6" t="inlineStr">
        <is>
          <t>2025-2</t>
        </is>
      </c>
      <c r="J127" s="5" t="n">
        <v>80</v>
      </c>
      <c r="K127" s="5" t="n">
        <v>98</v>
      </c>
      <c r="L127" s="14" t="n">
        <v>1.225</v>
      </c>
      <c r="M127" s="14" t="n">
        <v>1.225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118-2025-10-31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9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102</v>
      </c>
      <c r="K128" s="5" t="n">
        <v>99.868284606334</v>
      </c>
      <c r="L128" s="14" t="n">
        <v>1.021345268941676</v>
      </c>
      <c r="M128" s="14" t="n">
        <v>1.021345268941676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121-2022-12-31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9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102</v>
      </c>
      <c r="K129" s="5" t="n">
        <v>111.3</v>
      </c>
      <c r="L129" s="14" t="n">
        <v>0.9164420485175202</v>
      </c>
      <c r="M129" s="14" t="n">
        <v>0.9164420485175202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121-2023-12-31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9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102</v>
      </c>
      <c r="K130" s="5" t="n">
        <v>100.17</v>
      </c>
      <c r="L130" s="14" t="n">
        <v>1.018268942797245</v>
      </c>
      <c r="M130" s="14" t="n">
        <v>1.018268942797245</v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121-2024-12-31</t>
        </is>
      </c>
    </row>
    <row r="131">
      <c r="A131" s="5" t="n">
        <v>121</v>
      </c>
      <c r="B131" s="5" t="inlineStr">
        <is>
          <t>Ejecución presupuestal de la nómina acumulada</t>
        </is>
      </c>
      <c r="C131" s="5" t="inlineStr">
        <is>
          <t>GESTIÓN Y DESARROLLO DEL TALENTO HUMANO</t>
        </is>
      </c>
      <c r="D131" s="5" t="inlineStr">
        <is>
          <t>Mensual</t>
        </is>
      </c>
      <c r="E131" s="5" t="inlineStr">
        <is>
          <t>Negativo</t>
        </is>
      </c>
      <c r="F131" s="109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102</v>
      </c>
      <c r="K131" s="5" t="n">
        <v>104.92</v>
      </c>
      <c r="L131" s="14" t="n">
        <v>0.9721692718261532</v>
      </c>
      <c r="M131" s="14" t="n">
        <v>0.9721692718261532</v>
      </c>
      <c r="N131" s="5" t="inlineStr">
        <is>
          <t>$</t>
        </is>
      </c>
      <c r="O131" s="5" t="inlineStr">
        <is>
          <t>$</t>
        </is>
      </c>
      <c r="P131" s="5" t="n">
        <v>0</v>
      </c>
      <c r="Q131" s="5" t="n">
        <v>0</v>
      </c>
      <c r="R131" s="5" t="inlineStr">
        <is>
          <t>121-2025-12-31</t>
        </is>
      </c>
    </row>
    <row r="132">
      <c r="A132" s="5" t="n">
        <v>121</v>
      </c>
      <c r="B132" s="5" t="inlineStr">
        <is>
          <t>Ejecución presupuestal de la nómina acumulada</t>
        </is>
      </c>
      <c r="C132" s="5" t="inlineStr">
        <is>
          <t>GESTIÓN Y DESARROLLO DEL TALENTO HUMANO</t>
        </is>
      </c>
      <c r="D132" s="5" t="inlineStr">
        <is>
          <t>Mensual</t>
        </is>
      </c>
      <c r="E132" s="5" t="inlineStr">
        <is>
          <t>Negativo</t>
        </is>
      </c>
      <c r="F132" s="109" t="n">
        <v>46142</v>
      </c>
      <c r="G132" s="5" t="n">
        <v>2026</v>
      </c>
      <c r="H132" s="5" t="inlineStr">
        <is>
          <t>Abril</t>
        </is>
      </c>
      <c r="I132" s="6" t="inlineStr">
        <is>
          <t>2026-1</t>
        </is>
      </c>
      <c r="J132" s="5" t="n">
        <v>102</v>
      </c>
      <c r="K132" s="5" t="n">
        <v>107.48</v>
      </c>
      <c r="L132" s="14" t="n">
        <v>0.9490137700037216</v>
      </c>
      <c r="M132" s="14" t="n">
        <v>0.9490137700037216</v>
      </c>
      <c r="N132" s="5" t="inlineStr">
        <is>
          <t>$</t>
        </is>
      </c>
      <c r="O132" s="5" t="inlineStr">
        <is>
          <t>$</t>
        </is>
      </c>
      <c r="P132" s="5" t="n">
        <v>0</v>
      </c>
      <c r="Q132" s="5" t="n">
        <v>0</v>
      </c>
      <c r="R132" s="5" t="inlineStr">
        <is>
          <t>121-2026-04-30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Mensual</t>
        </is>
      </c>
      <c r="E133" s="5" t="inlineStr">
        <is>
          <t>Positivo</t>
        </is>
      </c>
      <c r="F133" s="109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80</v>
      </c>
      <c r="K133" s="5" t="n">
        <v>87.72283272283283</v>
      </c>
      <c r="L133" s="14" t="n">
        <v>1.09653540903541</v>
      </c>
      <c r="M133" s="14" t="n">
        <v>1.09653540903541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122-2022-12-31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Bimestral</t>
        </is>
      </c>
      <c r="E134" s="5" t="inlineStr">
        <is>
          <t>Positivo</t>
        </is>
      </c>
      <c r="F134" s="109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80</v>
      </c>
      <c r="K134" s="5" t="n">
        <v>90.985</v>
      </c>
      <c r="L134" s="14" t="n">
        <v>1.1373125</v>
      </c>
      <c r="M134" s="14" t="n">
        <v>1.1373125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122-2023-12-31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Bimestral</t>
        </is>
      </c>
      <c r="E135" s="5" t="inlineStr">
        <is>
          <t>Positivo</t>
        </is>
      </c>
      <c r="F135" s="109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80</v>
      </c>
      <c r="K135" s="5" t="n">
        <v>94.31833333333333</v>
      </c>
      <c r="L135" s="14" t="n">
        <v>1.178979166666667</v>
      </c>
      <c r="M135" s="14" t="n">
        <v>1.178979166666667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122-2024-12-31</t>
        </is>
      </c>
    </row>
    <row r="136">
      <c r="A136" s="5" t="n">
        <v>122</v>
      </c>
      <c r="B136" s="5" t="inlineStr">
        <is>
          <t>Eficacia en la solicitud documental- por periodo</t>
        </is>
      </c>
      <c r="C136" s="5" t="inlineStr">
        <is>
          <t>Gestión de calidad</t>
        </is>
      </c>
      <c r="D136" s="5" t="inlineStr">
        <is>
          <t>Mensual</t>
        </is>
      </c>
      <c r="E136" s="5" t="inlineStr">
        <is>
          <t>Positivo</t>
        </is>
      </c>
      <c r="F136" s="109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90</v>
      </c>
      <c r="K136" s="5" t="n">
        <v>82.26000000000001</v>
      </c>
      <c r="L136" s="14" t="n">
        <v>0.914</v>
      </c>
      <c r="M136" s="14" t="n">
        <v>0.914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122-2025-12-31</t>
        </is>
      </c>
    </row>
    <row r="137">
      <c r="A137" s="5" t="n">
        <v>122</v>
      </c>
      <c r="B137" s="5" t="inlineStr">
        <is>
          <t>Eficacia en la solicitud documental- por periodo</t>
        </is>
      </c>
      <c r="C137" s="5" t="inlineStr">
        <is>
          <t>Gestión de calidad</t>
        </is>
      </c>
      <c r="D137" s="5" t="inlineStr">
        <is>
          <t>Mensual</t>
        </is>
      </c>
      <c r="E137" s="5" t="inlineStr">
        <is>
          <t>Positivo</t>
        </is>
      </c>
      <c r="F137" s="109" t="n">
        <v>46142</v>
      </c>
      <c r="G137" s="5" t="n">
        <v>2026</v>
      </c>
      <c r="H137" s="5" t="inlineStr">
        <is>
          <t>Abril</t>
        </is>
      </c>
      <c r="I137" s="6" t="inlineStr">
        <is>
          <t>2026-1</t>
        </is>
      </c>
      <c r="J137" s="5" t="n">
        <v>80</v>
      </c>
      <c r="K137" s="5" t="n">
        <v>82.07666666666667</v>
      </c>
      <c r="L137" s="14" t="n">
        <v>1.025958333333333</v>
      </c>
      <c r="M137" s="14" t="n">
        <v>1.025958333333333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122-2026-04-30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9" t="n">
        <v>44926</v>
      </c>
      <c r="G138" s="5" t="n">
        <v>2022</v>
      </c>
      <c r="H138" s="5" t="inlineStr">
        <is>
          <t>Diciembre</t>
        </is>
      </c>
      <c r="I138" s="6" t="inlineStr">
        <is>
          <t>2022-2</t>
        </is>
      </c>
      <c r="J138" s="5" t="n">
        <v>1.6</v>
      </c>
      <c r="K138" s="5" t="n">
        <v>0.030416483088426</v>
      </c>
      <c r="L138" s="14" t="n">
        <v>1.3</v>
      </c>
      <c r="M138" s="14" t="n">
        <v>52.60305720909686</v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124-2022-12-31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9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1.6</v>
      </c>
      <c r="K139" s="5" t="n">
        <v>0.02840842680799108</v>
      </c>
      <c r="L139" s="14" t="n">
        <v>1.3</v>
      </c>
      <c r="M139" s="14" t="n">
        <v>56.32131658729979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124-2023-12-31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9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>
        <v>0.2</v>
      </c>
      <c r="K140" s="5" t="n">
        <v>0.01299822966260462</v>
      </c>
      <c r="L140" s="14" t="n">
        <v>1.3</v>
      </c>
      <c r="M140" s="14" t="n">
        <v>15.38671074380166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124-2024-12-31</t>
        </is>
      </c>
    </row>
    <row r="141">
      <c r="A141" s="5" t="n">
        <v>124</v>
      </c>
      <c r="B141" s="5" t="inlineStr">
        <is>
          <t>Indice de Frecuencia de accidentalidad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9" t="n">
        <v>46022</v>
      </c>
      <c r="G141" s="5" t="n">
        <v>2025</v>
      </c>
      <c r="H141" s="5" t="inlineStr">
        <is>
          <t>Diciembre</t>
        </is>
      </c>
      <c r="I141" s="6" t="inlineStr">
        <is>
          <t>2025-2</t>
        </is>
      </c>
      <c r="J141" s="5" t="n">
        <v>0.2</v>
      </c>
      <c r="K141" s="5" t="n">
        <v>0.02426314190215739</v>
      </c>
      <c r="L141" s="14" t="n">
        <v>1.3</v>
      </c>
      <c r="M141" s="14" t="n">
        <v>8.24295554164058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124-2025-12-31</t>
        </is>
      </c>
    </row>
    <row r="142">
      <c r="A142" s="5" t="n">
        <v>124</v>
      </c>
      <c r="B142" s="5" t="inlineStr">
        <is>
          <t>Indice de Frecuencia de accidentalidad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9" t="n">
        <v>46142</v>
      </c>
      <c r="G142" s="5" t="n">
        <v>2026</v>
      </c>
      <c r="H142" s="5" t="inlineStr">
        <is>
          <t>Abril</t>
        </is>
      </c>
      <c r="I142" s="6" t="inlineStr">
        <is>
          <t>2026-1</t>
        </is>
      </c>
      <c r="J142" s="5" t="n">
        <v>0.2</v>
      </c>
      <c r="K142" s="5" t="n">
        <v>0.0525</v>
      </c>
      <c r="L142" s="14" t="n">
        <v>1.3</v>
      </c>
      <c r="M142" s="14" t="n">
        <v>3.80952380952381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124-2026-04-30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9" t="n">
        <v>44926</v>
      </c>
      <c r="G143" s="5" t="n">
        <v>2022</v>
      </c>
      <c r="H143" s="5" t="inlineStr">
        <is>
          <t>Diciembre</t>
        </is>
      </c>
      <c r="I143" s="6" t="inlineStr">
        <is>
          <t>2022-2</t>
        </is>
      </c>
      <c r="J143" s="5" t="n">
        <v>4.7</v>
      </c>
      <c r="K143" s="5" t="n">
        <v>0.07941339651586334</v>
      </c>
      <c r="L143" s="14" t="n">
        <v>1.3</v>
      </c>
      <c r="M143" s="14" t="n">
        <v>59.18396903047894</v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125-2022-12-31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9" t="n">
        <v>45291</v>
      </c>
      <c r="G144" s="5" t="n">
        <v>2023</v>
      </c>
      <c r="H144" s="5" t="inlineStr">
        <is>
          <t>Diciembre</t>
        </is>
      </c>
      <c r="I144" s="6" t="inlineStr">
        <is>
          <t>2023-2</t>
        </is>
      </c>
      <c r="J144" s="5" t="n">
        <v>4.7</v>
      </c>
      <c r="K144" s="5" t="n">
        <v>0.1755874916112475</v>
      </c>
      <c r="L144" s="14" t="n">
        <v>1.3</v>
      </c>
      <c r="M144" s="14" t="n">
        <v>26.76728254883809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125-2023-12-31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9" t="n">
        <v>45657</v>
      </c>
      <c r="G145" s="5" t="n">
        <v>2024</v>
      </c>
      <c r="H145" s="5" t="inlineStr">
        <is>
          <t>Diciembre</t>
        </is>
      </c>
      <c r="I145" s="6" t="inlineStr">
        <is>
          <t>2024-2</t>
        </is>
      </c>
      <c r="J145" s="5" t="n">
        <v>1.9</v>
      </c>
      <c r="K145" s="5" t="n">
        <v>0.09352996109841127</v>
      </c>
      <c r="L145" s="14" t="n">
        <v>1.3</v>
      </c>
      <c r="M145" s="14" t="n">
        <v>20.3143460949464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125-2024-12-31</t>
        </is>
      </c>
    </row>
    <row r="146">
      <c r="A146" s="5" t="n">
        <v>125</v>
      </c>
      <c r="B146" s="5" t="inlineStr">
        <is>
          <t>Indice de severidad</t>
        </is>
      </c>
      <c r="C146" s="5" t="inlineStr">
        <is>
          <t>GESTIÓN DE SEGURIDAD Y SALUD EN EL TRABAJO</t>
        </is>
      </c>
      <c r="D146" s="5" t="inlineStr">
        <is>
          <t>Mensual</t>
        </is>
      </c>
      <c r="E146" s="5" t="inlineStr">
        <is>
          <t>Negativo</t>
        </is>
      </c>
      <c r="F146" s="109" t="n">
        <v>46022</v>
      </c>
      <c r="G146" s="5" t="n">
        <v>2025</v>
      </c>
      <c r="H146" s="5" t="inlineStr">
        <is>
          <t>Diciembre</t>
        </is>
      </c>
      <c r="I146" s="6" t="inlineStr">
        <is>
          <t>2025-2</t>
        </is>
      </c>
      <c r="J146" s="5" t="n">
        <v>1.9</v>
      </c>
      <c r="K146" s="5" t="n">
        <v>0.1011227590398055</v>
      </c>
      <c r="L146" s="14" t="n">
        <v>1.3</v>
      </c>
      <c r="M146" s="14" t="n">
        <v>18.78904430655509</v>
      </c>
      <c r="N146" s="5" t="inlineStr">
        <is>
          <t>DEC</t>
        </is>
      </c>
      <c r="O146" s="5" t="inlineStr">
        <is>
          <t>DEC</t>
        </is>
      </c>
      <c r="P146" s="5" t="n">
        <v>1</v>
      </c>
      <c r="Q146" s="5" t="n">
        <v>2</v>
      </c>
      <c r="R146" s="5" t="inlineStr">
        <is>
          <t>125-2025-12-31</t>
        </is>
      </c>
    </row>
    <row r="147">
      <c r="A147" s="5" t="n">
        <v>125</v>
      </c>
      <c r="B147" s="5" t="inlineStr">
        <is>
          <t>Indice de severidad</t>
        </is>
      </c>
      <c r="C147" s="5" t="inlineStr">
        <is>
          <t>GESTIÓN DE SEGURIDAD Y SALUD EN EL TRABAJO</t>
        </is>
      </c>
      <c r="D147" s="5" t="inlineStr">
        <is>
          <t>Mensual</t>
        </is>
      </c>
      <c r="E147" s="5" t="inlineStr">
        <is>
          <t>Negativo</t>
        </is>
      </c>
      <c r="F147" s="109" t="n">
        <v>46142</v>
      </c>
      <c r="G147" s="5" t="n">
        <v>2026</v>
      </c>
      <c r="H147" s="5" t="inlineStr">
        <is>
          <t>Abril</t>
        </is>
      </c>
      <c r="I147" s="6" t="inlineStr">
        <is>
          <t>2026-1</t>
        </is>
      </c>
      <c r="J147" s="5" t="n">
        <v>4.7</v>
      </c>
      <c r="K147" s="5" t="n">
        <v>0.1425</v>
      </c>
      <c r="L147" s="14" t="n">
        <v>1.3</v>
      </c>
      <c r="M147" s="14" t="n">
        <v>32.98245614035088</v>
      </c>
      <c r="N147" s="5" t="inlineStr">
        <is>
          <t>DEC</t>
        </is>
      </c>
      <c r="O147" s="5" t="inlineStr">
        <is>
          <t>DEC</t>
        </is>
      </c>
      <c r="P147" s="5" t="n">
        <v>1</v>
      </c>
      <c r="Q147" s="5" t="n">
        <v>2</v>
      </c>
      <c r="R147" s="5" t="inlineStr">
        <is>
          <t>125-2026-04-30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9" t="n">
        <v>44926</v>
      </c>
      <c r="G148" s="5" t="n">
        <v>2022</v>
      </c>
      <c r="H148" s="5" t="inlineStr">
        <is>
          <t>Diciembre</t>
        </is>
      </c>
      <c r="I148" s="6" t="inlineStr">
        <is>
          <t>2022-2</t>
        </is>
      </c>
      <c r="J148" s="5" t="n">
        <v>2</v>
      </c>
      <c r="K148" s="5" t="n">
        <v>0.12391573729864</v>
      </c>
      <c r="L148" s="14" t="n">
        <v>1.3</v>
      </c>
      <c r="M148" s="14" t="n">
        <v>16.1399999999996</v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2</v>
      </c>
      <c r="R148" s="5" t="inlineStr">
        <is>
          <t>126-2022-12-31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9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2</v>
      </c>
      <c r="K149" s="5" t="n">
        <v>0.12</v>
      </c>
      <c r="L149" s="14" t="n">
        <v>1.3</v>
      </c>
      <c r="M149" s="14" t="n">
        <v>16.66666666666667</v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2</v>
      </c>
      <c r="R149" s="5" t="inlineStr">
        <is>
          <t>126-2023-12-31</t>
        </is>
      </c>
    </row>
    <row r="150">
      <c r="A150" s="5" t="n">
        <v>126</v>
      </c>
      <c r="B150" s="5" t="inlineStr">
        <is>
          <t>Indice de Prevalencia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9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2</v>
      </c>
      <c r="K150" s="5" t="n">
        <v>0.1</v>
      </c>
      <c r="L150" s="14" t="n">
        <v>1.3</v>
      </c>
      <c r="M150" s="14" t="n">
        <v>20</v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1</v>
      </c>
      <c r="R150" s="5" t="inlineStr">
        <is>
          <t>126-2024-12-31</t>
        </is>
      </c>
    </row>
    <row r="151">
      <c r="A151" s="5" t="n">
        <v>126</v>
      </c>
      <c r="B151" s="5" t="inlineStr">
        <is>
          <t>Indice de Prevalencia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9" t="n">
        <v>46022</v>
      </c>
      <c r="G151" s="5" t="n">
        <v>2025</v>
      </c>
      <c r="H151" s="5" t="inlineStr">
        <is>
          <t>Diciembre</t>
        </is>
      </c>
      <c r="I151" s="6" t="inlineStr">
        <is>
          <t>2025-2</t>
        </is>
      </c>
      <c r="J151" s="5" t="n">
        <v>2</v>
      </c>
      <c r="K151" s="5" t="n">
        <v>0.16</v>
      </c>
      <c r="L151" s="14" t="n">
        <v>1.3</v>
      </c>
      <c r="M151" s="14" t="n">
        <v>12.5</v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1</v>
      </c>
      <c r="R151" s="5" t="inlineStr">
        <is>
          <t>126-2025-12-31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9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0</v>
      </c>
      <c r="K152" s="5" t="n">
        <v>0</v>
      </c>
      <c r="L152" s="14" t="n">
        <v>1</v>
      </c>
      <c r="M152" s="14" t="n">
        <v>1</v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127-2022-12-31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9" t="n">
        <v>45291</v>
      </c>
      <c r="G153" s="5" t="n">
        <v>2023</v>
      </c>
      <c r="H153" s="5" t="inlineStr">
        <is>
          <t>Diciembre</t>
        </is>
      </c>
      <c r="I153" s="6" t="inlineStr">
        <is>
          <t>2023-2</t>
        </is>
      </c>
      <c r="J153" s="5" t="n">
        <v>0</v>
      </c>
      <c r="K153" s="5" t="n">
        <v>0</v>
      </c>
      <c r="L153" s="14" t="n">
        <v>1</v>
      </c>
      <c r="M153" s="14" t="n">
        <v>1</v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127-2023-12-31</t>
        </is>
      </c>
    </row>
    <row r="154">
      <c r="A154" s="5" t="n">
        <v>127</v>
      </c>
      <c r="B154" s="5" t="inlineStr">
        <is>
          <t>Indice de Incidencia EL Enfermedad laboral</t>
        </is>
      </c>
      <c r="C154" s="5" t="inlineStr">
        <is>
          <t>GESTIÓN DE SEGURIDAD Y SALUD EN EL TRABAJO</t>
        </is>
      </c>
      <c r="D154" s="5" t="inlineStr">
        <is>
          <t>Anual</t>
        </is>
      </c>
      <c r="E154" s="5" t="inlineStr">
        <is>
          <t>Negativo</t>
        </is>
      </c>
      <c r="F154" s="109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5" t="n">
        <v>0</v>
      </c>
      <c r="K154" s="5" t="n">
        <v>0</v>
      </c>
      <c r="L154" s="14" t="n">
        <v>1</v>
      </c>
      <c r="M154" s="14" t="n">
        <v>1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0</v>
      </c>
      <c r="R154" s="5" t="inlineStr">
        <is>
          <t>127-2024-12-31</t>
        </is>
      </c>
    </row>
    <row r="155">
      <c r="A155" s="5" t="n">
        <v>127</v>
      </c>
      <c r="B155" s="5" t="inlineStr">
        <is>
          <t>Indice de Incidencia EL Enfermedad laboral</t>
        </is>
      </c>
      <c r="C155" s="5" t="inlineStr">
        <is>
          <t>GESTIÓN DE SEGURIDAD Y SALUD EN EL TRABAJO</t>
        </is>
      </c>
      <c r="D155" s="5" t="inlineStr">
        <is>
          <t>Anual</t>
        </is>
      </c>
      <c r="E155" s="5" t="inlineStr">
        <is>
          <t>Negativo</t>
        </is>
      </c>
      <c r="F155" s="109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5" t="n">
        <v>0</v>
      </c>
      <c r="K155" s="5" t="n">
        <v>0</v>
      </c>
      <c r="L155" s="14" t="n">
        <v>1</v>
      </c>
      <c r="M155" s="14" t="n">
        <v>1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0</v>
      </c>
      <c r="R155" s="5" t="inlineStr">
        <is>
          <t>127-2025-12-31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9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5" t="n">
        <v>1</v>
      </c>
      <c r="K156" s="5" t="n">
        <v>0.7848363272239824</v>
      </c>
      <c r="L156" s="14" t="n">
        <v>1.274151011252328</v>
      </c>
      <c r="M156" s="14" t="n">
        <v>1.274151011252328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128-2022-12-31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9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5" t="n">
        <v>1</v>
      </c>
      <c r="K157" s="5" t="n">
        <v>0.8470587408838942</v>
      </c>
      <c r="L157" s="14" t="n">
        <v>1.180555670739568</v>
      </c>
      <c r="M157" s="14" t="n">
        <v>1.180555670739568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128-2023-12-31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9" t="n">
        <v>45657</v>
      </c>
      <c r="G158" s="5" t="n">
        <v>2024</v>
      </c>
      <c r="H158" s="5" t="inlineStr">
        <is>
          <t>Diciembre</t>
        </is>
      </c>
      <c r="I158" s="6" t="inlineStr">
        <is>
          <t>2024-2</t>
        </is>
      </c>
      <c r="J158" s="5" t="n">
        <v>1</v>
      </c>
      <c r="K158" s="5" t="n">
        <v>0.6809763596981077</v>
      </c>
      <c r="L158" s="14" t="n">
        <v>1.3</v>
      </c>
      <c r="M158" s="14" t="n">
        <v>1.468479758156837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128-2024-12-31</t>
        </is>
      </c>
    </row>
    <row r="159">
      <c r="A159" s="5" t="n">
        <v>128</v>
      </c>
      <c r="B159" s="5" t="inlineStr">
        <is>
          <t>Ausentísmo por causa médica</t>
        </is>
      </c>
      <c r="C159" s="5" t="inlineStr">
        <is>
          <t>GESTIÓN DE SEGURIDAD Y SALUD EN EL TRABAJO</t>
        </is>
      </c>
      <c r="D159" s="5" t="inlineStr">
        <is>
          <t>Mensual</t>
        </is>
      </c>
      <c r="E159" s="5" t="inlineStr">
        <is>
          <t>Negativo</t>
        </is>
      </c>
      <c r="F159" s="109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</v>
      </c>
      <c r="K159" s="5" t="n">
        <v>0.9066666666666666</v>
      </c>
      <c r="L159" s="14" t="n">
        <v>1.102941176470588</v>
      </c>
      <c r="M159" s="14" t="n">
        <v>1.102941176470588</v>
      </c>
      <c r="N159" s="5" t="inlineStr">
        <is>
          <t>ENT</t>
        </is>
      </c>
      <c r="O159" s="5" t="inlineStr">
        <is>
          <t>DEC</t>
        </is>
      </c>
      <c r="P159" s="5" t="n">
        <v>0</v>
      </c>
      <c r="Q159" s="5" t="n">
        <v>2</v>
      </c>
      <c r="R159" s="5" t="inlineStr">
        <is>
          <t>128-2025-12-31</t>
        </is>
      </c>
    </row>
    <row r="160">
      <c r="A160" s="5" t="n">
        <v>128</v>
      </c>
      <c r="B160" s="5" t="inlineStr">
        <is>
          <t>Ausentísmo por causa médica</t>
        </is>
      </c>
      <c r="C160" s="5" t="inlineStr">
        <is>
          <t>GESTIÓN DE SEGURIDAD Y SALUD EN EL TRABAJO</t>
        </is>
      </c>
      <c r="D160" s="5" t="inlineStr">
        <is>
          <t>Mensual</t>
        </is>
      </c>
      <c r="E160" s="5" t="inlineStr">
        <is>
          <t>Negativo</t>
        </is>
      </c>
      <c r="F160" s="109" t="n">
        <v>46142</v>
      </c>
      <c r="G160" s="5" t="n">
        <v>2026</v>
      </c>
      <c r="H160" s="5" t="inlineStr">
        <is>
          <t>Abril</t>
        </is>
      </c>
      <c r="I160" s="6" t="inlineStr">
        <is>
          <t>2026-1</t>
        </is>
      </c>
      <c r="J160" s="5" t="n">
        <v>1</v>
      </c>
      <c r="K160" s="5" t="n">
        <v>0.745</v>
      </c>
      <c r="L160" s="14" t="n">
        <v>1.3</v>
      </c>
      <c r="M160" s="14" t="n">
        <v>1.342281879194631</v>
      </c>
      <c r="N160" s="5" t="inlineStr">
        <is>
          <t>ENT</t>
        </is>
      </c>
      <c r="O160" s="5" t="inlineStr">
        <is>
          <t>DEC</t>
        </is>
      </c>
      <c r="P160" s="5" t="n">
        <v>0</v>
      </c>
      <c r="Q160" s="5" t="n">
        <v>2</v>
      </c>
      <c r="R160" s="5" t="inlineStr">
        <is>
          <t>128-2026-04-30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9" t="n">
        <v>44865</v>
      </c>
      <c r="G161" s="5" t="n">
        <v>2022</v>
      </c>
      <c r="H161" s="5" t="inlineStr">
        <is>
          <t>Octubre</t>
        </is>
      </c>
      <c r="I161" s="6" t="inlineStr">
        <is>
          <t>2022-2</t>
        </is>
      </c>
      <c r="J161" s="5" t="n">
        <v>80</v>
      </c>
      <c r="K161" s="5" t="n">
        <v>90</v>
      </c>
      <c r="L161" s="14" t="n">
        <v>1.125</v>
      </c>
      <c r="M161" s="14" t="n">
        <v>1.125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133-2022-10-31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9" t="n">
        <v>45230</v>
      </c>
      <c r="G162" s="5" t="n">
        <v>2023</v>
      </c>
      <c r="H162" s="5" t="inlineStr">
        <is>
          <t>Octubre</t>
        </is>
      </c>
      <c r="I162" s="6" t="inlineStr">
        <is>
          <t>2023-2</t>
        </is>
      </c>
      <c r="J162" s="73" t="n">
        <v>80</v>
      </c>
      <c r="K162" s="96" t="n">
        <v>93</v>
      </c>
      <c r="L162" s="14" t="n">
        <v>1.1625</v>
      </c>
      <c r="M162" s="14" t="n">
        <v>1.1625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133-2023-10-31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9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92.78911564625851</v>
      </c>
      <c r="L163" s="14" t="n">
        <v>1.159863945578231</v>
      </c>
      <c r="M163" s="14" t="n">
        <v>1.159863945578231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133-2023-12-31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9" t="n">
        <v>45596</v>
      </c>
      <c r="G164" s="5" t="n">
        <v>2024</v>
      </c>
      <c r="H164" s="5" t="inlineStr">
        <is>
          <t>Octubre</t>
        </is>
      </c>
      <c r="I164" s="6" t="inlineStr">
        <is>
          <t>2024-2</t>
        </is>
      </c>
      <c r="J164" s="5" t="n">
        <v>80</v>
      </c>
      <c r="K164" s="5" t="n">
        <v>91</v>
      </c>
      <c r="L164" s="14" t="n">
        <v>1.1375</v>
      </c>
      <c r="M164" s="14" t="n">
        <v>1.1375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133-2024-10-31</t>
        </is>
      </c>
    </row>
    <row r="165">
      <c r="A165" s="5" t="n">
        <v>133</v>
      </c>
      <c r="B165" s="5" t="inlineStr">
        <is>
          <t>Nivel de Satisfacción Servicios Prestados</t>
        </is>
      </c>
      <c r="C165" s="5" t="inlineStr">
        <is>
          <t>VISIBILIDAD NACIONAL E INTERNACIONAL</t>
        </is>
      </c>
      <c r="D165" s="5" t="inlineStr">
        <is>
          <t>Anual</t>
        </is>
      </c>
      <c r="E165" s="5" t="inlineStr">
        <is>
          <t>Positivo</t>
        </is>
      </c>
      <c r="F165" s="109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91</v>
      </c>
      <c r="L165" s="14" t="n">
        <v>1.1375</v>
      </c>
      <c r="M165" s="14" t="n">
        <v>1.1375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133-2024-12-31</t>
        </is>
      </c>
    </row>
    <row r="166">
      <c r="A166" s="5" t="n">
        <v>133</v>
      </c>
      <c r="B166" s="5" t="inlineStr">
        <is>
          <t>Nivel de Satisfacción Servicios Prestados</t>
        </is>
      </c>
      <c r="C166" s="5" t="inlineStr">
        <is>
          <t>VISIBILIDAD NACIONAL E INTERNACIONAL</t>
        </is>
      </c>
      <c r="D166" s="5" t="inlineStr">
        <is>
          <t>Anual</t>
        </is>
      </c>
      <c r="E166" s="5" t="inlineStr">
        <is>
          <t>Positivo</t>
        </is>
      </c>
      <c r="F166" s="109" t="n">
        <v>45961</v>
      </c>
      <c r="G166" s="5" t="n">
        <v>2025</v>
      </c>
      <c r="H166" s="5" t="inlineStr">
        <is>
          <t>Octubre</t>
        </is>
      </c>
      <c r="I166" s="6" t="inlineStr">
        <is>
          <t>2025-2</t>
        </is>
      </c>
      <c r="J166" s="5" t="n">
        <v>80</v>
      </c>
      <c r="K166" s="11" t="n">
        <v>96</v>
      </c>
      <c r="L166" s="14" t="n">
        <v>1.2</v>
      </c>
      <c r="M166" s="14" t="n">
        <v>1.2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133-2025-10-31</t>
        </is>
      </c>
    </row>
    <row r="167">
      <c r="A167" s="5" t="n">
        <v>136</v>
      </c>
      <c r="B167" s="5" t="inlineStr">
        <is>
          <t>Ejecución de actividades culturales</t>
        </is>
      </c>
      <c r="C167" s="5" t="inlineStr">
        <is>
          <t>Biblioteca Institucional</t>
        </is>
      </c>
      <c r="D167" s="5" t="inlineStr">
        <is>
          <t>Semestral</t>
        </is>
      </c>
      <c r="E167" s="5" t="inlineStr">
        <is>
          <t>Positivo</t>
        </is>
      </c>
      <c r="F167" s="109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73" t="n">
        <v>90</v>
      </c>
      <c r="K167" s="9" t="n">
        <v>100</v>
      </c>
      <c r="L167" s="14" t="n">
        <v>1.111111111111111</v>
      </c>
      <c r="M167" s="14" t="n">
        <v>1.111111111111111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136-2023-12-31</t>
        </is>
      </c>
    </row>
    <row r="168">
      <c r="A168" s="5" t="n">
        <v>137</v>
      </c>
      <c r="B168" s="5" t="inlineStr">
        <is>
          <t>Ejecución de Talleres de formación</t>
        </is>
      </c>
      <c r="C168" s="5" t="inlineStr">
        <is>
          <t>Biblioteca Institucional</t>
        </is>
      </c>
      <c r="D168" s="5" t="inlineStr">
        <is>
          <t>Trimestral</t>
        </is>
      </c>
      <c r="E168" s="5" t="inlineStr">
        <is>
          <t>Positivo</t>
        </is>
      </c>
      <c r="F168" s="109" t="n">
        <v>45291</v>
      </c>
      <c r="G168" s="5" t="n">
        <v>2023</v>
      </c>
      <c r="H168" s="5" t="inlineStr">
        <is>
          <t>Diciembre</t>
        </is>
      </c>
      <c r="I168" s="6" t="inlineStr">
        <is>
          <t>2023-2</t>
        </is>
      </c>
      <c r="J168" s="9" t="n">
        <v>447</v>
      </c>
      <c r="K168" s="9" t="n">
        <v>448</v>
      </c>
      <c r="L168" s="14" t="n">
        <v>1.002237136465324</v>
      </c>
      <c r="M168" s="14" t="n">
        <v>1.002237136465324</v>
      </c>
      <c r="N168" s="5" t="inlineStr">
        <is>
          <t>ENT</t>
        </is>
      </c>
      <c r="O168" s="5" t="inlineStr">
        <is>
          <t>ENT</t>
        </is>
      </c>
      <c r="P168" s="5" t="n">
        <v>0</v>
      </c>
      <c r="Q168" s="5" t="n">
        <v>0</v>
      </c>
      <c r="R168" s="5" t="inlineStr">
        <is>
          <t>137-2023-12-31</t>
        </is>
      </c>
    </row>
    <row r="169">
      <c r="A169" s="5" t="n">
        <v>139</v>
      </c>
      <c r="B169" s="5" t="inlineStr">
        <is>
          <t>Ejecución presupuestal del gasto</t>
        </is>
      </c>
      <c r="C169" s="5" t="inlineStr">
        <is>
          <t>Biblioteca Institucional</t>
        </is>
      </c>
      <c r="D169" s="5" t="inlineStr">
        <is>
          <t>Mensual</t>
        </is>
      </c>
      <c r="E169" s="5" t="inlineStr">
        <is>
          <t>Negativo</t>
        </is>
      </c>
      <c r="F169" s="109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981.982</v>
      </c>
      <c r="K169" s="5" t="n">
        <v>964.284</v>
      </c>
      <c r="L169" s="14" t="n">
        <v>1.018353514109951</v>
      </c>
      <c r="M169" s="14" t="n">
        <v>1.018353514109951</v>
      </c>
      <c r="N169" s="5" t="inlineStr">
        <is>
          <t>$</t>
        </is>
      </c>
      <c r="O169" s="5" t="inlineStr">
        <is>
          <t>$</t>
        </is>
      </c>
      <c r="P169" s="5" t="n">
        <v>0</v>
      </c>
      <c r="Q169" s="5" t="n">
        <v>0</v>
      </c>
      <c r="R169" s="5" t="inlineStr">
        <is>
          <t>139-2023-12-31</t>
        </is>
      </c>
    </row>
    <row r="170">
      <c r="A170" s="5" t="n">
        <v>139</v>
      </c>
      <c r="B170" s="5" t="inlineStr">
        <is>
          <t>Ejecución presupuestal del gasto</t>
        </is>
      </c>
      <c r="C170" s="5" t="inlineStr">
        <is>
          <t>Biblioteca Institucional</t>
        </is>
      </c>
      <c r="D170" s="5" t="inlineStr">
        <is>
          <t>Mensual</t>
        </is>
      </c>
      <c r="E170" s="5" t="inlineStr">
        <is>
          <t>Negativo</t>
        </is>
      </c>
      <c r="F170" s="109" t="n">
        <v>45504</v>
      </c>
      <c r="G170" s="5" t="n">
        <v>2024</v>
      </c>
      <c r="H170" s="5" t="inlineStr">
        <is>
          <t>Julio</t>
        </is>
      </c>
      <c r="I170" s="6" t="inlineStr">
        <is>
          <t>2024-2</t>
        </is>
      </c>
      <c r="J170" s="5" t="n">
        <v>1338.614396</v>
      </c>
      <c r="K170" s="52" t="n">
        <v>1214.751881</v>
      </c>
      <c r="L170" s="14" t="n">
        <v>1.101965279442938</v>
      </c>
      <c r="M170" s="14" t="n">
        <v>1.101965279442938</v>
      </c>
      <c r="N170" s="5" t="inlineStr">
        <is>
          <t>$</t>
        </is>
      </c>
      <c r="O170" s="5" t="inlineStr">
        <is>
          <t>$</t>
        </is>
      </c>
      <c r="P170" s="5" t="n">
        <v>0</v>
      </c>
      <c r="Q170" s="5" t="n">
        <v>0</v>
      </c>
      <c r="R170" s="5" t="inlineStr">
        <is>
          <t>139-2024-07-31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Trimestral</t>
        </is>
      </c>
      <c r="E171" s="5" t="inlineStr">
        <is>
          <t>Positivo</t>
        </is>
      </c>
      <c r="F171" s="109" t="n">
        <v>44926</v>
      </c>
      <c r="G171" s="5" t="n">
        <v>2022</v>
      </c>
      <c r="H171" s="5" t="inlineStr">
        <is>
          <t>Diciembre</t>
        </is>
      </c>
      <c r="I171" s="6" t="inlineStr">
        <is>
          <t>2022-2</t>
        </is>
      </c>
      <c r="J171" s="5" t="n">
        <v>100</v>
      </c>
      <c r="K171" s="5" t="n">
        <v>152.5</v>
      </c>
      <c r="L171" s="14" t="n">
        <v>1.3</v>
      </c>
      <c r="M171" s="14" t="n">
        <v>1.525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143-2022-12-31</t>
        </is>
      </c>
      <c r="S171" t="inlineStr">
        <is>
          <t>Metrica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Semestral</t>
        </is>
      </c>
      <c r="E172" s="5" t="inlineStr">
        <is>
          <t>Positivo</t>
        </is>
      </c>
      <c r="F172" s="109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100</v>
      </c>
      <c r="K172" s="5" t="n">
        <v>146</v>
      </c>
      <c r="L172" s="14" t="n">
        <v>1.3</v>
      </c>
      <c r="M172" s="14" t="n">
        <v>1.46</v>
      </c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143-2023-12-31</t>
        </is>
      </c>
    </row>
    <row r="173">
      <c r="A173" s="5" t="n">
        <v>143</v>
      </c>
      <c r="B173" s="5" t="inlineStr">
        <is>
          <t>Proyectos de investigación e innovación- Metrica</t>
        </is>
      </c>
      <c r="C173" s="5" t="inlineStr">
        <is>
          <t>Investigación, desarrollo tecnológico, innovación y creación</t>
        </is>
      </c>
      <c r="D173" s="5" t="inlineStr">
        <is>
          <t>Semestral</t>
        </is>
      </c>
      <c r="E173" s="5" t="inlineStr">
        <is>
          <t>Positivo</t>
        </is>
      </c>
      <c r="F173" s="109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100</v>
      </c>
      <c r="K173" s="5" t="n">
        <v>123.5</v>
      </c>
      <c r="L173" s="14" t="n">
        <v>1.235</v>
      </c>
      <c r="M173" s="14" t="n">
        <v>1.235</v>
      </c>
      <c r="N173" s="5" t="inlineStr">
        <is>
          <t>Metrica</t>
        </is>
      </c>
      <c r="O173" s="5" t="n"/>
      <c r="P173" s="5" t="n">
        <v>0</v>
      </c>
      <c r="Q173" s="5" t="n">
        <v>0</v>
      </c>
      <c r="R173" s="5" t="inlineStr">
        <is>
          <t>143-2024-12-31</t>
        </is>
      </c>
    </row>
    <row r="174">
      <c r="A174" s="5" t="n">
        <v>143</v>
      </c>
      <c r="B174" s="5" t="inlineStr">
        <is>
          <t>Proyectos de investigación e innovación- Metrica</t>
        </is>
      </c>
      <c r="C174" s="5" t="inlineStr">
        <is>
          <t>Investigación, desarrollo tecnológico, innovación y creación</t>
        </is>
      </c>
      <c r="D174" s="5" t="inlineStr">
        <is>
          <t>Trimestral</t>
        </is>
      </c>
      <c r="E174" s="5" t="inlineStr">
        <is>
          <t>Positivo</t>
        </is>
      </c>
      <c r="F174" s="109" t="n">
        <v>46022</v>
      </c>
      <c r="G174" s="5" t="n">
        <v>2025</v>
      </c>
      <c r="H174" s="5" t="inlineStr">
        <is>
          <t>Diciembre</t>
        </is>
      </c>
      <c r="I174" s="6" t="inlineStr">
        <is>
          <t>2025-2</t>
        </is>
      </c>
      <c r="J174" s="5" t="n">
        <v>100</v>
      </c>
      <c r="K174" s="5" t="n">
        <v>175</v>
      </c>
      <c r="L174" s="14" t="n">
        <v>1.3</v>
      </c>
      <c r="M174" s="14" t="n">
        <v>1.75</v>
      </c>
      <c r="N174" s="5" t="inlineStr">
        <is>
          <t>Metrica</t>
        </is>
      </c>
      <c r="O174" s="5" t="n"/>
      <c r="P174" s="5" t="n">
        <v>0</v>
      </c>
      <c r="Q174" s="5" t="n">
        <v>0</v>
      </c>
      <c r="R174" s="5" t="inlineStr">
        <is>
          <t>143-2025-12-31</t>
        </is>
      </c>
      <c r="S174" t="inlineStr">
        <is>
          <t>Metrica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9" t="n">
        <v>44926</v>
      </c>
      <c r="G175" s="5" t="n">
        <v>2022</v>
      </c>
      <c r="H175" s="5" t="inlineStr">
        <is>
          <t>Diciembre</t>
        </is>
      </c>
      <c r="I175" s="6" t="inlineStr">
        <is>
          <t>2022-2</t>
        </is>
      </c>
      <c r="J175" s="5" t="n">
        <v>3</v>
      </c>
      <c r="K175" s="5" t="n">
        <v>3.55</v>
      </c>
      <c r="L175" s="14" t="n">
        <v>1.183333333333333</v>
      </c>
      <c r="M175" s="14" t="n">
        <v>1.183333333333333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144-2022-12-31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9" t="n">
        <v>45291</v>
      </c>
      <c r="G176" s="5" t="n">
        <v>2023</v>
      </c>
      <c r="H176" s="5" t="inlineStr">
        <is>
          <t>Diciembre</t>
        </is>
      </c>
      <c r="I176" s="6" t="inlineStr">
        <is>
          <t>2023-2</t>
        </is>
      </c>
      <c r="J176" s="73" t="n">
        <v>3</v>
      </c>
      <c r="K176" s="9" t="n">
        <v>4.83</v>
      </c>
      <c r="L176" s="14" t="n">
        <v>1.3</v>
      </c>
      <c r="M176" s="14" t="n">
        <v>1.61</v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144-2023-12-31</t>
        </is>
      </c>
    </row>
    <row r="177">
      <c r="A177" s="5" t="n">
        <v>144</v>
      </c>
      <c r="B177" s="5" t="inlineStr">
        <is>
          <t>Productos de investigación</t>
        </is>
      </c>
      <c r="C177" s="5" t="inlineStr">
        <is>
          <t>Investigación, desarrollo tecnológico, innovación y creación</t>
        </is>
      </c>
      <c r="D177" s="5" t="inlineStr">
        <is>
          <t>Anual</t>
        </is>
      </c>
      <c r="E177" s="5" t="inlineStr">
        <is>
          <t>Positivo</t>
        </is>
      </c>
      <c r="F177" s="109" t="n">
        <v>45657</v>
      </c>
      <c r="G177" s="5" t="n">
        <v>2024</v>
      </c>
      <c r="H177" s="5" t="inlineStr">
        <is>
          <t>Diciembre</t>
        </is>
      </c>
      <c r="I177" s="6" t="inlineStr">
        <is>
          <t>2024-2</t>
        </is>
      </c>
      <c r="J177" s="5" t="n">
        <v>3</v>
      </c>
      <c r="K177" s="5" t="n">
        <v>4.6</v>
      </c>
      <c r="L177" s="14" t="n">
        <v>1.3</v>
      </c>
      <c r="M177" s="14" t="n">
        <v>1.533333333333333</v>
      </c>
      <c r="N177" s="5" t="inlineStr">
        <is>
          <t>ENT</t>
        </is>
      </c>
      <c r="O177" s="5" t="inlineStr">
        <is>
          <t>DEC</t>
        </is>
      </c>
      <c r="P177" s="5" t="n">
        <v>2</v>
      </c>
      <c r="Q177" s="5" t="n">
        <v>2</v>
      </c>
      <c r="R177" s="5" t="inlineStr">
        <is>
          <t>144-2024-12-31</t>
        </is>
      </c>
    </row>
    <row r="178">
      <c r="A178" s="5" t="n">
        <v>144</v>
      </c>
      <c r="B178" s="5" t="inlineStr">
        <is>
          <t>Productos de investigación</t>
        </is>
      </c>
      <c r="C178" s="5" t="inlineStr">
        <is>
          <t>Investigación, desarrollo tecnológico, innovación y creación</t>
        </is>
      </c>
      <c r="D178" s="5" t="inlineStr">
        <is>
          <t>Anual</t>
        </is>
      </c>
      <c r="E178" s="5" t="inlineStr">
        <is>
          <t>Positivo</t>
        </is>
      </c>
      <c r="F178" s="109" t="n">
        <v>46022</v>
      </c>
      <c r="G178" s="5" t="n">
        <v>2025</v>
      </c>
      <c r="H178" s="5" t="inlineStr">
        <is>
          <t>Diciembre</t>
        </is>
      </c>
      <c r="I178" s="6" t="inlineStr">
        <is>
          <t>2025-2</t>
        </is>
      </c>
      <c r="J178" s="5" t="n">
        <v>4</v>
      </c>
      <c r="K178" s="5" t="n">
        <v>1.95</v>
      </c>
      <c r="L178" s="14" t="n">
        <v>0.4875</v>
      </c>
      <c r="M178" s="14" t="n">
        <v>0.4875</v>
      </c>
      <c r="N178" s="5" t="inlineStr">
        <is>
          <t>ENT</t>
        </is>
      </c>
      <c r="O178" s="5" t="inlineStr">
        <is>
          <t>DEC</t>
        </is>
      </c>
      <c r="P178" s="5" t="n">
        <v>2</v>
      </c>
      <c r="Q178" s="5" t="n">
        <v>2</v>
      </c>
      <c r="R178" s="5" t="inlineStr">
        <is>
          <t>144-2025-12-31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Trimestral</t>
        </is>
      </c>
      <c r="E179" s="5" t="inlineStr">
        <is>
          <t>Positivo</t>
        </is>
      </c>
      <c r="F179" s="109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1</v>
      </c>
      <c r="K179" s="5" t="n">
        <v>2.1186440677966</v>
      </c>
      <c r="L179" s="14" t="n">
        <v>1.3</v>
      </c>
      <c r="M179" s="14" t="n">
        <v>2.1186440677966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145-2022-12-31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Semestral</t>
        </is>
      </c>
      <c r="E180" s="5" t="inlineStr">
        <is>
          <t>Positivo</t>
        </is>
      </c>
      <c r="F180" s="109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1</v>
      </c>
      <c r="K180" s="5" t="n">
        <v>2</v>
      </c>
      <c r="L180" s="14" t="n">
        <v>1.3</v>
      </c>
      <c r="M180" s="14" t="n">
        <v>2</v>
      </c>
      <c r="N180" s="5" t="inlineStr">
        <is>
          <t>ENT</t>
        </is>
      </c>
      <c r="O180" s="5" t="inlineStr">
        <is>
          <t>ENT</t>
        </is>
      </c>
      <c r="P180" s="5" t="n">
        <v>0</v>
      </c>
      <c r="Q180" s="5" t="n">
        <v>0</v>
      </c>
      <c r="R180" s="5" t="inlineStr">
        <is>
          <t>145-2023-12-31</t>
        </is>
      </c>
    </row>
    <row r="181">
      <c r="A181" s="5" t="n">
        <v>145</v>
      </c>
      <c r="B181" s="5" t="inlineStr">
        <is>
          <t>Semilleros de Investigación, Innovación y Creación</t>
        </is>
      </c>
      <c r="C181" s="5" t="inlineStr">
        <is>
          <t>Formación para la investigación, creación e innovación</t>
        </is>
      </c>
      <c r="D181" s="5" t="inlineStr">
        <is>
          <t>Semestral</t>
        </is>
      </c>
      <c r="E181" s="5" t="inlineStr">
        <is>
          <t>Positivo</t>
        </is>
      </c>
      <c r="F181" s="109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</v>
      </c>
      <c r="K181" s="5" t="n">
        <v>1.955</v>
      </c>
      <c r="L181" s="14" t="n">
        <v>1.3</v>
      </c>
      <c r="M181" s="14" t="n">
        <v>1.955</v>
      </c>
      <c r="N181" s="5" t="inlineStr">
        <is>
          <t>ENT</t>
        </is>
      </c>
      <c r="O181" s="5" t="inlineStr">
        <is>
          <t>DEC</t>
        </is>
      </c>
      <c r="P181" s="5" t="n">
        <v>0</v>
      </c>
      <c r="Q181" s="5" t="n">
        <v>2</v>
      </c>
      <c r="R181" s="5" t="inlineStr">
        <is>
          <t>145-2024-12-31</t>
        </is>
      </c>
    </row>
    <row r="182">
      <c r="A182" s="5" t="n">
        <v>145</v>
      </c>
      <c r="B182" s="5" t="inlineStr">
        <is>
          <t>Semilleros de Investigación, Innovación y Creación</t>
        </is>
      </c>
      <c r="C182" s="5" t="inlineStr">
        <is>
          <t>Formación para la investigación, creación e innovación</t>
        </is>
      </c>
      <c r="D182" s="5" t="inlineStr">
        <is>
          <t>Trimestral</t>
        </is>
      </c>
      <c r="E182" s="5" t="inlineStr">
        <is>
          <t>Positivo</t>
        </is>
      </c>
      <c r="F182" s="109" t="n">
        <v>46022</v>
      </c>
      <c r="G182" s="5" t="n">
        <v>2025</v>
      </c>
      <c r="H182" s="5" t="inlineStr">
        <is>
          <t>Diciembre</t>
        </is>
      </c>
      <c r="I182" s="6" t="inlineStr">
        <is>
          <t>2025-2</t>
        </is>
      </c>
      <c r="J182" s="5" t="n">
        <v>1</v>
      </c>
      <c r="K182" s="5" t="n">
        <v>1.68</v>
      </c>
      <c r="L182" s="14" t="n">
        <v>1.3</v>
      </c>
      <c r="M182" s="14" t="n">
        <v>1.68</v>
      </c>
      <c r="N182" s="5" t="inlineStr">
        <is>
          <t>ENT</t>
        </is>
      </c>
      <c r="O182" s="5" t="inlineStr">
        <is>
          <t>DEC</t>
        </is>
      </c>
      <c r="P182" s="5" t="n">
        <v>0</v>
      </c>
      <c r="Q182" s="5" t="n">
        <v>2</v>
      </c>
      <c r="R182" s="5" t="inlineStr">
        <is>
          <t>145-2025-12-31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Trimestral</t>
        </is>
      </c>
      <c r="E183" s="5" t="inlineStr">
        <is>
          <t>Positivo</t>
        </is>
      </c>
      <c r="F183" s="109" t="n">
        <v>44926</v>
      </c>
      <c r="G183" s="5" t="n">
        <v>2022</v>
      </c>
      <c r="H183" s="5" t="inlineStr">
        <is>
          <t>Diciembre</t>
        </is>
      </c>
      <c r="I183" s="6" t="inlineStr">
        <is>
          <t>2022-2</t>
        </is>
      </c>
      <c r="J183" s="5" t="n">
        <v>230</v>
      </c>
      <c r="K183" s="5" t="n">
        <v>111.085</v>
      </c>
      <c r="L183" s="14" t="n">
        <v>0.4829782608695652</v>
      </c>
      <c r="M183" s="14" t="n">
        <v>0.4829782608695652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146-2022-12-31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Semestral</t>
        </is>
      </c>
      <c r="E184" s="5" t="inlineStr">
        <is>
          <t>Positivo</t>
        </is>
      </c>
      <c r="F184" s="109" t="n">
        <v>45291</v>
      </c>
      <c r="G184" s="5" t="n">
        <v>2023</v>
      </c>
      <c r="H184" s="5" t="inlineStr">
        <is>
          <t>Diciembre</t>
        </is>
      </c>
      <c r="I184" s="6" t="inlineStr">
        <is>
          <t>2023-2</t>
        </is>
      </c>
      <c r="J184" s="5" t="n">
        <v>230</v>
      </c>
      <c r="K184" s="5" t="n">
        <v>134.785</v>
      </c>
      <c r="L184" s="14" t="n">
        <v>0.5860217391304348</v>
      </c>
      <c r="M184" s="14" t="n">
        <v>0.5860217391304348</v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146-2023-12-31</t>
        </is>
      </c>
    </row>
    <row r="185">
      <c r="A185" s="5" t="n">
        <v>146</v>
      </c>
      <c r="B185" s="5" t="inlineStr">
        <is>
          <t>Docentes vinculados a investigación</t>
        </is>
      </c>
      <c r="C185" s="5" t="inlineStr">
        <is>
          <t>Investigación, desarrollo tecnológico, innovación y creación</t>
        </is>
      </c>
      <c r="D185" s="5" t="inlineStr">
        <is>
          <t>Semestral</t>
        </is>
      </c>
      <c r="E185" s="5" t="inlineStr">
        <is>
          <t>Positivo</t>
        </is>
      </c>
      <c r="F185" s="109" t="n">
        <v>45657</v>
      </c>
      <c r="G185" s="5" t="n">
        <v>2024</v>
      </c>
      <c r="H185" s="5" t="inlineStr">
        <is>
          <t>Diciembre</t>
        </is>
      </c>
      <c r="I185" s="6" t="inlineStr">
        <is>
          <t>2024-2</t>
        </is>
      </c>
      <c r="J185" s="5" t="n">
        <v>294</v>
      </c>
      <c r="K185" s="5" t="n">
        <v>115.14</v>
      </c>
      <c r="L185" s="14" t="n">
        <v>0.3916326530612245</v>
      </c>
      <c r="M185" s="14" t="n">
        <v>0.3916326530612245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146-2024-12-31</t>
        </is>
      </c>
    </row>
    <row r="186">
      <c r="A186" s="5" t="n">
        <v>146</v>
      </c>
      <c r="B186" s="5" t="inlineStr">
        <is>
          <t>Docentes vinculados a investigación</t>
        </is>
      </c>
      <c r="C186" s="5" t="inlineStr">
        <is>
          <t>Investigación, desarrollo tecnológico, innovación y creación</t>
        </is>
      </c>
      <c r="D186" s="5" t="inlineStr">
        <is>
          <t>Trimestral</t>
        </is>
      </c>
      <c r="E186" s="5" t="inlineStr">
        <is>
          <t>Positivo</t>
        </is>
      </c>
      <c r="F186" s="109" t="n">
        <v>46022</v>
      </c>
      <c r="G186" s="5" t="n">
        <v>2025</v>
      </c>
      <c r="H186" s="5" t="inlineStr">
        <is>
          <t>Diciembre</t>
        </is>
      </c>
      <c r="I186" s="6" t="inlineStr">
        <is>
          <t>2025-2</t>
        </is>
      </c>
      <c r="J186" s="5" t="n">
        <v>100</v>
      </c>
      <c r="K186" s="5" t="n">
        <v>120</v>
      </c>
      <c r="L186" s="14" t="n">
        <v>1.2</v>
      </c>
      <c r="M186" s="14" t="n">
        <v>1.2</v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146-2025-12-31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9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18</v>
      </c>
      <c r="K187" s="5" t="n">
        <v>11</v>
      </c>
      <c r="L187" s="14" t="n">
        <v>0.6111111111111112</v>
      </c>
      <c r="M187" s="14" t="n">
        <v>0.6111111111111112</v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147-2022-12-31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9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13</v>
      </c>
      <c r="K188" s="5" t="n">
        <v>12</v>
      </c>
      <c r="L188" s="74" t="n">
        <v>0.9230769230769231</v>
      </c>
      <c r="M188" s="14" t="n">
        <v>0.9230769230769231</v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147-2023-12-31</t>
        </is>
      </c>
    </row>
    <row r="189">
      <c r="A189" s="5" t="n">
        <v>147</v>
      </c>
      <c r="B189" s="5" t="inlineStr">
        <is>
          <t>Grupos de investigación categorizados</t>
        </is>
      </c>
      <c r="C189" s="5" t="inlineStr">
        <is>
          <t>Investigación, desarrollo tecnológico, innovación y creación</t>
        </is>
      </c>
      <c r="D189" s="5" t="inlineStr">
        <is>
          <t>Anual</t>
        </is>
      </c>
      <c r="E189" s="5" t="inlineStr">
        <is>
          <t>Positivo</t>
        </is>
      </c>
      <c r="F189" s="109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0</v>
      </c>
      <c r="K189" s="5" t="n">
        <v>12</v>
      </c>
      <c r="L189" s="14" t="n"/>
      <c r="M189" s="14" t="n"/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147-2024-12-31</t>
        </is>
      </c>
    </row>
    <row r="190">
      <c r="A190" s="5" t="n">
        <v>147</v>
      </c>
      <c r="B190" s="5" t="inlineStr">
        <is>
          <t>Grupos de investigación categorizados</t>
        </is>
      </c>
      <c r="C190" s="5" t="inlineStr">
        <is>
          <t>Investigación, desarrollo tecnológico, innovación y creación</t>
        </is>
      </c>
      <c r="D190" s="5" t="inlineStr">
        <is>
          <t>Anual</t>
        </is>
      </c>
      <c r="E190" s="5" t="inlineStr">
        <is>
          <t>Positivo</t>
        </is>
      </c>
      <c r="F190" s="109" t="n">
        <v>46022</v>
      </c>
      <c r="G190" s="5" t="n">
        <v>2025</v>
      </c>
      <c r="H190" s="5" t="inlineStr">
        <is>
          <t>Diciembre</t>
        </is>
      </c>
      <c r="I190" s="6" t="inlineStr">
        <is>
          <t>2025-2</t>
        </is>
      </c>
      <c r="J190" s="5" t="n">
        <v>16</v>
      </c>
      <c r="K190" s="5" t="n">
        <v>16</v>
      </c>
      <c r="L190" s="14" t="n">
        <v>1</v>
      </c>
      <c r="M190" s="14" t="n">
        <v>1</v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147-2025-12-31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9" t="n">
        <v>44926</v>
      </c>
      <c r="G191" s="5" t="n">
        <v>2022</v>
      </c>
      <c r="H191" s="5" t="inlineStr">
        <is>
          <t>Diciembre</t>
        </is>
      </c>
      <c r="I191" s="6" t="inlineStr">
        <is>
          <t>2022-2</t>
        </is>
      </c>
      <c r="J191" s="5" t="n">
        <v>2</v>
      </c>
      <c r="K191" s="5" t="n">
        <v>2.32863030353805</v>
      </c>
      <c r="L191" s="14" t="n">
        <v>1.164315151769025</v>
      </c>
      <c r="M191" s="14" t="n">
        <v>1.164315151769025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148-2022-12-31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9" t="n">
        <v>45291</v>
      </c>
      <c r="G192" s="5" t="n">
        <v>2023</v>
      </c>
      <c r="H192" s="5" t="inlineStr">
        <is>
          <t>Diciembre</t>
        </is>
      </c>
      <c r="I192" s="6" t="inlineStr">
        <is>
          <t>2023-2</t>
        </is>
      </c>
      <c r="J192" s="5" t="n">
        <v>3.75</v>
      </c>
      <c r="K192" s="5" t="n">
        <v>4.91</v>
      </c>
      <c r="L192" s="14" t="n">
        <v>1.3</v>
      </c>
      <c r="M192" s="14" t="n">
        <v>1.309333333333333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148-2023-12-31</t>
        </is>
      </c>
    </row>
    <row r="193">
      <c r="A193" s="5" t="n">
        <v>148</v>
      </c>
      <c r="B193" s="5" t="inlineStr">
        <is>
          <t>Estudiantes vinculados a investigación</t>
        </is>
      </c>
      <c r="C193" s="5" t="inlineStr">
        <is>
          <t>Formación para la investigación, creación e innovación</t>
        </is>
      </c>
      <c r="D193" s="5" t="inlineStr">
        <is>
          <t>Semestral</t>
        </is>
      </c>
      <c r="E193" s="5" t="inlineStr">
        <is>
          <t>Positivo</t>
        </is>
      </c>
      <c r="F193" s="109" t="n">
        <v>45657</v>
      </c>
      <c r="G193" s="5" t="n">
        <v>2024</v>
      </c>
      <c r="H193" s="5" t="inlineStr">
        <is>
          <t>Diciembre</t>
        </is>
      </c>
      <c r="I193" s="6" t="inlineStr">
        <is>
          <t>2024-2</t>
        </is>
      </c>
      <c r="J193" s="5" t="n">
        <v>5</v>
      </c>
      <c r="K193" s="5" t="n">
        <v>5.3</v>
      </c>
      <c r="L193" s="14" t="n">
        <v>1.06</v>
      </c>
      <c r="M193" s="14" t="n">
        <v>1.06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1</v>
      </c>
      <c r="R193" s="5" t="inlineStr">
        <is>
          <t>148-2024-12-31</t>
        </is>
      </c>
    </row>
    <row r="194">
      <c r="A194" s="5" t="n">
        <v>148</v>
      </c>
      <c r="B194" s="5" t="inlineStr">
        <is>
          <t>Estudiantes vinculados a investigación</t>
        </is>
      </c>
      <c r="C194" s="5" t="inlineStr">
        <is>
          <t>Formación para la investigación, creación e innovación</t>
        </is>
      </c>
      <c r="D194" s="5" t="inlineStr">
        <is>
          <t>Semestral</t>
        </is>
      </c>
      <c r="E194" s="5" t="inlineStr">
        <is>
          <t>Positivo</t>
        </is>
      </c>
      <c r="F194" s="109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4.5</v>
      </c>
      <c r="K194" s="5" t="n">
        <v>5.43</v>
      </c>
      <c r="L194" s="14" t="n">
        <v>1.206666666666667</v>
      </c>
      <c r="M194" s="14" t="n">
        <v>1.206666666666667</v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1</v>
      </c>
      <c r="R194" s="5" t="inlineStr">
        <is>
          <t>148-2025-12-31</t>
        </is>
      </c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9" t="n">
        <v>44865</v>
      </c>
      <c r="G195" s="5" t="n">
        <v>2022</v>
      </c>
      <c r="H195" s="5" t="inlineStr">
        <is>
          <t>Octubre</t>
        </is>
      </c>
      <c r="I195" s="6" t="inlineStr">
        <is>
          <t>2022-2</t>
        </is>
      </c>
      <c r="J195" s="5" t="n">
        <v>80</v>
      </c>
      <c r="K195" s="5" t="n">
        <v>80</v>
      </c>
      <c r="L195" s="14" t="n">
        <v>1</v>
      </c>
      <c r="M195" s="14" t="n">
        <v>1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150-2022-10-31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9" t="n">
        <v>45230</v>
      </c>
      <c r="G196" s="5" t="n">
        <v>2023</v>
      </c>
      <c r="H196" s="5" t="inlineStr">
        <is>
          <t>Octubre</t>
        </is>
      </c>
      <c r="I196" s="6" t="inlineStr">
        <is>
          <t>2023-2</t>
        </is>
      </c>
      <c r="J196" s="5" t="n">
        <v>80</v>
      </c>
      <c r="K196" s="5" t="n">
        <v>94</v>
      </c>
      <c r="L196" s="14" t="n">
        <v>1.175</v>
      </c>
      <c r="M196" s="14" t="n">
        <v>1.175</v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150-2023-10-31</t>
        </is>
      </c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9" t="n">
        <v>45291</v>
      </c>
      <c r="G197" s="5" t="n">
        <v>2023</v>
      </c>
      <c r="H197" s="5" t="inlineStr">
        <is>
          <t>Diciembre</t>
        </is>
      </c>
      <c r="I197" s="6" t="inlineStr">
        <is>
          <t>2023-2</t>
        </is>
      </c>
      <c r="J197" s="5" t="n">
        <v>80</v>
      </c>
      <c r="K197" s="5" t="n">
        <v>84.34350070811109</v>
      </c>
      <c r="L197" s="14" t="n">
        <v>1.054293758851389</v>
      </c>
      <c r="M197" s="14" t="n">
        <v>1.054293758851389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150-2023-12-31</t>
        </is>
      </c>
    </row>
    <row r="198">
      <c r="A198" s="5" t="n">
        <v>150</v>
      </c>
      <c r="B198" s="5" t="inlineStr">
        <is>
          <t>Nivel de Satisfacción Servicios Prestados- Investigación, desarrollo tecnológico, innovación y creación</t>
        </is>
      </c>
      <c r="C198" s="5" t="inlineStr">
        <is>
          <t>Investigación, desarrollo tecnológico, innovación y creación</t>
        </is>
      </c>
      <c r="D198" s="5" t="inlineStr">
        <is>
          <t>Anual</t>
        </is>
      </c>
      <c r="E198" s="5" t="inlineStr">
        <is>
          <t>Positivo</t>
        </is>
      </c>
      <c r="F198" s="10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5" t="n">
        <v>89</v>
      </c>
      <c r="L198" s="14" t="n">
        <v>1.1125</v>
      </c>
      <c r="M198" s="14" t="n">
        <v>1.1125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150-2024-10-31</t>
        </is>
      </c>
    </row>
    <row r="199">
      <c r="A199" s="5" t="n">
        <v>150</v>
      </c>
      <c r="B199" s="5" t="inlineStr">
        <is>
          <t>Nivel de Satisfacción Servicios Prestados</t>
        </is>
      </c>
      <c r="C199" s="5" t="inlineStr">
        <is>
          <t>Investigación, desarrollo tecnológico, innovación y creación</t>
        </is>
      </c>
      <c r="D199" s="5" t="inlineStr">
        <is>
          <t>Anual</t>
        </is>
      </c>
      <c r="E199" s="5" t="inlineStr">
        <is>
          <t>Positivo</t>
        </is>
      </c>
      <c r="F199" s="109" t="n">
        <v>45657</v>
      </c>
      <c r="G199" s="5" t="n">
        <v>2024</v>
      </c>
      <c r="H199" s="5" t="inlineStr">
        <is>
          <t>Diciembre</t>
        </is>
      </c>
      <c r="I199" s="6" t="inlineStr">
        <is>
          <t>2024-2</t>
        </is>
      </c>
      <c r="J199" s="5" t="n">
        <v>80</v>
      </c>
      <c r="K199" s="5" t="n">
        <v>89</v>
      </c>
      <c r="L199" s="14" t="n">
        <v>1.1125</v>
      </c>
      <c r="M199" s="14" t="n">
        <v>1.1125</v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150-2024-12-31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9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5" t="n">
        <v>83</v>
      </c>
      <c r="L200" s="14" t="n">
        <v>1.0375</v>
      </c>
      <c r="M200" s="14" t="n">
        <v>1.0375</v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151-2022-10-31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9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5" t="n">
        <v>90.37</v>
      </c>
      <c r="L201" s="14" t="n">
        <v>1.129625</v>
      </c>
      <c r="M201" s="14" t="n">
        <v>1.129625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151-2023-10-31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9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/>
      <c r="K202" s="5" t="n"/>
      <c r="L202" s="14" t="n"/>
      <c r="M202" s="14" t="n"/>
      <c r="N202" s="5" t="inlineStr">
        <is>
          <t>No Aplica</t>
        </is>
      </c>
      <c r="O202" s="5" t="inlineStr">
        <is>
          <t>No Aplica</t>
        </is>
      </c>
      <c r="P202" s="5" t="n">
        <v>0</v>
      </c>
      <c r="Q202" s="5" t="n">
        <v>0</v>
      </c>
      <c r="R202" s="5" t="inlineStr">
        <is>
          <t>151-2023-12-31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9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5" t="n">
        <v>80</v>
      </c>
      <c r="L203" s="14" t="n">
        <v>1</v>
      </c>
      <c r="M203" s="14" t="n">
        <v>1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151-2024-10-31</t>
        </is>
      </c>
    </row>
    <row r="204">
      <c r="A204" s="5" t="n">
        <v>151</v>
      </c>
      <c r="B204" s="5" t="inlineStr">
        <is>
          <t>Nivel de Satisfacción Servicios Prestados</t>
        </is>
      </c>
      <c r="C204" s="5" t="inlineStr">
        <is>
          <t>Biblioteca Institucional</t>
        </is>
      </c>
      <c r="D204" s="5" t="inlineStr">
        <is>
          <t>Anual</t>
        </is>
      </c>
      <c r="E204" s="5" t="inlineStr">
        <is>
          <t>Positivo</t>
        </is>
      </c>
      <c r="F204" s="109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/>
      <c r="K204" s="5" t="n"/>
      <c r="L204" s="14" t="n"/>
      <c r="M204" s="14" t="n"/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151-2024-12-31</t>
        </is>
      </c>
    </row>
    <row r="205">
      <c r="A205" s="5" t="n">
        <v>151</v>
      </c>
      <c r="B205" s="5" t="inlineStr">
        <is>
          <t>Nivel de Satisfacción Servicios Prestados</t>
        </is>
      </c>
      <c r="C205" s="5" t="inlineStr">
        <is>
          <t>Biblioteca Institucional</t>
        </is>
      </c>
      <c r="D205" s="5" t="inlineStr">
        <is>
          <t>Anual</t>
        </is>
      </c>
      <c r="E205" s="5" t="inlineStr">
        <is>
          <t>Positivo</t>
        </is>
      </c>
      <c r="F205" s="109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5" t="n">
        <v>95</v>
      </c>
      <c r="L205" s="14" t="n">
        <v>1.1875</v>
      </c>
      <c r="M205" s="14" t="n">
        <v>1.1875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151-2025-10-31</t>
        </is>
      </c>
    </row>
    <row r="206">
      <c r="A206" s="5" t="n">
        <v>157</v>
      </c>
      <c r="B206" s="5" t="inlineStr">
        <is>
          <t>Indexación de bases de datos o SIRES</t>
        </is>
      </c>
      <c r="C206" s="5" t="inlineStr">
        <is>
          <t>Editorial y Publicaciones</t>
        </is>
      </c>
      <c r="D206" s="5" t="inlineStr">
        <is>
          <t>Anual</t>
        </is>
      </c>
      <c r="E206" s="5" t="inlineStr">
        <is>
          <t>Positivo</t>
        </is>
      </c>
      <c r="F206" s="109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3</v>
      </c>
      <c r="K206" s="5" t="n">
        <v>7</v>
      </c>
      <c r="L206" s="14" t="n">
        <v>1.3</v>
      </c>
      <c r="M206" s="14" t="n">
        <v>2.333333333333333</v>
      </c>
      <c r="N206" s="5" t="inlineStr">
        <is>
          <t>ENT</t>
        </is>
      </c>
      <c r="O206" s="5" t="inlineStr">
        <is>
          <t>ENT</t>
        </is>
      </c>
      <c r="P206" s="5" t="n">
        <v>0</v>
      </c>
      <c r="Q206" s="5" t="n">
        <v>0</v>
      </c>
      <c r="R206" s="5" t="inlineStr">
        <is>
          <t>157-2023-12-31</t>
        </is>
      </c>
    </row>
    <row r="207">
      <c r="A207" s="5" t="n">
        <v>157</v>
      </c>
      <c r="B207" s="5" t="inlineStr">
        <is>
          <t>Indexación de bases de datos o SIRES</t>
        </is>
      </c>
      <c r="C207" s="5" t="inlineStr">
        <is>
          <t>Editorial y Publicaciones</t>
        </is>
      </c>
      <c r="D207" s="5" t="inlineStr">
        <is>
          <t>Anual</t>
        </is>
      </c>
      <c r="E207" s="5" t="inlineStr">
        <is>
          <t>Positivo</t>
        </is>
      </c>
      <c r="F207" s="109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100</v>
      </c>
      <c r="K207" s="5" t="n">
        <v>125</v>
      </c>
      <c r="L207" s="14" t="n">
        <v>1.25</v>
      </c>
      <c r="M207" s="50" t="n">
        <v>1.25</v>
      </c>
      <c r="N207" s="5" t="inlineStr">
        <is>
          <t>ENT</t>
        </is>
      </c>
      <c r="O207" s="5" t="inlineStr">
        <is>
          <t>ENT</t>
        </is>
      </c>
      <c r="P207" s="5" t="n">
        <v>0</v>
      </c>
      <c r="Q207" s="5" t="n">
        <v>0</v>
      </c>
      <c r="R207" s="5" t="inlineStr">
        <is>
          <t>157-2024-12-31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Trimestral</t>
        </is>
      </c>
      <c r="E208" s="5" t="inlineStr">
        <is>
          <t>Positivo</t>
        </is>
      </c>
      <c r="F208" s="109" t="n">
        <v>44926</v>
      </c>
      <c r="G208" s="5" t="n">
        <v>2022</v>
      </c>
      <c r="H208" s="5" t="inlineStr">
        <is>
          <t>Diciembre</t>
        </is>
      </c>
      <c r="I208" s="6" t="inlineStr">
        <is>
          <t>2022-2</t>
        </is>
      </c>
      <c r="J208" s="5" t="n">
        <v>80</v>
      </c>
      <c r="K208" s="5" t="n">
        <v>70</v>
      </c>
      <c r="L208" s="14" t="n">
        <v>0.875</v>
      </c>
      <c r="M208" s="14" t="n">
        <v>0.875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159-2022-12-31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Semestral</t>
        </is>
      </c>
      <c r="E209" s="5" t="inlineStr">
        <is>
          <t>Positivo</t>
        </is>
      </c>
      <c r="F209" s="109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5" t="n">
        <v>98</v>
      </c>
      <c r="L209" s="14" t="n">
        <v>1.225</v>
      </c>
      <c r="M209" s="14" t="n">
        <v>1.225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159-2023-12-31</t>
        </is>
      </c>
    </row>
    <row r="210">
      <c r="A210" s="5" t="n">
        <v>159</v>
      </c>
      <c r="B210" s="5" t="inlineStr">
        <is>
          <t>Nivel de Satisfacción Servicios Prestados</t>
        </is>
      </c>
      <c r="C210" s="5" t="inlineStr">
        <is>
          <t>Editorial y Publicaciones</t>
        </is>
      </c>
      <c r="D210" s="5" t="inlineStr">
        <is>
          <t>Semestral</t>
        </is>
      </c>
      <c r="E210" s="5" t="inlineStr">
        <is>
          <t>Positivo</t>
        </is>
      </c>
      <c r="F210" s="109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5" t="n">
        <v>80</v>
      </c>
      <c r="K210" s="5" t="n">
        <v>96.40000000000001</v>
      </c>
      <c r="L210" s="14" t="n">
        <v>1.205</v>
      </c>
      <c r="M210" s="14" t="n">
        <v>1.205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 t="inlineStr">
        <is>
          <t>159-2024-12-31</t>
        </is>
      </c>
    </row>
    <row r="211">
      <c r="A211" s="5" t="n">
        <v>159</v>
      </c>
      <c r="B211" s="5" t="inlineStr">
        <is>
          <t>Nivel de Satisfacción Servicios Prestados</t>
        </is>
      </c>
      <c r="C211" s="5" t="inlineStr">
        <is>
          <t>Editorial y Publicaciones</t>
        </is>
      </c>
      <c r="D211" s="5" t="inlineStr">
        <is>
          <t>Trimestral</t>
        </is>
      </c>
      <c r="E211" s="5" t="inlineStr">
        <is>
          <t>Positivo</t>
        </is>
      </c>
      <c r="F211" s="109" t="n">
        <v>46022</v>
      </c>
      <c r="G211" s="5" t="n">
        <v>2025</v>
      </c>
      <c r="H211" s="5" t="inlineStr">
        <is>
          <t>Diciembre</t>
        </is>
      </c>
      <c r="I211" s="6" t="inlineStr">
        <is>
          <t>2025-2</t>
        </is>
      </c>
      <c r="J211" s="73" t="n">
        <v>80</v>
      </c>
      <c r="K211" s="9" t="n">
        <v>100</v>
      </c>
      <c r="L211" s="14" t="n">
        <v>1.25</v>
      </c>
      <c r="M211" s="14" t="n">
        <v>1.25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159-2025-12-31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Trimestral</t>
        </is>
      </c>
      <c r="E212" s="5" t="inlineStr">
        <is>
          <t>Positivo</t>
        </is>
      </c>
      <c r="F212" s="109" t="n">
        <v>44926</v>
      </c>
      <c r="G212" s="5" t="n">
        <v>2022</v>
      </c>
      <c r="H212" s="5" t="inlineStr">
        <is>
          <t>Diciembre</t>
        </is>
      </c>
      <c r="I212" s="6" t="inlineStr">
        <is>
          <t>2022-2</t>
        </is>
      </c>
      <c r="J212" s="5" t="n">
        <v>80</v>
      </c>
      <c r="K212" s="5" t="n">
        <v>97.095</v>
      </c>
      <c r="L212" s="14" t="n">
        <v>1.2136875</v>
      </c>
      <c r="M212" s="14" t="n">
        <v>1.2136875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167-2022-12-31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Semestral</t>
        </is>
      </c>
      <c r="E213" s="5" t="inlineStr">
        <is>
          <t>Positivo</t>
        </is>
      </c>
      <c r="F213" s="109" t="n">
        <v>45291</v>
      </c>
      <c r="G213" s="5" t="n">
        <v>2023</v>
      </c>
      <c r="H213" s="5" t="inlineStr">
        <is>
          <t>Diciembre</t>
        </is>
      </c>
      <c r="I213" s="6" t="inlineStr">
        <is>
          <t>2023-2</t>
        </is>
      </c>
      <c r="J213" s="5" t="n">
        <v>80</v>
      </c>
      <c r="K213" s="5" t="n">
        <v>96.92500000000001</v>
      </c>
      <c r="L213" s="14" t="n">
        <v>1.2115625</v>
      </c>
      <c r="M213" s="14" t="n">
        <v>1.2115625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167-2023-12-31</t>
        </is>
      </c>
    </row>
    <row r="214">
      <c r="A214" s="5" t="n">
        <v>167</v>
      </c>
      <c r="B214" s="5" t="inlineStr">
        <is>
          <t>Satisfacción actividades plan de bienestar</t>
        </is>
      </c>
      <c r="C214" s="5" t="inlineStr">
        <is>
          <t>GESTIÓN Y DESARROLLO DEL TALENTO HUMANO</t>
        </is>
      </c>
      <c r="D214" s="5" t="inlineStr">
        <is>
          <t>Semestral</t>
        </is>
      </c>
      <c r="E214" s="5" t="inlineStr">
        <is>
          <t>Positivo</t>
        </is>
      </c>
      <c r="F214" s="109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5" t="n">
        <v>85</v>
      </c>
      <c r="K214" s="5" t="n">
        <v>96.83</v>
      </c>
      <c r="L214" s="14" t="n">
        <v>1.139176470588235</v>
      </c>
      <c r="M214" s="14" t="n">
        <v>1.139176470588235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1</v>
      </c>
      <c r="R214" s="5" t="inlineStr">
        <is>
          <t>167-2024-12-31</t>
        </is>
      </c>
    </row>
    <row r="215">
      <c r="A215" s="5" t="n">
        <v>167</v>
      </c>
      <c r="B215" s="5" t="inlineStr">
        <is>
          <t>Satisfacción actividades plan de bienestar</t>
        </is>
      </c>
      <c r="C215" s="5" t="inlineStr">
        <is>
          <t>GESTIÓN Y DESARROLLO DEL TALENTO HUMANO</t>
        </is>
      </c>
      <c r="D215" s="5" t="inlineStr">
        <is>
          <t>Trimestral</t>
        </is>
      </c>
      <c r="E215" s="5" t="inlineStr">
        <is>
          <t>Positivo</t>
        </is>
      </c>
      <c r="F215" s="109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90</v>
      </c>
      <c r="K215" s="5" t="n">
        <v>93.815</v>
      </c>
      <c r="L215" s="14" t="n">
        <v>1.042388888888889</v>
      </c>
      <c r="M215" s="14" t="n">
        <v>1.042388888888889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1</v>
      </c>
      <c r="R215" s="5" t="inlineStr">
        <is>
          <t>167-2025-12-31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9" t="n">
        <v>44926</v>
      </c>
      <c r="G216" s="5" t="n">
        <v>2022</v>
      </c>
      <c r="H216" s="5" t="inlineStr">
        <is>
          <t>Diciembre</t>
        </is>
      </c>
      <c r="I216" s="6" t="inlineStr">
        <is>
          <t>2022-2</t>
        </is>
      </c>
      <c r="J216" s="5" t="n">
        <v>90</v>
      </c>
      <c r="K216" s="5" t="n">
        <v>97.8793018866355</v>
      </c>
      <c r="L216" s="14" t="n">
        <v>1.087547798740395</v>
      </c>
      <c r="M216" s="14" t="n">
        <v>1.087547798740395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172-2022-12-31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9" t="n">
        <v>45291</v>
      </c>
      <c r="G217" s="5" t="n">
        <v>2023</v>
      </c>
      <c r="H217" s="5" t="inlineStr">
        <is>
          <t>Diciembre</t>
        </is>
      </c>
      <c r="I217" s="6" t="inlineStr">
        <is>
          <t>2023-2</t>
        </is>
      </c>
      <c r="J217" s="5" t="n">
        <v>95</v>
      </c>
      <c r="K217" s="5" t="n">
        <v>94.5154285714286</v>
      </c>
      <c r="L217" s="14" t="n">
        <v>0.9948992481203011</v>
      </c>
      <c r="M217" s="14" t="n">
        <v>0.9948992481203011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172-2023-12-31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9" t="n">
        <v>45657</v>
      </c>
      <c r="G218" s="5" t="n">
        <v>2024</v>
      </c>
      <c r="H218" s="5" t="inlineStr">
        <is>
          <t>Diciembre</t>
        </is>
      </c>
      <c r="I218" s="6" t="inlineStr">
        <is>
          <t>2024-2</t>
        </is>
      </c>
      <c r="J218" s="5" t="n">
        <v>95</v>
      </c>
      <c r="K218" s="10" t="n">
        <v>92.20395946789137</v>
      </c>
      <c r="L218" s="14" t="n">
        <v>0.9705679943988564</v>
      </c>
      <c r="M218" s="14" t="n">
        <v>0.9705679943988564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172-2024-12-31</t>
        </is>
      </c>
    </row>
    <row r="219">
      <c r="A219" s="5" t="n">
        <v>172</v>
      </c>
      <c r="B219" s="5" t="inlineStr">
        <is>
          <t>Cumplimiento plan operativo del SGC</t>
        </is>
      </c>
      <c r="C219" s="5" t="inlineStr">
        <is>
          <t>Gestión de calidad</t>
        </is>
      </c>
      <c r="D219" s="5" t="inlineStr">
        <is>
          <t>Mensual</t>
        </is>
      </c>
      <c r="E219" s="5" t="inlineStr">
        <is>
          <t>Positivo</t>
        </is>
      </c>
      <c r="F219" s="109" t="n">
        <v>46022</v>
      </c>
      <c r="G219" s="5" t="n">
        <v>2025</v>
      </c>
      <c r="H219" s="5" t="inlineStr">
        <is>
          <t>Diciembre</t>
        </is>
      </c>
      <c r="I219" s="6" t="inlineStr">
        <is>
          <t>2025-2</t>
        </is>
      </c>
      <c r="J219" s="5" t="n">
        <v>95</v>
      </c>
      <c r="K219" s="5" t="n">
        <v>90.89166666666667</v>
      </c>
      <c r="L219" s="14" t="n">
        <v>0.9567543859649122</v>
      </c>
      <c r="M219" s="14" t="n">
        <v>0.9567543859649122</v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172-2025-12-31</t>
        </is>
      </c>
    </row>
    <row r="220">
      <c r="A220" s="5" t="n">
        <v>172</v>
      </c>
      <c r="B220" s="5" t="inlineStr">
        <is>
          <t>Cumplimiento plan operativo del SGC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109" t="n">
        <v>46081</v>
      </c>
      <c r="G220" s="5" t="n">
        <v>2026</v>
      </c>
      <c r="H220" s="5" t="inlineStr">
        <is>
          <t>Febrero</t>
        </is>
      </c>
      <c r="I220" s="6" t="inlineStr">
        <is>
          <t>2026-1</t>
        </is>
      </c>
      <c r="J220" s="5" t="n">
        <v>95</v>
      </c>
      <c r="K220" s="5" t="n">
        <v>90.91</v>
      </c>
      <c r="L220" s="14" t="n">
        <v>0.9569473684210525</v>
      </c>
      <c r="M220" s="14" t="n">
        <v>0.9569473684210525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172-2026-02-28</t>
        </is>
      </c>
    </row>
    <row r="221">
      <c r="A221" s="5" t="n">
        <v>174</v>
      </c>
      <c r="B221" s="5" t="inlineStr">
        <is>
          <t>Cumplimiento Plan de Formación SGC</t>
        </is>
      </c>
      <c r="C221" s="5" t="inlineStr">
        <is>
          <t>Gestión de calidad</t>
        </is>
      </c>
      <c r="D221" s="5" t="inlineStr">
        <is>
          <t>Semestral</t>
        </is>
      </c>
      <c r="E221" s="5" t="inlineStr">
        <is>
          <t>Positivo</t>
        </is>
      </c>
      <c r="F221" s="109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95</v>
      </c>
      <c r="K221" s="5" t="n">
        <v>100</v>
      </c>
      <c r="L221" s="14" t="n">
        <v>1.052631578947368</v>
      </c>
      <c r="M221" s="14" t="n">
        <v>1.052631578947368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174-2023-12-31</t>
        </is>
      </c>
    </row>
    <row r="222">
      <c r="A222" s="5" t="n">
        <v>174</v>
      </c>
      <c r="B222" s="5" t="inlineStr">
        <is>
          <t>Cumplimiento Plan de Formación SGC</t>
        </is>
      </c>
      <c r="C222" s="5" t="inlineStr">
        <is>
          <t>Gestión de calidad</t>
        </is>
      </c>
      <c r="D222" s="5" t="inlineStr">
        <is>
          <t>Semestral</t>
        </is>
      </c>
      <c r="E222" s="5" t="inlineStr">
        <is>
          <t>Positivo</t>
        </is>
      </c>
      <c r="F222" s="109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95</v>
      </c>
      <c r="K222" s="5" t="n"/>
      <c r="L222" s="14" t="n"/>
      <c r="M222" s="14" t="n"/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174-2024-12-31</t>
        </is>
      </c>
    </row>
    <row r="223">
      <c r="A223" s="5" t="n">
        <v>176</v>
      </c>
      <c r="B223" s="5" t="inlineStr">
        <is>
          <t>Cumplimiento Planes de Mejora</t>
        </is>
      </c>
      <c r="C223" s="5" t="inlineStr">
        <is>
          <t>Gestión de calidad</t>
        </is>
      </c>
      <c r="D223" s="5" t="inlineStr">
        <is>
          <t>Mensual</t>
        </is>
      </c>
      <c r="E223" s="5" t="inlineStr">
        <is>
          <t>Positivo</t>
        </is>
      </c>
      <c r="F223" s="109" t="n">
        <v>45291</v>
      </c>
      <c r="G223" s="5" t="n">
        <v>2023</v>
      </c>
      <c r="H223" s="5" t="inlineStr">
        <is>
          <t>Diciembre</t>
        </is>
      </c>
      <c r="I223" s="6" t="inlineStr">
        <is>
          <t>2023-2</t>
        </is>
      </c>
      <c r="J223" s="5" t="n">
        <v>80</v>
      </c>
      <c r="K223" s="5" t="n">
        <v>81.37</v>
      </c>
      <c r="L223" s="14" t="n">
        <v>1.017125</v>
      </c>
      <c r="M223" s="14" t="n">
        <v>1.017125</v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176-2023-12-31</t>
        </is>
      </c>
    </row>
    <row r="224">
      <c r="A224" s="5" t="n">
        <v>176</v>
      </c>
      <c r="B224" s="5" t="inlineStr">
        <is>
          <t>Cumplimiento Planes de Mejora</t>
        </is>
      </c>
      <c r="C224" s="5" t="inlineStr">
        <is>
          <t>Gestión de calidad</t>
        </is>
      </c>
      <c r="D224" s="5" t="inlineStr">
        <is>
          <t>Mensual</t>
        </is>
      </c>
      <c r="E224" s="5" t="inlineStr">
        <is>
          <t>Positivo</t>
        </is>
      </c>
      <c r="F224" s="109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85</v>
      </c>
      <c r="K224" s="5" t="n">
        <v>89.08</v>
      </c>
      <c r="L224" s="14" t="n">
        <v>1.048</v>
      </c>
      <c r="M224" s="14" t="n">
        <v>1.048</v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176-2024-12-31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9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76</v>
      </c>
      <c r="K225" s="5" t="n">
        <v>92.40000000000001</v>
      </c>
      <c r="L225" s="14" t="n">
        <v>1.215789473684211</v>
      </c>
      <c r="M225" s="14" t="n">
        <v>1.215789473684211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193-2022-12-31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9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92</v>
      </c>
      <c r="K226" s="5" t="n">
        <v>91.599839914621</v>
      </c>
      <c r="L226" s="14" t="n">
        <v>0.9956504338545761</v>
      </c>
      <c r="M226" s="14" t="n">
        <v>0.9956504338545761</v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193-2023-12-31</t>
        </is>
      </c>
    </row>
    <row r="227">
      <c r="A227" s="5" t="n">
        <v>193</v>
      </c>
      <c r="B227" s="5" t="inlineStr">
        <is>
          <t>Porcentaje de cumplimiento del Acuerdo de Nivel de Servicio (ANS)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9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90</v>
      </c>
      <c r="K227" s="5" t="n">
        <v>92.6001153810128</v>
      </c>
      <c r="L227" s="14" t="n">
        <v>1.028890170900142</v>
      </c>
      <c r="M227" s="14" t="n">
        <v>1.028890170900142</v>
      </c>
      <c r="N227" s="5" t="inlineStr">
        <is>
          <t>%</t>
        </is>
      </c>
      <c r="O227" s="5" t="inlineStr">
        <is>
          <t>%</t>
        </is>
      </c>
      <c r="P227" s="5" t="n">
        <v>1</v>
      </c>
      <c r="Q227" s="5" t="n">
        <v>1</v>
      </c>
      <c r="R227" s="5" t="inlineStr">
        <is>
          <t>193-2024-12-31</t>
        </is>
      </c>
    </row>
    <row r="228">
      <c r="A228" s="5" t="n">
        <v>193</v>
      </c>
      <c r="B228" s="5" t="inlineStr">
        <is>
          <t>Porcentaje de cumplimiento del Acuerdo de Nivel de Servicio (ANS)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9" t="n">
        <v>46022</v>
      </c>
      <c r="G228" s="5" t="n">
        <v>2025</v>
      </c>
      <c r="H228" s="5" t="inlineStr">
        <is>
          <t>Diciembre</t>
        </is>
      </c>
      <c r="I228" s="6" t="inlineStr">
        <is>
          <t>2025-2</t>
        </is>
      </c>
      <c r="J228" s="5" t="n">
        <v>93.5</v>
      </c>
      <c r="K228" s="5" t="n">
        <v>95.60499999999999</v>
      </c>
      <c r="L228" s="14" t="n">
        <v>1.022513368983957</v>
      </c>
      <c r="M228" s="14" t="n">
        <v>1.022513368983957</v>
      </c>
      <c r="N228" s="5" t="inlineStr">
        <is>
          <t>%</t>
        </is>
      </c>
      <c r="O228" s="5" t="inlineStr">
        <is>
          <t>%</t>
        </is>
      </c>
      <c r="P228" s="5" t="n">
        <v>1</v>
      </c>
      <c r="Q228" s="5" t="n">
        <v>1</v>
      </c>
      <c r="R228" s="5" t="inlineStr">
        <is>
          <t>193-2025-12-31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9" t="n">
        <v>44926</v>
      </c>
      <c r="G229" s="5" t="n">
        <v>2022</v>
      </c>
      <c r="H229" s="5" t="inlineStr">
        <is>
          <t>Diciembre</t>
        </is>
      </c>
      <c r="I229" s="6" t="inlineStr">
        <is>
          <t>2022-2</t>
        </is>
      </c>
      <c r="J229" s="73" t="n">
        <v>73</v>
      </c>
      <c r="K229" s="9" t="n">
        <v>83.11</v>
      </c>
      <c r="L229" s="14" t="n">
        <v>1.138493150684931</v>
      </c>
      <c r="M229" s="14" t="n">
        <v>1.138493150684931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194-2022-12-31</t>
        </is>
      </c>
    </row>
    <row r="230">
      <c r="A230" s="5" t="n">
        <v>194</v>
      </c>
      <c r="B230" s="5" t="inlineStr">
        <is>
          <t>Índice de satisfacción del estudiante (SSI)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Positivo</t>
        </is>
      </c>
      <c r="F230" s="109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80</v>
      </c>
      <c r="K230" s="5" t="n">
        <v>81.91</v>
      </c>
      <c r="L230" s="14" t="n">
        <v>1.023875</v>
      </c>
      <c r="M230" s="14" t="n">
        <v>1.023875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194-2023-12-31</t>
        </is>
      </c>
    </row>
    <row r="231">
      <c r="A231" s="5" t="n">
        <v>194</v>
      </c>
      <c r="B231" s="5" t="inlineStr">
        <is>
          <t>Índice de satisfacción del estudiante (SSI)</t>
        </is>
      </c>
      <c r="C231" s="5" t="inlineStr">
        <is>
          <t>Servicio</t>
        </is>
      </c>
      <c r="D231" s="5" t="inlineStr">
        <is>
          <t>Semestral</t>
        </is>
      </c>
      <c r="E231" s="5" t="inlineStr">
        <is>
          <t>Positivo</t>
        </is>
      </c>
      <c r="F231" s="109" t="n">
        <v>45657</v>
      </c>
      <c r="G231" s="5" t="n">
        <v>2024</v>
      </c>
      <c r="H231" s="5" t="inlineStr">
        <is>
          <t>Diciembre</t>
        </is>
      </c>
      <c r="I231" s="6" t="inlineStr">
        <is>
          <t>2024-2</t>
        </is>
      </c>
      <c r="J231" s="5" t="n">
        <v>81</v>
      </c>
      <c r="K231" s="5" t="n">
        <v>89</v>
      </c>
      <c r="L231" s="14" t="n">
        <v>1.098765432098765</v>
      </c>
      <c r="M231" s="14" t="n">
        <v>1.098765432098765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194-2024-12-31</t>
        </is>
      </c>
    </row>
    <row r="232">
      <c r="A232" s="5" t="n">
        <v>196</v>
      </c>
      <c r="B232" s="5" t="inlineStr">
        <is>
          <t>(% de solicitudes procesos Pareto)</t>
        </is>
      </c>
      <c r="C232" s="5" t="inlineStr">
        <is>
          <t>Servicio</t>
        </is>
      </c>
      <c r="D232" s="5" t="inlineStr">
        <is>
          <t>Semestral</t>
        </is>
      </c>
      <c r="E232" s="5" t="inlineStr">
        <is>
          <t>Negativo</t>
        </is>
      </c>
      <c r="F232" s="109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37</v>
      </c>
      <c r="K232" s="10" t="n">
        <v>26.62</v>
      </c>
      <c r="L232" s="14" t="n">
        <v>1.3</v>
      </c>
      <c r="M232" s="14" t="n">
        <v>1.389932381667919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196-2023-12-31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Semestral</t>
        </is>
      </c>
      <c r="E233" s="5" t="inlineStr">
        <is>
          <t>Positivo</t>
        </is>
      </c>
      <c r="F233" s="109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90</v>
      </c>
      <c r="K233" s="5" t="n">
        <v>100</v>
      </c>
      <c r="L233" s="14" t="n">
        <v>1.111111111111111</v>
      </c>
      <c r="M233" s="14" t="n">
        <v>1.111111111111111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197-2022-12-31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Trimestral</t>
        </is>
      </c>
      <c r="E234" s="5" t="inlineStr">
        <is>
          <t>Positivo</t>
        </is>
      </c>
      <c r="F234" s="109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90</v>
      </c>
      <c r="K234" s="5" t="n">
        <v>100</v>
      </c>
      <c r="L234" s="14" t="n">
        <v>1.111111111111111</v>
      </c>
      <c r="M234" s="14" t="n">
        <v>1.111111111111111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197-2023-12-31</t>
        </is>
      </c>
    </row>
    <row r="235">
      <c r="A235" s="5" t="n">
        <v>197</v>
      </c>
      <c r="B235" s="5" t="inlineStr">
        <is>
          <t>Cumplimiento cronograma Mantenimiento de Equipos</t>
        </is>
      </c>
      <c r="C235" s="5" t="inlineStr">
        <is>
          <t>Gestión Infraestructura Física</t>
        </is>
      </c>
      <c r="D235" s="5" t="inlineStr">
        <is>
          <t>Trimestral</t>
        </is>
      </c>
      <c r="E235" s="5" t="inlineStr">
        <is>
          <t>Positivo</t>
        </is>
      </c>
      <c r="F235" s="109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73" t="n">
        <v>95</v>
      </c>
      <c r="K235" s="9" t="n">
        <v>100</v>
      </c>
      <c r="L235" s="14" t="n">
        <v>1.052631578947368</v>
      </c>
      <c r="M235" s="14" t="n">
        <v>1.052631578947368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197-2024-12-31</t>
        </is>
      </c>
    </row>
    <row r="236">
      <c r="A236" s="5" t="n">
        <v>197</v>
      </c>
      <c r="B236" s="5" t="inlineStr">
        <is>
          <t>Cumplimiento cronograma Mantenimiento de Equipos</t>
        </is>
      </c>
      <c r="C236" s="5" t="inlineStr">
        <is>
          <t>Gestión Infraestructura Física</t>
        </is>
      </c>
      <c r="D236" s="5" t="inlineStr">
        <is>
          <t>Semestral</t>
        </is>
      </c>
      <c r="E236" s="5" t="inlineStr">
        <is>
          <t>Positivo</t>
        </is>
      </c>
      <c r="F236" s="109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97</v>
      </c>
      <c r="K236" s="5" t="n">
        <v>100.1075</v>
      </c>
      <c r="L236" s="14" t="n">
        <v>1.032036082474227</v>
      </c>
      <c r="M236" s="14" t="n">
        <v>1.032036082474227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197-2025-12-31</t>
        </is>
      </c>
    </row>
    <row r="237">
      <c r="A237" s="5" t="n">
        <v>197</v>
      </c>
      <c r="B237" s="5" t="inlineStr">
        <is>
          <t>Cumplimiento cronograma Mantenimiento de Equipos</t>
        </is>
      </c>
      <c r="C237" s="5" t="inlineStr">
        <is>
          <t>Gestión Infraestructura Física</t>
        </is>
      </c>
      <c r="D237" s="5" t="inlineStr">
        <is>
          <t>Semestral</t>
        </is>
      </c>
      <c r="E237" s="5" t="inlineStr">
        <is>
          <t>Positivo</t>
        </is>
      </c>
      <c r="F237" s="109" t="n">
        <v>46112</v>
      </c>
      <c r="G237" s="5" t="n">
        <v>2026</v>
      </c>
      <c r="H237" s="5" t="inlineStr">
        <is>
          <t>Marzo</t>
        </is>
      </c>
      <c r="I237" s="6" t="inlineStr">
        <is>
          <t>2026-1</t>
        </is>
      </c>
      <c r="J237" s="5" t="n">
        <v>97</v>
      </c>
      <c r="K237" s="5" t="n">
        <v>100</v>
      </c>
      <c r="L237" s="14" t="n">
        <v>1.030927835051546</v>
      </c>
      <c r="M237" s="14" t="n">
        <v>1.030927835051546</v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197-2026-03-31</t>
        </is>
      </c>
    </row>
    <row r="238">
      <c r="A238" s="5" t="n">
        <v>199</v>
      </c>
      <c r="B238" s="5" t="inlineStr">
        <is>
          <t>Nivel de cumplimiento de eficacia las capacitaciones</t>
        </is>
      </c>
      <c r="C238" s="5" t="inlineStr">
        <is>
          <t>GESTIÓN Y DESARROLLO DEL TALENTO HUMANO</t>
        </is>
      </c>
      <c r="D238" s="5" t="inlineStr">
        <is>
          <t>Semestral</t>
        </is>
      </c>
      <c r="E238" s="5" t="inlineStr">
        <is>
          <t>Positivo</t>
        </is>
      </c>
      <c r="F238" s="109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95</v>
      </c>
      <c r="K238" s="5" t="n">
        <v>87.66833333333349</v>
      </c>
      <c r="L238" s="14" t="n">
        <v>0.9228245614035104</v>
      </c>
      <c r="M238" s="14" t="n">
        <v>0.9228245614035104</v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199-2023-12-31</t>
        </is>
      </c>
    </row>
    <row r="239">
      <c r="A239" s="5" t="n">
        <v>199</v>
      </c>
      <c r="B239" s="5" t="inlineStr">
        <is>
          <t>Nivel de cumplimiento de eficacia las capacitaciones</t>
        </is>
      </c>
      <c r="C239" s="5" t="inlineStr">
        <is>
          <t>GESTIÓN Y DESARROLLO DEL TALENTO HUMANO</t>
        </is>
      </c>
      <c r="D239" s="5" t="inlineStr">
        <is>
          <t>Semestral</t>
        </is>
      </c>
      <c r="E239" s="5" t="inlineStr">
        <is>
          <t>Positivo</t>
        </is>
      </c>
      <c r="F239" s="109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70</v>
      </c>
      <c r="K239" s="5" t="n">
        <v>92.5</v>
      </c>
      <c r="L239" s="14" t="n">
        <v>1.3</v>
      </c>
      <c r="M239" s="14" t="n">
        <v>1.321428571428571</v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199-2024-12-31</t>
        </is>
      </c>
    </row>
    <row r="240">
      <c r="A240" s="5" t="n">
        <v>199</v>
      </c>
      <c r="B240" s="5" t="inlineStr">
        <is>
          <t>Nivel de cumplimiento de eficacia las capacitaciones</t>
        </is>
      </c>
      <c r="C240" s="5" t="inlineStr">
        <is>
          <t>GESTIÓN Y DESARROLLO DEL TALENTO HUMANO</t>
        </is>
      </c>
      <c r="D240" s="5" t="inlineStr">
        <is>
          <t>Trimestral</t>
        </is>
      </c>
      <c r="E240" s="5" t="inlineStr">
        <is>
          <t>Positivo</t>
        </is>
      </c>
      <c r="F240" s="109" t="n">
        <v>46022</v>
      </c>
      <c r="G240" s="5" t="n">
        <v>2025</v>
      </c>
      <c r="H240" s="5" t="inlineStr">
        <is>
          <t>Diciembre</t>
        </is>
      </c>
      <c r="I240" s="6" t="inlineStr">
        <is>
          <t>2025-2</t>
        </is>
      </c>
      <c r="J240" s="5" t="n">
        <v>80</v>
      </c>
      <c r="K240" s="5" t="n">
        <v>92.495</v>
      </c>
      <c r="L240" s="14" t="n">
        <v>1.1561875</v>
      </c>
      <c r="M240" s="14" t="n">
        <v>1.1561875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199-2025-12-31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9" t="n">
        <v>44926</v>
      </c>
      <c r="G241" s="5" t="n">
        <v>2022</v>
      </c>
      <c r="H241" s="5" t="inlineStr">
        <is>
          <t>Diciembre</t>
        </is>
      </c>
      <c r="I241" s="6" t="inlineStr">
        <is>
          <t>2022-2</t>
        </is>
      </c>
      <c r="J241" s="5" t="n">
        <v>70</v>
      </c>
      <c r="K241" s="5" t="n"/>
      <c r="L241" s="14" t="n"/>
      <c r="M241" s="14" t="n"/>
      <c r="N241" s="5" t="inlineStr">
        <is>
          <t>%</t>
        </is>
      </c>
      <c r="O241" s="5" t="inlineStr">
        <is>
          <t>No Aplica</t>
        </is>
      </c>
      <c r="P241" s="5" t="n">
        <v>0</v>
      </c>
      <c r="Q241" s="5" t="n">
        <v>1</v>
      </c>
      <c r="R241" s="5" t="inlineStr">
        <is>
          <t>200-2022-12-31</t>
        </is>
      </c>
      <c r="S241" t="inlineStr">
        <is>
          <t>No Aplica</t>
        </is>
      </c>
    </row>
    <row r="242">
      <c r="A242" s="5" t="n">
        <v>200</v>
      </c>
      <c r="B242" s="5" t="inlineStr">
        <is>
          <t>Nivel de efectividad de las capacitaciones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9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70</v>
      </c>
      <c r="K242" s="5" t="n">
        <v>90</v>
      </c>
      <c r="L242" s="14" t="n">
        <v>1.285714285714286</v>
      </c>
      <c r="M242" s="14" t="n">
        <v>1.285714285714286</v>
      </c>
      <c r="N242" s="5" t="inlineStr">
        <is>
          <t>Linea Base</t>
        </is>
      </c>
      <c r="O242" s="5" t="inlineStr">
        <is>
          <t>%</t>
        </is>
      </c>
      <c r="P242" s="5" t="n">
        <v>0</v>
      </c>
      <c r="Q242" s="5" t="n">
        <v>0</v>
      </c>
      <c r="R242" s="5" t="inlineStr">
        <is>
          <t>200-2023-12-31</t>
        </is>
      </c>
    </row>
    <row r="243">
      <c r="A243" s="5" t="n">
        <v>200</v>
      </c>
      <c r="B243" s="5" t="inlineStr">
        <is>
          <t>Nivel de efectividad de las capacitaciones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9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>
        <v>80</v>
      </c>
      <c r="K243" s="5" t="n">
        <v>87.40000000000001</v>
      </c>
      <c r="L243" s="14" t="n">
        <v>1.0925</v>
      </c>
      <c r="M243" s="14" t="n">
        <v>1.0925</v>
      </c>
      <c r="N243" s="5" t="inlineStr">
        <is>
          <t>%</t>
        </is>
      </c>
      <c r="O243" s="5" t="inlineStr">
        <is>
          <t>%</t>
        </is>
      </c>
      <c r="P243" s="5" t="n">
        <v>0</v>
      </c>
      <c r="Q243" s="5" t="n">
        <v>1</v>
      </c>
      <c r="R243" s="5" t="inlineStr">
        <is>
          <t>200-2024-12-31</t>
        </is>
      </c>
    </row>
    <row r="244">
      <c r="A244" s="5" t="n">
        <v>200</v>
      </c>
      <c r="B244" s="5" t="inlineStr">
        <is>
          <t>Nivel de efectividad de las capacitaciones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9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87</v>
      </c>
      <c r="K244" s="5" t="n">
        <v>90.84999999999999</v>
      </c>
      <c r="L244" s="14" t="n">
        <v>1.044252873563218</v>
      </c>
      <c r="M244" s="14" t="n">
        <v>1.044252873563218</v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200-2025-12-31</t>
        </is>
      </c>
    </row>
    <row r="245">
      <c r="A245" s="5" t="n">
        <v>202</v>
      </c>
      <c r="B245" s="5" t="inlineStr">
        <is>
          <t>Great Place to Work</t>
        </is>
      </c>
      <c r="C245" s="5" t="inlineStr">
        <is>
          <t>GESTIÓN Y DESARROLLO DEL TALENTO HUMANO</t>
        </is>
      </c>
      <c r="D245" s="5" t="inlineStr">
        <is>
          <t>Anual</t>
        </is>
      </c>
      <c r="E245" s="5" t="inlineStr">
        <is>
          <t>Positivo</t>
        </is>
      </c>
      <c r="F245" s="109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66</v>
      </c>
      <c r="K245" s="5" t="n">
        <v>64.7</v>
      </c>
      <c r="L245" s="14" t="n">
        <v>0.9803030303030303</v>
      </c>
      <c r="M245" s="14" t="n">
        <v>0.9803030303030303</v>
      </c>
      <c r="N245" s="5" t="inlineStr">
        <is>
          <t>ENT</t>
        </is>
      </c>
      <c r="O245" s="5" t="inlineStr">
        <is>
          <t>DEC</t>
        </is>
      </c>
      <c r="P245" s="5" t="n">
        <v>0</v>
      </c>
      <c r="Q245" s="5" t="n">
        <v>1</v>
      </c>
      <c r="R245" s="5" t="inlineStr">
        <is>
          <t>202-2023-12-31</t>
        </is>
      </c>
    </row>
    <row r="246">
      <c r="A246" s="5" t="n">
        <v>202</v>
      </c>
      <c r="B246" s="5" t="inlineStr">
        <is>
          <t>Great Place to Work</t>
        </is>
      </c>
      <c r="C246" s="5" t="inlineStr">
        <is>
          <t>GESTIÓN Y DESARROLLO DEL TALENTO HUMANO</t>
        </is>
      </c>
      <c r="D246" s="5" t="inlineStr">
        <is>
          <t>Anual</t>
        </is>
      </c>
      <c r="E246" s="5" t="inlineStr">
        <is>
          <t>Positivo</t>
        </is>
      </c>
      <c r="F246" s="109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/>
      <c r="K246" s="5" t="n">
        <v>0</v>
      </c>
      <c r="L246" s="14" t="n"/>
      <c r="M246" s="14" t="n"/>
      <c r="N246" s="5" t="inlineStr">
        <is>
          <t>DEC</t>
        </is>
      </c>
      <c r="O246" s="5" t="inlineStr">
        <is>
          <t>DEC</t>
        </is>
      </c>
      <c r="P246" s="5" t="n">
        <v>1</v>
      </c>
      <c r="Q246" s="5" t="n">
        <v>0</v>
      </c>
      <c r="R246" s="5" t="inlineStr">
        <is>
          <t>202-2024-12-31</t>
        </is>
      </c>
    </row>
    <row r="247">
      <c r="A247" s="5" t="n">
        <v>202</v>
      </c>
      <c r="B247" s="5" t="inlineStr">
        <is>
          <t>Great Place to Work</t>
        </is>
      </c>
      <c r="C247" s="5" t="inlineStr">
        <is>
          <t>GESTIÓN Y DESARROLLO DEL TALENTO HUMANO</t>
        </is>
      </c>
      <c r="D247" s="5" t="inlineStr">
        <is>
          <t>Anual</t>
        </is>
      </c>
      <c r="E247" s="5" t="inlineStr">
        <is>
          <t>Positivo</t>
        </is>
      </c>
      <c r="F247" s="109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68.7</v>
      </c>
      <c r="K247" s="5" t="n">
        <v>81</v>
      </c>
      <c r="L247" s="14" t="n">
        <v>1.179039301310044</v>
      </c>
      <c r="M247" s="14" t="n">
        <v>1.179039301310044</v>
      </c>
      <c r="N247" s="5" t="inlineStr">
        <is>
          <t>DEC</t>
        </is>
      </c>
      <c r="O247" s="5" t="inlineStr">
        <is>
          <t>DEC</t>
        </is>
      </c>
      <c r="P247" s="5" t="n">
        <v>1</v>
      </c>
      <c r="Q247" s="5" t="n">
        <v>0</v>
      </c>
      <c r="R247" s="5" t="inlineStr">
        <is>
          <t>202-2025-12-31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9" t="n">
        <v>44926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224440</v>
      </c>
      <c r="K248" s="5" t="n">
        <v>241706</v>
      </c>
      <c r="L248" s="14" t="n">
        <v>1.076929246123686</v>
      </c>
      <c r="M248" s="14" t="n">
        <v>1.076929246123686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203-2022-12-31</t>
        </is>
      </c>
    </row>
    <row r="249">
      <c r="A249" s="5" t="n">
        <v>203</v>
      </c>
      <c r="B249" s="5" t="inlineStr">
        <is>
          <t>Cumplimiento de Ingresos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9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95</v>
      </c>
      <c r="K249" s="5" t="n">
        <v>103.36740380481</v>
      </c>
      <c r="L249" s="14" t="n">
        <v>1.088077934787474</v>
      </c>
      <c r="M249" s="14" t="n">
        <v>1.088077934787474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203-2023-12-31</t>
        </is>
      </c>
    </row>
    <row r="250">
      <c r="A250" s="5" t="n">
        <v>203</v>
      </c>
      <c r="B250" s="5" t="inlineStr">
        <is>
          <t>Cumplimiento de Ingresos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9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5" t="n">
        <v>102.84</v>
      </c>
      <c r="L250" s="14" t="n">
        <v>1.082526315789474</v>
      </c>
      <c r="M250" s="14" t="n">
        <v>1.082526315789474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203-2024-12-31</t>
        </is>
      </c>
    </row>
    <row r="251">
      <c r="A251" s="5" t="n">
        <v>203</v>
      </c>
      <c r="B251" s="5" t="inlineStr">
        <is>
          <t>Cumplimiento de Ingresos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9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95</v>
      </c>
      <c r="K251" s="5" t="n">
        <v>111.33</v>
      </c>
      <c r="L251" s="14" t="n">
        <v>1.171894736842105</v>
      </c>
      <c r="M251" s="14" t="n">
        <v>1.171894736842105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203-2025-12-31</t>
        </is>
      </c>
    </row>
    <row r="252">
      <c r="A252" s="5" t="n">
        <v>204</v>
      </c>
      <c r="B252" s="61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9" t="n">
        <v>44925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82987</v>
      </c>
      <c r="K252" s="5" t="n">
        <v>18386</v>
      </c>
      <c r="L252" s="14" t="n">
        <v>0.2215527733259426</v>
      </c>
      <c r="M252" s="14" t="n">
        <v>0.2215527733259426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204-2022-12-30</t>
        </is>
      </c>
    </row>
    <row r="253">
      <c r="A253" s="5" t="n">
        <v>204</v>
      </c>
      <c r="B253" s="5" t="inlineStr">
        <is>
          <t>Caja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9" t="n">
        <v>45291</v>
      </c>
      <c r="G253" s="15" t="n">
        <v>2023</v>
      </c>
      <c r="H253" s="6" t="inlineStr">
        <is>
          <t>Diciembre</t>
        </is>
      </c>
      <c r="I253" s="6" t="inlineStr">
        <is>
          <t>2023-2</t>
        </is>
      </c>
      <c r="J253" s="5" t="n">
        <v>95</v>
      </c>
      <c r="K253" s="5" t="n">
        <v>162.37</v>
      </c>
      <c r="L253" s="14" t="n">
        <v>1.3</v>
      </c>
      <c r="M253" s="14" t="n">
        <v>1.709157894736842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204-2023-12-31</t>
        </is>
      </c>
    </row>
    <row r="254">
      <c r="A254" s="5" t="n">
        <v>204</v>
      </c>
      <c r="B254" s="5" t="inlineStr">
        <is>
          <t>Caja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9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95</v>
      </c>
      <c r="K254" s="5" t="n">
        <v>144.53</v>
      </c>
      <c r="L254" s="14" t="n">
        <v>1.3</v>
      </c>
      <c r="M254" s="14" t="n">
        <v>1.521368421052631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204-2024-12-31</t>
        </is>
      </c>
    </row>
    <row r="255">
      <c r="A255" s="5" t="n">
        <v>204</v>
      </c>
      <c r="B255" s="5" t="inlineStr">
        <is>
          <t>Caja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9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95</v>
      </c>
      <c r="K255" s="5" t="n">
        <v>152.24</v>
      </c>
      <c r="L255" s="14" t="n">
        <v>1.3</v>
      </c>
      <c r="M255" s="14" t="n">
        <v>1.602526315789474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204-2025-12-31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9" t="n">
        <v>44926</v>
      </c>
      <c r="G256" s="5" t="n">
        <v>2022</v>
      </c>
      <c r="H256" s="5" t="inlineStr">
        <is>
          <t>Diciembre</t>
        </is>
      </c>
      <c r="I256" s="6" t="inlineStr">
        <is>
          <t>2022-2</t>
        </is>
      </c>
      <c r="J256" s="5" t="n">
        <v>2605</v>
      </c>
      <c r="K256" s="5" t="n">
        <v>2605</v>
      </c>
      <c r="L256" s="14" t="n">
        <v>1</v>
      </c>
      <c r="M256" s="14" t="n">
        <v>1</v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205-2022-12-31</t>
        </is>
      </c>
    </row>
    <row r="257">
      <c r="A257" s="5" t="n">
        <v>205</v>
      </c>
      <c r="B257" s="5" t="inlineStr">
        <is>
          <t>Utilidad Neta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9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95</v>
      </c>
      <c r="K257" s="10" t="n">
        <v>426.51</v>
      </c>
      <c r="L257" s="14" t="n">
        <v>1.3</v>
      </c>
      <c r="M257" s="14" t="n">
        <v>4.489578947368421</v>
      </c>
      <c r="N257" s="5" t="inlineStr">
        <is>
          <t>$</t>
        </is>
      </c>
      <c r="O257" s="5" t="inlineStr">
        <is>
          <t>$</t>
        </is>
      </c>
      <c r="P257" s="5" t="n">
        <v>0</v>
      </c>
      <c r="Q257" s="5" t="n">
        <v>0</v>
      </c>
      <c r="R257" s="5" t="inlineStr">
        <is>
          <t>205-2023-12-31</t>
        </is>
      </c>
    </row>
    <row r="258">
      <c r="A258" s="5" t="n">
        <v>205</v>
      </c>
      <c r="B258" s="5" t="inlineStr">
        <is>
          <t>Utilidad Neta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9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95</v>
      </c>
      <c r="K258" s="10" t="n">
        <v>184.72</v>
      </c>
      <c r="L258" s="14" t="n">
        <v>1.3</v>
      </c>
      <c r="M258" s="14" t="n">
        <v>1.944421052631579</v>
      </c>
      <c r="N258" s="5" t="inlineStr">
        <is>
          <t>$</t>
        </is>
      </c>
      <c r="O258" s="5" t="inlineStr">
        <is>
          <t>$</t>
        </is>
      </c>
      <c r="P258" s="5" t="n">
        <v>0</v>
      </c>
      <c r="Q258" s="5" t="n">
        <v>0</v>
      </c>
      <c r="R258" s="5" t="inlineStr">
        <is>
          <t>205-2024-12-31</t>
        </is>
      </c>
    </row>
    <row r="259">
      <c r="A259" s="5" t="n">
        <v>205</v>
      </c>
      <c r="B259" s="5" t="inlineStr">
        <is>
          <t>Utilidad Neta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Positivo</t>
        </is>
      </c>
      <c r="F259" s="109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9" t="n">
        <v>95</v>
      </c>
      <c r="K259" s="9" t="n">
        <v>123.05</v>
      </c>
      <c r="L259" s="14" t="n">
        <v>1.295263157894737</v>
      </c>
      <c r="M259" s="14" t="n">
        <v>1.295263157894737</v>
      </c>
      <c r="N259" s="5" t="inlineStr">
        <is>
          <t>$</t>
        </is>
      </c>
      <c r="O259" s="5" t="inlineStr">
        <is>
          <t>$</t>
        </is>
      </c>
      <c r="P259" s="5" t="n">
        <v>0</v>
      </c>
      <c r="Q259" s="5" t="n">
        <v>0</v>
      </c>
      <c r="R259" s="5" t="inlineStr">
        <is>
          <t>205-2025-12-31</t>
        </is>
      </c>
    </row>
    <row r="260">
      <c r="A260" s="5" t="n">
        <v>206</v>
      </c>
      <c r="B260" s="5" t="inlineStr">
        <is>
          <t>Inversión en CAPEX de la utilidad anterior (veces)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Positivo</t>
        </is>
      </c>
      <c r="F260" s="109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</v>
      </c>
      <c r="K260" s="11" t="n">
        <v>4.606790289121734</v>
      </c>
      <c r="L260" s="14" t="n">
        <v>1.3</v>
      </c>
      <c r="M260" s="14" t="n">
        <v>4.606790289121734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2</v>
      </c>
      <c r="R260" s="5" t="inlineStr">
        <is>
          <t>206-2023-12-31</t>
        </is>
      </c>
    </row>
    <row r="261">
      <c r="A261" s="5" t="n">
        <v>206</v>
      </c>
      <c r="B261" s="5" t="inlineStr">
        <is>
          <t>Inversión en CAPEX de la utilidad anterior (veces)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Positivo</t>
        </is>
      </c>
      <c r="F261" s="109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</v>
      </c>
      <c r="K261" s="5" t="n">
        <v>1.37</v>
      </c>
      <c r="L261" s="14" t="n">
        <v>1.3</v>
      </c>
      <c r="M261" s="14" t="n">
        <v>1.37</v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2</v>
      </c>
      <c r="R261" s="5" t="inlineStr">
        <is>
          <t>206-2024-12-31</t>
        </is>
      </c>
    </row>
    <row r="262">
      <c r="A262" s="5" t="n">
        <v>206</v>
      </c>
      <c r="B262" s="5" t="inlineStr">
        <is>
          <t>Inversión en CAPEX de la utilidad anterior</t>
        </is>
      </c>
      <c r="C262" s="5" t="inlineStr">
        <is>
          <t>Planeación Financiera</t>
        </is>
      </c>
      <c r="D262" s="5" t="inlineStr">
        <is>
          <t>Anual</t>
        </is>
      </c>
      <c r="E262" s="5" t="inlineStr">
        <is>
          <t>Positivo</t>
        </is>
      </c>
      <c r="F262" s="109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</v>
      </c>
      <c r="K262" s="5" t="n">
        <v>2.14</v>
      </c>
      <c r="L262" s="14" t="n">
        <v>1.3</v>
      </c>
      <c r="M262" s="14" t="n">
        <v>2.14</v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2</v>
      </c>
      <c r="R262" s="5" t="inlineStr">
        <is>
          <t>206-2025-12-31</t>
        </is>
      </c>
    </row>
    <row r="263">
      <c r="A263" s="5" t="n">
        <v>207</v>
      </c>
      <c r="B263" s="5" t="inlineStr">
        <is>
          <t>Nivel de Cumplimiento Opex</t>
        </is>
      </c>
      <c r="C263" s="5" t="inlineStr">
        <is>
          <t>Planeación Financiera</t>
        </is>
      </c>
      <c r="D263" s="5" t="inlineStr">
        <is>
          <t>Semestral</t>
        </is>
      </c>
      <c r="E263" s="5" t="inlineStr">
        <is>
          <t>Negativo</t>
        </is>
      </c>
      <c r="F263" s="109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100</v>
      </c>
      <c r="K263" s="5" t="n">
        <v>103.6</v>
      </c>
      <c r="L263" s="14" t="n">
        <v>0.9652509652509653</v>
      </c>
      <c r="M263" s="14" t="n">
        <v>0.9652509652509653</v>
      </c>
      <c r="N263" s="5" t="inlineStr">
        <is>
          <t>$</t>
        </is>
      </c>
      <c r="O263" s="5" t="inlineStr">
        <is>
          <t>$</t>
        </is>
      </c>
      <c r="P263" s="5" t="n">
        <v>0</v>
      </c>
      <c r="Q263" s="5" t="n">
        <v>0</v>
      </c>
      <c r="R263" s="5" t="inlineStr">
        <is>
          <t>207-2023-12-31</t>
        </is>
      </c>
    </row>
    <row r="264">
      <c r="A264" s="5" t="n">
        <v>207</v>
      </c>
      <c r="B264" s="5" t="inlineStr">
        <is>
          <t>Nivel de Cumplimiento Opex</t>
        </is>
      </c>
      <c r="C264" s="5" t="inlineStr">
        <is>
          <t>Planeación Financiera</t>
        </is>
      </c>
      <c r="D264" s="5" t="inlineStr">
        <is>
          <t>Semestral</t>
        </is>
      </c>
      <c r="E264" s="5" t="inlineStr">
        <is>
          <t>Negativo</t>
        </is>
      </c>
      <c r="F264" s="109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100</v>
      </c>
      <c r="K264" s="5" t="n">
        <v>102.2</v>
      </c>
      <c r="L264" s="14" t="n">
        <v>0.9784735812133072</v>
      </c>
      <c r="M264" s="14" t="n">
        <v>0.9784735812133072</v>
      </c>
      <c r="N264" s="5" t="inlineStr">
        <is>
          <t>$</t>
        </is>
      </c>
      <c r="O264" s="5" t="inlineStr">
        <is>
          <t>$</t>
        </is>
      </c>
      <c r="P264" s="5" t="n">
        <v>0</v>
      </c>
      <c r="Q264" s="5" t="n">
        <v>0</v>
      </c>
      <c r="R264" s="5" t="inlineStr">
        <is>
          <t>207-2024-12-31</t>
        </is>
      </c>
    </row>
    <row r="265">
      <c r="A265" s="5" t="n">
        <v>207</v>
      </c>
      <c r="B265" s="5" t="inlineStr">
        <is>
          <t>Nivel de Cumplimiento Opex</t>
        </is>
      </c>
      <c r="C265" s="5" t="inlineStr">
        <is>
          <t>Planeación Financiera</t>
        </is>
      </c>
      <c r="D265" s="5" t="inlineStr">
        <is>
          <t>Semestral</t>
        </is>
      </c>
      <c r="E265" s="5" t="inlineStr">
        <is>
          <t>Negativo</t>
        </is>
      </c>
      <c r="F265" s="109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100</v>
      </c>
      <c r="K265" s="5" t="n">
        <v>110.62</v>
      </c>
      <c r="L265" s="14" t="n">
        <v>0.9039956608208281</v>
      </c>
      <c r="M265" s="14" t="n">
        <v>0.9039956608208281</v>
      </c>
      <c r="N265" s="5" t="inlineStr">
        <is>
          <t>$</t>
        </is>
      </c>
      <c r="O265" s="5" t="inlineStr">
        <is>
          <t>$</t>
        </is>
      </c>
      <c r="P265" s="5" t="n">
        <v>0</v>
      </c>
      <c r="Q265" s="5" t="n">
        <v>0</v>
      </c>
      <c r="R265" s="5" t="inlineStr">
        <is>
          <t>207-2025-12-31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9" t="n">
        <v>44926</v>
      </c>
      <c r="G266" s="5" t="n">
        <v>2022</v>
      </c>
      <c r="H266" s="5" t="inlineStr">
        <is>
          <t>Diciembre</t>
        </is>
      </c>
      <c r="I266" s="6" t="inlineStr">
        <is>
          <t>2022-2</t>
        </is>
      </c>
      <c r="J266" s="5" t="n">
        <v>1700</v>
      </c>
      <c r="K266" s="5" t="n">
        <v>0</v>
      </c>
      <c r="L266" s="14" t="n">
        <v>1</v>
      </c>
      <c r="M266" s="14" t="n">
        <v>1</v>
      </c>
      <c r="N266" s="5" t="inlineStr">
        <is>
          <t>Linea Base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208-2022-12-31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9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>
        <v>1700</v>
      </c>
      <c r="K267" s="5" t="n">
        <v>1228.308333333333</v>
      </c>
      <c r="L267" s="14" t="n">
        <v>1</v>
      </c>
      <c r="M267" s="14" t="n">
        <v>1.38401731378522</v>
      </c>
      <c r="N267" s="5" t="inlineStr">
        <is>
          <t>Linea Base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208-2023-12-31</t>
        </is>
      </c>
    </row>
    <row r="268">
      <c r="A268" s="5" t="n">
        <v>208</v>
      </c>
      <c r="B268" s="5" t="inlineStr">
        <is>
          <t>Consumo de Agua m3 Mensual</t>
        </is>
      </c>
      <c r="C268" s="5" t="inlineStr">
        <is>
          <t>GESTIÓN AMBIENTAL</t>
        </is>
      </c>
      <c r="D268" s="5" t="inlineStr">
        <is>
          <t>Mensual</t>
        </is>
      </c>
      <c r="E268" s="5" t="inlineStr">
        <is>
          <t>Negativo</t>
        </is>
      </c>
      <c r="F268" s="109" t="n">
        <v>45657</v>
      </c>
      <c r="G268" s="5" t="n">
        <v>2024</v>
      </c>
      <c r="H268" s="5" t="inlineStr">
        <is>
          <t>Diciembre</t>
        </is>
      </c>
      <c r="I268" s="6" t="inlineStr">
        <is>
          <t>2024-2</t>
        </is>
      </c>
      <c r="J268" s="5" t="n">
        <v>1700</v>
      </c>
      <c r="K268" s="5" t="n">
        <v>1306.208333333333</v>
      </c>
      <c r="L268" s="14" t="n">
        <v>1</v>
      </c>
      <c r="M268" s="14" t="n">
        <v>1.301476921113911</v>
      </c>
      <c r="N268" s="5" t="inlineStr">
        <is>
          <t>m3</t>
        </is>
      </c>
      <c r="O268" s="5" t="inlineStr">
        <is>
          <t>m3</t>
        </is>
      </c>
      <c r="P268" s="5" t="n">
        <v>0</v>
      </c>
      <c r="Q268" s="5" t="n">
        <v>0</v>
      </c>
      <c r="R268" s="5" t="inlineStr">
        <is>
          <t>208-2024-12-31</t>
        </is>
      </c>
    </row>
    <row r="269">
      <c r="A269" s="5" t="n">
        <v>208</v>
      </c>
      <c r="B269" s="5" t="inlineStr">
        <is>
          <t>Consumo de Agua m3 Mensual</t>
        </is>
      </c>
      <c r="C269" s="5" t="inlineStr">
        <is>
          <t>GESTIÓN AMBIENTAL</t>
        </is>
      </c>
      <c r="D269" s="5" t="inlineStr">
        <is>
          <t>Mensual</t>
        </is>
      </c>
      <c r="E269" s="5" t="inlineStr">
        <is>
          <t>Negativo</t>
        </is>
      </c>
      <c r="F269" s="109" t="n">
        <v>46022</v>
      </c>
      <c r="G269" s="5" t="n">
        <v>2025</v>
      </c>
      <c r="H269" s="5" t="inlineStr">
        <is>
          <t>Diciembre</t>
        </is>
      </c>
      <c r="I269" s="6" t="inlineStr">
        <is>
          <t>2025-2</t>
        </is>
      </c>
      <c r="J269" s="5" t="n">
        <v>1700</v>
      </c>
      <c r="K269" s="5" t="n">
        <v>1204.541666666667</v>
      </c>
      <c r="L269" s="14" t="n">
        <v>1</v>
      </c>
      <c r="M269" s="14" t="n">
        <v>1.411325192846518</v>
      </c>
      <c r="N269" s="5" t="inlineStr">
        <is>
          <t>m3</t>
        </is>
      </c>
      <c r="O269" s="5" t="inlineStr">
        <is>
          <t>m3</t>
        </is>
      </c>
      <c r="P269" s="5" t="n">
        <v>0</v>
      </c>
      <c r="Q269" s="5" t="n">
        <v>0</v>
      </c>
      <c r="R269" s="5" t="inlineStr">
        <is>
          <t>208-2025-12-31</t>
        </is>
      </c>
    </row>
    <row r="270">
      <c r="A270" s="5" t="n">
        <v>208</v>
      </c>
      <c r="B270" s="5" t="inlineStr">
        <is>
          <t>Consumo de Agua m3 Mensual</t>
        </is>
      </c>
      <c r="C270" s="5" t="inlineStr">
        <is>
          <t>GESTIÓN AMBIENTAL</t>
        </is>
      </c>
      <c r="D270" s="5" t="inlineStr">
        <is>
          <t>Mensual</t>
        </is>
      </c>
      <c r="E270" s="5" t="inlineStr">
        <is>
          <t>Negativo</t>
        </is>
      </c>
      <c r="F270" s="109" t="n">
        <v>46053</v>
      </c>
      <c r="G270" s="5" t="n">
        <v>2026</v>
      </c>
      <c r="H270" s="5" t="inlineStr">
        <is>
          <t>Enero</t>
        </is>
      </c>
      <c r="I270" s="6" t="inlineStr">
        <is>
          <t>2026-1</t>
        </is>
      </c>
      <c r="J270" s="5" t="n">
        <v>1</v>
      </c>
      <c r="K270" s="5" t="n">
        <v>881</v>
      </c>
      <c r="L270" s="14" t="n">
        <v>0.001135073779795687</v>
      </c>
      <c r="M270" s="14" t="n">
        <v>0.001135073779795687</v>
      </c>
      <c r="N270" s="5" t="inlineStr">
        <is>
          <t>m3</t>
        </is>
      </c>
      <c r="O270" s="5" t="inlineStr">
        <is>
          <t>m3</t>
        </is>
      </c>
      <c r="P270" s="5" t="n">
        <v>0</v>
      </c>
      <c r="Q270" s="5" t="n">
        <v>0</v>
      </c>
      <c r="R270" s="5" t="inlineStr">
        <is>
          <t>208-2026-01-31</t>
        </is>
      </c>
    </row>
    <row r="271">
      <c r="A271" s="5" t="n">
        <v>210</v>
      </c>
      <c r="B271" s="5" t="inlineStr">
        <is>
          <t>Aporte de los Procesos a los Objetivos de Desarrollo Sostenible</t>
        </is>
      </c>
      <c r="C271" s="5" t="inlineStr">
        <is>
          <t>GESTIÓN AMBIENTAL</t>
        </is>
      </c>
      <c r="D271" s="5" t="inlineStr">
        <is>
          <t>Anual</t>
        </is>
      </c>
      <c r="E271" s="5" t="inlineStr">
        <is>
          <t>Positivo</t>
        </is>
      </c>
      <c r="F271" s="109" t="n">
        <v>45291</v>
      </c>
      <c r="G271" s="5" t="n">
        <v>2023</v>
      </c>
      <c r="H271" s="5" t="inlineStr">
        <is>
          <t>Diciembre</t>
        </is>
      </c>
      <c r="I271" s="6" t="inlineStr">
        <is>
          <t>2023-2</t>
        </is>
      </c>
      <c r="J271" s="5" t="n"/>
      <c r="K271" s="5" t="n"/>
      <c r="L271" s="14" t="n"/>
      <c r="M271" s="14" t="n"/>
      <c r="N271" s="5" t="inlineStr">
        <is>
          <t>Sin Reporte</t>
        </is>
      </c>
      <c r="O271" s="5" t="inlineStr">
        <is>
          <t>Sin Reporte</t>
        </is>
      </c>
      <c r="P271" s="5" t="n">
        <v>0</v>
      </c>
      <c r="Q271" s="5" t="n">
        <v>0</v>
      </c>
      <c r="R271" s="5" t="inlineStr">
        <is>
          <t>210-2023-12-31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09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90</v>
      </c>
      <c r="K272" s="5" t="n">
        <v>0</v>
      </c>
      <c r="L272" s="14" t="n">
        <v>0</v>
      </c>
      <c r="M272" s="14" t="n">
        <v>0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213-2022-12-31</t>
        </is>
      </c>
    </row>
    <row r="273">
      <c r="A273" s="5" t="n">
        <v>213</v>
      </c>
      <c r="B273" s="5" t="inlineStr">
        <is>
          <t>Cumplimiento del Plan Anual del Sistema de Gestión Ambiental</t>
        </is>
      </c>
      <c r="C273" s="5" t="inlineStr">
        <is>
          <t>GESTIÓN AMBIENTAL</t>
        </is>
      </c>
      <c r="D273" s="5" t="inlineStr">
        <is>
          <t>Trimestral</t>
        </is>
      </c>
      <c r="E273" s="5" t="inlineStr">
        <is>
          <t>Positivo</t>
        </is>
      </c>
      <c r="F273" s="109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90</v>
      </c>
      <c r="K273" s="5" t="n">
        <v>100</v>
      </c>
      <c r="L273" s="14" t="n">
        <v>1.111111111111111</v>
      </c>
      <c r="M273" s="14" t="n">
        <v>1.111111111111111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213-2023-12-31</t>
        </is>
      </c>
    </row>
    <row r="274">
      <c r="A274" s="5" t="n">
        <v>213</v>
      </c>
      <c r="B274" s="5" t="inlineStr">
        <is>
          <t>Cumplimiento del Plan Anual del Sistema de Gestión Ambiental</t>
        </is>
      </c>
      <c r="C274" s="5" t="inlineStr">
        <is>
          <t>GESTIÓN AMBIENTAL</t>
        </is>
      </c>
      <c r="D274" s="5" t="inlineStr">
        <is>
          <t>Trimestral</t>
        </is>
      </c>
      <c r="E274" s="5" t="inlineStr">
        <is>
          <t>Positivo</t>
        </is>
      </c>
      <c r="F274" s="109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90</v>
      </c>
      <c r="K274" s="5" t="n">
        <v>100</v>
      </c>
      <c r="L274" s="14" t="n">
        <v>1.111111111111111</v>
      </c>
      <c r="M274" s="14" t="n">
        <v>1.111111111111111</v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0</v>
      </c>
      <c r="R274" s="5" t="inlineStr">
        <is>
          <t>213-2024-12-31</t>
        </is>
      </c>
    </row>
    <row r="275">
      <c r="A275" s="5" t="n">
        <v>213</v>
      </c>
      <c r="B275" s="5" t="inlineStr">
        <is>
          <t>Cumplimiento del Plan Anual del Sistema de Gestión Ambiental</t>
        </is>
      </c>
      <c r="C275" s="5" t="inlineStr">
        <is>
          <t>GESTIÓN AMBIENTAL</t>
        </is>
      </c>
      <c r="D275" s="5" t="inlineStr">
        <is>
          <t>Semestral</t>
        </is>
      </c>
      <c r="E275" s="5" t="inlineStr">
        <is>
          <t>Positivo</t>
        </is>
      </c>
      <c r="F275" s="109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5" t="n">
        <v>90</v>
      </c>
      <c r="K275" s="5" t="n">
        <v>100</v>
      </c>
      <c r="L275" s="14" t="n">
        <v>1.111111111111111</v>
      </c>
      <c r="M275" s="14" t="n">
        <v>1.111111111111111</v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213-2025-12-31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9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90000</v>
      </c>
      <c r="K276" s="5" t="n">
        <v>0</v>
      </c>
      <c r="L276" s="14" t="n">
        <v>1</v>
      </c>
      <c r="M276" s="14" t="n">
        <v>1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214-2022-12-31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9" t="n">
        <v>45291</v>
      </c>
      <c r="G277" s="5" t="n">
        <v>2023</v>
      </c>
      <c r="H277" s="5" t="inlineStr">
        <is>
          <t>Diciembre</t>
        </is>
      </c>
      <c r="I277" s="6" t="inlineStr">
        <is>
          <t>2023-2</t>
        </is>
      </c>
      <c r="J277" s="5" t="n">
        <v>90000</v>
      </c>
      <c r="K277" s="5" t="n">
        <v>44656.3</v>
      </c>
      <c r="L277" s="49" t="n">
        <v>1.3</v>
      </c>
      <c r="M277" s="14" t="n">
        <v>2.015393124822253</v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214-2023-12-31</t>
        </is>
      </c>
    </row>
    <row r="278">
      <c r="A278" s="5" t="n">
        <v>214</v>
      </c>
      <c r="B278" s="5" t="inlineStr">
        <is>
          <t>Generación de Residuos Sólidos Mensual</t>
        </is>
      </c>
      <c r="C278" s="5" t="inlineStr">
        <is>
          <t>GESTIÓN AMBIENTAL</t>
        </is>
      </c>
      <c r="D278" s="5" t="inlineStr">
        <is>
          <t>Mensual</t>
        </is>
      </c>
      <c r="E278" s="5" t="inlineStr">
        <is>
          <t>Negativo</t>
        </is>
      </c>
      <c r="F278" s="109" t="n">
        <v>45657</v>
      </c>
      <c r="G278" s="5" t="n">
        <v>2024</v>
      </c>
      <c r="H278" s="5" t="inlineStr">
        <is>
          <t>Diciembre</t>
        </is>
      </c>
      <c r="I278" s="6" t="inlineStr">
        <is>
          <t>2024-2</t>
        </is>
      </c>
      <c r="J278" s="5" t="n">
        <v>90000</v>
      </c>
      <c r="K278" s="5" t="n">
        <v>32812.91</v>
      </c>
      <c r="L278" s="14" t="n">
        <v>1.3</v>
      </c>
      <c r="M278" s="14" t="n">
        <v>2.742822870632321</v>
      </c>
      <c r="N278" s="5" t="inlineStr">
        <is>
          <t>Kg</t>
        </is>
      </c>
      <c r="O278" s="5" t="inlineStr">
        <is>
          <t>Kg</t>
        </is>
      </c>
      <c r="P278" s="5" t="n">
        <v>0</v>
      </c>
      <c r="Q278" s="5" t="n">
        <v>0</v>
      </c>
      <c r="R278" s="5" t="inlineStr">
        <is>
          <t>214-2024-12-31</t>
        </is>
      </c>
    </row>
    <row r="279">
      <c r="A279" s="5" t="n">
        <v>214</v>
      </c>
      <c r="B279" s="5" t="inlineStr">
        <is>
          <t>Generación de Residuos Sólidos Mensual</t>
        </is>
      </c>
      <c r="C279" s="5" t="inlineStr">
        <is>
          <t>GESTIÓN AMBIENTAL</t>
        </is>
      </c>
      <c r="D279" s="5" t="inlineStr">
        <is>
          <t>Mensual</t>
        </is>
      </c>
      <c r="E279" s="5" t="inlineStr">
        <is>
          <t>Negativo</t>
        </is>
      </c>
      <c r="F279" s="109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90000</v>
      </c>
      <c r="K279" s="5" t="n">
        <v>51322.57</v>
      </c>
      <c r="L279" s="14" t="n">
        <v>1.3</v>
      </c>
      <c r="M279" s="14" t="n">
        <v>1.753614442924429</v>
      </c>
      <c r="N279" s="5" t="inlineStr">
        <is>
          <t>Kg</t>
        </is>
      </c>
      <c r="O279" s="5" t="inlineStr">
        <is>
          <t>Kg</t>
        </is>
      </c>
      <c r="P279" s="5" t="n">
        <v>0</v>
      </c>
      <c r="Q279" s="5" t="n">
        <v>0</v>
      </c>
      <c r="R279" s="5" t="inlineStr">
        <is>
          <t>214-2025-12-31</t>
        </is>
      </c>
    </row>
    <row r="280">
      <c r="A280" s="5" t="n">
        <v>214</v>
      </c>
      <c r="B280" s="5" t="inlineStr">
        <is>
          <t>Generación de Residuos Sólidos Mensual</t>
        </is>
      </c>
      <c r="C280" s="5" t="inlineStr">
        <is>
          <t>GESTIÓN AMBIENTAL</t>
        </is>
      </c>
      <c r="D280" s="5" t="inlineStr">
        <is>
          <t>Mensual</t>
        </is>
      </c>
      <c r="E280" s="5" t="inlineStr">
        <is>
          <t>Negativo</t>
        </is>
      </c>
      <c r="F280" s="109" t="n">
        <v>46053</v>
      </c>
      <c r="G280" s="5" t="n">
        <v>2026</v>
      </c>
      <c r="H280" s="5" t="inlineStr">
        <is>
          <t>Enero</t>
        </is>
      </c>
      <c r="I280" s="6" t="inlineStr">
        <is>
          <t>2026-1</t>
        </is>
      </c>
      <c r="J280" s="5" t="n">
        <v>7500</v>
      </c>
      <c r="K280" s="5" t="n">
        <v>1139.249969482422</v>
      </c>
      <c r="L280" s="14" t="n">
        <v>1.3</v>
      </c>
      <c r="M280" s="14" t="n">
        <v>6.5832786490285</v>
      </c>
      <c r="N280" s="5" t="inlineStr">
        <is>
          <t>Kg</t>
        </is>
      </c>
      <c r="O280" s="5" t="inlineStr">
        <is>
          <t>Kg</t>
        </is>
      </c>
      <c r="P280" s="5" t="n">
        <v>0</v>
      </c>
      <c r="Q280" s="5" t="n">
        <v>0</v>
      </c>
      <c r="R280" s="5" t="inlineStr">
        <is>
          <t>214-2026-01-31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09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1</v>
      </c>
      <c r="K281" s="5" t="n">
        <v>-23.628691983122</v>
      </c>
      <c r="L281" s="14" t="n">
        <v>0</v>
      </c>
      <c r="M281" s="14" t="n">
        <v>0</v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215-2022-12-31</t>
        </is>
      </c>
    </row>
    <row r="282">
      <c r="A282" s="5" t="n">
        <v>215</v>
      </c>
      <c r="B282" s="5" t="inlineStr">
        <is>
          <t>Disminución de la Generación de Residuos per Cápita</t>
        </is>
      </c>
      <c r="C282" s="5" t="inlineStr">
        <is>
          <t>GESTIÓN AMBIENTAL</t>
        </is>
      </c>
      <c r="D282" s="5" t="inlineStr">
        <is>
          <t>Semestral</t>
        </is>
      </c>
      <c r="E282" s="5" t="inlineStr">
        <is>
          <t>Positivo</t>
        </is>
      </c>
      <c r="F282" s="109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1</v>
      </c>
      <c r="K282" s="5" t="n">
        <v>-124.72</v>
      </c>
      <c r="L282" s="14" t="n">
        <v>0</v>
      </c>
      <c r="M282" s="14" t="n">
        <v>0</v>
      </c>
      <c r="N282" s="5" t="inlineStr">
        <is>
          <t>%</t>
        </is>
      </c>
      <c r="O282" s="5" t="inlineStr">
        <is>
          <t>%</t>
        </is>
      </c>
      <c r="P282" s="5" t="n">
        <v>2</v>
      </c>
      <c r="Q282" s="5" t="n">
        <v>2</v>
      </c>
      <c r="R282" s="5" t="inlineStr">
        <is>
          <t>215-2023-12-31</t>
        </is>
      </c>
    </row>
    <row r="283">
      <c r="A283" s="5" t="n">
        <v>215</v>
      </c>
      <c r="B283" s="5" t="inlineStr">
        <is>
          <t>Disminución de la Generación de Residuos per Cápita</t>
        </is>
      </c>
      <c r="C283" s="5" t="inlineStr">
        <is>
          <t>GESTIÓN AMBIENTAL</t>
        </is>
      </c>
      <c r="D283" s="5" t="inlineStr">
        <is>
          <t>Semestral</t>
        </is>
      </c>
      <c r="E283" s="5" t="inlineStr">
        <is>
          <t>Positivo</t>
        </is>
      </c>
      <c r="F283" s="109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1</v>
      </c>
      <c r="K283" s="5" t="n">
        <v>-18.825</v>
      </c>
      <c r="L283" s="14" t="n">
        <v>0</v>
      </c>
      <c r="M283" s="14" t="n">
        <v>0</v>
      </c>
      <c r="N283" s="5" t="inlineStr">
        <is>
          <t>%</t>
        </is>
      </c>
      <c r="O283" s="5" t="inlineStr">
        <is>
          <t>%</t>
        </is>
      </c>
      <c r="P283" s="5" t="n">
        <v>2</v>
      </c>
      <c r="Q283" s="5" t="n">
        <v>2</v>
      </c>
      <c r="R283" s="5" t="inlineStr">
        <is>
          <t>215-2024-12-31</t>
        </is>
      </c>
    </row>
    <row r="284">
      <c r="A284" s="5" t="n">
        <v>215</v>
      </c>
      <c r="B284" s="5" t="inlineStr">
        <is>
          <t>Disminución de la Generación de Residuos per Cápita</t>
        </is>
      </c>
      <c r="C284" s="5" t="inlineStr">
        <is>
          <t>GESTIÓN AMBIENTAL</t>
        </is>
      </c>
      <c r="D284" s="5" t="inlineStr">
        <is>
          <t>Trimestral</t>
        </is>
      </c>
      <c r="E284" s="5" t="inlineStr">
        <is>
          <t>Positivo</t>
        </is>
      </c>
      <c r="F284" s="109" t="n">
        <v>46022</v>
      </c>
      <c r="G284" s="5" t="n">
        <v>2025</v>
      </c>
      <c r="H284" s="5" t="inlineStr">
        <is>
          <t>Diciembre</t>
        </is>
      </c>
      <c r="I284" s="6" t="inlineStr">
        <is>
          <t>2025-2</t>
        </is>
      </c>
      <c r="J284" s="5" t="n">
        <v>1</v>
      </c>
      <c r="K284" s="5" t="n">
        <v>-60.48999999999999</v>
      </c>
      <c r="L284" s="14" t="n">
        <v>0</v>
      </c>
      <c r="M284" s="14" t="n">
        <v>0</v>
      </c>
      <c r="N284" s="5" t="inlineStr">
        <is>
          <t>%</t>
        </is>
      </c>
      <c r="O284" s="5" t="inlineStr">
        <is>
          <t>%</t>
        </is>
      </c>
      <c r="P284" s="5" t="n">
        <v>2</v>
      </c>
      <c r="Q284" s="5" t="n">
        <v>2</v>
      </c>
      <c r="R284" s="5" t="inlineStr">
        <is>
          <t>215-2025-12-31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9" t="n">
        <v>44926</v>
      </c>
      <c r="G285" s="5" t="n">
        <v>2022</v>
      </c>
      <c r="H285" s="5" t="inlineStr">
        <is>
          <t>Diciembre</t>
        </is>
      </c>
      <c r="I285" s="6" t="inlineStr">
        <is>
          <t>2022-2</t>
        </is>
      </c>
      <c r="J285" s="5" t="n">
        <v>100</v>
      </c>
      <c r="K285" s="5" t="n">
        <v>0</v>
      </c>
      <c r="L285" s="14" t="n">
        <v>0</v>
      </c>
      <c r="M285" s="14" t="n">
        <v>0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216-2022-12-31</t>
        </is>
      </c>
    </row>
    <row r="286">
      <c r="A286" s="5" t="n">
        <v>216</v>
      </c>
      <c r="B286" s="5" t="inlineStr">
        <is>
          <t>Disposición Ambientalmente Adecuada de Residuos Peligrosos</t>
        </is>
      </c>
      <c r="C286" s="5" t="inlineStr">
        <is>
          <t>GESTIÓN AMBIENTAL</t>
        </is>
      </c>
      <c r="D286" s="5" t="inlineStr">
        <is>
          <t>Anual</t>
        </is>
      </c>
      <c r="E286" s="5" t="inlineStr">
        <is>
          <t>Positivo</t>
        </is>
      </c>
      <c r="F286" s="109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100</v>
      </c>
      <c r="K286" s="5" t="n">
        <v>100</v>
      </c>
      <c r="L286" s="14" t="n">
        <v>1</v>
      </c>
      <c r="M286" s="14" t="n">
        <v>1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216-2023-12-31</t>
        </is>
      </c>
    </row>
    <row r="287">
      <c r="A287" s="5" t="n">
        <v>216</v>
      </c>
      <c r="B287" s="5" t="inlineStr">
        <is>
          <t>Disposición Ambientalmente Adecuada de Residuos Peligrosos</t>
        </is>
      </c>
      <c r="C287" s="5" t="inlineStr">
        <is>
          <t>GESTIÓN AMBIENTAL</t>
        </is>
      </c>
      <c r="D287" s="5" t="inlineStr">
        <is>
          <t>Anual</t>
        </is>
      </c>
      <c r="E287" s="5" t="inlineStr">
        <is>
          <t>Positivo</t>
        </is>
      </c>
      <c r="F287" s="109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100</v>
      </c>
      <c r="K287" s="5" t="n">
        <v>100</v>
      </c>
      <c r="L287" s="14" t="n">
        <v>1</v>
      </c>
      <c r="M287" s="14" t="n">
        <v>1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216-2024-12-31</t>
        </is>
      </c>
    </row>
    <row r="288">
      <c r="A288" s="5" t="n">
        <v>216</v>
      </c>
      <c r="B288" s="5" t="inlineStr">
        <is>
          <t>Disposición Ambientalmente Adecuada de Residuos Peligrosos</t>
        </is>
      </c>
      <c r="C288" s="5" t="inlineStr">
        <is>
          <t>GESTIÓN AMBIENTAL</t>
        </is>
      </c>
      <c r="D288" s="5" t="inlineStr">
        <is>
          <t>Anual</t>
        </is>
      </c>
      <c r="E288" s="5" t="inlineStr">
        <is>
          <t>Positivo</t>
        </is>
      </c>
      <c r="F288" s="109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100</v>
      </c>
      <c r="K288" s="5" t="n">
        <v>100</v>
      </c>
      <c r="L288" s="14" t="n">
        <v>1</v>
      </c>
      <c r="M288" s="14" t="n">
        <v>1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216-2025-12-31</t>
        </is>
      </c>
    </row>
    <row r="289">
      <c r="A289" s="5" t="n">
        <v>217</v>
      </c>
      <c r="B289" s="5" t="inlineStr">
        <is>
          <t>Aprovechamiento de Residuos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Positivo</t>
        </is>
      </c>
      <c r="F289" s="109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240</v>
      </c>
      <c r="K289" s="5" t="n">
        <v>453.0290027272653</v>
      </c>
      <c r="L289" s="14" t="n">
        <v>1.3</v>
      </c>
      <c r="M289" s="14" t="n">
        <v>1.887620844696939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217-2023-12-31</t>
        </is>
      </c>
    </row>
    <row r="290">
      <c r="A290" s="5" t="n">
        <v>217</v>
      </c>
      <c r="B290" s="5" t="inlineStr">
        <is>
          <t>Aprovechamiento de Residuos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Positivo</t>
        </is>
      </c>
      <c r="F290" s="109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240</v>
      </c>
      <c r="K290" s="5" t="n">
        <v>303.9027505108846</v>
      </c>
      <c r="L290" s="14" t="n">
        <v>1.266261460462019</v>
      </c>
      <c r="M290" s="14" t="n">
        <v>1.266261460462019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217-2024-12-31</t>
        </is>
      </c>
    </row>
    <row r="291">
      <c r="A291" s="5" t="n">
        <v>217</v>
      </c>
      <c r="B291" s="5" t="inlineStr">
        <is>
          <t>Aprovechamiento de Residuos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Positivo</t>
        </is>
      </c>
      <c r="F291" s="109" t="n">
        <v>46022</v>
      </c>
      <c r="G291" s="5" t="n">
        <v>2025</v>
      </c>
      <c r="H291" s="5" t="inlineStr">
        <is>
          <t>Diciembre</t>
        </is>
      </c>
      <c r="I291" s="6" t="inlineStr">
        <is>
          <t>2025-2</t>
        </is>
      </c>
      <c r="J291" s="5" t="n">
        <v>240</v>
      </c>
      <c r="K291" s="5" t="n">
        <v>877.0699999999999</v>
      </c>
      <c r="L291" s="14" t="n">
        <v>1.3</v>
      </c>
      <c r="M291" s="14" t="n">
        <v>3.654458333333333</v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217-2025-12-31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9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2064000</v>
      </c>
      <c r="K292" s="5" t="n">
        <v>0</v>
      </c>
      <c r="L292" s="14" t="n">
        <v>1</v>
      </c>
      <c r="M292" s="14" t="n">
        <v>1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218-2022-12-31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9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2064000</v>
      </c>
      <c r="K293" s="5" t="n">
        <v>1604699.23</v>
      </c>
      <c r="L293" s="14" t="n">
        <v>1</v>
      </c>
      <c r="M293" s="14" t="n">
        <v>1.286222340868201</v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218-2023-12-31</t>
        </is>
      </c>
    </row>
    <row r="294">
      <c r="A294" s="5" t="n">
        <v>218</v>
      </c>
      <c r="B294" s="5" t="inlineStr">
        <is>
          <t>Consumo de Energía Eléctrica kWh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09" t="n">
        <v>45657</v>
      </c>
      <c r="G294" s="5" t="n">
        <v>2024</v>
      </c>
      <c r="H294" s="5" t="inlineStr">
        <is>
          <t>Diciembre</t>
        </is>
      </c>
      <c r="I294" s="6" t="inlineStr">
        <is>
          <t>2024-2</t>
        </is>
      </c>
      <c r="J294" s="5" t="n">
        <v>2064000</v>
      </c>
      <c r="K294" s="5" t="n">
        <v>1724302.82</v>
      </c>
      <c r="L294" s="14" t="n">
        <v>1</v>
      </c>
      <c r="M294" s="14" t="n">
        <v>1.197005523658542</v>
      </c>
      <c r="N294" s="5" t="inlineStr">
        <is>
          <t>kWh</t>
        </is>
      </c>
      <c r="O294" s="5" t="inlineStr">
        <is>
          <t>kWh</t>
        </is>
      </c>
      <c r="P294" s="5" t="n">
        <v>0</v>
      </c>
      <c r="Q294" s="5" t="n">
        <v>0</v>
      </c>
      <c r="R294" s="5" t="inlineStr">
        <is>
          <t>218-2024-12-31</t>
        </is>
      </c>
    </row>
    <row r="295">
      <c r="A295" s="5" t="n">
        <v>218</v>
      </c>
      <c r="B295" s="5" t="inlineStr">
        <is>
          <t>Consumo de Energía Eléctrica kWh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09" t="n">
        <v>46022</v>
      </c>
      <c r="G295" s="5" t="n">
        <v>2025</v>
      </c>
      <c r="H295" s="5" t="inlineStr">
        <is>
          <t>Diciembre</t>
        </is>
      </c>
      <c r="I295" s="6" t="inlineStr">
        <is>
          <t>2025-2</t>
        </is>
      </c>
      <c r="J295" s="5" t="n">
        <v>2064000</v>
      </c>
      <c r="K295" s="5" t="n">
        <v>1661978.66</v>
      </c>
      <c r="L295" s="14" t="n">
        <v>1</v>
      </c>
      <c r="M295" s="14" t="n">
        <v>1.241893202166627</v>
      </c>
      <c r="N295" s="5" t="inlineStr">
        <is>
          <t>kWh</t>
        </is>
      </c>
      <c r="O295" s="5" t="inlineStr">
        <is>
          <t>kWh</t>
        </is>
      </c>
      <c r="P295" s="5" t="n">
        <v>0</v>
      </c>
      <c r="Q295" s="5" t="n">
        <v>0</v>
      </c>
      <c r="R295" s="5" t="inlineStr">
        <is>
          <t>218-2025-12-31</t>
        </is>
      </c>
    </row>
    <row r="296">
      <c r="A296" s="5" t="n">
        <v>218</v>
      </c>
      <c r="B296" s="5" t="inlineStr">
        <is>
          <t>Consumo de Energía Eléctrica kWh Mensual</t>
        </is>
      </c>
      <c r="C296" s="5" t="inlineStr">
        <is>
          <t>GESTIÓN AMBIENTAL</t>
        </is>
      </c>
      <c r="D296" s="5" t="inlineStr">
        <is>
          <t>Mensual</t>
        </is>
      </c>
      <c r="E296" s="5" t="inlineStr">
        <is>
          <t>Negativo</t>
        </is>
      </c>
      <c r="F296" s="109" t="n">
        <v>46053</v>
      </c>
      <c r="G296" s="5" t="n">
        <v>2026</v>
      </c>
      <c r="H296" s="5" t="inlineStr">
        <is>
          <t>Enero</t>
        </is>
      </c>
      <c r="I296" s="6" t="inlineStr">
        <is>
          <t>2026-1</t>
        </is>
      </c>
      <c r="J296" s="5" t="n">
        <v>172000</v>
      </c>
      <c r="K296" s="5" t="n">
        <v>88930.98890626431</v>
      </c>
      <c r="L296" s="14" t="n">
        <v>1</v>
      </c>
      <c r="M296" s="14" t="n">
        <v>1.934083969102072</v>
      </c>
      <c r="N296" s="5" t="inlineStr">
        <is>
          <t>kWh</t>
        </is>
      </c>
      <c r="O296" s="5" t="inlineStr">
        <is>
          <t>kWh</t>
        </is>
      </c>
      <c r="P296" s="5" t="n">
        <v>0</v>
      </c>
      <c r="Q296" s="5" t="n">
        <v>0</v>
      </c>
      <c r="R296" s="5" t="inlineStr">
        <is>
          <t>218-2026-01-31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09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1</v>
      </c>
      <c r="K297" s="5" t="n">
        <v>-26.0522196435235</v>
      </c>
      <c r="L297" s="14" t="n">
        <v>0</v>
      </c>
      <c r="M297" s="14" t="n">
        <v>0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219-2022-12-31</t>
        </is>
      </c>
    </row>
    <row r="298">
      <c r="A298" s="5" t="n">
        <v>219</v>
      </c>
      <c r="B298" s="5" t="inlineStr">
        <is>
          <t>Disminución del Consumo de Energía Eléctrica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09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1</v>
      </c>
      <c r="K298" s="5" t="n">
        <v>7.628518413137146</v>
      </c>
      <c r="L298" s="14" t="n">
        <v>1.3</v>
      </c>
      <c r="M298" s="14" t="n">
        <v>7.628518413137146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219-2023-12-31</t>
        </is>
      </c>
    </row>
    <row r="299">
      <c r="A299" s="5" t="n">
        <v>219</v>
      </c>
      <c r="B299" s="5" t="inlineStr">
        <is>
          <t>Disminución del Consumo de Energía Eléctrica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09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1</v>
      </c>
      <c r="K299" s="5" t="n">
        <v>-0.2949999999999999</v>
      </c>
      <c r="L299" s="14" t="n">
        <v>0</v>
      </c>
      <c r="M299" s="14" t="n">
        <v>0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219-2024-12-31</t>
        </is>
      </c>
    </row>
    <row r="300">
      <c r="A300" s="5" t="n">
        <v>219</v>
      </c>
      <c r="B300" s="5" t="inlineStr">
        <is>
          <t>Disminución del Consumo de Energía Eléctrica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09" t="n">
        <v>46022</v>
      </c>
      <c r="G300" s="5" t="n">
        <v>2025</v>
      </c>
      <c r="H300" s="5" t="inlineStr">
        <is>
          <t>Diciembre</t>
        </is>
      </c>
      <c r="I300" s="6" t="inlineStr">
        <is>
          <t>2025-2</t>
        </is>
      </c>
      <c r="J300" s="81" t="n">
        <v>1</v>
      </c>
      <c r="K300" s="9" t="n">
        <v>0.07499999999999929</v>
      </c>
      <c r="L300" s="14" t="n">
        <v>0.07499999999999929</v>
      </c>
      <c r="M300" s="14" t="n">
        <v>0.07499999999999929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219-2025-12-31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09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</v>
      </c>
      <c r="K301" s="5" t="n">
        <v>-87.24648787075901</v>
      </c>
      <c r="L301" s="14" t="n">
        <v>0</v>
      </c>
      <c r="M301" s="14" t="n">
        <v>0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220-2022-12-31</t>
        </is>
      </c>
    </row>
    <row r="302">
      <c r="A302" s="5" t="n">
        <v>220</v>
      </c>
      <c r="B302" s="5" t="inlineStr">
        <is>
          <t>Disminución del Consumo de Agua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09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1</v>
      </c>
      <c r="K302" s="5" t="n">
        <v>1.049203896717607</v>
      </c>
      <c r="L302" s="14" t="n">
        <v>1.049203896717607</v>
      </c>
      <c r="M302" s="14" t="n">
        <v>1.049203896717607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220-2023-12-31</t>
        </is>
      </c>
    </row>
    <row r="303">
      <c r="A303" s="5" t="n">
        <v>220</v>
      </c>
      <c r="B303" s="5" t="inlineStr">
        <is>
          <t>Disminución del Consumo de Agua per Cápita</t>
        </is>
      </c>
      <c r="C303" s="5" t="inlineStr">
        <is>
          <t>GESTIÓN AMBIENTAL</t>
        </is>
      </c>
      <c r="D303" s="5" t="inlineStr">
        <is>
          <t>Semestral</t>
        </is>
      </c>
      <c r="E303" s="5" t="inlineStr">
        <is>
          <t>Positivo</t>
        </is>
      </c>
      <c r="F303" s="109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</v>
      </c>
      <c r="K303" s="5" t="n">
        <v>8.315000000000001</v>
      </c>
      <c r="L303" s="14" t="n">
        <v>1.3</v>
      </c>
      <c r="M303" s="14" t="n">
        <v>8.315000000000001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220-2024-12-31</t>
        </is>
      </c>
    </row>
    <row r="304">
      <c r="A304" s="5" t="n">
        <v>220</v>
      </c>
      <c r="B304" s="5" t="inlineStr">
        <is>
          <t>Disminución del Consumo de Agua per Cápita</t>
        </is>
      </c>
      <c r="C304" s="5" t="inlineStr">
        <is>
          <t>GESTIÓN AMBIENTAL</t>
        </is>
      </c>
      <c r="D304" s="5" t="inlineStr">
        <is>
          <t>Trimestral</t>
        </is>
      </c>
      <c r="E304" s="5" t="inlineStr">
        <is>
          <t>Positivo</t>
        </is>
      </c>
      <c r="F304" s="109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1</v>
      </c>
      <c r="K304" s="5" t="n">
        <v>11.9</v>
      </c>
      <c r="L304" s="14" t="n">
        <v>1.3</v>
      </c>
      <c r="M304" s="14" t="n">
        <v>11.9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220-2025-12-31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9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100</v>
      </c>
      <c r="K305" s="5" t="n">
        <v>0</v>
      </c>
      <c r="L305" s="14" t="n">
        <v>0</v>
      </c>
      <c r="M305" s="14" t="n">
        <v>0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221-2022-12-31</t>
        </is>
      </c>
    </row>
    <row r="306">
      <c r="A306" s="5" t="n">
        <v>221</v>
      </c>
      <c r="B306" s="5" t="inlineStr">
        <is>
          <t>Riesgo de la Calidad del Agua Potable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9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100</v>
      </c>
      <c r="K306" s="5" t="n">
        <v>100</v>
      </c>
      <c r="L306" s="14" t="n">
        <v>1</v>
      </c>
      <c r="M306" s="14" t="n">
        <v>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221-2023-12-31</t>
        </is>
      </c>
    </row>
    <row r="307">
      <c r="A307" s="5" t="n">
        <v>221</v>
      </c>
      <c r="B307" s="5" t="inlineStr">
        <is>
          <t>Riesgo de la Calidad del Agua Potable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9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100</v>
      </c>
      <c r="K307" s="5" t="n">
        <v>33.33</v>
      </c>
      <c r="L307" s="14" t="n">
        <v>0.3333</v>
      </c>
      <c r="M307" s="14" t="n">
        <v>0.3333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221-2024-12-31</t>
        </is>
      </c>
    </row>
    <row r="308">
      <c r="A308" s="5" t="n">
        <v>221</v>
      </c>
      <c r="B308" s="5" t="inlineStr">
        <is>
          <t>Riesgo de la Calidad del Agua Potable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9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100</v>
      </c>
      <c r="K308" s="5" t="n">
        <v>27.5</v>
      </c>
      <c r="L308" s="14" t="n">
        <v>0.275</v>
      </c>
      <c r="M308" s="14" t="n">
        <v>0.275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221-2025-12-31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9" t="n">
        <v>44926</v>
      </c>
      <c r="G309" s="5" t="n">
        <v>2022</v>
      </c>
      <c r="H309" s="5" t="inlineStr">
        <is>
          <t>Diciembre</t>
        </is>
      </c>
      <c r="I309" s="6" t="inlineStr">
        <is>
          <t>2022-2</t>
        </is>
      </c>
      <c r="J309" s="5" t="n">
        <v>90</v>
      </c>
      <c r="K309" s="5" t="n">
        <v>93.75</v>
      </c>
      <c r="L309" s="14" t="n">
        <v>1.041666666666667</v>
      </c>
      <c r="M309" s="14" t="n">
        <v>1.041666666666667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222-2022-12-31</t>
        </is>
      </c>
    </row>
    <row r="310">
      <c r="A310" s="5" t="n">
        <v>222</v>
      </c>
      <c r="B310" s="5" t="inlineStr">
        <is>
          <t>Calidad de las Aguas Residuales Domesticas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9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90</v>
      </c>
      <c r="K310" s="5" t="n">
        <v>68.75</v>
      </c>
      <c r="L310" s="14" t="n">
        <v>0.7638888888888888</v>
      </c>
      <c r="M310" s="14" t="n">
        <v>0.7638888888888888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222-2023-12-31</t>
        </is>
      </c>
    </row>
    <row r="311">
      <c r="A311" s="5" t="n">
        <v>222</v>
      </c>
      <c r="B311" s="5" t="inlineStr">
        <is>
          <t>Calidad de las Aguas Residuales Domesticas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9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90</v>
      </c>
      <c r="K311" s="5" t="n">
        <v>68.75</v>
      </c>
      <c r="L311" s="14" t="n">
        <v>0.7638888888888888</v>
      </c>
      <c r="M311" s="14" t="n">
        <v>0.7638888888888888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222-2024-12-31</t>
        </is>
      </c>
    </row>
    <row r="312">
      <c r="A312" s="5" t="n">
        <v>222</v>
      </c>
      <c r="B312" s="5" t="inlineStr">
        <is>
          <t>Calidad de las Aguas Residuales Domesticas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9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90</v>
      </c>
      <c r="K312" s="5" t="n">
        <v>68.75</v>
      </c>
      <c r="L312" s="14" t="n">
        <v>0.7638888888888888</v>
      </c>
      <c r="M312" s="14" t="n">
        <v>0.7638888888888888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222-2025-12-31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9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100</v>
      </c>
      <c r="K313" s="5" t="n">
        <v>0</v>
      </c>
      <c r="L313" s="14" t="n">
        <v>0</v>
      </c>
      <c r="M313" s="14" t="n">
        <v>0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223-2022-12-31</t>
        </is>
      </c>
    </row>
    <row r="314">
      <c r="A314" s="5" t="n">
        <v>223</v>
      </c>
      <c r="B314" s="5" t="inlineStr">
        <is>
          <t>Registro de Publicidad Exterior Visual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9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100</v>
      </c>
      <c r="K314" s="5" t="n">
        <v>100</v>
      </c>
      <c r="L314" s="14" t="n">
        <v>1</v>
      </c>
      <c r="M314" s="14" t="n">
        <v>1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223-2023-12-31</t>
        </is>
      </c>
    </row>
    <row r="315">
      <c r="A315" s="5" t="n">
        <v>223</v>
      </c>
      <c r="B315" s="5" t="inlineStr">
        <is>
          <t>Registro de Publicidad Exterior Visual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9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5" t="n">
        <v>100</v>
      </c>
      <c r="K315" s="5" t="n">
        <v>94.12</v>
      </c>
      <c r="L315" s="14" t="n">
        <v>0.9412</v>
      </c>
      <c r="M315" s="14" t="n">
        <v>0.9412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223-2024-12-31</t>
        </is>
      </c>
    </row>
    <row r="316">
      <c r="A316" s="5" t="n">
        <v>223</v>
      </c>
      <c r="B316" s="5" t="inlineStr">
        <is>
          <t>Registro de Publicidad Exterior Visual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9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5" t="n">
        <v>100</v>
      </c>
      <c r="K316" s="5" t="n">
        <v>91.67</v>
      </c>
      <c r="L316" s="14" t="n">
        <v>0.9167000000000001</v>
      </c>
      <c r="M316" s="14" t="n">
        <v>0.9167000000000001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223-2025-12-31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9" t="n">
        <v>44926</v>
      </c>
      <c r="G317" s="5" t="n">
        <v>2022</v>
      </c>
      <c r="H317" s="5" t="inlineStr">
        <is>
          <t>Diciembre</t>
        </is>
      </c>
      <c r="I317" s="6" t="inlineStr">
        <is>
          <t>2022-2</t>
        </is>
      </c>
      <c r="J317" s="5" t="n">
        <v>100</v>
      </c>
      <c r="K317" s="5" t="n">
        <v>71.42857142857143</v>
      </c>
      <c r="L317" s="14" t="n">
        <v>0.7142857142857143</v>
      </c>
      <c r="M317" s="14" t="n">
        <v>0.7142857142857143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224-2022-12-31</t>
        </is>
      </c>
    </row>
    <row r="318">
      <c r="A318" s="5" t="n">
        <v>224</v>
      </c>
      <c r="B318" s="5" t="inlineStr">
        <is>
          <t>Cumplimiento Nivel de Emisión de Ruido</t>
        </is>
      </c>
      <c r="C318" s="5" t="inlineStr">
        <is>
          <t>GESTIÓN AMBIENTAL</t>
        </is>
      </c>
      <c r="D318" s="5" t="inlineStr">
        <is>
          <t>Anual</t>
        </is>
      </c>
      <c r="E318" s="5" t="inlineStr">
        <is>
          <t>Positivo</t>
        </is>
      </c>
      <c r="F318" s="109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100</v>
      </c>
      <c r="K318" s="5" t="n">
        <v>40</v>
      </c>
      <c r="L318" s="14" t="n">
        <v>0.4</v>
      </c>
      <c r="M318" s="14" t="n">
        <v>0.4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224-2023-12-31</t>
        </is>
      </c>
    </row>
    <row r="319">
      <c r="A319" s="5" t="n">
        <v>224</v>
      </c>
      <c r="B319" s="5" t="inlineStr">
        <is>
          <t>Cumplimiento Nivel de Emisión de Ruido</t>
        </is>
      </c>
      <c r="C319" s="5" t="inlineStr">
        <is>
          <t>GESTIÓN AMBIENTAL</t>
        </is>
      </c>
      <c r="D319" s="5" t="inlineStr">
        <is>
          <t>Anual</t>
        </is>
      </c>
      <c r="E319" s="5" t="inlineStr">
        <is>
          <t>Positivo</t>
        </is>
      </c>
      <c r="F319" s="109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100</v>
      </c>
      <c r="K319" s="9" t="n">
        <v>100</v>
      </c>
      <c r="L319" s="14" t="n">
        <v>1</v>
      </c>
      <c r="M319" s="14" t="n">
        <v>1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224-2024-12-31</t>
        </is>
      </c>
    </row>
    <row r="320">
      <c r="A320" s="5" t="n">
        <v>224</v>
      </c>
      <c r="B320" s="5" t="inlineStr">
        <is>
          <t>Cumplimiento Nivel de Emisión de Ruido</t>
        </is>
      </c>
      <c r="C320" s="5" t="inlineStr">
        <is>
          <t>GESTIÓN AMBIENTAL</t>
        </is>
      </c>
      <c r="D320" s="5" t="inlineStr">
        <is>
          <t>Anual</t>
        </is>
      </c>
      <c r="E320" s="5" t="inlineStr">
        <is>
          <t>Positivo</t>
        </is>
      </c>
      <c r="F320" s="109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100</v>
      </c>
      <c r="K320" s="5" t="n">
        <v>100</v>
      </c>
      <c r="L320" s="14" t="n">
        <v>1</v>
      </c>
      <c r="M320" s="14" t="n">
        <v>1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224-2025-12-31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9" t="n">
        <v>44926</v>
      </c>
      <c r="G321" s="5" t="n">
        <v>2022</v>
      </c>
      <c r="H321" s="5" t="inlineStr">
        <is>
          <t>Diciembre</t>
        </is>
      </c>
      <c r="I321" s="6" t="inlineStr">
        <is>
          <t>2022-2</t>
        </is>
      </c>
      <c r="J321" s="5" t="n">
        <v>1</v>
      </c>
      <c r="K321" s="5" t="n">
        <v>0</v>
      </c>
      <c r="L321" s="14" t="n">
        <v>0</v>
      </c>
      <c r="M321" s="14" t="n">
        <v>0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225-2022-12-31</t>
        </is>
      </c>
    </row>
    <row r="322">
      <c r="A322" s="5" t="n">
        <v>225</v>
      </c>
      <c r="B322" s="5" t="inlineStr">
        <is>
          <t>Acciones para el Cuidado y Mantenimiento de las Especies de Flora y el Suelo de las Áreas Naturales</t>
        </is>
      </c>
      <c r="C322" s="5" t="inlineStr">
        <is>
          <t>GESTIÓN AMBIENTAL</t>
        </is>
      </c>
      <c r="D322" s="5" t="inlineStr">
        <is>
          <t>Mensual</t>
        </is>
      </c>
      <c r="E322" s="5" t="inlineStr">
        <is>
          <t>Positivo</t>
        </is>
      </c>
      <c r="F322" s="109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1</v>
      </c>
      <c r="K322" s="5" t="n">
        <v>20.41666666666667</v>
      </c>
      <c r="L322" s="14" t="n">
        <v>1.3</v>
      </c>
      <c r="M322" s="14" t="n">
        <v>20.41666666666667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225-2023-12-31</t>
        </is>
      </c>
    </row>
    <row r="323">
      <c r="A323" s="5" t="n">
        <v>225</v>
      </c>
      <c r="B323" s="5" t="inlineStr">
        <is>
          <t>Acciones para el Cuidado y Mantenimiento de las Especies de Flora y el Suelo de las Áreas Naturales</t>
        </is>
      </c>
      <c r="C323" s="5" t="inlineStr">
        <is>
          <t>GESTIÓN AMBIENTAL</t>
        </is>
      </c>
      <c r="D323" s="5" t="inlineStr">
        <is>
          <t>Mensual</t>
        </is>
      </c>
      <c r="E323" s="5" t="inlineStr">
        <is>
          <t>Positivo</t>
        </is>
      </c>
      <c r="F323" s="109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1</v>
      </c>
      <c r="K323" s="5" t="n">
        <v>20.5</v>
      </c>
      <c r="L323" s="14" t="n">
        <v>1.3</v>
      </c>
      <c r="M323" s="14" t="n">
        <v>20.5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225-2024-12-31</t>
        </is>
      </c>
    </row>
    <row r="324">
      <c r="A324" s="5" t="n">
        <v>225</v>
      </c>
      <c r="B324" s="5" t="inlineStr">
        <is>
          <t>Acciones para el Cuidado y Mantenimiento de las Especies de Flora y el Suelo de las Áreas Naturales</t>
        </is>
      </c>
      <c r="C324" s="5" t="inlineStr">
        <is>
          <t>GESTIÓN AMBIENTAL</t>
        </is>
      </c>
      <c r="D324" s="5" t="inlineStr">
        <is>
          <t>Mensual</t>
        </is>
      </c>
      <c r="E324" s="5" t="inlineStr">
        <is>
          <t>Positivo</t>
        </is>
      </c>
      <c r="F324" s="109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1</v>
      </c>
      <c r="K324" s="5" t="n">
        <v>19.41666666666667</v>
      </c>
      <c r="L324" s="14" t="n">
        <v>1.3</v>
      </c>
      <c r="M324" s="14" t="n">
        <v>19.41666666666667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225-2025-12-31</t>
        </is>
      </c>
    </row>
    <row r="325">
      <c r="A325" s="5" t="n">
        <v>225</v>
      </c>
      <c r="B325" s="5" t="inlineStr">
        <is>
          <t>Acciones para el Cuidado y Mantenimiento de las Especies de Flora y el Suelo de las Áreas Naturales</t>
        </is>
      </c>
      <c r="C325" s="5" t="inlineStr">
        <is>
          <t>GESTIÓN AMBIENTAL</t>
        </is>
      </c>
      <c r="D325" s="5" t="inlineStr">
        <is>
          <t>Mensual</t>
        </is>
      </c>
      <c r="E325" s="5" t="inlineStr">
        <is>
          <t>Positivo</t>
        </is>
      </c>
      <c r="F325" s="109" t="n">
        <v>46053</v>
      </c>
      <c r="G325" s="5" t="n">
        <v>2026</v>
      </c>
      <c r="H325" s="5" t="inlineStr">
        <is>
          <t>Enero</t>
        </is>
      </c>
      <c r="I325" s="6" t="inlineStr">
        <is>
          <t>2026-1</t>
        </is>
      </c>
      <c r="J325" s="5" t="n">
        <v>1</v>
      </c>
      <c r="K325" s="5" t="n">
        <v>25</v>
      </c>
      <c r="L325" s="14" t="n">
        <v>1.3</v>
      </c>
      <c r="M325" s="14" t="n">
        <v>25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225-2026-01-31</t>
        </is>
      </c>
    </row>
    <row r="326">
      <c r="A326" s="5" t="n">
        <v>226</v>
      </c>
      <c r="B326" s="5" t="inlineStr">
        <is>
          <t>Generación de Gases de Efecto Invernadero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Positivo</t>
        </is>
      </c>
      <c r="F326" s="109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2</v>
      </c>
      <c r="K326" s="5" t="n">
        <v>476.4899959564209</v>
      </c>
      <c r="L326" s="14" t="n">
        <v>1.3</v>
      </c>
      <c r="M326" s="14" t="n">
        <v>238.2449979782104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226-2022-12-31</t>
        </is>
      </c>
    </row>
    <row r="327">
      <c r="A327" s="5" t="n">
        <v>226</v>
      </c>
      <c r="B327" s="5" t="inlineStr">
        <is>
          <t>Generación de Gases de Efecto Invernadero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Positivo</t>
        </is>
      </c>
      <c r="F327" s="109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2</v>
      </c>
      <c r="K327" s="5" t="n">
        <v>622.6900000000001</v>
      </c>
      <c r="L327" s="14" t="n">
        <v>1.3</v>
      </c>
      <c r="M327" s="14" t="n">
        <v>311.345</v>
      </c>
      <c r="N327" s="5" t="inlineStr">
        <is>
          <t>tCO2e</t>
        </is>
      </c>
      <c r="O327" s="5" t="inlineStr">
        <is>
          <t>tCO2e</t>
        </is>
      </c>
      <c r="P327" s="5" t="n">
        <v>0</v>
      </c>
      <c r="Q327" s="5" t="n">
        <v>0</v>
      </c>
      <c r="R327" s="5" t="inlineStr">
        <is>
          <t>226-2023-12-31</t>
        </is>
      </c>
    </row>
    <row r="328">
      <c r="A328" s="5" t="n">
        <v>226</v>
      </c>
      <c r="B328" s="5" t="inlineStr">
        <is>
          <t>Generación de Gases de Efecto Invernadero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Positivo</t>
        </is>
      </c>
      <c r="F328" s="109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2</v>
      </c>
      <c r="K328" s="5" t="n">
        <v>3531.11</v>
      </c>
      <c r="L328" s="14" t="n">
        <v>1.3</v>
      </c>
      <c r="M328" s="14" t="n">
        <v>1765.555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226-2024-12-31</t>
        </is>
      </c>
    </row>
    <row r="329">
      <c r="A329" s="5" t="n">
        <v>226</v>
      </c>
      <c r="B329" s="5" t="inlineStr">
        <is>
          <t>Generación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09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2</v>
      </c>
      <c r="K329" s="15" t="n"/>
      <c r="L329" s="14" t="n"/>
      <c r="M329" s="14" t="n"/>
      <c r="N329" s="5" t="inlineStr">
        <is>
          <t>%</t>
        </is>
      </c>
      <c r="O329" s="5" t="inlineStr">
        <is>
          <t>No Aplica</t>
        </is>
      </c>
      <c r="P329" s="5" t="n">
        <v>0</v>
      </c>
      <c r="Q329" s="5" t="n">
        <v>0</v>
      </c>
      <c r="R329" s="5" t="inlineStr">
        <is>
          <t>226-2025-12-31</t>
        </is>
      </c>
      <c r="S329" t="inlineStr">
        <is>
          <t>No Aplica</t>
        </is>
      </c>
    </row>
    <row r="330">
      <c r="A330" s="5" t="n">
        <v>227</v>
      </c>
      <c r="B330" s="5" t="inlineStr">
        <is>
          <t>Generación de  Gases de Efecto Invernadero per Cápita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Negativo</t>
        </is>
      </c>
      <c r="F330" s="109" t="n">
        <v>44926</v>
      </c>
      <c r="G330" s="5" t="n">
        <v>2022</v>
      </c>
      <c r="H330" s="5" t="inlineStr">
        <is>
          <t>Diciembre</t>
        </is>
      </c>
      <c r="I330" s="6" t="inlineStr">
        <is>
          <t>2022-2</t>
        </is>
      </c>
      <c r="J330" s="5" t="n">
        <v>0.3</v>
      </c>
      <c r="K330" s="5" t="n">
        <v>0.01</v>
      </c>
      <c r="L330" s="14" t="n">
        <v>1.3</v>
      </c>
      <c r="M330" s="14" t="n">
        <v>30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227-2022-12-31</t>
        </is>
      </c>
    </row>
    <row r="331">
      <c r="A331" s="5" t="n">
        <v>227</v>
      </c>
      <c r="B331" s="5" t="inlineStr">
        <is>
          <t>Generación de  Gases de Efecto Invernadero per Cápita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Negativo</t>
        </is>
      </c>
      <c r="F331" s="109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0.3</v>
      </c>
      <c r="K331" s="5" t="n">
        <v>0.01</v>
      </c>
      <c r="L331" s="14" t="n">
        <v>1.3</v>
      </c>
      <c r="M331" s="14" t="n">
        <v>30</v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227-2023-12-31</t>
        </is>
      </c>
    </row>
    <row r="332">
      <c r="A332" s="5" t="n">
        <v>227</v>
      </c>
      <c r="B332" s="5" t="inlineStr">
        <is>
          <t>Generación de  Gases de Efecto Invernadero per Cápita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Negativo</t>
        </is>
      </c>
      <c r="F332" s="109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0.3</v>
      </c>
      <c r="K332" s="5" t="n">
        <v>3531.11</v>
      </c>
      <c r="L332" s="14" t="n">
        <v>8.495912050318455e-05</v>
      </c>
      <c r="M332" s="14" t="n">
        <v>8.495912050318455e-05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227-2024-12-31</t>
        </is>
      </c>
    </row>
    <row r="333">
      <c r="A333" s="5" t="n">
        <v>228</v>
      </c>
      <c r="B333" s="5" t="inlineStr">
        <is>
          <t>Compensación de Gases de Efecto Invernadero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09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100</v>
      </c>
      <c r="K333" s="5" t="n">
        <v>100.1070326764465</v>
      </c>
      <c r="L333" s="14" t="n">
        <v>1.001070326764465</v>
      </c>
      <c r="M333" s="14" t="n">
        <v>1.001070326764465</v>
      </c>
      <c r="N333" s="5" t="inlineStr">
        <is>
          <t>tCO2e</t>
        </is>
      </c>
      <c r="O333" s="5" t="inlineStr">
        <is>
          <t>tCO2e</t>
        </is>
      </c>
      <c r="P333" s="5" t="n">
        <v>1</v>
      </c>
      <c r="Q333" s="5" t="n">
        <v>0</v>
      </c>
      <c r="R333" s="5" t="inlineStr">
        <is>
          <t>228-2022-12-31</t>
        </is>
      </c>
    </row>
    <row r="334">
      <c r="A334" s="5" t="n">
        <v>228</v>
      </c>
      <c r="B334" s="5" t="inlineStr">
        <is>
          <t>Compensación de Gases de Efecto Invernadero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09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100</v>
      </c>
      <c r="K334" s="10" t="n">
        <v>100</v>
      </c>
      <c r="L334" s="14" t="n">
        <v>1</v>
      </c>
      <c r="M334" s="14" t="n">
        <v>1</v>
      </c>
      <c r="N334" s="5" t="inlineStr">
        <is>
          <t>tCO2e</t>
        </is>
      </c>
      <c r="O334" s="5" t="inlineStr">
        <is>
          <t>tCO2e</t>
        </is>
      </c>
      <c r="P334" s="5" t="n">
        <v>1</v>
      </c>
      <c r="Q334" s="5" t="n">
        <v>1</v>
      </c>
      <c r="R334" s="5" t="inlineStr">
        <is>
          <t>228-2023-12-31</t>
        </is>
      </c>
    </row>
    <row r="335">
      <c r="A335" s="5" t="n">
        <v>228</v>
      </c>
      <c r="B335" s="5" t="inlineStr">
        <is>
          <t>Compensación de Gases de Efecto Invernadero</t>
        </is>
      </c>
      <c r="C335" s="5" t="inlineStr">
        <is>
          <t>GESTIÓN AMBIENTAL</t>
        </is>
      </c>
      <c r="D335" s="5" t="inlineStr">
        <is>
          <t>Anual</t>
        </is>
      </c>
      <c r="E335" s="5" t="inlineStr">
        <is>
          <t>Positivo</t>
        </is>
      </c>
      <c r="F335" s="109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100</v>
      </c>
      <c r="K335" s="5" t="n">
        <v>3531.11</v>
      </c>
      <c r="L335" s="14" t="n">
        <v>1.3</v>
      </c>
      <c r="M335" s="14" t="n">
        <v>35.3111</v>
      </c>
      <c r="N335" s="5" t="inlineStr">
        <is>
          <t>tCO2e</t>
        </is>
      </c>
      <c r="O335" s="5" t="inlineStr">
        <is>
          <t>tCO2e</t>
        </is>
      </c>
      <c r="P335" s="5" t="n">
        <v>1</v>
      </c>
      <c r="Q335" s="5" t="n">
        <v>1</v>
      </c>
      <c r="R335" s="5" t="inlineStr">
        <is>
          <t>228-2024-12-31</t>
        </is>
      </c>
    </row>
    <row r="336">
      <c r="A336" s="5" t="n">
        <v>230</v>
      </c>
      <c r="B336" s="5" t="inlineStr">
        <is>
          <t>Ejecución de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9" t="n">
        <v>45291</v>
      </c>
      <c r="G336" s="5" t="n">
        <v>2023</v>
      </c>
      <c r="H336" s="5" t="inlineStr">
        <is>
          <t>Diciembre</t>
        </is>
      </c>
      <c r="I336" s="6" t="inlineStr">
        <is>
          <t>2023-2</t>
        </is>
      </c>
      <c r="J336" s="5" t="n">
        <v>90</v>
      </c>
      <c r="K336" s="5" t="n">
        <v>100</v>
      </c>
      <c r="L336" s="14" t="n">
        <v>1.111111111111111</v>
      </c>
      <c r="M336" s="14" t="n">
        <v>1.111111111111111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230-2023-12-31</t>
        </is>
      </c>
    </row>
    <row r="337">
      <c r="A337" s="5" t="n">
        <v>230</v>
      </c>
      <c r="B337" s="5" t="inlineStr">
        <is>
          <t>Ejecución de Eventos de Formación en Materia Ambiental</t>
        </is>
      </c>
      <c r="C337" s="5" t="inlineStr">
        <is>
          <t>GESTIÓN AMBIENTAL</t>
        </is>
      </c>
      <c r="D337" s="5" t="inlineStr">
        <is>
          <t>Semestral</t>
        </is>
      </c>
      <c r="E337" s="5" t="inlineStr">
        <is>
          <t>Positivo</t>
        </is>
      </c>
      <c r="F337" s="109" t="n">
        <v>45657</v>
      </c>
      <c r="G337" s="5" t="n">
        <v>2024</v>
      </c>
      <c r="H337" s="5" t="inlineStr">
        <is>
          <t>Diciembre</t>
        </is>
      </c>
      <c r="I337" s="6" t="inlineStr">
        <is>
          <t>2024-2</t>
        </is>
      </c>
      <c r="J337" s="5" t="n">
        <v>90</v>
      </c>
      <c r="K337" s="5" t="n">
        <v>100</v>
      </c>
      <c r="L337" s="14" t="n">
        <v>1.111111111111111</v>
      </c>
      <c r="M337" s="14" t="n">
        <v>1.111111111111111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230-2024-12-31</t>
        </is>
      </c>
    </row>
    <row r="338">
      <c r="A338" s="5" t="n">
        <v>230</v>
      </c>
      <c r="B338" s="5" t="inlineStr">
        <is>
          <t>Ejecución de Eventos de Formación en Materia Ambiental</t>
        </is>
      </c>
      <c r="C338" s="5" t="inlineStr">
        <is>
          <t>GESTIÓN AMBIENTAL</t>
        </is>
      </c>
      <c r="D338" s="5" t="inlineStr">
        <is>
          <t>Trimestral</t>
        </is>
      </c>
      <c r="E338" s="5" t="inlineStr">
        <is>
          <t>Positivo</t>
        </is>
      </c>
      <c r="F338" s="109" t="n">
        <v>46022</v>
      </c>
      <c r="G338" s="5" t="n">
        <v>2025</v>
      </c>
      <c r="H338" s="5" t="inlineStr">
        <is>
          <t>Diciembre</t>
        </is>
      </c>
      <c r="I338" s="6" t="inlineStr">
        <is>
          <t>2025-2</t>
        </is>
      </c>
      <c r="J338" s="5" t="n">
        <v>90</v>
      </c>
      <c r="K338" s="5" t="n">
        <v>96.745</v>
      </c>
      <c r="L338" s="14" t="n">
        <v>1.074944444444444</v>
      </c>
      <c r="M338" s="14" t="n">
        <v>1.074944444444444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230-2025-12-31</t>
        </is>
      </c>
    </row>
    <row r="339">
      <c r="A339" s="5" t="n">
        <v>231</v>
      </c>
      <c r="B339" s="5" t="inlineStr">
        <is>
          <t>Asistencia Eventos de Formación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9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73" t="n">
        <v>70</v>
      </c>
      <c r="K339" s="9" t="n">
        <v>137.02</v>
      </c>
      <c r="L339" s="14" t="n">
        <v>1.3</v>
      </c>
      <c r="M339" s="14" t="n">
        <v>1.957428571428572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231-2023-12-31</t>
        </is>
      </c>
    </row>
    <row r="340">
      <c r="A340" s="5" t="n">
        <v>231</v>
      </c>
      <c r="B340" s="5" t="inlineStr">
        <is>
          <t>Asistencia Eventos de Formación en Materia Ambiental</t>
        </is>
      </c>
      <c r="C340" s="5" t="inlineStr">
        <is>
          <t>GESTIÓN AMBIENTAL</t>
        </is>
      </c>
      <c r="D340" s="5" t="inlineStr">
        <is>
          <t>Semestral</t>
        </is>
      </c>
      <c r="E340" s="5" t="inlineStr">
        <is>
          <t>Positivo</t>
        </is>
      </c>
      <c r="F340" s="109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70</v>
      </c>
      <c r="K340" s="5" t="n">
        <v>200.94</v>
      </c>
      <c r="L340" s="14" t="n">
        <v>1.3</v>
      </c>
      <c r="M340" s="14" t="n">
        <v>2.870571428571429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231-2024-12-31</t>
        </is>
      </c>
    </row>
    <row r="341">
      <c r="A341" s="5" t="n">
        <v>231</v>
      </c>
      <c r="B341" s="5" t="inlineStr">
        <is>
          <t>Asistencia Eventos de Formación en Materia Ambiental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09" t="n">
        <v>46022</v>
      </c>
      <c r="G341" s="5" t="n">
        <v>2025</v>
      </c>
      <c r="H341" s="5" t="inlineStr">
        <is>
          <t>Diciembre</t>
        </is>
      </c>
      <c r="I341" s="6" t="inlineStr">
        <is>
          <t>2025-2</t>
        </is>
      </c>
      <c r="J341" s="5" t="n">
        <v>70</v>
      </c>
      <c r="K341" s="5" t="n">
        <v>7848.87</v>
      </c>
      <c r="L341" s="14" t="n">
        <v>1.3</v>
      </c>
      <c r="M341" s="14" t="n">
        <v>112.1267142857143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231-2025-12-31</t>
        </is>
      </c>
    </row>
    <row r="342">
      <c r="A342" s="5" t="n">
        <v>232</v>
      </c>
      <c r="B342" s="5" t="inlineStr">
        <is>
          <t>Ejecución de las Comunicaciones en Materia Ambiental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09" t="n">
        <v>45291</v>
      </c>
      <c r="G342" s="5" t="n">
        <v>2023</v>
      </c>
      <c r="H342" s="5" t="inlineStr">
        <is>
          <t>Diciembre</t>
        </is>
      </c>
      <c r="I342" s="6" t="inlineStr">
        <is>
          <t>2023-2</t>
        </is>
      </c>
      <c r="J342" s="5" t="n">
        <v>180</v>
      </c>
      <c r="K342" s="5" t="n">
        <v>191.3</v>
      </c>
      <c r="L342" s="14" t="n">
        <v>1.062777777777778</v>
      </c>
      <c r="M342" s="14" t="n">
        <v>1.062777777777778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232-2023-12-31</t>
        </is>
      </c>
    </row>
    <row r="343">
      <c r="A343" s="5" t="n">
        <v>232</v>
      </c>
      <c r="B343" s="5" t="inlineStr">
        <is>
          <t>Ejecución de las Comunicaciones en Materia Ambiental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09" t="n">
        <v>45657</v>
      </c>
      <c r="G343" s="5" t="n">
        <v>2024</v>
      </c>
      <c r="H343" s="5" t="inlineStr">
        <is>
          <t>Diciembre</t>
        </is>
      </c>
      <c r="I343" s="6" t="inlineStr">
        <is>
          <t>2024-2</t>
        </is>
      </c>
      <c r="J343" s="5" t="n">
        <v>180</v>
      </c>
      <c r="K343" s="5" t="n">
        <v>195.45</v>
      </c>
      <c r="L343" s="14" t="n">
        <v>1.085833333333333</v>
      </c>
      <c r="M343" s="14" t="n">
        <v>1.085833333333333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232-2024-12-31</t>
        </is>
      </c>
    </row>
    <row r="344">
      <c r="A344" s="5" t="n">
        <v>232</v>
      </c>
      <c r="B344" s="5" t="inlineStr">
        <is>
          <t>Ejecución de las Comunicaciones en Materia Ambiental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9" t="n">
        <v>46022</v>
      </c>
      <c r="G344" s="5" t="n">
        <v>2025</v>
      </c>
      <c r="H344" s="5" t="inlineStr">
        <is>
          <t>Diciembre</t>
        </is>
      </c>
      <c r="I344" s="6" t="inlineStr">
        <is>
          <t>2025-2</t>
        </is>
      </c>
      <c r="J344" s="5" t="n">
        <v>180</v>
      </c>
      <c r="K344" s="5" t="n">
        <v>166.56</v>
      </c>
      <c r="L344" s="14" t="n">
        <v>0.9253333333333333</v>
      </c>
      <c r="M344" s="14" t="n">
        <v>0.9253333333333333</v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232-2025-12-31</t>
        </is>
      </c>
    </row>
    <row r="345">
      <c r="A345" s="5" t="n">
        <v>233</v>
      </c>
      <c r="B345" s="5" t="inlineStr">
        <is>
          <t>Impacto de las Comunicaciones Correo Electrónico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9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20</v>
      </c>
      <c r="K345" s="5" t="n">
        <v>32.25307583019057</v>
      </c>
      <c r="L345" s="14" t="n">
        <v>1.3</v>
      </c>
      <c r="M345" s="14" t="n">
        <v>1.612653791509528</v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233-2023-12-31</t>
        </is>
      </c>
    </row>
    <row r="346">
      <c r="A346" s="5" t="n">
        <v>233</v>
      </c>
      <c r="B346" s="5" t="inlineStr">
        <is>
          <t>Impacto de las Comunicaciones Correo Electrónico</t>
        </is>
      </c>
      <c r="C346" s="5" t="inlineStr">
        <is>
          <t>GESTIÓN AMBIENTAL</t>
        </is>
      </c>
      <c r="D346" s="5" t="inlineStr">
        <is>
          <t>Trimestral</t>
        </is>
      </c>
      <c r="E346" s="5" t="inlineStr">
        <is>
          <t>Positivo</t>
        </is>
      </c>
      <c r="F346" s="109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20</v>
      </c>
      <c r="K346" s="5" t="n">
        <v>32.91282268901744</v>
      </c>
      <c r="L346" s="14" t="n">
        <v>1.3</v>
      </c>
      <c r="M346" s="14" t="n">
        <v>1.645641134450872</v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233-2024-12-31</t>
        </is>
      </c>
    </row>
    <row r="347">
      <c r="A347" s="5" t="n">
        <v>233</v>
      </c>
      <c r="B347" s="5" t="inlineStr">
        <is>
          <t>Impacto de las Comunicaciones Correo Electrónico</t>
        </is>
      </c>
      <c r="C347" s="5" t="inlineStr">
        <is>
          <t>GESTIÓN AMBIENTAL</t>
        </is>
      </c>
      <c r="D347" s="5" t="inlineStr">
        <is>
          <t>Semestral</t>
        </is>
      </c>
      <c r="E347" s="5" t="inlineStr">
        <is>
          <t>Positivo</t>
        </is>
      </c>
      <c r="F347" s="109" t="n">
        <v>46022</v>
      </c>
      <c r="G347" s="5" t="n">
        <v>2025</v>
      </c>
      <c r="H347" s="5" t="inlineStr">
        <is>
          <t>Diciembre</t>
        </is>
      </c>
      <c r="I347" s="6" t="inlineStr">
        <is>
          <t>2025-2</t>
        </is>
      </c>
      <c r="J347" s="5" t="n">
        <v>20</v>
      </c>
      <c r="K347" s="5" t="n">
        <v>22.315</v>
      </c>
      <c r="L347" s="14" t="n">
        <v>1.11575</v>
      </c>
      <c r="M347" s="14" t="n">
        <v>1.11575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233-2025-12-31</t>
        </is>
      </c>
    </row>
    <row r="348">
      <c r="A348" s="5" t="n">
        <v>234</v>
      </c>
      <c r="B348" s="5" t="inlineStr">
        <is>
          <t>Impacto de las Comunicaciones en Materia Ambiental a Través de Redes Sociales - Instagram</t>
        </is>
      </c>
      <c r="C348" s="5" t="inlineStr">
        <is>
          <t>GESTIÓN AMBIENTAL</t>
        </is>
      </c>
      <c r="D348" s="5" t="inlineStr">
        <is>
          <t>Trimestral</t>
        </is>
      </c>
      <c r="E348" s="5" t="inlineStr">
        <is>
          <t>Positivo</t>
        </is>
      </c>
      <c r="F348" s="109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4000</v>
      </c>
      <c r="K348" s="5" t="n">
        <v>6785.75</v>
      </c>
      <c r="L348" s="14" t="n">
        <v>1.3</v>
      </c>
      <c r="M348" s="14" t="n">
        <v>1.6964375</v>
      </c>
      <c r="N348" s="5" t="inlineStr">
        <is>
          <t>ENT</t>
        </is>
      </c>
      <c r="O348" s="5" t="inlineStr">
        <is>
          <t>ENT</t>
        </is>
      </c>
      <c r="P348" s="5" t="n">
        <v>0</v>
      </c>
      <c r="Q348" s="5" t="n">
        <v>0</v>
      </c>
      <c r="R348" s="5" t="inlineStr">
        <is>
          <t>234-2023-12-31</t>
        </is>
      </c>
    </row>
    <row r="349">
      <c r="A349" s="5" t="n">
        <v>234</v>
      </c>
      <c r="B349" s="5" t="inlineStr">
        <is>
          <t>Impacto de las Comunicaciones en Materia Ambiental a Través de Redes Sociales - Instagram</t>
        </is>
      </c>
      <c r="C349" s="5" t="inlineStr">
        <is>
          <t>GESTIÓN AMBIENTAL</t>
        </is>
      </c>
      <c r="D349" s="5" t="inlineStr">
        <is>
          <t>Trimestral</t>
        </is>
      </c>
      <c r="E349" s="5" t="inlineStr">
        <is>
          <t>Positivo</t>
        </is>
      </c>
      <c r="F349" s="109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4000</v>
      </c>
      <c r="K349" s="5" t="n">
        <v>4301.86111111111</v>
      </c>
      <c r="L349" s="14" t="n">
        <v>1.075465277777778</v>
      </c>
      <c r="M349" s="14" t="n">
        <v>1.075465277777778</v>
      </c>
      <c r="N349" s="5" t="inlineStr">
        <is>
          <t>ENT</t>
        </is>
      </c>
      <c r="O349" s="5" t="inlineStr">
        <is>
          <t>ENT</t>
        </is>
      </c>
      <c r="P349" s="5" t="n">
        <v>0</v>
      </c>
      <c r="Q349" s="5" t="n">
        <v>0</v>
      </c>
      <c r="R349" s="5" t="inlineStr">
        <is>
          <t>234-2024-12-31</t>
        </is>
      </c>
    </row>
    <row r="350">
      <c r="A350" s="5" t="n">
        <v>234</v>
      </c>
      <c r="B350" s="5" t="inlineStr">
        <is>
          <t>Impacto de las Comunicaciones en Materia Ambiental a Través de Redes Sociales - Instagram</t>
        </is>
      </c>
      <c r="C350" s="5" t="inlineStr">
        <is>
          <t>GESTIÓN AMBIENTAL</t>
        </is>
      </c>
      <c r="D350" s="5" t="inlineStr">
        <is>
          <t>Semestral</t>
        </is>
      </c>
      <c r="E350" s="5" t="inlineStr">
        <is>
          <t>Positivo</t>
        </is>
      </c>
      <c r="F350" s="109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5" t="n">
        <v>4000</v>
      </c>
      <c r="K350" s="5" t="n">
        <v>10577.25</v>
      </c>
      <c r="L350" s="14" t="n">
        <v>1.3</v>
      </c>
      <c r="M350" s="14" t="n">
        <v>2.6443125</v>
      </c>
      <c r="N350" s="5" t="inlineStr">
        <is>
          <t>ENT</t>
        </is>
      </c>
      <c r="O350" s="5" t="inlineStr">
        <is>
          <t>ENT</t>
        </is>
      </c>
      <c r="P350" s="5" t="n">
        <v>0</v>
      </c>
      <c r="Q350" s="5" t="n">
        <v>0</v>
      </c>
      <c r="R350" s="5" t="inlineStr">
        <is>
          <t>234-2025-12-31</t>
        </is>
      </c>
    </row>
    <row r="351">
      <c r="A351" s="5" t="n">
        <v>235</v>
      </c>
      <c r="B351" s="5" t="inlineStr">
        <is>
          <t>Cumplimiento de Requisitos Legales Ambientales Aplicables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09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100</v>
      </c>
      <c r="K351" s="10" t="n">
        <v>81.65289256198299</v>
      </c>
      <c r="L351" s="14" t="n">
        <v>0.8165289256198299</v>
      </c>
      <c r="M351" s="14" t="n">
        <v>0.8165289256198299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235-2023-12-31</t>
        </is>
      </c>
    </row>
    <row r="352">
      <c r="A352" s="5" t="n">
        <v>235</v>
      </c>
      <c r="B352" s="5" t="inlineStr">
        <is>
          <t>Cumplimiento de Requisitos Legales Ambientales Aplicables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109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100</v>
      </c>
      <c r="K352" s="5" t="n">
        <v>92.012779552716</v>
      </c>
      <c r="L352" s="14" t="n">
        <v>0.92012779552716</v>
      </c>
      <c r="M352" s="14" t="n">
        <v>0.92012779552716</v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235-2024-12-31</t>
        </is>
      </c>
    </row>
    <row r="353">
      <c r="A353" s="5" t="n">
        <v>236</v>
      </c>
      <c r="B353" s="5" t="inlineStr">
        <is>
          <t>Actos Administrativos o Decisiones Judiciales Ambientales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Negativo</t>
        </is>
      </c>
      <c r="F353" s="109" t="n">
        <v>45291</v>
      </c>
      <c r="G353" s="5" t="n">
        <v>2023</v>
      </c>
      <c r="H353" s="5" t="inlineStr">
        <is>
          <t>Diciembre</t>
        </is>
      </c>
      <c r="I353" s="6" t="inlineStr">
        <is>
          <t>2023-2</t>
        </is>
      </c>
      <c r="J353" s="5" t="n">
        <v>0</v>
      </c>
      <c r="K353" s="5" t="n">
        <v>0</v>
      </c>
      <c r="L353" s="14" t="n">
        <v>1</v>
      </c>
      <c r="M353" s="14" t="n">
        <v>1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236-2023-12-31</t>
        </is>
      </c>
    </row>
    <row r="354">
      <c r="A354" s="5" t="n">
        <v>236</v>
      </c>
      <c r="B354" s="5" t="inlineStr">
        <is>
          <t>Actos Administrativos o Decisiones Judiciales Ambientales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Negativo</t>
        </is>
      </c>
      <c r="F354" s="109" t="n">
        <v>45657</v>
      </c>
      <c r="G354" s="5" t="n">
        <v>2024</v>
      </c>
      <c r="H354" s="5" t="inlineStr">
        <is>
          <t>Diciembre</t>
        </is>
      </c>
      <c r="I354" s="6" t="inlineStr">
        <is>
          <t>2024-2</t>
        </is>
      </c>
      <c r="J354" s="5" t="n">
        <v>0</v>
      </c>
      <c r="K354" s="5" t="n">
        <v>0</v>
      </c>
      <c r="L354" s="14" t="n">
        <v>1</v>
      </c>
      <c r="M354" s="14" t="n">
        <v>1</v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236-2024-12-31</t>
        </is>
      </c>
    </row>
    <row r="355">
      <c r="A355" s="5" t="n">
        <v>236</v>
      </c>
      <c r="B355" s="5" t="inlineStr">
        <is>
          <t>Actos Administrativos o Decisiones Judiciales Ambientales</t>
        </is>
      </c>
      <c r="C355" s="5" t="inlineStr">
        <is>
          <t>GESTIÓN AMBIENTAL</t>
        </is>
      </c>
      <c r="D355" s="5" t="inlineStr">
        <is>
          <t>Anual</t>
        </is>
      </c>
      <c r="E355" s="5" t="inlineStr">
        <is>
          <t>Negativo</t>
        </is>
      </c>
      <c r="F355" s="109" t="n">
        <v>46022</v>
      </c>
      <c r="G355" s="5" t="n">
        <v>2025</v>
      </c>
      <c r="H355" s="5" t="inlineStr">
        <is>
          <t>Diciembre</t>
        </is>
      </c>
      <c r="I355" s="6" t="inlineStr">
        <is>
          <t>2025-2</t>
        </is>
      </c>
      <c r="J355" s="5" t="n">
        <v>0</v>
      </c>
      <c r="K355" s="5" t="n">
        <v>0</v>
      </c>
      <c r="L355" s="14" t="n">
        <v>1</v>
      </c>
      <c r="M355" s="14" t="n">
        <v>1</v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 t="inlineStr">
        <is>
          <t>236-2025-12-31</t>
        </is>
      </c>
    </row>
    <row r="356">
      <c r="A356" s="5" t="n">
        <v>238</v>
      </c>
      <c r="B356" s="5" t="inlineStr">
        <is>
          <t>Cumplimiento de la Protección del Medio Ambiente</t>
        </is>
      </c>
      <c r="C356" s="5" t="inlineStr">
        <is>
          <t>GESTIÓN AMBIENTAL</t>
        </is>
      </c>
      <c r="D356" s="5" t="inlineStr">
        <is>
          <t>Trimestral</t>
        </is>
      </c>
      <c r="E356" s="5" t="inlineStr">
        <is>
          <t>Positivo</t>
        </is>
      </c>
      <c r="F356" s="109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73" t="n">
        <v>90</v>
      </c>
      <c r="K356" s="9" t="n">
        <v>87.52088554720135</v>
      </c>
      <c r="L356" s="14" t="n">
        <v>0.9724542838577928</v>
      </c>
      <c r="M356" s="14" t="n">
        <v>0.9724542838577928</v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238-2023-12-31</t>
        </is>
      </c>
    </row>
    <row r="357">
      <c r="A357" s="5" t="n">
        <v>238</v>
      </c>
      <c r="B357" s="5" t="inlineStr">
        <is>
          <t>Cumplimiento de la Protección del Medio Ambiente</t>
        </is>
      </c>
      <c r="C357" s="5" t="inlineStr">
        <is>
          <t>GESTIÓN AMBIENTAL</t>
        </is>
      </c>
      <c r="D357" s="5" t="inlineStr">
        <is>
          <t>Trimestral</t>
        </is>
      </c>
      <c r="E357" s="5" t="inlineStr">
        <is>
          <t>Positivo</t>
        </is>
      </c>
      <c r="F357" s="109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90</v>
      </c>
      <c r="K357" s="5" t="n">
        <v>79.63150062656641</v>
      </c>
      <c r="L357" s="14" t="n">
        <v>0.8847944514062934</v>
      </c>
      <c r="M357" s="14" t="n">
        <v>0.8847944514062934</v>
      </c>
      <c r="N357" s="5" t="inlineStr">
        <is>
          <t>Sin Reporte</t>
        </is>
      </c>
      <c r="O357" s="5" t="inlineStr">
        <is>
          <t>Sin Reporte</t>
        </is>
      </c>
      <c r="P357" s="5" t="n">
        <v>0</v>
      </c>
      <c r="Q357" s="5" t="n">
        <v>0</v>
      </c>
      <c r="R357" s="5" t="inlineStr">
        <is>
          <t>238-2024-12-31</t>
        </is>
      </c>
    </row>
    <row r="358">
      <c r="A358" s="5" t="n">
        <v>238</v>
      </c>
      <c r="B358" s="5" t="inlineStr">
        <is>
          <t>Cumplimiento de la Protección del Medio Ambiente</t>
        </is>
      </c>
      <c r="C358" s="5" t="inlineStr">
        <is>
          <t>GESTIÓN AMBIENTAL</t>
        </is>
      </c>
      <c r="D358" s="5" t="inlineStr">
        <is>
          <t>Semestral</t>
        </is>
      </c>
      <c r="E358" s="5" t="inlineStr">
        <is>
          <t>Positivo</t>
        </is>
      </c>
      <c r="F358" s="109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90</v>
      </c>
      <c r="K358" s="5" t="n">
        <v>84.53333333333335</v>
      </c>
      <c r="L358" s="14" t="n">
        <v>0.9392592592592593</v>
      </c>
      <c r="M358" s="14" t="n">
        <v>0.9392592592592593</v>
      </c>
      <c r="N358" s="5" t="inlineStr">
        <is>
          <t>Sin Reporte</t>
        </is>
      </c>
      <c r="O358" s="5" t="inlineStr">
        <is>
          <t>Sin Reporte</t>
        </is>
      </c>
      <c r="P358" s="5" t="n">
        <v>0</v>
      </c>
      <c r="Q358" s="5" t="n">
        <v>0</v>
      </c>
      <c r="R358" s="5" t="inlineStr">
        <is>
          <t>238-2025-12-31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9" t="n">
        <v>44926</v>
      </c>
      <c r="G359" s="5" t="n">
        <v>2022</v>
      </c>
      <c r="H359" s="5" t="inlineStr">
        <is>
          <t>Diciembre</t>
        </is>
      </c>
      <c r="I359" s="6" t="inlineStr">
        <is>
          <t>2022-2</t>
        </is>
      </c>
      <c r="J359" s="5" t="n"/>
      <c r="K359" s="11" t="n">
        <v>0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239-2022-12-31</t>
        </is>
      </c>
      <c r="S359" t="inlineStr">
        <is>
          <t>Metrica</t>
        </is>
      </c>
    </row>
    <row r="360">
      <c r="A360" s="5" t="n">
        <v>239</v>
      </c>
      <c r="B360" s="5" t="inlineStr">
        <is>
          <t>Portafolio de Proyectos</t>
        </is>
      </c>
      <c r="C360" s="5" t="inlineStr">
        <is>
          <t>Gestión de Proyectos</t>
        </is>
      </c>
      <c r="D360" s="5" t="inlineStr">
        <is>
          <t>Mensual</t>
        </is>
      </c>
      <c r="E360" s="5" t="inlineStr">
        <is>
          <t>Positivo</t>
        </is>
      </c>
      <c r="F360" s="109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/>
      <c r="K360" s="11" t="n">
        <v>0</v>
      </c>
      <c r="L360" s="14" t="n"/>
      <c r="M360" s="14" t="n"/>
      <c r="N360" s="5" t="inlineStr">
        <is>
          <t>Metrica</t>
        </is>
      </c>
      <c r="O360" s="5" t="inlineStr">
        <is>
          <t>ENT</t>
        </is>
      </c>
      <c r="P360" s="5" t="n">
        <v>0</v>
      </c>
      <c r="Q360" s="5" t="n">
        <v>0</v>
      </c>
      <c r="R360" s="5" t="inlineStr">
        <is>
          <t>239-2023-12-31</t>
        </is>
      </c>
    </row>
    <row r="361">
      <c r="A361" s="5" t="n">
        <v>239</v>
      </c>
      <c r="B361" s="5" t="inlineStr">
        <is>
          <t>Portafolio de Proyectos</t>
        </is>
      </c>
      <c r="C361" s="5" t="inlineStr">
        <is>
          <t>Gestión de Proyectos</t>
        </is>
      </c>
      <c r="D361" s="5" t="inlineStr">
        <is>
          <t>Mensual</t>
        </is>
      </c>
      <c r="E361" s="5" t="inlineStr">
        <is>
          <t>Positivo</t>
        </is>
      </c>
      <c r="F361" s="109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/>
      <c r="K361" s="5" t="n">
        <v>0</v>
      </c>
      <c r="L361" s="14" t="n"/>
      <c r="M361" s="14" t="n"/>
      <c r="N361" s="5" t="inlineStr">
        <is>
          <t>Metrica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239-2024-12-31</t>
        </is>
      </c>
    </row>
    <row r="362">
      <c r="A362" s="5" t="n">
        <v>239</v>
      </c>
      <c r="B362" s="5" t="inlineStr">
        <is>
          <t>Portafolio de Proyectos - Metrica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09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/>
      <c r="K362" s="5" t="n">
        <v>44</v>
      </c>
      <c r="L362" s="14" t="n"/>
      <c r="M362" s="14" t="n"/>
      <c r="N362" s="5" t="inlineStr">
        <is>
          <t>Metrica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239-2025-12-31</t>
        </is>
      </c>
      <c r="S362" t="inlineStr">
        <is>
          <t>Metrica</t>
        </is>
      </c>
    </row>
    <row r="363">
      <c r="A363" s="5" t="n">
        <v>239</v>
      </c>
      <c r="B363" s="5" t="inlineStr">
        <is>
          <t>Portafolio de Proyectos - Metrica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9" t="n">
        <v>46142</v>
      </c>
      <c r="G363" s="5" t="n">
        <v>2026</v>
      </c>
      <c r="H363" s="5" t="inlineStr">
        <is>
          <t>Abril</t>
        </is>
      </c>
      <c r="I363" s="6" t="inlineStr">
        <is>
          <t>2026-1</t>
        </is>
      </c>
      <c r="J363" s="73" t="n"/>
      <c r="K363" s="5" t="n">
        <v>51</v>
      </c>
      <c r="L363" s="14" t="n"/>
      <c r="M363" s="14" t="n"/>
      <c r="N363" s="5" t="inlineStr">
        <is>
          <t>Metrica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239-2026-04-30</t>
        </is>
      </c>
    </row>
    <row r="364">
      <c r="A364" s="5" t="n">
        <v>240</v>
      </c>
      <c r="B364" s="5" t="inlineStr">
        <is>
          <t>Cumplimiento de Gestión De Proyectos Cerrados</t>
        </is>
      </c>
      <c r="C364" s="5" t="inlineStr">
        <is>
          <t>Gestión de Proyectos</t>
        </is>
      </c>
      <c r="D364" s="5" t="inlineStr">
        <is>
          <t>Trimestral</t>
        </is>
      </c>
      <c r="E364" s="5" t="inlineStr">
        <is>
          <t>Positivo</t>
        </is>
      </c>
      <c r="F364" s="109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65</v>
      </c>
      <c r="L364" s="14" t="n">
        <v>0.65</v>
      </c>
      <c r="M364" s="14" t="n">
        <v>0.65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240-2023-12-31</t>
        </is>
      </c>
    </row>
    <row r="365">
      <c r="A365" s="5" t="n">
        <v>240</v>
      </c>
      <c r="B365" s="5" t="inlineStr">
        <is>
          <t>Cumplimiento de Gestión De Proyectos Cerrados</t>
        </is>
      </c>
      <c r="C365" s="5" t="inlineStr">
        <is>
          <t>Gestión de Proyectos</t>
        </is>
      </c>
      <c r="D365" s="5" t="inlineStr">
        <is>
          <t>Trimestral</t>
        </is>
      </c>
      <c r="E365" s="5" t="inlineStr">
        <is>
          <t>Positivo</t>
        </is>
      </c>
      <c r="F365" s="109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73" t="n">
        <v>100</v>
      </c>
      <c r="K365" s="5" t="n">
        <v>97.91666666666666</v>
      </c>
      <c r="L365" s="14" t="n">
        <v>0.9791666666666665</v>
      </c>
      <c r="M365" s="14" t="n">
        <v>0.9791666666666665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240-2024-12-31</t>
        </is>
      </c>
    </row>
    <row r="366">
      <c r="A366" s="5" t="n">
        <v>240</v>
      </c>
      <c r="B366" s="5" t="inlineStr">
        <is>
          <t>Cumplimiento de Gestión De Proyectos Cerrados</t>
        </is>
      </c>
      <c r="C366" s="5" t="inlineStr">
        <is>
          <t>Gestión de Proyectos</t>
        </is>
      </c>
      <c r="D366" s="5" t="inlineStr">
        <is>
          <t>Semestral</t>
        </is>
      </c>
      <c r="E366" s="5" t="inlineStr">
        <is>
          <t>Positivo</t>
        </is>
      </c>
      <c r="F366" s="109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73" t="n">
        <v>100</v>
      </c>
      <c r="K366" s="96" t="n">
        <v>100</v>
      </c>
      <c r="L366" s="14" t="n">
        <v>1</v>
      </c>
      <c r="M366" s="14" t="n">
        <v>1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240-2025-12-31</t>
        </is>
      </c>
    </row>
    <row r="367">
      <c r="A367" s="5" t="n">
        <v>240</v>
      </c>
      <c r="B367" s="5" t="inlineStr">
        <is>
          <t>Cumplimiento de Gestión De Proyectos Cerrados</t>
        </is>
      </c>
      <c r="C367" s="5" t="inlineStr">
        <is>
          <t>Gestión de Proyectos</t>
        </is>
      </c>
      <c r="D367" s="5" t="inlineStr">
        <is>
          <t>Semestral</t>
        </is>
      </c>
      <c r="E367" s="5" t="inlineStr">
        <is>
          <t>Positivo</t>
        </is>
      </c>
      <c r="F367" s="109" t="n">
        <v>46112</v>
      </c>
      <c r="G367" s="5" t="n">
        <v>2026</v>
      </c>
      <c r="H367" s="5" t="inlineStr">
        <is>
          <t>Marzo</t>
        </is>
      </c>
      <c r="I367" s="6" t="inlineStr">
        <is>
          <t>2026-1</t>
        </is>
      </c>
      <c r="J367" s="73" t="n">
        <v>100</v>
      </c>
      <c r="K367" s="9" t="n">
        <v>100</v>
      </c>
      <c r="L367" s="14" t="n">
        <v>1</v>
      </c>
      <c r="M367" s="14" t="n">
        <v>1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240-2026-03-31</t>
        </is>
      </c>
    </row>
    <row r="368">
      <c r="A368" s="5" t="n">
        <v>241</v>
      </c>
      <c r="B368" s="5" t="inlineStr">
        <is>
          <t>Cumplimiento de gestión de proyectos fase inicio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Positivo</t>
        </is>
      </c>
      <c r="F368" s="109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81" t="n">
        <v>80</v>
      </c>
      <c r="K368" s="9" t="n">
        <v>92.54929292929292</v>
      </c>
      <c r="L368" s="14" t="n">
        <v>1.156866161616162</v>
      </c>
      <c r="M368" s="14" t="n">
        <v>1.156866161616162</v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241-2023-12-31</t>
        </is>
      </c>
    </row>
    <row r="369">
      <c r="A369" s="5" t="n">
        <v>241</v>
      </c>
      <c r="B369" s="5" t="inlineStr">
        <is>
          <t>Cumplimiento de gestión de proyectos fase inicio</t>
        </is>
      </c>
      <c r="C369" s="5" t="inlineStr">
        <is>
          <t>Gestión de Proyectos</t>
        </is>
      </c>
      <c r="D369" s="5" t="inlineStr">
        <is>
          <t>Mensual</t>
        </is>
      </c>
      <c r="E369" s="5" t="inlineStr">
        <is>
          <t>Positivo</t>
        </is>
      </c>
      <c r="F369" s="109" t="n">
        <v>45657</v>
      </c>
      <c r="G369" s="5" t="n">
        <v>2024</v>
      </c>
      <c r="H369" s="5" t="inlineStr">
        <is>
          <t>Diciembre</t>
        </is>
      </c>
      <c r="I369" s="6" t="inlineStr">
        <is>
          <t>2024-2</t>
        </is>
      </c>
      <c r="J369" s="73" t="n">
        <v>80</v>
      </c>
      <c r="K369" s="9" t="n">
        <v>88.93920893920894</v>
      </c>
      <c r="L369" s="14" t="n">
        <v>1.111740111740112</v>
      </c>
      <c r="M369" s="14" t="n">
        <v>1.111740111740112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241-2024-12-31</t>
        </is>
      </c>
    </row>
    <row r="370">
      <c r="A370" s="5" t="n">
        <v>241</v>
      </c>
      <c r="B370" s="5" t="inlineStr">
        <is>
          <t>Cumplimiento de gestión de proyectos fase inicio</t>
        </is>
      </c>
      <c r="C370" s="5" t="inlineStr">
        <is>
          <t>Gestión de Proyectos</t>
        </is>
      </c>
      <c r="D370" s="5" t="inlineStr">
        <is>
          <t>Mensual</t>
        </is>
      </c>
      <c r="E370" s="5" t="inlineStr">
        <is>
          <t>Positivo</t>
        </is>
      </c>
      <c r="F370" s="109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80</v>
      </c>
      <c r="K370" s="5" t="n">
        <v>99.30583333333334</v>
      </c>
      <c r="L370" s="14" t="n">
        <v>1.241322916666667</v>
      </c>
      <c r="M370" s="14" t="n">
        <v>1.241322916666667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241-2025-12-31</t>
        </is>
      </c>
    </row>
    <row r="371">
      <c r="A371" s="5" t="n">
        <v>241</v>
      </c>
      <c r="B371" s="5" t="inlineStr">
        <is>
          <t>Cumplimiento de gestión de proyectos fase inicio</t>
        </is>
      </c>
      <c r="C371" s="5" t="inlineStr">
        <is>
          <t>Gestión de Proyectos</t>
        </is>
      </c>
      <c r="D371" s="5" t="inlineStr">
        <is>
          <t>Mensual</t>
        </is>
      </c>
      <c r="E371" s="5" t="inlineStr">
        <is>
          <t>Positivo</t>
        </is>
      </c>
      <c r="F371" s="109" t="n">
        <v>46142</v>
      </c>
      <c r="G371" s="5" t="n">
        <v>2026</v>
      </c>
      <c r="H371" s="5" t="inlineStr">
        <is>
          <t>Abril</t>
        </is>
      </c>
      <c r="I371" s="6" t="inlineStr">
        <is>
          <t>2026-1</t>
        </is>
      </c>
      <c r="J371" s="5" t="n">
        <v>80</v>
      </c>
      <c r="K371" s="5" t="n">
        <v>95.22749999999999</v>
      </c>
      <c r="L371" s="14" t="n">
        <v>1.19034375</v>
      </c>
      <c r="M371" s="14" t="n">
        <v>1.19034375</v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241-2026-04-30</t>
        </is>
      </c>
    </row>
    <row r="372">
      <c r="A372" s="5" t="n">
        <v>242</v>
      </c>
      <c r="B372" s="5" t="inlineStr">
        <is>
          <t>Cumplimiento a cronograma de proyectos</t>
        </is>
      </c>
      <c r="C372" s="5" t="inlineStr">
        <is>
          <t>Gestión de Proyectos</t>
        </is>
      </c>
      <c r="D372" s="5" t="inlineStr">
        <is>
          <t>Mensual</t>
        </is>
      </c>
      <c r="E372" s="5" t="inlineStr">
        <is>
          <t>Positivo</t>
        </is>
      </c>
      <c r="F372" s="109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90</v>
      </c>
      <c r="K372" s="5" t="n">
        <v>96.08</v>
      </c>
      <c r="L372" s="14" t="n">
        <v>1.067555555555556</v>
      </c>
      <c r="M372" s="14" t="n">
        <v>1.067555555555556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242-2023-12-31</t>
        </is>
      </c>
    </row>
    <row r="373">
      <c r="A373" s="5" t="n">
        <v>243</v>
      </c>
      <c r="B373" s="5" t="inlineStr">
        <is>
          <t>Cumplimiento de gestión de proyectos control de cambios</t>
        </is>
      </c>
      <c r="C373" s="5" t="inlineStr">
        <is>
          <t>Gestión de Proyectos</t>
        </is>
      </c>
      <c r="D373" s="5" t="inlineStr">
        <is>
          <t>Mensual</t>
        </is>
      </c>
      <c r="E373" s="5" t="inlineStr">
        <is>
          <t>Negativo</t>
        </is>
      </c>
      <c r="F373" s="109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/>
      <c r="K373" s="5" t="n">
        <v>4.96</v>
      </c>
      <c r="L373" s="14" t="n"/>
      <c r="M373" s="14" t="n"/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 t="inlineStr">
        <is>
          <t>243-2023-12-31</t>
        </is>
      </c>
    </row>
    <row r="374">
      <c r="A374" s="5" t="n">
        <v>244</v>
      </c>
      <c r="B374" s="5" t="inlineStr">
        <is>
          <t>GreenMetric - Nacional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Negativo</t>
        </is>
      </c>
      <c r="F374" s="109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25</v>
      </c>
      <c r="K374" s="5" t="n">
        <v>24</v>
      </c>
      <c r="L374" s="14" t="n">
        <v>1.041666666666667</v>
      </c>
      <c r="M374" s="14" t="n">
        <v>1.041666666666667</v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244-2023-12-31</t>
        </is>
      </c>
    </row>
    <row r="375">
      <c r="A375" s="5" t="n">
        <v>244</v>
      </c>
      <c r="B375" s="5" t="inlineStr">
        <is>
          <t>GreenMetric - Nacional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Negativo</t>
        </is>
      </c>
      <c r="F375" s="109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25</v>
      </c>
      <c r="K375" s="5" t="n">
        <v>25</v>
      </c>
      <c r="L375" s="14" t="n">
        <v>1</v>
      </c>
      <c r="M375" s="14" t="n">
        <v>1</v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244-2024-12-31</t>
        </is>
      </c>
    </row>
    <row r="376">
      <c r="A376" s="5" t="n">
        <v>244</v>
      </c>
      <c r="B376" s="5" t="inlineStr">
        <is>
          <t>GreenMetric - Nacional</t>
        </is>
      </c>
      <c r="C376" s="5" t="inlineStr">
        <is>
          <t>GESTIÓN AMBIENTAL</t>
        </is>
      </c>
      <c r="D376" s="5" t="inlineStr">
        <is>
          <t>Anual</t>
        </is>
      </c>
      <c r="E376" s="5" t="inlineStr">
        <is>
          <t>Negativo</t>
        </is>
      </c>
      <c r="F376" s="109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25</v>
      </c>
      <c r="K376" s="10" t="n">
        <v>13</v>
      </c>
      <c r="L376" s="14" t="n">
        <v>1.3</v>
      </c>
      <c r="M376" s="14" t="n">
        <v>1.923076923076923</v>
      </c>
      <c r="N376" s="5" t="inlineStr">
        <is>
          <t>ENT</t>
        </is>
      </c>
      <c r="O376" s="5" t="inlineStr">
        <is>
          <t>ENT</t>
        </is>
      </c>
      <c r="P376" s="5" t="n">
        <v>0</v>
      </c>
      <c r="Q376" s="5" t="n">
        <v>0</v>
      </c>
      <c r="R376" s="5" t="inlineStr">
        <is>
          <t>244-2025-12-31</t>
        </is>
      </c>
    </row>
    <row r="377">
      <c r="A377" s="5" t="n">
        <v>245</v>
      </c>
      <c r="B377" s="5" t="inlineStr">
        <is>
          <t>Permanencia Intersemestral</t>
        </is>
      </c>
      <c r="C377" s="5" t="inlineStr">
        <is>
          <t>Permanencia</t>
        </is>
      </c>
      <c r="D377" s="5" t="inlineStr">
        <is>
          <t>Semestral</t>
        </is>
      </c>
      <c r="E377" s="5" t="inlineStr">
        <is>
          <t>Positivo</t>
        </is>
      </c>
      <c r="F377" s="109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>
        <v>87</v>
      </c>
      <c r="K377" s="5" t="n">
        <v>98.14</v>
      </c>
      <c r="L377" s="14" t="n">
        <v>1.128045977011494</v>
      </c>
      <c r="M377" s="14" t="n">
        <v>1.128045977011494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1</v>
      </c>
      <c r="R377" s="5" t="inlineStr">
        <is>
          <t>245-2023-12-31</t>
        </is>
      </c>
    </row>
    <row r="378">
      <c r="A378" s="5" t="n">
        <v>245</v>
      </c>
      <c r="B378" s="5" t="inlineStr">
        <is>
          <t>Permanencia Intersemestral</t>
        </is>
      </c>
      <c r="C378" s="5" t="inlineStr">
        <is>
          <t>Permanencia</t>
        </is>
      </c>
      <c r="D378" s="5" t="inlineStr">
        <is>
          <t>Semestral</t>
        </is>
      </c>
      <c r="E378" s="5" t="inlineStr">
        <is>
          <t>Positivo</t>
        </is>
      </c>
      <c r="F378" s="109" t="n">
        <v>45657</v>
      </c>
      <c r="G378" s="5" t="n">
        <v>2024</v>
      </c>
      <c r="H378" s="5" t="inlineStr">
        <is>
          <t>Diciembre</t>
        </is>
      </c>
      <c r="I378" s="6" t="inlineStr">
        <is>
          <t>2024-2</t>
        </is>
      </c>
      <c r="J378" s="5" t="n">
        <v>100</v>
      </c>
      <c r="K378" s="5" t="n">
        <v>100.22</v>
      </c>
      <c r="L378" s="14" t="n">
        <v>1.0022</v>
      </c>
      <c r="M378" s="14" t="n">
        <v>1.0022</v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1</v>
      </c>
      <c r="R378" s="5" t="inlineStr">
        <is>
          <t>245-2024-12-31</t>
        </is>
      </c>
    </row>
    <row r="379">
      <c r="A379" s="5" t="n">
        <v>245</v>
      </c>
      <c r="B379" s="5" t="inlineStr">
        <is>
          <t>Permanencia Intersemestral</t>
        </is>
      </c>
      <c r="C379" s="5" t="inlineStr">
        <is>
          <t>Permanencia</t>
        </is>
      </c>
      <c r="D379" s="5" t="inlineStr">
        <is>
          <t>Semestral</t>
        </is>
      </c>
      <c r="E379" s="5" t="inlineStr">
        <is>
          <t>Positivo</t>
        </is>
      </c>
      <c r="F379" s="109" t="n">
        <v>46022</v>
      </c>
      <c r="G379" s="5" t="n">
        <v>2025</v>
      </c>
      <c r="H379" s="5" t="inlineStr">
        <is>
          <t>Diciembre</t>
        </is>
      </c>
      <c r="I379" s="6" t="inlineStr">
        <is>
          <t>2025-2</t>
        </is>
      </c>
      <c r="J379" s="5" t="n">
        <v>100</v>
      </c>
      <c r="K379" s="5" t="n">
        <v>100.12</v>
      </c>
      <c r="L379" s="14" t="n">
        <v>1.0012</v>
      </c>
      <c r="M379" s="14" t="n">
        <v>1.0012</v>
      </c>
      <c r="N379" s="5" t="inlineStr">
        <is>
          <t>%</t>
        </is>
      </c>
      <c r="O379" s="5" t="inlineStr">
        <is>
          <t>%</t>
        </is>
      </c>
      <c r="P379" s="5" t="n">
        <v>1</v>
      </c>
      <c r="Q379" s="5" t="n">
        <v>1</v>
      </c>
      <c r="R379" s="5" t="inlineStr">
        <is>
          <t>245-2025-12-31</t>
        </is>
      </c>
    </row>
    <row r="380">
      <c r="A380" s="5" t="n">
        <v>246</v>
      </c>
      <c r="B380" s="5" t="inlineStr">
        <is>
          <t>Satisfacción del proceso de grados</t>
        </is>
      </c>
      <c r="C380" s="5" t="inlineStr">
        <is>
          <t>Registro y Control</t>
        </is>
      </c>
      <c r="D380" s="5" t="inlineStr">
        <is>
          <t>Semestral</t>
        </is>
      </c>
      <c r="E380" s="5" t="inlineStr">
        <is>
          <t>Positivo</t>
        </is>
      </c>
      <c r="F380" s="109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85</v>
      </c>
      <c r="K380" s="5" t="n">
        <v>61.4</v>
      </c>
      <c r="L380" s="14" t="n">
        <v>0.7223529411764705</v>
      </c>
      <c r="M380" s="14" t="n">
        <v>0.7223529411764705</v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246-2023-12-31</t>
        </is>
      </c>
    </row>
    <row r="381">
      <c r="A381" s="5" t="n">
        <v>246</v>
      </c>
      <c r="B381" s="5" t="inlineStr">
        <is>
          <t>Satisfacción del proceso de grados presencial</t>
        </is>
      </c>
      <c r="C381" s="5" t="inlineStr">
        <is>
          <t>Registro y Control</t>
        </is>
      </c>
      <c r="D381" s="5" t="inlineStr">
        <is>
          <t>Semestral</t>
        </is>
      </c>
      <c r="E381" s="5" t="inlineStr">
        <is>
          <t>Positivo</t>
        </is>
      </c>
      <c r="F381" s="109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67.5</v>
      </c>
      <c r="K381" s="5" t="n">
        <v>94.40000000000001</v>
      </c>
      <c r="L381" s="14" t="n">
        <v>1.3</v>
      </c>
      <c r="M381" s="14" t="n">
        <v>1.398518518518518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246-2024-12-31</t>
        </is>
      </c>
    </row>
    <row r="382">
      <c r="A382" s="5" t="n">
        <v>246</v>
      </c>
      <c r="B382" s="5" t="inlineStr">
        <is>
          <t>Satisfacción del proceso de grados presencial</t>
        </is>
      </c>
      <c r="C382" s="5" t="inlineStr">
        <is>
          <t>Registro y Control</t>
        </is>
      </c>
      <c r="D382" s="5" t="inlineStr">
        <is>
          <t>Trimestral</t>
        </is>
      </c>
      <c r="E382" s="5" t="inlineStr">
        <is>
          <t>Positivo</t>
        </is>
      </c>
      <c r="F382" s="109" t="n">
        <v>46022</v>
      </c>
      <c r="G382" s="5" t="n">
        <v>2025</v>
      </c>
      <c r="H382" s="5" t="inlineStr">
        <is>
          <t>Diciembre</t>
        </is>
      </c>
      <c r="I382" s="6" t="inlineStr">
        <is>
          <t>2025-2</t>
        </is>
      </c>
      <c r="J382" s="5" t="n">
        <v>90</v>
      </c>
      <c r="K382" s="5" t="n">
        <v>92.7</v>
      </c>
      <c r="L382" s="14" t="n">
        <v>1.03</v>
      </c>
      <c r="M382" s="14" t="n">
        <v>1.03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246-2025-12-31</t>
        </is>
      </c>
    </row>
    <row r="383">
      <c r="A383" s="5" t="n">
        <v>247</v>
      </c>
      <c r="B383" s="5" t="inlineStr">
        <is>
          <t>Solicitud de certificados</t>
        </is>
      </c>
      <c r="C383" s="5" t="inlineStr">
        <is>
          <t>Registro y Control</t>
        </is>
      </c>
      <c r="D383" s="5" t="inlineStr">
        <is>
          <t>Mensual</t>
        </is>
      </c>
      <c r="E383" s="5" t="inlineStr">
        <is>
          <t>Positivo</t>
        </is>
      </c>
      <c r="F383" s="109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/>
      <c r="K383" s="5" t="n">
        <v>69.8</v>
      </c>
      <c r="L383" s="14" t="n"/>
      <c r="M383" s="14" t="n"/>
      <c r="N383" s="5" t="inlineStr">
        <is>
          <t>%</t>
        </is>
      </c>
      <c r="O383" s="5" t="inlineStr">
        <is>
          <t>DEC</t>
        </is>
      </c>
      <c r="P383" s="5" t="n">
        <v>1</v>
      </c>
      <c r="Q383" s="5" t="n">
        <v>1</v>
      </c>
      <c r="R383" s="5" t="inlineStr">
        <is>
          <t>247-2023-12-31</t>
        </is>
      </c>
    </row>
    <row r="384">
      <c r="A384" s="5" t="n">
        <v>248</v>
      </c>
      <c r="B384" s="5" t="inlineStr">
        <is>
          <t>Programas con reforzamiento curricular</t>
        </is>
      </c>
      <c r="C384" s="5" t="inlineStr">
        <is>
          <t>Gestión, Evaluación e Innovación Curricular</t>
        </is>
      </c>
      <c r="D384" s="5" t="inlineStr">
        <is>
          <t>Semestral</t>
        </is>
      </c>
      <c r="E384" s="5" t="inlineStr">
        <is>
          <t>Positivo</t>
        </is>
      </c>
      <c r="F384" s="109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44</v>
      </c>
      <c r="K384" s="5" t="n">
        <v>44</v>
      </c>
      <c r="L384" s="14" t="n">
        <v>1</v>
      </c>
      <c r="M384" s="14" t="n">
        <v>1</v>
      </c>
      <c r="N384" s="5" t="inlineStr">
        <is>
          <t>ENT</t>
        </is>
      </c>
      <c r="O384" s="5" t="inlineStr">
        <is>
          <t>ENT</t>
        </is>
      </c>
      <c r="P384" s="5" t="n">
        <v>0</v>
      </c>
      <c r="Q384" s="5" t="n">
        <v>0</v>
      </c>
      <c r="R384" s="5" t="inlineStr">
        <is>
          <t>248-2023-12-31</t>
        </is>
      </c>
    </row>
    <row r="385">
      <c r="A385" s="5" t="n">
        <v>249</v>
      </c>
      <c r="B385" s="5" t="inlineStr">
        <is>
          <t>Programas con matriz de resultado de aprendizaje</t>
        </is>
      </c>
      <c r="C385" s="5" t="inlineStr">
        <is>
          <t>Gestión, Evaluación e Innovación Curricular</t>
        </is>
      </c>
      <c r="D385" s="5" t="inlineStr">
        <is>
          <t>Semestral</t>
        </is>
      </c>
      <c r="E385" s="5" t="inlineStr">
        <is>
          <t>Positivo</t>
        </is>
      </c>
      <c r="F385" s="109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5" t="n">
        <v>98</v>
      </c>
      <c r="K385" s="5" t="n">
        <v>98</v>
      </c>
      <c r="L385" s="14" t="n">
        <v>1</v>
      </c>
      <c r="M385" s="14" t="n">
        <v>1</v>
      </c>
      <c r="N385" s="5" t="inlineStr">
        <is>
          <t>ENT</t>
        </is>
      </c>
      <c r="O385" s="5" t="inlineStr">
        <is>
          <t>ENT</t>
        </is>
      </c>
      <c r="P385" s="5" t="n">
        <v>0</v>
      </c>
      <c r="Q385" s="5" t="n">
        <v>0</v>
      </c>
      <c r="R385" s="5" t="inlineStr">
        <is>
          <t>249-2023-12-31</t>
        </is>
      </c>
    </row>
    <row r="386">
      <c r="A386" s="5" t="n">
        <v>251</v>
      </c>
      <c r="B386" s="5" t="inlineStr">
        <is>
          <t>Subprocesos Con CMI Estructurado</t>
        </is>
      </c>
      <c r="C386" s="5" t="inlineStr">
        <is>
          <t>Desempeño Institucional</t>
        </is>
      </c>
      <c r="D386" s="5" t="inlineStr">
        <is>
          <t>Trimestral</t>
        </is>
      </c>
      <c r="E386" s="5" t="inlineStr">
        <is>
          <t>Positivo</t>
        </is>
      </c>
      <c r="F386" s="109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100</v>
      </c>
      <c r="K386" s="5" t="n">
        <v>100</v>
      </c>
      <c r="L386" s="14" t="n">
        <v>1</v>
      </c>
      <c r="M386" s="14" t="n">
        <v>1</v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 t="inlineStr">
        <is>
          <t>251-2023-12-31</t>
        </is>
      </c>
    </row>
    <row r="387">
      <c r="A387" s="5" t="n">
        <v>251</v>
      </c>
      <c r="B387" s="5" t="inlineStr">
        <is>
          <t>Subprocesos Con CMI Estructurado</t>
        </is>
      </c>
      <c r="C387" s="5" t="inlineStr">
        <is>
          <t>Desempeño Institucional</t>
        </is>
      </c>
      <c r="D387" s="5" t="inlineStr">
        <is>
          <t>Trimestral</t>
        </is>
      </c>
      <c r="E387" s="5" t="inlineStr">
        <is>
          <t>Positivo</t>
        </is>
      </c>
      <c r="F387" s="109" t="n">
        <v>45657</v>
      </c>
      <c r="G387" s="5" t="n">
        <v>2024</v>
      </c>
      <c r="H387" s="5" t="inlineStr">
        <is>
          <t>Diciembre</t>
        </is>
      </c>
      <c r="I387" s="6" t="inlineStr">
        <is>
          <t>2024-2</t>
        </is>
      </c>
      <c r="J387" s="5" t="n">
        <v>100</v>
      </c>
      <c r="K387" s="5" t="n">
        <v>96.22641509433964</v>
      </c>
      <c r="L387" s="14" t="n">
        <v>0.9622641509433965</v>
      </c>
      <c r="M387" s="14" t="n">
        <v>0.9622641509433965</v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251-2024-12-31</t>
        </is>
      </c>
    </row>
    <row r="388">
      <c r="A388" s="5" t="n">
        <v>251</v>
      </c>
      <c r="B388" s="5" t="inlineStr">
        <is>
          <t>Subprocesos Con indicadores definidos</t>
        </is>
      </c>
      <c r="C388" s="5" t="inlineStr">
        <is>
          <t>Desempeño Institucional</t>
        </is>
      </c>
      <c r="D388" s="5" t="inlineStr">
        <is>
          <t>Semestral</t>
        </is>
      </c>
      <c r="E388" s="5" t="inlineStr">
        <is>
          <t>Positivo</t>
        </is>
      </c>
      <c r="F388" s="109" t="n">
        <v>46022</v>
      </c>
      <c r="G388" s="5" t="n">
        <v>2025</v>
      </c>
      <c r="H388" s="5" t="inlineStr">
        <is>
          <t>Diciembre</t>
        </is>
      </c>
      <c r="I388" s="6" t="inlineStr">
        <is>
          <t>2025-2</t>
        </is>
      </c>
      <c r="J388" s="5" t="n">
        <v>100</v>
      </c>
      <c r="K388" s="5" t="n">
        <v>100</v>
      </c>
      <c r="L388" s="14" t="n">
        <v>1</v>
      </c>
      <c r="M388" s="14" t="n">
        <v>1</v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 t="inlineStr">
        <is>
          <t>251-2025-12-31</t>
        </is>
      </c>
    </row>
    <row r="389">
      <c r="A389" s="5" t="n">
        <v>251</v>
      </c>
      <c r="B389" s="5" t="inlineStr">
        <is>
          <t>Subprocesos Con indicadores definidos</t>
        </is>
      </c>
      <c r="C389" s="5" t="inlineStr">
        <is>
          <t>Desempeño Institucional</t>
        </is>
      </c>
      <c r="D389" s="5" t="inlineStr">
        <is>
          <t>Semestral</t>
        </is>
      </c>
      <c r="E389" s="5" t="inlineStr">
        <is>
          <t>Positivo</t>
        </is>
      </c>
      <c r="F389" s="109" t="n">
        <v>46112</v>
      </c>
      <c r="G389" s="5" t="n">
        <v>2026</v>
      </c>
      <c r="H389" s="5" t="inlineStr">
        <is>
          <t>Marzo</t>
        </is>
      </c>
      <c r="I389" s="6" t="inlineStr">
        <is>
          <t>2026-1</t>
        </is>
      </c>
      <c r="J389" s="5" t="n">
        <v>100</v>
      </c>
      <c r="K389" s="5" t="n">
        <v>0</v>
      </c>
      <c r="L389" s="14" t="n">
        <v>0</v>
      </c>
      <c r="M389" s="14" t="n">
        <v>0</v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 t="inlineStr">
        <is>
          <t>251-2026-03-31</t>
        </is>
      </c>
    </row>
    <row r="390">
      <c r="A390" s="5" t="n">
        <v>252</v>
      </c>
      <c r="B390" s="5" t="inlineStr">
        <is>
          <t>Permanencia intersemestral ingresantes</t>
        </is>
      </c>
      <c r="C390" s="5" t="inlineStr">
        <is>
          <t>Permanencia</t>
        </is>
      </c>
      <c r="D390" s="5" t="inlineStr">
        <is>
          <t>Semestral</t>
        </is>
      </c>
      <c r="E390" s="5" t="inlineStr">
        <is>
          <t>Positivo</t>
        </is>
      </c>
      <c r="F390" s="109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68</v>
      </c>
      <c r="K390" s="5" t="n">
        <v>109.91</v>
      </c>
      <c r="L390" s="14" t="n">
        <v>1.3</v>
      </c>
      <c r="M390" s="14" t="n">
        <v>1.616323529411765</v>
      </c>
      <c r="N390" s="5" t="inlineStr">
        <is>
          <t>%</t>
        </is>
      </c>
      <c r="O390" s="5" t="inlineStr">
        <is>
          <t>%</t>
        </is>
      </c>
      <c r="P390" s="5" t="n">
        <v>0</v>
      </c>
      <c r="Q390" s="5" t="n">
        <v>1</v>
      </c>
      <c r="R390" s="5" t="inlineStr">
        <is>
          <t>252-2023-12-31</t>
        </is>
      </c>
    </row>
    <row r="391">
      <c r="A391" s="5" t="n">
        <v>252</v>
      </c>
      <c r="B391" s="5" t="inlineStr">
        <is>
          <t>Permanencia intersemestral ingresantes</t>
        </is>
      </c>
      <c r="C391" s="5" t="inlineStr">
        <is>
          <t>Permanencia</t>
        </is>
      </c>
      <c r="D391" s="5" t="inlineStr">
        <is>
          <t>Semestral</t>
        </is>
      </c>
      <c r="E391" s="5" t="inlineStr">
        <is>
          <t>Positivo</t>
        </is>
      </c>
      <c r="F391" s="109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72.90000000000001</v>
      </c>
      <c r="K391" s="5" t="n">
        <v>99.48999999999999</v>
      </c>
      <c r="L391" s="14" t="n">
        <v>1.3</v>
      </c>
      <c r="M391" s="14" t="n">
        <v>1.36474622770919</v>
      </c>
      <c r="N391" s="5" t="inlineStr">
        <is>
          <t>%</t>
        </is>
      </c>
      <c r="O391" s="5" t="inlineStr">
        <is>
          <t>%</t>
        </is>
      </c>
      <c r="P391" s="5" t="n">
        <v>1</v>
      </c>
      <c r="Q391" s="5" t="n">
        <v>1</v>
      </c>
      <c r="R391" s="5" t="inlineStr">
        <is>
          <t>252-2024-12-31</t>
        </is>
      </c>
    </row>
    <row r="392">
      <c r="A392" s="5" t="n">
        <v>252</v>
      </c>
      <c r="B392" s="5" t="inlineStr">
        <is>
          <t>Tasa de Permanencia Intersemestral de Estudiantes Ingresantes</t>
        </is>
      </c>
      <c r="C392" s="5" t="inlineStr">
        <is>
          <t>Permanencia</t>
        </is>
      </c>
      <c r="D392" s="5" t="inlineStr">
        <is>
          <t>Trimestral</t>
        </is>
      </c>
      <c r="E392" s="5" t="inlineStr">
        <is>
          <t>Positivo</t>
        </is>
      </c>
      <c r="F392" s="109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100</v>
      </c>
      <c r="K392" s="5" t="n">
        <v>104.31</v>
      </c>
      <c r="L392" s="14" t="n">
        <v>1.0431</v>
      </c>
      <c r="M392" s="14" t="n">
        <v>1.0431</v>
      </c>
      <c r="N392" s="5" t="inlineStr">
        <is>
          <t>%</t>
        </is>
      </c>
      <c r="O392" s="5" t="inlineStr">
        <is>
          <t>%</t>
        </is>
      </c>
      <c r="P392" s="5" t="n">
        <v>1</v>
      </c>
      <c r="Q392" s="5" t="n">
        <v>1</v>
      </c>
      <c r="R392" s="5" t="inlineStr">
        <is>
          <t>252-2025-12-31</t>
        </is>
      </c>
    </row>
    <row r="393">
      <c r="A393" s="5" t="n">
        <v>253</v>
      </c>
      <c r="B393" s="5" t="inlineStr">
        <is>
          <t>Oportunidad en la entrega de informes de auditoria</t>
        </is>
      </c>
      <c r="C393" s="5" t="inlineStr">
        <is>
          <t>AUDITORÍA INTERNA</t>
        </is>
      </c>
      <c r="D393" s="5" t="inlineStr">
        <is>
          <t>Bimestral</t>
        </is>
      </c>
      <c r="E393" s="5" t="inlineStr">
        <is>
          <t>Negativo</t>
        </is>
      </c>
      <c r="F393" s="109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8</v>
      </c>
      <c r="K393" s="5" t="n">
        <v>5.56</v>
      </c>
      <c r="L393" s="14" t="n">
        <v>1.3</v>
      </c>
      <c r="M393" s="14" t="n">
        <v>1.43884892086331</v>
      </c>
      <c r="N393" s="5" t="inlineStr">
        <is>
          <t>Días</t>
        </is>
      </c>
      <c r="O393" s="5" t="inlineStr">
        <is>
          <t>Días</t>
        </is>
      </c>
      <c r="P393" s="5" t="n">
        <v>0</v>
      </c>
      <c r="Q393" s="5" t="n">
        <v>0</v>
      </c>
      <c r="R393" s="5" t="inlineStr">
        <is>
          <t>253-2023-12-31</t>
        </is>
      </c>
    </row>
    <row r="394">
      <c r="A394" s="5" t="n">
        <v>254</v>
      </c>
      <c r="B394" s="5" t="inlineStr">
        <is>
          <t>Áreas con reportes de plan de retos</t>
        </is>
      </c>
      <c r="C394" s="5" t="inlineStr">
        <is>
          <t>Planeación Estratégica</t>
        </is>
      </c>
      <c r="D394" s="5" t="inlineStr">
        <is>
          <t>Trimestral</t>
        </is>
      </c>
      <c r="E394" s="5" t="inlineStr">
        <is>
          <t>Positivo</t>
        </is>
      </c>
      <c r="F394" s="109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100</v>
      </c>
      <c r="K394" s="5" t="n">
        <v>100</v>
      </c>
      <c r="L394" s="14" t="n">
        <v>1</v>
      </c>
      <c r="M394" s="14" t="n">
        <v>1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254-2023-12-31</t>
        </is>
      </c>
    </row>
    <row r="395">
      <c r="A395" s="5" t="n">
        <v>254</v>
      </c>
      <c r="B395" s="5" t="inlineStr">
        <is>
          <t>Áreas con reportes de plan de retos</t>
        </is>
      </c>
      <c r="C395" s="5" t="inlineStr">
        <is>
          <t>Planeación Estratégica</t>
        </is>
      </c>
      <c r="D395" s="5" t="inlineStr">
        <is>
          <t>Trimestral</t>
        </is>
      </c>
      <c r="E395" s="5" t="inlineStr">
        <is>
          <t>Positivo</t>
        </is>
      </c>
      <c r="F395" s="109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100</v>
      </c>
      <c r="K395" s="5" t="n">
        <v>100</v>
      </c>
      <c r="L395" s="14" t="n">
        <v>1</v>
      </c>
      <c r="M395" s="14" t="n">
        <v>1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254-2024-12-31</t>
        </is>
      </c>
    </row>
    <row r="396">
      <c r="A396" s="5" t="n">
        <v>254</v>
      </c>
      <c r="B396" s="5" t="inlineStr">
        <is>
          <t>Áreas con reportes de plan de retos</t>
        </is>
      </c>
      <c r="C396" s="5" t="inlineStr">
        <is>
          <t>Planeación Estratégica</t>
        </is>
      </c>
      <c r="D396" s="5" t="inlineStr">
        <is>
          <t>Semestral</t>
        </is>
      </c>
      <c r="E396" s="5" t="inlineStr">
        <is>
          <t>Positivo</t>
        </is>
      </c>
      <c r="F396" s="109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100</v>
      </c>
      <c r="K396" s="5" t="n">
        <v>100</v>
      </c>
      <c r="L396" s="14" t="n">
        <v>1</v>
      </c>
      <c r="M396" s="14" t="n">
        <v>1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254-2025-12-31</t>
        </is>
      </c>
    </row>
    <row r="397">
      <c r="A397" s="5" t="n">
        <v>255</v>
      </c>
      <c r="B397" s="5" t="inlineStr">
        <is>
          <t>Informe anual de variación de índice H</t>
        </is>
      </c>
      <c r="C397" s="5" t="inlineStr">
        <is>
          <t>Editorial y Publicaciones</t>
        </is>
      </c>
      <c r="D397" s="5" t="inlineStr">
        <is>
          <t>Anual</t>
        </is>
      </c>
      <c r="E397" s="5" t="inlineStr">
        <is>
          <t>Positivo</t>
        </is>
      </c>
      <c r="F397" s="109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100</v>
      </c>
      <c r="K397" s="5" t="n">
        <v>18</v>
      </c>
      <c r="L397" s="14" t="n">
        <v>0.18</v>
      </c>
      <c r="M397" s="14" t="n">
        <v>0.18</v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255-2023-12-31</t>
        </is>
      </c>
    </row>
    <row r="398">
      <c r="A398" s="5" t="n">
        <v>255</v>
      </c>
      <c r="B398" s="5" t="inlineStr">
        <is>
          <t>Informe anual de variación de índice H</t>
        </is>
      </c>
      <c r="C398" s="5" t="inlineStr">
        <is>
          <t>Editorial y Publicaciones</t>
        </is>
      </c>
      <c r="D398" s="5" t="inlineStr">
        <is>
          <t>Anual</t>
        </is>
      </c>
      <c r="E398" s="5" t="inlineStr">
        <is>
          <t>Positivo</t>
        </is>
      </c>
      <c r="F398" s="109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100</v>
      </c>
      <c r="K398" s="5" t="n">
        <v>15</v>
      </c>
      <c r="L398" s="14" t="n">
        <v>0.15</v>
      </c>
      <c r="M398" s="14" t="n">
        <v>0.15</v>
      </c>
      <c r="N398" s="5" t="inlineStr">
        <is>
          <t>ENT</t>
        </is>
      </c>
      <c r="O398" s="5" t="inlineStr">
        <is>
          <t>ENT</t>
        </is>
      </c>
      <c r="P398" s="5" t="n">
        <v>0</v>
      </c>
      <c r="Q398" s="5" t="n">
        <v>0</v>
      </c>
      <c r="R398" s="5" t="inlineStr">
        <is>
          <t>255-2024-12-31</t>
        </is>
      </c>
    </row>
    <row r="399">
      <c r="A399" s="5" t="n">
        <v>255</v>
      </c>
      <c r="B399" s="5" t="inlineStr">
        <is>
          <t>Informe anual de índice H</t>
        </is>
      </c>
      <c r="C399" s="5" t="inlineStr">
        <is>
          <t>Editorial y Publicaciones</t>
        </is>
      </c>
      <c r="D399" s="5" t="inlineStr">
        <is>
          <t>Anual</t>
        </is>
      </c>
      <c r="E399" s="5" t="inlineStr">
        <is>
          <t>Positivo</t>
        </is>
      </c>
      <c r="F399" s="109" t="n">
        <v>46022</v>
      </c>
      <c r="G399" s="5" t="n">
        <v>2025</v>
      </c>
      <c r="H399" s="5" t="inlineStr">
        <is>
          <t>Diciembre</t>
        </is>
      </c>
      <c r="I399" s="6" t="inlineStr">
        <is>
          <t>2025-2</t>
        </is>
      </c>
      <c r="J399" s="5" t="n"/>
      <c r="K399" s="5" t="n">
        <v>17.5</v>
      </c>
      <c r="L399" s="14" t="n"/>
      <c r="M399" s="14" t="n"/>
      <c r="N399" s="5" t="inlineStr">
        <is>
          <t>ENT</t>
        </is>
      </c>
      <c r="O399" s="5" t="inlineStr">
        <is>
          <t>ENT</t>
        </is>
      </c>
      <c r="P399" s="5" t="n">
        <v>0</v>
      </c>
      <c r="Q399" s="5" t="n">
        <v>0</v>
      </c>
      <c r="R399" s="5" t="inlineStr">
        <is>
          <t>255-2025-12-31</t>
        </is>
      </c>
    </row>
    <row r="400">
      <c r="A400" s="5" t="n">
        <v>256</v>
      </c>
      <c r="B400" s="5" t="inlineStr">
        <is>
          <t>Publicaciones editadas por la editorial</t>
        </is>
      </c>
      <c r="C400" s="5" t="inlineStr">
        <is>
          <t>Editorial y Publicaciones</t>
        </is>
      </c>
      <c r="D400" s="5" t="inlineStr">
        <is>
          <t>Semestral</t>
        </is>
      </c>
      <c r="E400" s="5" t="inlineStr">
        <is>
          <t>Positivo</t>
        </is>
      </c>
      <c r="F400" s="109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200</v>
      </c>
      <c r="K400" s="5" t="n">
        <v>247.05941176471</v>
      </c>
      <c r="L400" s="14" t="n">
        <v>1.23529705882355</v>
      </c>
      <c r="M400" s="14" t="n">
        <v>1.23529705882355</v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256-2023-12-31</t>
        </is>
      </c>
    </row>
    <row r="401">
      <c r="A401" s="5" t="n">
        <v>256</v>
      </c>
      <c r="B401" s="5" t="inlineStr">
        <is>
          <t>Publicaciones editadas por la editorial</t>
        </is>
      </c>
      <c r="C401" s="5" t="inlineStr">
        <is>
          <t>Editorial y Publicaciones</t>
        </is>
      </c>
      <c r="D401" s="5" t="inlineStr">
        <is>
          <t>Semestral</t>
        </is>
      </c>
      <c r="E401" s="5" t="inlineStr">
        <is>
          <t>Positivo</t>
        </is>
      </c>
      <c r="F401" s="10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200</v>
      </c>
      <c r="K401" s="5" t="n">
        <v>270.59</v>
      </c>
      <c r="L401" s="14" t="n">
        <v>1.3</v>
      </c>
      <c r="M401" s="14" t="n">
        <v>1.35295</v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256-2024-12-31</t>
        </is>
      </c>
    </row>
    <row r="402">
      <c r="A402" s="5" t="n">
        <v>256</v>
      </c>
      <c r="B402" s="5" t="inlineStr">
        <is>
          <t>Publicaciones editadas por la editorial</t>
        </is>
      </c>
      <c r="C402" s="5" t="inlineStr">
        <is>
          <t>Editorial y Publicaciones</t>
        </is>
      </c>
      <c r="D402" s="5" t="inlineStr">
        <is>
          <t>Trimestral</t>
        </is>
      </c>
      <c r="E402" s="5" t="inlineStr">
        <is>
          <t>Positivo</t>
        </is>
      </c>
      <c r="F402" s="109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200</v>
      </c>
      <c r="K402" s="10" t="n">
        <v>270.59</v>
      </c>
      <c r="L402" s="14" t="n">
        <v>1.3</v>
      </c>
      <c r="M402" s="14" t="n">
        <v>1.35295</v>
      </c>
      <c r="N402" s="5" t="inlineStr">
        <is>
          <t>ENT</t>
        </is>
      </c>
      <c r="O402" s="5" t="inlineStr">
        <is>
          <t>ENT</t>
        </is>
      </c>
      <c r="P402" s="5" t="n">
        <v>0</v>
      </c>
      <c r="Q402" s="5" t="n">
        <v>0</v>
      </c>
      <c r="R402" s="5" t="inlineStr">
        <is>
          <t>256-2025-12-31</t>
        </is>
      </c>
    </row>
    <row r="403">
      <c r="A403" s="5" t="n">
        <v>257</v>
      </c>
      <c r="B403" s="5" t="inlineStr">
        <is>
          <t>N de publicaciones aprobadas en convocatorias</t>
        </is>
      </c>
      <c r="C403" s="5" t="inlineStr">
        <is>
          <t>Editorial y Publicaciones</t>
        </is>
      </c>
      <c r="D403" s="5" t="inlineStr">
        <is>
          <t>Semestral</t>
        </is>
      </c>
      <c r="E403" s="5" t="inlineStr">
        <is>
          <t>Positivo</t>
        </is>
      </c>
      <c r="F403" s="109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42</v>
      </c>
      <c r="K403" s="5" t="n">
        <v>39</v>
      </c>
      <c r="L403" s="14" t="n">
        <v>0.9285714285714286</v>
      </c>
      <c r="M403" s="14" t="n">
        <v>0.9285714285714286</v>
      </c>
      <c r="N403" s="5" t="inlineStr">
        <is>
          <t>ENT</t>
        </is>
      </c>
      <c r="O403" s="5" t="inlineStr">
        <is>
          <t>ENT</t>
        </is>
      </c>
      <c r="P403" s="5" t="n">
        <v>0</v>
      </c>
      <c r="Q403" s="5" t="n">
        <v>0</v>
      </c>
      <c r="R403" s="5" t="inlineStr">
        <is>
          <t>257-2023-12-31</t>
        </is>
      </c>
    </row>
    <row r="404">
      <c r="A404" s="5" t="n">
        <v>259</v>
      </c>
      <c r="B404" s="5" t="inlineStr">
        <is>
          <t>Subprocesos con indicadores reportados oportunamente</t>
        </is>
      </c>
      <c r="C404" s="5" t="inlineStr">
        <is>
          <t>Desempeño Institucional</t>
        </is>
      </c>
      <c r="D404" s="5" t="inlineStr">
        <is>
          <t>Trimestral</t>
        </is>
      </c>
      <c r="E404" s="5" t="inlineStr">
        <is>
          <t>Positivo</t>
        </is>
      </c>
      <c r="F404" s="109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100</v>
      </c>
      <c r="K404" s="5" t="n">
        <v>70</v>
      </c>
      <c r="L404" s="14" t="n">
        <v>0.7</v>
      </c>
      <c r="M404" s="14" t="n">
        <v>0.7</v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 t="inlineStr">
        <is>
          <t>259-2023-12-31</t>
        </is>
      </c>
    </row>
    <row r="405">
      <c r="A405" s="5" t="n">
        <v>259</v>
      </c>
      <c r="B405" s="5" t="inlineStr">
        <is>
          <t>Subprocesos con indicadores reportados oportunamente</t>
        </is>
      </c>
      <c r="C405" s="5" t="inlineStr">
        <is>
          <t>Desempeño Institucional</t>
        </is>
      </c>
      <c r="D405" s="5" t="inlineStr">
        <is>
          <t>Trimestral</t>
        </is>
      </c>
      <c r="E405" s="5" t="inlineStr">
        <is>
          <t>Positivo</t>
        </is>
      </c>
      <c r="F405" s="109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90</v>
      </c>
      <c r="K405" s="5" t="n">
        <v>78.43000000000001</v>
      </c>
      <c r="L405" s="14" t="n">
        <v>0.8714444444444445</v>
      </c>
      <c r="M405" s="14" t="n">
        <v>0.8714444444444445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259-2024-12-31</t>
        </is>
      </c>
    </row>
    <row r="406">
      <c r="A406" s="5" t="n">
        <v>260</v>
      </c>
      <c r="B406" s="5" t="inlineStr">
        <is>
          <t>CES- Costumer Effort Score del proceso de Rematrícula</t>
        </is>
      </c>
      <c r="C406" s="5" t="inlineStr">
        <is>
          <t>Rematrícula</t>
        </is>
      </c>
      <c r="D406" s="5" t="inlineStr">
        <is>
          <t>Semestral</t>
        </is>
      </c>
      <c r="E406" s="5" t="inlineStr">
        <is>
          <t>Negativo</t>
        </is>
      </c>
      <c r="F406" s="109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3</v>
      </c>
      <c r="K406" s="5" t="n">
        <v>2.9</v>
      </c>
      <c r="L406" s="14" t="n">
        <v>1.03448275862069</v>
      </c>
      <c r="M406" s="14" t="n">
        <v>1.03448275862069</v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1</v>
      </c>
      <c r="R406" s="5" t="inlineStr">
        <is>
          <t>260-2023-12-31</t>
        </is>
      </c>
    </row>
    <row r="407">
      <c r="A407" s="5" t="n">
        <v>260</v>
      </c>
      <c r="B407" s="5" t="inlineStr">
        <is>
          <t>CES- Costumer Effort Score del proceso de Rematrícula</t>
        </is>
      </c>
      <c r="C407" s="5" t="inlineStr">
        <is>
          <t>Rematrícula</t>
        </is>
      </c>
      <c r="D407" s="5" t="inlineStr">
        <is>
          <t>Semestral</t>
        </is>
      </c>
      <c r="E407" s="5" t="inlineStr">
        <is>
          <t>Negativo</t>
        </is>
      </c>
      <c r="F407" s="109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2.8</v>
      </c>
      <c r="K407" s="5" t="n">
        <v>2.1</v>
      </c>
      <c r="L407" s="14" t="n">
        <v>1.3</v>
      </c>
      <c r="M407" s="14" t="n">
        <v>1.333333333333333</v>
      </c>
      <c r="N407" s="5" t="inlineStr">
        <is>
          <t>DEC</t>
        </is>
      </c>
      <c r="O407" s="5" t="inlineStr">
        <is>
          <t>DEC</t>
        </is>
      </c>
      <c r="P407" s="5" t="n">
        <v>1</v>
      </c>
      <c r="Q407" s="5" t="n">
        <v>1</v>
      </c>
      <c r="R407" s="5" t="inlineStr">
        <is>
          <t>260-2024-12-31</t>
        </is>
      </c>
    </row>
    <row r="408">
      <c r="A408" s="5" t="n">
        <v>260</v>
      </c>
      <c r="B408" s="5" t="inlineStr">
        <is>
          <t>CES- Costumer Effort Score del proceso de Rematrícula</t>
        </is>
      </c>
      <c r="C408" s="5" t="inlineStr">
        <is>
          <t>Rematrícula</t>
        </is>
      </c>
      <c r="D408" s="5" t="inlineStr">
        <is>
          <t>Trimestral</t>
        </is>
      </c>
      <c r="E408" s="5" t="inlineStr">
        <is>
          <t>Negativo</t>
        </is>
      </c>
      <c r="F408" s="109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2.1</v>
      </c>
      <c r="K408" s="5" t="n">
        <v>1.9</v>
      </c>
      <c r="L408" s="14" t="n">
        <v>1.105263157894737</v>
      </c>
      <c r="M408" s="14" t="n">
        <v>1.105263157894737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1</v>
      </c>
      <c r="R408" s="5" t="inlineStr">
        <is>
          <t>260-2025-12-31</t>
        </is>
      </c>
    </row>
    <row r="409">
      <c r="A409" s="5" t="n">
        <v>261</v>
      </c>
      <c r="B409" s="5" t="inlineStr">
        <is>
          <t>CES- Costumer Effort Score del proceso de Saber Pro</t>
        </is>
      </c>
      <c r="C409" s="5" t="inlineStr">
        <is>
          <t>Servicio</t>
        </is>
      </c>
      <c r="D409" s="5" t="inlineStr">
        <is>
          <t>Semestral</t>
        </is>
      </c>
      <c r="E409" s="5" t="inlineStr">
        <is>
          <t>Negativo</t>
        </is>
      </c>
      <c r="F409" s="109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3</v>
      </c>
      <c r="K409" s="5" t="n">
        <v>2.06</v>
      </c>
      <c r="L409" s="14" t="n">
        <v>1.3</v>
      </c>
      <c r="M409" s="14" t="n">
        <v>1.456310679611651</v>
      </c>
      <c r="N409" s="5" t="inlineStr">
        <is>
          <t>ENT</t>
        </is>
      </c>
      <c r="O409" s="5" t="inlineStr">
        <is>
          <t>DEC</t>
        </is>
      </c>
      <c r="P409" s="5" t="n">
        <v>2</v>
      </c>
      <c r="Q409" s="5" t="n">
        <v>2</v>
      </c>
      <c r="R409" s="5" t="inlineStr">
        <is>
          <t>261-2023-12-31</t>
        </is>
      </c>
    </row>
    <row r="410">
      <c r="A410" s="5" t="n">
        <v>261</v>
      </c>
      <c r="B410" s="5" t="inlineStr">
        <is>
          <t>CES- Costumer Effort Score del proceso de Saber Pro</t>
        </is>
      </c>
      <c r="C410" s="5" t="inlineStr">
        <is>
          <t>Servicio</t>
        </is>
      </c>
      <c r="D410" s="5" t="inlineStr">
        <is>
          <t>Semestral</t>
        </is>
      </c>
      <c r="E410" s="5" t="inlineStr">
        <is>
          <t>Negativo</t>
        </is>
      </c>
      <c r="F410" s="109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3</v>
      </c>
      <c r="K410" s="5" t="n">
        <v>2.2</v>
      </c>
      <c r="L410" s="14" t="n">
        <v>1.3</v>
      </c>
      <c r="M410" s="14" t="n">
        <v>1.363636363636364</v>
      </c>
      <c r="N410" s="5" t="inlineStr">
        <is>
          <t>ENT</t>
        </is>
      </c>
      <c r="O410" s="5" t="inlineStr">
        <is>
          <t>DEC</t>
        </is>
      </c>
      <c r="P410" s="5" t="n">
        <v>1</v>
      </c>
      <c r="Q410" s="5" t="n">
        <v>1</v>
      </c>
      <c r="R410" s="5" t="inlineStr">
        <is>
          <t>261-2024-12-31</t>
        </is>
      </c>
    </row>
    <row r="411">
      <c r="A411" s="5" t="n">
        <v>261</v>
      </c>
      <c r="B411" s="5" t="inlineStr">
        <is>
          <t>CES- Costumer Effort Score del proceso de Saber Pro</t>
        </is>
      </c>
      <c r="C411" s="5" t="inlineStr">
        <is>
          <t>Servicio</t>
        </is>
      </c>
      <c r="D411" s="5" t="inlineStr">
        <is>
          <t>Trimestral</t>
        </is>
      </c>
      <c r="E411" s="5" t="inlineStr">
        <is>
          <t>Negativo</t>
        </is>
      </c>
      <c r="F411" s="109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5" t="n">
        <v>3</v>
      </c>
      <c r="K411" s="5" t="n">
        <v>2.1</v>
      </c>
      <c r="L411" s="14" t="n">
        <v>1.3</v>
      </c>
      <c r="M411" s="14" t="n">
        <v>1.428571428571429</v>
      </c>
      <c r="N411" s="5" t="inlineStr">
        <is>
          <t>ENT</t>
        </is>
      </c>
      <c r="O411" s="5" t="inlineStr">
        <is>
          <t>DEC</t>
        </is>
      </c>
      <c r="P411" s="5" t="n">
        <v>1</v>
      </c>
      <c r="Q411" s="5" t="n">
        <v>1</v>
      </c>
      <c r="R411" s="5" t="inlineStr">
        <is>
          <t>261-2025-12-31</t>
        </is>
      </c>
    </row>
    <row r="412">
      <c r="A412" s="5" t="n">
        <v>262</v>
      </c>
      <c r="B412" s="5" t="inlineStr">
        <is>
          <t>Reducción de número de sentencias condenatorias en contra del Poli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Negativo</t>
        </is>
      </c>
      <c r="F412" s="109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20</v>
      </c>
      <c r="K412" s="5" t="n">
        <v>11.11</v>
      </c>
      <c r="L412" s="14" t="n">
        <v>1.3</v>
      </c>
      <c r="M412" s="14" t="n">
        <v>1.8001800180018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262-2023-12-31</t>
        </is>
      </c>
    </row>
    <row r="413">
      <c r="A413" s="5" t="n">
        <v>262</v>
      </c>
      <c r="B413" s="5" t="inlineStr">
        <is>
          <t>Reducción de número de sentencias condenatorias en contra del Poli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Negativo</t>
        </is>
      </c>
      <c r="F413" s="109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20</v>
      </c>
      <c r="K413" s="5" t="n">
        <v>0</v>
      </c>
      <c r="L413" s="14" t="n">
        <v>1</v>
      </c>
      <c r="M413" s="14" t="n">
        <v>1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262-2024-12-31</t>
        </is>
      </c>
    </row>
    <row r="414">
      <c r="A414" s="5" t="n">
        <v>262</v>
      </c>
      <c r="B414" s="5" t="inlineStr">
        <is>
          <t>Reducción de número de sentencias condenatorias en contra del Poli</t>
        </is>
      </c>
      <c r="C414" s="5" t="inlineStr">
        <is>
          <t>GESTIÓN JURÍDICA Y NORMATIVA</t>
        </is>
      </c>
      <c r="D414" s="5" t="inlineStr">
        <is>
          <t>Trimestral</t>
        </is>
      </c>
      <c r="E414" s="5" t="inlineStr">
        <is>
          <t>Negativo</t>
        </is>
      </c>
      <c r="F414" s="109" t="n">
        <v>46022</v>
      </c>
      <c r="G414" s="5" t="n">
        <v>2025</v>
      </c>
      <c r="H414" s="5" t="inlineStr">
        <is>
          <t>Diciembre</t>
        </is>
      </c>
      <c r="I414" s="6" t="inlineStr">
        <is>
          <t>2025-2</t>
        </is>
      </c>
      <c r="J414" s="5" t="n">
        <v>10</v>
      </c>
      <c r="K414" s="5" t="n">
        <v>0</v>
      </c>
      <c r="L414" s="14" t="n">
        <v>1</v>
      </c>
      <c r="M414" s="14" t="n">
        <v>1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262-2025-12-31</t>
        </is>
      </c>
    </row>
    <row r="415">
      <c r="A415" s="5" t="n">
        <v>263</v>
      </c>
      <c r="B415" s="5" t="inlineStr">
        <is>
          <t>Oportunidad de respuesta de PQRS</t>
        </is>
      </c>
      <c r="C415" s="5" t="inlineStr">
        <is>
          <t>GESTIÓN JURÍDICA Y NORMATIVA</t>
        </is>
      </c>
      <c r="D415" s="5" t="inlineStr">
        <is>
          <t>Trimestral</t>
        </is>
      </c>
      <c r="E415" s="5" t="inlineStr">
        <is>
          <t>Positivo</t>
        </is>
      </c>
      <c r="F415" s="109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100</v>
      </c>
      <c r="K415" s="5" t="n">
        <v>100</v>
      </c>
      <c r="L415" s="14" t="n">
        <v>1</v>
      </c>
      <c r="M415" s="14" t="n">
        <v>1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263-2023-12-31</t>
        </is>
      </c>
    </row>
    <row r="416">
      <c r="A416" s="5" t="n">
        <v>263</v>
      </c>
      <c r="B416" s="5" t="inlineStr">
        <is>
          <t>Oportunidad de respuesta de PQRS</t>
        </is>
      </c>
      <c r="C416" s="5" t="inlineStr">
        <is>
          <t>GESTIÓN JURÍDICA Y NORMATIVA</t>
        </is>
      </c>
      <c r="D416" s="5" t="inlineStr">
        <is>
          <t>Trimestral</t>
        </is>
      </c>
      <c r="E416" s="5" t="inlineStr">
        <is>
          <t>Positivo</t>
        </is>
      </c>
      <c r="F416" s="109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100</v>
      </c>
      <c r="K416" s="5" t="n">
        <v>100</v>
      </c>
      <c r="L416" s="14" t="n">
        <v>1</v>
      </c>
      <c r="M416" s="14" t="n">
        <v>1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263-2024-12-31</t>
        </is>
      </c>
    </row>
    <row r="417">
      <c r="A417" s="5" t="n">
        <v>263</v>
      </c>
      <c r="B417" s="5" t="inlineStr">
        <is>
          <t>Oportunidad de respuesta de PQRS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9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100</v>
      </c>
      <c r="K417" s="5" t="n">
        <v>100</v>
      </c>
      <c r="L417" s="14" t="n">
        <v>1</v>
      </c>
      <c r="M417" s="14" t="n">
        <v>1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263-2025-12-31</t>
        </is>
      </c>
    </row>
    <row r="418">
      <c r="A418" s="5" t="n">
        <v>263</v>
      </c>
      <c r="B418" s="5" t="inlineStr">
        <is>
          <t>Oportunidad de respuesta de PQRS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9" t="n">
        <v>46112</v>
      </c>
      <c r="G418" s="5" t="n">
        <v>2026</v>
      </c>
      <c r="H418" s="5" t="inlineStr">
        <is>
          <t>Marzo</t>
        </is>
      </c>
      <c r="I418" s="6" t="inlineStr">
        <is>
          <t>2026-1</t>
        </is>
      </c>
      <c r="J418" s="5" t="n">
        <v>100</v>
      </c>
      <c r="K418" s="5" t="n">
        <v>100</v>
      </c>
      <c r="L418" s="14" t="n">
        <v>1</v>
      </c>
      <c r="M418" s="14" t="n">
        <v>1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263-2026-03-31</t>
        </is>
      </c>
    </row>
    <row r="419">
      <c r="A419" s="5" t="n">
        <v>264</v>
      </c>
      <c r="B419" s="5" t="inlineStr">
        <is>
          <t>Emisión De Conceptos Jurídicos (Educación)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9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100</v>
      </c>
      <c r="K419" s="5" t="n">
        <v>100</v>
      </c>
      <c r="L419" s="14" t="n">
        <v>1</v>
      </c>
      <c r="M419" s="14" t="n">
        <v>1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264-2023-12-31</t>
        </is>
      </c>
    </row>
    <row r="420">
      <c r="A420" s="5" t="n">
        <v>264</v>
      </c>
      <c r="B420" s="5" t="inlineStr">
        <is>
          <t>Eficiencia Emisión De Conceptos Jurídicos (Educación)</t>
        </is>
      </c>
      <c r="C420" s="5" t="inlineStr">
        <is>
          <t>GESTIÓN JURÍDICA Y NORMATIVA</t>
        </is>
      </c>
      <c r="D420" s="5" t="inlineStr">
        <is>
          <t>Semestral</t>
        </is>
      </c>
      <c r="E420" s="5" t="inlineStr">
        <is>
          <t>Positivo</t>
        </is>
      </c>
      <c r="F420" s="109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100</v>
      </c>
      <c r="K420" s="5" t="n">
        <v>100</v>
      </c>
      <c r="L420" s="14" t="n">
        <v>1</v>
      </c>
      <c r="M420" s="14" t="n">
        <v>1</v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264-2024-12-31</t>
        </is>
      </c>
    </row>
    <row r="421">
      <c r="A421" s="5" t="n">
        <v>265</v>
      </c>
      <c r="B421" s="5" t="inlineStr">
        <is>
          <t>Emisión De Conceptos Jurídicos (Jurídicos)</t>
        </is>
      </c>
      <c r="C421" s="5" t="inlineStr">
        <is>
          <t>GESTIÓN JURÍDICA Y NORMATIVA</t>
        </is>
      </c>
      <c r="D421" s="5" t="inlineStr">
        <is>
          <t>Semestral</t>
        </is>
      </c>
      <c r="E421" s="5" t="inlineStr">
        <is>
          <t>Positivo</t>
        </is>
      </c>
      <c r="F421" s="109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100</v>
      </c>
      <c r="K421" s="5" t="n">
        <v>88.565</v>
      </c>
      <c r="L421" s="14" t="n">
        <v>0.8856499999999999</v>
      </c>
      <c r="M421" s="14" t="n">
        <v>0.8856499999999999</v>
      </c>
      <c r="N421" s="38" t="inlineStr">
        <is>
          <t>%</t>
        </is>
      </c>
      <c r="O421" s="38" t="inlineStr">
        <is>
          <t>%</t>
        </is>
      </c>
      <c r="P421" s="5" t="n">
        <v>0</v>
      </c>
      <c r="Q421" s="5" t="n">
        <v>0</v>
      </c>
      <c r="R421" s="5" t="inlineStr">
        <is>
          <t>265-2023-12-31</t>
        </is>
      </c>
    </row>
    <row r="422">
      <c r="A422" s="5" t="n">
        <v>265</v>
      </c>
      <c r="B422" s="5" t="inlineStr">
        <is>
          <t>Eficiencia Emisión De Conceptos Jurídicos (Jurídicos)</t>
        </is>
      </c>
      <c r="C422" s="5" t="inlineStr">
        <is>
          <t>GESTIÓN JURÍDICA Y NORMATIVA</t>
        </is>
      </c>
      <c r="D422" s="5" t="inlineStr">
        <is>
          <t>Semestral</t>
        </is>
      </c>
      <c r="E422" s="5" t="inlineStr">
        <is>
          <t>Positivo</t>
        </is>
      </c>
      <c r="F422" s="109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95</v>
      </c>
      <c r="K422" s="5" t="n">
        <v>100</v>
      </c>
      <c r="L422" s="14" t="n">
        <v>1.052631578947368</v>
      </c>
      <c r="M422" s="14" t="n">
        <v>1.052631578947368</v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 t="inlineStr">
        <is>
          <t>265-2024-12-31</t>
        </is>
      </c>
    </row>
    <row r="423">
      <c r="A423" s="5" t="n">
        <v>265</v>
      </c>
      <c r="B423" s="5" t="inlineStr">
        <is>
          <t>Eficiencia Emisión De Conceptos Jurídicos (Jurídicos)</t>
        </is>
      </c>
      <c r="C423" s="5" t="inlineStr">
        <is>
          <t>GESTIÓN JURÍDICA Y NORMATIVA</t>
        </is>
      </c>
      <c r="D423" s="5" t="inlineStr">
        <is>
          <t>Semestral</t>
        </is>
      </c>
      <c r="E423" s="5" t="inlineStr">
        <is>
          <t>Positivo</t>
        </is>
      </c>
      <c r="F423" s="109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>
        <v>95</v>
      </c>
      <c r="K423" s="5" t="n">
        <v>100</v>
      </c>
      <c r="L423" s="14" t="n">
        <v>1.052631578947368</v>
      </c>
      <c r="M423" s="14" t="n">
        <v>1.052631578947368</v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 t="inlineStr">
        <is>
          <t>265-2025-12-31</t>
        </is>
      </c>
    </row>
    <row r="424">
      <c r="A424" s="5" t="n">
        <v>265</v>
      </c>
      <c r="B424" s="5" t="inlineStr">
        <is>
          <t>Eficiencia Emisión De Conceptos Jurídicos (Jurídicos)</t>
        </is>
      </c>
      <c r="C424" s="5" t="inlineStr">
        <is>
          <t>GESTIÓN JURÍDICA Y NORMATIVA</t>
        </is>
      </c>
      <c r="D424" s="5" t="inlineStr">
        <is>
          <t>Semestral</t>
        </is>
      </c>
      <c r="E424" s="5" t="inlineStr">
        <is>
          <t>Positivo</t>
        </is>
      </c>
      <c r="F424" s="109" t="n">
        <v>46112</v>
      </c>
      <c r="G424" s="5" t="n">
        <v>2026</v>
      </c>
      <c r="H424" s="5" t="inlineStr">
        <is>
          <t>Marzo</t>
        </is>
      </c>
      <c r="I424" s="6" t="inlineStr">
        <is>
          <t>2026-1</t>
        </is>
      </c>
      <c r="J424" s="5" t="n">
        <v>95</v>
      </c>
      <c r="K424" s="5" t="n">
        <v>100</v>
      </c>
      <c r="L424" s="14" t="n">
        <v>1.052631578947368</v>
      </c>
      <c r="M424" s="14" t="n">
        <v>1.052631578947368</v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 t="inlineStr">
        <is>
          <t>265-2026-03-31</t>
        </is>
      </c>
    </row>
    <row r="425">
      <c r="A425" s="5" t="n">
        <v>266</v>
      </c>
      <c r="B425" s="5" t="inlineStr">
        <is>
          <t>Oportunidad en la elaboración de contratos</t>
        </is>
      </c>
      <c r="C425" s="5" t="inlineStr">
        <is>
          <t>GESTIÓN JURÍDICA Y NORMATIVA</t>
        </is>
      </c>
      <c r="D425" s="5" t="inlineStr">
        <is>
          <t>Semestral</t>
        </is>
      </c>
      <c r="E425" s="5" t="inlineStr">
        <is>
          <t>Positivo</t>
        </is>
      </c>
      <c r="F425" s="109" t="n">
        <v>45291</v>
      </c>
      <c r="G425" s="5" t="n">
        <v>2023</v>
      </c>
      <c r="H425" s="5" t="inlineStr">
        <is>
          <t>Diciembre</t>
        </is>
      </c>
      <c r="I425" s="6" t="inlineStr">
        <is>
          <t>2023-2</t>
        </is>
      </c>
      <c r="J425" s="5" t="n">
        <v>95</v>
      </c>
      <c r="K425" s="5" t="n">
        <v>93.488519256308</v>
      </c>
      <c r="L425" s="14" t="n">
        <v>0.9840896763821895</v>
      </c>
      <c r="M425" s="14" t="n">
        <v>0.9840896763821895</v>
      </c>
      <c r="N425" s="5" t="inlineStr">
        <is>
          <t>%</t>
        </is>
      </c>
      <c r="O425" s="5" t="inlineStr">
        <is>
          <t>%</t>
        </is>
      </c>
      <c r="P425" s="5" t="n">
        <v>0</v>
      </c>
      <c r="Q425" s="5" t="n">
        <v>0</v>
      </c>
      <c r="R425" s="5" t="inlineStr">
        <is>
          <t>266-2023-12-31</t>
        </is>
      </c>
    </row>
    <row r="426">
      <c r="A426" s="5" t="n">
        <v>266</v>
      </c>
      <c r="B426" s="5" t="inlineStr">
        <is>
          <t>Oportunidad en la elaboración de contratos</t>
        </is>
      </c>
      <c r="C426" s="5" t="inlineStr">
        <is>
          <t>GESTIÓN JURÍDICA Y NORMATIVA</t>
        </is>
      </c>
      <c r="D426" s="5" t="inlineStr">
        <is>
          <t>Semestral</t>
        </is>
      </c>
      <c r="E426" s="5" t="inlineStr">
        <is>
          <t>Positivo</t>
        </is>
      </c>
      <c r="F426" s="109" t="n">
        <v>45657</v>
      </c>
      <c r="G426" s="5" t="n">
        <v>2024</v>
      </c>
      <c r="H426" s="5" t="inlineStr">
        <is>
          <t>Diciembre</t>
        </is>
      </c>
      <c r="I426" s="6" t="inlineStr">
        <is>
          <t>2024-2</t>
        </is>
      </c>
      <c r="J426" s="5" t="n">
        <v>95</v>
      </c>
      <c r="K426" s="5" t="n">
        <v>88.47499999999999</v>
      </c>
      <c r="L426" s="14" t="n">
        <v>0.9313157894736841</v>
      </c>
      <c r="M426" s="14" t="n">
        <v>0.9313157894736841</v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 t="inlineStr">
        <is>
          <t>266-2024-12-31</t>
        </is>
      </c>
    </row>
    <row r="427">
      <c r="A427" s="5" t="n">
        <v>266</v>
      </c>
      <c r="B427" s="5" t="inlineStr">
        <is>
          <t>Oportunidad en la elaboración de contratos</t>
        </is>
      </c>
      <c r="C427" s="5" t="inlineStr">
        <is>
          <t>GESTIÓN JURÍDICA Y NORMATIVA</t>
        </is>
      </c>
      <c r="D427" s="5" t="inlineStr">
        <is>
          <t>Semestral</t>
        </is>
      </c>
      <c r="E427" s="5" t="inlineStr">
        <is>
          <t>Positivo</t>
        </is>
      </c>
      <c r="F427" s="109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>
        <v>95</v>
      </c>
      <c r="K427" s="5" t="n">
        <v>76.45</v>
      </c>
      <c r="L427" s="14" t="n">
        <v>0.8047368421052632</v>
      </c>
      <c r="M427" s="14" t="n">
        <v>0.8047368421052632</v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 t="inlineStr">
        <is>
          <t>266-2025-12-31</t>
        </is>
      </c>
    </row>
    <row r="428">
      <c r="A428" s="5" t="n">
        <v>266</v>
      </c>
      <c r="B428" s="5" t="inlineStr">
        <is>
          <t>Oportunidad en la elaboración de contratos</t>
        </is>
      </c>
      <c r="C428" s="5" t="inlineStr">
        <is>
          <t>GESTIÓN JURÍDICA Y NORMATIVA</t>
        </is>
      </c>
      <c r="D428" s="5" t="inlineStr">
        <is>
          <t>Semestral</t>
        </is>
      </c>
      <c r="E428" s="5" t="inlineStr">
        <is>
          <t>Positivo</t>
        </is>
      </c>
      <c r="F428" s="109" t="n">
        <v>46112</v>
      </c>
      <c r="G428" s="5" t="n">
        <v>2026</v>
      </c>
      <c r="H428" s="5" t="inlineStr">
        <is>
          <t>Marzo</t>
        </is>
      </c>
      <c r="I428" s="6" t="inlineStr">
        <is>
          <t>2026-1</t>
        </is>
      </c>
      <c r="J428" s="5" t="n">
        <v>95</v>
      </c>
      <c r="K428" s="5" t="n">
        <v>54.26</v>
      </c>
      <c r="L428" s="14" t="n">
        <v>0.5711578947368421</v>
      </c>
      <c r="M428" s="14" t="n">
        <v>0.5711578947368421</v>
      </c>
      <c r="N428" s="5" t="inlineStr">
        <is>
          <t>%</t>
        </is>
      </c>
      <c r="O428" s="5" t="inlineStr">
        <is>
          <t>%</t>
        </is>
      </c>
      <c r="P428" s="5" t="n">
        <v>0</v>
      </c>
      <c r="Q428" s="5" t="n">
        <v>0</v>
      </c>
      <c r="R428" s="5" t="inlineStr">
        <is>
          <t>266-2026-03-31</t>
        </is>
      </c>
    </row>
    <row r="429">
      <c r="A429" s="5" t="n">
        <v>267</v>
      </c>
      <c r="B429" s="5" t="inlineStr">
        <is>
          <t>Satisfacción procesos de Homologaciones</t>
        </is>
      </c>
      <c r="C429" s="5" t="inlineStr">
        <is>
          <t>Registro y Control</t>
        </is>
      </c>
      <c r="D429" s="5" t="inlineStr">
        <is>
          <t>Anual</t>
        </is>
      </c>
      <c r="E429" s="5" t="inlineStr">
        <is>
          <t>Positivo</t>
        </is>
      </c>
      <c r="F429" s="109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/>
      <c r="K429" s="5" t="n"/>
      <c r="L429" s="14" t="n"/>
      <c r="M429" s="14" t="n"/>
      <c r="N429" s="5" t="inlineStr">
        <is>
          <t>%</t>
        </is>
      </c>
      <c r="O429" s="5" t="inlineStr">
        <is>
          <t>%</t>
        </is>
      </c>
      <c r="P429" s="5" t="n">
        <v>0</v>
      </c>
      <c r="Q429" s="5" t="n">
        <v>0</v>
      </c>
      <c r="R429" s="5" t="inlineStr">
        <is>
          <t>267-2023-12-31</t>
        </is>
      </c>
    </row>
    <row r="430">
      <c r="A430" s="5" t="n">
        <v>268</v>
      </c>
      <c r="B430" s="5" t="inlineStr">
        <is>
          <t>Cantidad de usuarios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09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727</v>
      </c>
      <c r="L430" s="14" t="n"/>
      <c r="M430" s="14" t="n"/>
      <c r="N430" s="5" t="inlineStr">
        <is>
          <t>%</t>
        </is>
      </c>
      <c r="O430" s="5" t="inlineStr">
        <is>
          <t>ENT</t>
        </is>
      </c>
      <c r="P430" s="5" t="n">
        <v>0</v>
      </c>
      <c r="Q430" s="5" t="n">
        <v>0</v>
      </c>
      <c r="R430" s="5" t="inlineStr">
        <is>
          <t>268-2023-12-31</t>
        </is>
      </c>
    </row>
    <row r="431">
      <c r="A431" s="5" t="n">
        <v>268</v>
      </c>
      <c r="B431" s="5" t="inlineStr">
        <is>
          <t>Cantidad de usuarios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9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>
        <v>0</v>
      </c>
      <c r="K431" s="5" t="n">
        <v>732</v>
      </c>
      <c r="L431" s="14" t="n"/>
      <c r="M431" s="14" t="n"/>
      <c r="N431" s="5" t="n">
        <v>0</v>
      </c>
      <c r="O431" s="5" t="inlineStr">
        <is>
          <t>ENT</t>
        </is>
      </c>
      <c r="P431" s="5" t="n">
        <v>0</v>
      </c>
      <c r="Q431" s="5" t="n">
        <v>0</v>
      </c>
      <c r="R431" s="5" t="inlineStr">
        <is>
          <t>268-2024-12-31</t>
        </is>
      </c>
    </row>
    <row r="432">
      <c r="A432" s="21" t="n">
        <v>268</v>
      </c>
      <c r="B432" s="20" t="inlineStr">
        <is>
          <t>Cantidad de usuarios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09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/>
      <c r="K432" s="5" t="n">
        <v>877</v>
      </c>
      <c r="L432" s="14" t="n"/>
      <c r="M432" s="14" t="n"/>
      <c r="N432" s="5" t="inlineStr">
        <is>
          <t>%</t>
        </is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268-2025-12-31</t>
        </is>
      </c>
      <c r="S432" t="inlineStr">
        <is>
          <t>Metrica</t>
        </is>
      </c>
    </row>
    <row r="433">
      <c r="A433" s="5" t="n">
        <v>269</v>
      </c>
      <c r="B433" s="5" t="inlineStr">
        <is>
          <t>N de personas promedio por evento</t>
        </is>
      </c>
      <c r="C433" s="5" t="inlineStr">
        <is>
          <t>Centro de Medios Audiovisuales</t>
        </is>
      </c>
      <c r="D433" s="5" t="inlineStr">
        <is>
          <t>Semestral</t>
        </is>
      </c>
      <c r="E433" s="5" t="inlineStr">
        <is>
          <t>Positivo</t>
        </is>
      </c>
      <c r="F433" s="109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1.276978417266187</v>
      </c>
      <c r="L433" s="14" t="n"/>
      <c r="M433" s="14" t="n"/>
      <c r="N433" s="5" t="inlineStr">
        <is>
          <t>DEC</t>
        </is>
      </c>
      <c r="O433" s="5" t="inlineStr">
        <is>
          <t>DEC</t>
        </is>
      </c>
      <c r="P433" s="5" t="n">
        <v>2</v>
      </c>
      <c r="Q433" s="5" t="n">
        <v>2</v>
      </c>
      <c r="R433" s="5" t="inlineStr">
        <is>
          <t>269-2023-12-31</t>
        </is>
      </c>
    </row>
    <row r="434">
      <c r="A434" s="5" t="n">
        <v>269</v>
      </c>
      <c r="B434" s="5" t="inlineStr">
        <is>
          <t>N de personas promedio por evento</t>
        </is>
      </c>
      <c r="C434" s="5" t="inlineStr">
        <is>
          <t>Centro de Medios Audiovisuales</t>
        </is>
      </c>
      <c r="D434" s="5" t="inlineStr">
        <is>
          <t>Semestral</t>
        </is>
      </c>
      <c r="E434" s="5" t="inlineStr">
        <is>
          <t>Positivo</t>
        </is>
      </c>
      <c r="F434" s="109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/>
      <c r="K434" s="5" t="n">
        <v>1.28</v>
      </c>
      <c r="L434" s="14" t="n"/>
      <c r="M434" s="14" t="n"/>
      <c r="N434" s="5" t="inlineStr">
        <is>
          <t>DEC</t>
        </is>
      </c>
      <c r="O434" s="5" t="inlineStr">
        <is>
          <t>DEC</t>
        </is>
      </c>
      <c r="P434" s="5" t="n">
        <v>2</v>
      </c>
      <c r="Q434" s="5" t="n">
        <v>2</v>
      </c>
      <c r="R434" s="5" t="inlineStr">
        <is>
          <t>269-2024-12-31</t>
        </is>
      </c>
    </row>
    <row r="435">
      <c r="A435" s="5" t="n">
        <v>269</v>
      </c>
      <c r="B435" s="5" t="inlineStr">
        <is>
          <t>N de personas promedio por evento - (Metrica)</t>
        </is>
      </c>
      <c r="C435" s="5" t="inlineStr">
        <is>
          <t>Centro de Medios Audiovisuales</t>
        </is>
      </c>
      <c r="D435" s="5" t="inlineStr">
        <is>
          <t>Trimestral</t>
        </is>
      </c>
      <c r="E435" s="5" t="inlineStr">
        <is>
          <t>Positivo</t>
        </is>
      </c>
      <c r="F435" s="109" t="n">
        <v>46022</v>
      </c>
      <c r="G435" s="5" t="n">
        <v>2025</v>
      </c>
      <c r="H435" s="5" t="inlineStr">
        <is>
          <t>Diciembre</t>
        </is>
      </c>
      <c r="I435" s="6" t="inlineStr">
        <is>
          <t>2025-2</t>
        </is>
      </c>
      <c r="J435" s="5" t="n">
        <v>545</v>
      </c>
      <c r="K435" s="5" t="n">
        <v>1.65</v>
      </c>
      <c r="L435" s="14" t="n">
        <v>0.003027522935779816</v>
      </c>
      <c r="M435" s="14" t="n">
        <v>0.003027522935779816</v>
      </c>
      <c r="N435" s="5" t="inlineStr">
        <is>
          <t>DEC</t>
        </is>
      </c>
      <c r="O435" s="5" t="inlineStr">
        <is>
          <t>DEC</t>
        </is>
      </c>
      <c r="P435" s="5" t="n">
        <v>2</v>
      </c>
      <c r="Q435" s="5" t="n">
        <v>2</v>
      </c>
      <c r="R435" s="5" t="inlineStr">
        <is>
          <t>269-2025-12-31</t>
        </is>
      </c>
      <c r="S435" t="inlineStr">
        <is>
          <t>Metrica</t>
        </is>
      </c>
    </row>
    <row r="436">
      <c r="A436" s="5" t="n">
        <v>270</v>
      </c>
      <c r="B436" s="5" t="inlineStr">
        <is>
          <t>N de horas promedio por evento</t>
        </is>
      </c>
      <c r="C436" s="5" t="inlineStr">
        <is>
          <t>Centro de Medios Audiovisuales</t>
        </is>
      </c>
      <c r="D436" s="5" t="inlineStr">
        <is>
          <t>Semestral</t>
        </is>
      </c>
      <c r="E436" s="5" t="inlineStr">
        <is>
          <t>Positivo</t>
        </is>
      </c>
      <c r="F436" s="109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/>
      <c r="K436" s="5" t="n">
        <v>3.83</v>
      </c>
      <c r="L436" s="14" t="n"/>
      <c r="M436" s="14" t="n"/>
      <c r="N436" s="5" t="inlineStr">
        <is>
          <t>DEC</t>
        </is>
      </c>
      <c r="O436" s="5" t="inlineStr">
        <is>
          <t>ENT</t>
        </is>
      </c>
      <c r="P436" s="5" t="n">
        <v>1</v>
      </c>
      <c r="Q436" s="5" t="n">
        <v>1</v>
      </c>
      <c r="R436" s="5" t="inlineStr">
        <is>
          <t>270-2023-12-31</t>
        </is>
      </c>
    </row>
    <row r="437">
      <c r="A437" s="5" t="n">
        <v>270</v>
      </c>
      <c r="B437" s="5" t="inlineStr">
        <is>
          <t>N de horas promedio por evento</t>
        </is>
      </c>
      <c r="C437" s="5" t="inlineStr">
        <is>
          <t>Centro de Medios Audiovisuales</t>
        </is>
      </c>
      <c r="D437" s="5" t="inlineStr">
        <is>
          <t>Semestral</t>
        </is>
      </c>
      <c r="E437" s="5" t="inlineStr">
        <is>
          <t>Positivo</t>
        </is>
      </c>
      <c r="F437" s="109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0</v>
      </c>
      <c r="K437" s="5" t="n">
        <v>4.57</v>
      </c>
      <c r="L437" s="14" t="n"/>
      <c r="M437" s="14" t="n"/>
      <c r="N437" s="5" t="n">
        <v>0</v>
      </c>
      <c r="O437" s="5" t="inlineStr">
        <is>
          <t>ENT</t>
        </is>
      </c>
      <c r="P437" s="5" t="n">
        <v>1</v>
      </c>
      <c r="Q437" s="5" t="n">
        <v>1</v>
      </c>
      <c r="R437" s="5" t="inlineStr">
        <is>
          <t>270-2024-12-31</t>
        </is>
      </c>
    </row>
    <row r="438">
      <c r="A438" s="5" t="n">
        <v>270</v>
      </c>
      <c r="B438" s="5" t="inlineStr">
        <is>
          <t>N de horas promedio por evento - (Metrica)</t>
        </is>
      </c>
      <c r="C438" s="5" t="inlineStr">
        <is>
          <t>Centro de Medios Audiovisuales</t>
        </is>
      </c>
      <c r="D438" s="5" t="inlineStr">
        <is>
          <t>Trimestral</t>
        </is>
      </c>
      <c r="E438" s="5" t="inlineStr">
        <is>
          <t>Positivo</t>
        </is>
      </c>
      <c r="F438" s="109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545</v>
      </c>
      <c r="K438" s="5" t="n">
        <v>4.3</v>
      </c>
      <c r="L438" s="14" t="n">
        <v>0.007889908256880733</v>
      </c>
      <c r="M438" s="14" t="n">
        <v>0.007889908256880733</v>
      </c>
      <c r="N438" s="5" t="inlineStr">
        <is>
          <t>DEC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270-2025-12-31</t>
        </is>
      </c>
      <c r="S438" t="inlineStr">
        <is>
          <t>Metrica</t>
        </is>
      </c>
    </row>
    <row r="439">
      <c r="A439" s="5" t="n">
        <v>271</v>
      </c>
      <c r="B439" s="5" t="inlineStr">
        <is>
          <t>N de horas por solicitud</t>
        </is>
      </c>
      <c r="C439" s="5" t="inlineStr">
        <is>
          <t>Centro de Medios Audiovisuales</t>
        </is>
      </c>
      <c r="D439" s="5" t="inlineStr">
        <is>
          <t>Semestral</t>
        </is>
      </c>
      <c r="E439" s="5" t="inlineStr">
        <is>
          <t>Positivo</t>
        </is>
      </c>
      <c r="F439" s="109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/>
      <c r="K439" s="5" t="n">
        <v>16.17233646643447</v>
      </c>
      <c r="L439" s="14" t="n"/>
      <c r="M439" s="14" t="n"/>
      <c r="N439" s="5" t="n">
        <v>0</v>
      </c>
      <c r="O439" s="5" t="inlineStr">
        <is>
          <t>ENT</t>
        </is>
      </c>
      <c r="P439" s="5" t="n">
        <v>1</v>
      </c>
      <c r="Q439" s="5" t="n">
        <v>1</v>
      </c>
      <c r="R439" s="5" t="inlineStr">
        <is>
          <t>271-2023-12-31</t>
        </is>
      </c>
    </row>
    <row r="440">
      <c r="A440" s="5" t="n">
        <v>271</v>
      </c>
      <c r="B440" s="5" t="inlineStr">
        <is>
          <t>N de horas por solicitud</t>
        </is>
      </c>
      <c r="C440" s="5" t="inlineStr">
        <is>
          <t>Centro de Medios Audiovisuales</t>
        </is>
      </c>
      <c r="D440" s="5" t="inlineStr">
        <is>
          <t>Semestral</t>
        </is>
      </c>
      <c r="E440" s="5" t="inlineStr">
        <is>
          <t>Positivo</t>
        </is>
      </c>
      <c r="F440" s="109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/>
      <c r="K440" s="5" t="n">
        <v>16.86</v>
      </c>
      <c r="L440" s="14" t="n"/>
      <c r="M440" s="14" t="n"/>
      <c r="N440" s="5" t="n">
        <v>0</v>
      </c>
      <c r="O440" s="5" t="inlineStr">
        <is>
          <t>ENT</t>
        </is>
      </c>
      <c r="P440" s="5" t="n">
        <v>1</v>
      </c>
      <c r="Q440" s="5" t="n">
        <v>1</v>
      </c>
      <c r="R440" s="5" t="inlineStr">
        <is>
          <t>271-2024-12-31</t>
        </is>
      </c>
    </row>
    <row r="441">
      <c r="A441" s="5" t="n">
        <v>271</v>
      </c>
      <c r="B441" s="5" t="inlineStr">
        <is>
          <t>N de horas por solicitud - (Metrica)</t>
        </is>
      </c>
      <c r="C441" s="5" t="inlineStr">
        <is>
          <t>Centro de Medios Audiovisuales</t>
        </is>
      </c>
      <c r="D441" s="5" t="inlineStr">
        <is>
          <t>Trimestral</t>
        </is>
      </c>
      <c r="E441" s="5" t="inlineStr">
        <is>
          <t>Positivo</t>
        </is>
      </c>
      <c r="F441" s="109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30907</v>
      </c>
      <c r="K441" s="5" t="n">
        <v>19.93</v>
      </c>
      <c r="L441" s="14" t="n">
        <v>0.0006448377390235222</v>
      </c>
      <c r="M441" s="14" t="n">
        <v>0.0006448377390235222</v>
      </c>
      <c r="N441" s="5" t="n">
        <v>0</v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271-2025-12-31</t>
        </is>
      </c>
      <c r="S441" t="inlineStr">
        <is>
          <t>Metrica</t>
        </is>
      </c>
    </row>
    <row r="442">
      <c r="A442" s="5" t="n">
        <v>272</v>
      </c>
      <c r="B442" s="5" t="inlineStr">
        <is>
          <t>Proporción de accidentes de trabajo mortales</t>
        </is>
      </c>
      <c r="C442" s="5" t="inlineStr">
        <is>
          <t>GESTIÓN DE SEGURIDAD Y SALUD EN EL TRABAJO</t>
        </is>
      </c>
      <c r="D442" s="5" t="inlineStr">
        <is>
          <t>Anual</t>
        </is>
      </c>
      <c r="E442" s="5" t="inlineStr">
        <is>
          <t>Negativo</t>
        </is>
      </c>
      <c r="F442" s="109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0</v>
      </c>
      <c r="K442" s="5" t="n">
        <v>0</v>
      </c>
      <c r="L442" s="14" t="n">
        <v>1</v>
      </c>
      <c r="M442" s="14" t="n">
        <v>1</v>
      </c>
      <c r="N442" s="5" t="n">
        <v>0</v>
      </c>
      <c r="O442" s="5" t="inlineStr">
        <is>
          <t>ENT</t>
        </is>
      </c>
      <c r="P442" s="5" t="n">
        <v>0</v>
      </c>
      <c r="Q442" s="5" t="n">
        <v>0</v>
      </c>
      <c r="R442" s="5" t="inlineStr">
        <is>
          <t>272-2023-12-31</t>
        </is>
      </c>
    </row>
    <row r="443">
      <c r="A443" s="5" t="n">
        <v>272</v>
      </c>
      <c r="B443" s="5" t="inlineStr">
        <is>
          <t>Proporción de accidentes de trabajo mortales</t>
        </is>
      </c>
      <c r="C443" s="5" t="inlineStr">
        <is>
          <t>GESTIÓN DE SEGURIDAD Y SALUD EN EL TRABAJO</t>
        </is>
      </c>
      <c r="D443" s="5" t="inlineStr">
        <is>
          <t>Anual</t>
        </is>
      </c>
      <c r="E443" s="5" t="inlineStr">
        <is>
          <t>Negativo</t>
        </is>
      </c>
      <c r="F443" s="109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0</v>
      </c>
      <c r="K443" s="5" t="n">
        <v>0</v>
      </c>
      <c r="L443" s="14" t="n">
        <v>1</v>
      </c>
      <c r="M443" s="14" t="n">
        <v>1</v>
      </c>
      <c r="N443" s="5" t="n">
        <v>0</v>
      </c>
      <c r="O443" s="5" t="inlineStr">
        <is>
          <t>ENT</t>
        </is>
      </c>
      <c r="P443" s="5" t="n">
        <v>0</v>
      </c>
      <c r="Q443" s="5" t="n">
        <v>0</v>
      </c>
      <c r="R443" s="5" t="inlineStr">
        <is>
          <t>272-2024-12-31</t>
        </is>
      </c>
    </row>
    <row r="444">
      <c r="A444" s="5" t="n">
        <v>272</v>
      </c>
      <c r="B444" s="5" t="inlineStr">
        <is>
          <t>Proporción de accidentes de trabajo mortales</t>
        </is>
      </c>
      <c r="C444" s="5" t="inlineStr">
        <is>
          <t>GESTIÓN DE SEGURIDAD Y SALUD EN EL TRABAJO</t>
        </is>
      </c>
      <c r="D444" s="5" t="inlineStr">
        <is>
          <t>Anual</t>
        </is>
      </c>
      <c r="E444" s="5" t="inlineStr">
        <is>
          <t>Negativo</t>
        </is>
      </c>
      <c r="F444" s="109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0</v>
      </c>
      <c r="K444" s="5" t="n">
        <v>0</v>
      </c>
      <c r="L444" s="14" t="n">
        <v>1</v>
      </c>
      <c r="M444" s="14" t="n">
        <v>1</v>
      </c>
      <c r="N444" s="5" t="n">
        <v>0</v>
      </c>
      <c r="O444" s="5" t="inlineStr">
        <is>
          <t>ENT</t>
        </is>
      </c>
      <c r="P444" s="5" t="n">
        <v>0</v>
      </c>
      <c r="Q444" s="5" t="n">
        <v>0</v>
      </c>
      <c r="R444" s="5" t="inlineStr">
        <is>
          <t>272-2025-12-31</t>
        </is>
      </c>
    </row>
    <row r="445">
      <c r="A445" s="5" t="n">
        <v>273</v>
      </c>
      <c r="B445" s="5" t="inlineStr">
        <is>
          <t>Número de programas con condiciones iniciales elaboradas y analizadas institucionalmente</t>
        </is>
      </c>
      <c r="C445" s="5" t="inlineStr">
        <is>
          <t>Autoevaluación de programas académicos</t>
        </is>
      </c>
      <c r="D445" s="5" t="inlineStr">
        <is>
          <t>Semestral</t>
        </is>
      </c>
      <c r="E445" s="5" t="inlineStr">
        <is>
          <t>Positivo</t>
        </is>
      </c>
      <c r="F445" s="109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200</v>
      </c>
      <c r="K445" s="5" t="n">
        <v>200</v>
      </c>
      <c r="L445" s="14" t="n">
        <v>1</v>
      </c>
      <c r="M445" s="14" t="n">
        <v>1</v>
      </c>
      <c r="N445" s="5" t="inlineStr">
        <is>
          <t>ENT</t>
        </is>
      </c>
      <c r="O445" s="5" t="inlineStr">
        <is>
          <t>ENT</t>
        </is>
      </c>
      <c r="P445" s="5" t="n">
        <v>0</v>
      </c>
      <c r="Q445" s="5" t="n">
        <v>0</v>
      </c>
      <c r="R445" s="5" t="inlineStr">
        <is>
          <t>273-2023-12-31</t>
        </is>
      </c>
    </row>
    <row r="446">
      <c r="A446" s="5" t="n">
        <v>273</v>
      </c>
      <c r="B446" s="5" t="inlineStr">
        <is>
          <t>Número de programas con condiciones iniciales elaboradas y analizadas institucionalmente</t>
        </is>
      </c>
      <c r="C446" s="5" t="inlineStr">
        <is>
          <t>Autoevaluación de programas académicos</t>
        </is>
      </c>
      <c r="D446" s="5" t="inlineStr">
        <is>
          <t>Semestral</t>
        </is>
      </c>
      <c r="E446" s="5" t="inlineStr">
        <is>
          <t>Positivo</t>
        </is>
      </c>
      <c r="F446" s="109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200</v>
      </c>
      <c r="K446" s="5" t="n">
        <v>200</v>
      </c>
      <c r="L446" s="14" t="n">
        <v>1</v>
      </c>
      <c r="M446" s="14" t="n">
        <v>1</v>
      </c>
      <c r="N446" s="5" t="inlineStr">
        <is>
          <t>ENT</t>
        </is>
      </c>
      <c r="O446" s="5" t="inlineStr">
        <is>
          <t>ENT</t>
        </is>
      </c>
      <c r="P446" s="5" t="n">
        <v>0</v>
      </c>
      <c r="Q446" s="5" t="n">
        <v>0</v>
      </c>
      <c r="R446" s="5" t="inlineStr">
        <is>
          <t>273-2024-12-31</t>
        </is>
      </c>
    </row>
    <row r="447">
      <c r="A447" s="5" t="n">
        <v>273</v>
      </c>
      <c r="B447" s="5" t="inlineStr">
        <is>
          <t>Número de programas con condiciones iniciales elaboradas y analizadas institucionalmente</t>
        </is>
      </c>
      <c r="C447" s="5" t="inlineStr">
        <is>
          <t>Autoevaluación de programas académicos</t>
        </is>
      </c>
      <c r="D447" s="5" t="inlineStr">
        <is>
          <t>Trimestral</t>
        </is>
      </c>
      <c r="E447" s="5" t="inlineStr">
        <is>
          <t>Positivo</t>
        </is>
      </c>
      <c r="F447" s="109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200</v>
      </c>
      <c r="K447" s="5" t="n">
        <v>250</v>
      </c>
      <c r="L447" s="14" t="n">
        <v>1.25</v>
      </c>
      <c r="M447" s="14" t="n">
        <v>1.25</v>
      </c>
      <c r="N447" s="5" t="inlineStr">
        <is>
          <t>ENT</t>
        </is>
      </c>
      <c r="O447" s="5" t="inlineStr">
        <is>
          <t>ENT</t>
        </is>
      </c>
      <c r="P447" s="5" t="n">
        <v>0</v>
      </c>
      <c r="Q447" s="5" t="n">
        <v>0</v>
      </c>
      <c r="R447" s="5" t="inlineStr">
        <is>
          <t>273-2025-12-31</t>
        </is>
      </c>
    </row>
    <row r="448">
      <c r="A448" s="5" t="n">
        <v>274</v>
      </c>
      <c r="B448" s="5" t="inlineStr">
        <is>
          <t>Cumplimiento total estudiantes antiguos</t>
        </is>
      </c>
      <c r="C448" s="5" t="inlineStr">
        <is>
          <t>Rematrícula</t>
        </is>
      </c>
      <c r="D448" s="5" t="inlineStr">
        <is>
          <t>Semestral</t>
        </is>
      </c>
      <c r="E448" s="5" t="inlineStr">
        <is>
          <t>Positivo</t>
        </is>
      </c>
      <c r="F448" s="109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200</v>
      </c>
      <c r="K448" s="5" t="n">
        <v>195.360521164251</v>
      </c>
      <c r="L448" s="14" t="n">
        <v>0.976802605821255</v>
      </c>
      <c r="M448" s="14" t="n">
        <v>0.976802605821255</v>
      </c>
      <c r="N448" s="5" t="inlineStr">
        <is>
          <t>ENT</t>
        </is>
      </c>
      <c r="O448" s="5" t="inlineStr">
        <is>
          <t>ENT</t>
        </is>
      </c>
      <c r="P448" s="5" t="n">
        <v>0</v>
      </c>
      <c r="Q448" s="5" t="n">
        <v>0</v>
      </c>
      <c r="R448" s="5" t="inlineStr">
        <is>
          <t>274-2023-12-31</t>
        </is>
      </c>
    </row>
    <row r="449">
      <c r="A449" s="5" t="n">
        <v>274</v>
      </c>
      <c r="B449" s="5" t="inlineStr">
        <is>
          <t>Cumplimiento total estudiantes antiguos</t>
        </is>
      </c>
      <c r="C449" s="5" t="inlineStr">
        <is>
          <t>Rematrícula</t>
        </is>
      </c>
      <c r="D449" s="5" t="inlineStr">
        <is>
          <t>Semestral</t>
        </is>
      </c>
      <c r="E449" s="5" t="inlineStr">
        <is>
          <t>Positivo</t>
        </is>
      </c>
      <c r="F449" s="109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200</v>
      </c>
      <c r="K449" s="5" t="n">
        <v>203.9480518469645</v>
      </c>
      <c r="L449" s="14" t="n">
        <v>1.019740259234822</v>
      </c>
      <c r="M449" s="14" t="n">
        <v>1.019740259234822</v>
      </c>
      <c r="N449" s="5" t="inlineStr">
        <is>
          <t>ENT</t>
        </is>
      </c>
      <c r="O449" s="5" t="inlineStr">
        <is>
          <t>ENT</t>
        </is>
      </c>
      <c r="P449" s="5" t="n">
        <v>0</v>
      </c>
      <c r="Q449" s="5" t="n">
        <v>0</v>
      </c>
      <c r="R449" s="5" t="inlineStr">
        <is>
          <t>274-2024-12-31</t>
        </is>
      </c>
    </row>
    <row r="450">
      <c r="A450" s="5" t="n">
        <v>274</v>
      </c>
      <c r="B450" s="5" t="inlineStr">
        <is>
          <t>Cumplimiento total estudiantes antiguos</t>
        </is>
      </c>
      <c r="C450" s="5" t="inlineStr">
        <is>
          <t>Rematrícula</t>
        </is>
      </c>
      <c r="D450" s="5" t="inlineStr">
        <is>
          <t>Semestral</t>
        </is>
      </c>
      <c r="E450" s="5" t="inlineStr">
        <is>
          <t>Positivo</t>
        </is>
      </c>
      <c r="F450" s="109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200</v>
      </c>
      <c r="K450" s="5" t="n">
        <v>207.83</v>
      </c>
      <c r="L450" s="14" t="n">
        <v>1.03915</v>
      </c>
      <c r="M450" s="14" t="n">
        <v>1.03915</v>
      </c>
      <c r="N450" s="5" t="inlineStr">
        <is>
          <t>ENT</t>
        </is>
      </c>
      <c r="O450" s="5" t="inlineStr">
        <is>
          <t>ENT</t>
        </is>
      </c>
      <c r="P450" s="5" t="n">
        <v>0</v>
      </c>
      <c r="Q450" s="5" t="n">
        <v>0</v>
      </c>
      <c r="R450" s="5" t="inlineStr">
        <is>
          <t>274-2025-12-31</t>
        </is>
      </c>
    </row>
    <row r="451">
      <c r="A451" s="5" t="n">
        <v>275</v>
      </c>
      <c r="B451" s="5" t="inlineStr">
        <is>
          <t>Satisfacción Institucional por grupo de interes</t>
        </is>
      </c>
      <c r="C451" s="5" t="inlineStr">
        <is>
          <t>EXPERIENCIA INSTITUCIONAL</t>
        </is>
      </c>
      <c r="D451" s="5" t="inlineStr">
        <is>
          <t>Trimestral</t>
        </is>
      </c>
      <c r="E451" s="5" t="inlineStr">
        <is>
          <t>Positivo</t>
        </is>
      </c>
      <c r="F451" s="109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>
        <v>80</v>
      </c>
      <c r="K451" s="5" t="n">
        <v>0</v>
      </c>
      <c r="L451" s="14" t="n">
        <v>0</v>
      </c>
      <c r="M451" s="14" t="n">
        <v>0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275-2023-12-31</t>
        </is>
      </c>
    </row>
    <row r="452">
      <c r="A452" s="5" t="n">
        <v>275</v>
      </c>
      <c r="B452" s="5" t="inlineStr">
        <is>
          <t>Satisfacción Institucional por grupo de interes</t>
        </is>
      </c>
      <c r="C452" s="5" t="inlineStr">
        <is>
          <t>EXPERIENCIA INSTITUCIONAL</t>
        </is>
      </c>
      <c r="D452" s="5" t="inlineStr">
        <is>
          <t>Semestral</t>
        </is>
      </c>
      <c r="E452" s="5" t="inlineStr">
        <is>
          <t>Positivo</t>
        </is>
      </c>
      <c r="F452" s="109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>
        <v>80</v>
      </c>
      <c r="K452" s="5" t="n">
        <v>106.665</v>
      </c>
      <c r="L452" s="14" t="n">
        <v>1.3</v>
      </c>
      <c r="M452" s="14" t="n">
        <v>1.3333125</v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275-2024-12-31</t>
        </is>
      </c>
    </row>
    <row r="453">
      <c r="A453" s="5" t="n">
        <v>275</v>
      </c>
      <c r="B453" s="5" t="inlineStr">
        <is>
          <t>Satisfacción Institucional por grupo de interes</t>
        </is>
      </c>
      <c r="C453" s="5" t="inlineStr">
        <is>
          <t>EXPERIENCIA INSTITUCIONAL</t>
        </is>
      </c>
      <c r="D453" s="5" t="inlineStr">
        <is>
          <t>Trimestral</t>
        </is>
      </c>
      <c r="E453" s="5" t="inlineStr">
        <is>
          <t>Positivo</t>
        </is>
      </c>
      <c r="F453" s="109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>
        <v>80</v>
      </c>
      <c r="K453" s="5" t="n">
        <v>90.83500000000001</v>
      </c>
      <c r="L453" s="14" t="n">
        <v>1.1354375</v>
      </c>
      <c r="M453" s="14" t="n">
        <v>1.1354375</v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275-2025-12-31</t>
        </is>
      </c>
    </row>
    <row r="454">
      <c r="A454" s="5" t="n">
        <v>276</v>
      </c>
      <c r="B454" s="5" t="inlineStr">
        <is>
          <t>Relación Estudiante-Docente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Negativo</t>
        </is>
      </c>
      <c r="F454" s="109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85</v>
      </c>
      <c r="K454" s="5" t="n">
        <v>84.5</v>
      </c>
      <c r="L454" s="14" t="n">
        <v>1.005917159763314</v>
      </c>
      <c r="M454" s="14" t="n">
        <v>1.005917159763314</v>
      </c>
      <c r="N454" s="5" t="inlineStr">
        <is>
          <t>ENT</t>
        </is>
      </c>
      <c r="O454" s="5" t="inlineStr">
        <is>
          <t>DEC</t>
        </is>
      </c>
      <c r="P454" s="5" t="n">
        <v>0</v>
      </c>
      <c r="Q454" s="5" t="n">
        <v>1</v>
      </c>
      <c r="R454" s="5" t="inlineStr">
        <is>
          <t>276-2023-12-31</t>
        </is>
      </c>
    </row>
    <row r="455">
      <c r="A455" s="5" t="n">
        <v>276</v>
      </c>
      <c r="B455" s="5" t="inlineStr">
        <is>
          <t>Relación Estudiante-Docente Tiempo completo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Negativo</t>
        </is>
      </c>
      <c r="F455" s="109" t="n">
        <v>45657</v>
      </c>
      <c r="G455" s="5" t="n">
        <v>2024</v>
      </c>
      <c r="H455" s="5" t="inlineStr">
        <is>
          <t>Diciembre</t>
        </is>
      </c>
      <c r="I455" s="6" t="inlineStr">
        <is>
          <t>2024-2</t>
        </is>
      </c>
      <c r="J455" s="5" t="n">
        <v>75</v>
      </c>
      <c r="K455" s="5" t="n">
        <v>82.68000000000001</v>
      </c>
      <c r="L455" s="14" t="n">
        <v>0.9071117561683598</v>
      </c>
      <c r="M455" s="14" t="n">
        <v>0.9071117561683598</v>
      </c>
      <c r="N455" s="5" t="inlineStr">
        <is>
          <t>ENT</t>
        </is>
      </c>
      <c r="O455" s="5" t="inlineStr">
        <is>
          <t>DEC</t>
        </is>
      </c>
      <c r="P455" s="5" t="n">
        <v>0</v>
      </c>
      <c r="Q455" s="5" t="n">
        <v>1</v>
      </c>
      <c r="R455" s="5" t="inlineStr">
        <is>
          <t>276-2024-12-31</t>
        </is>
      </c>
    </row>
    <row r="456">
      <c r="A456" s="5" t="n">
        <v>276</v>
      </c>
      <c r="B456" s="5" t="inlineStr">
        <is>
          <t>Relación Estudiante-Docente Tiempo completo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Negativo</t>
        </is>
      </c>
      <c r="F456" s="109" t="n">
        <v>46022</v>
      </c>
      <c r="G456" s="5" t="n">
        <v>2025</v>
      </c>
      <c r="H456" s="5" t="inlineStr">
        <is>
          <t>Diciembre</t>
        </is>
      </c>
      <c r="I456" s="6" t="inlineStr">
        <is>
          <t>2025-2</t>
        </is>
      </c>
      <c r="J456" s="5" t="n">
        <v>81</v>
      </c>
      <c r="K456" s="5" t="n">
        <v>82.81</v>
      </c>
      <c r="L456" s="14" t="n">
        <v>0.9781427363844946</v>
      </c>
      <c r="M456" s="14" t="n">
        <v>0.9781427363844946</v>
      </c>
      <c r="N456" s="5" t="inlineStr">
        <is>
          <t>ENT</t>
        </is>
      </c>
      <c r="O456" s="5" t="inlineStr">
        <is>
          <t>DEC</t>
        </is>
      </c>
      <c r="P456" s="5" t="n">
        <v>0</v>
      </c>
      <c r="Q456" s="5" t="n">
        <v>1</v>
      </c>
      <c r="R456" s="5" t="inlineStr">
        <is>
          <t>276-2025-12-31</t>
        </is>
      </c>
    </row>
    <row r="457">
      <c r="A457" s="5" t="n">
        <v>277</v>
      </c>
      <c r="B457" s="5" t="inlineStr">
        <is>
          <t>Relación estudiante docente Tiempo Completo Equivalente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Negativo</t>
        </is>
      </c>
      <c r="F457" s="109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85</v>
      </c>
      <c r="K457" s="5" t="n">
        <v>73.29000000000001</v>
      </c>
      <c r="L457" s="14" t="n">
        <v>1.159776231409469</v>
      </c>
      <c r="M457" s="14" t="n">
        <v>1.159776231409469</v>
      </c>
      <c r="N457" s="5" t="inlineStr">
        <is>
          <t>ENT</t>
        </is>
      </c>
      <c r="O457" s="5" t="inlineStr">
        <is>
          <t>DEC</t>
        </is>
      </c>
      <c r="P457" s="5" t="n">
        <v>1</v>
      </c>
      <c r="Q457" s="5" t="n">
        <v>1</v>
      </c>
      <c r="R457" s="5" t="inlineStr">
        <is>
          <t>277-2023-12-31</t>
        </is>
      </c>
    </row>
    <row r="458">
      <c r="A458" s="5" t="n">
        <v>277</v>
      </c>
      <c r="B458" s="5" t="inlineStr">
        <is>
          <t>Relación estudiante docente Tiempo Completo Equivalente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Negativo</t>
        </is>
      </c>
      <c r="F458" s="109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73</v>
      </c>
      <c r="K458" s="5" t="n">
        <v>71.23999999999999</v>
      </c>
      <c r="L458" s="14" t="n">
        <v>1.024705221785514</v>
      </c>
      <c r="M458" s="14" t="n">
        <v>1.024705221785514</v>
      </c>
      <c r="N458" s="5" t="inlineStr">
        <is>
          <t>ENT</t>
        </is>
      </c>
      <c r="O458" s="5" t="inlineStr">
        <is>
          <t>DEC</t>
        </is>
      </c>
      <c r="P458" s="5" t="n">
        <v>1</v>
      </c>
      <c r="Q458" s="5" t="n">
        <v>1</v>
      </c>
      <c r="R458" s="5" t="inlineStr">
        <is>
          <t>277-2024-12-31</t>
        </is>
      </c>
    </row>
    <row r="459">
      <c r="A459" s="5" t="n">
        <v>277</v>
      </c>
      <c r="B459" s="5" t="inlineStr">
        <is>
          <t>Relación estudiante docente Tiempo Completo Equivalente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Negativo</t>
        </is>
      </c>
      <c r="F459" s="109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71</v>
      </c>
      <c r="K459" s="5" t="n">
        <v>68.40000000000001</v>
      </c>
      <c r="L459" s="14" t="n">
        <v>1.038011695906433</v>
      </c>
      <c r="M459" s="14" t="n">
        <v>1.038011695906433</v>
      </c>
      <c r="N459" s="5" t="inlineStr">
        <is>
          <t>ENT</t>
        </is>
      </c>
      <c r="O459" s="5" t="inlineStr">
        <is>
          <t>DEC</t>
        </is>
      </c>
      <c r="P459" s="5" t="n">
        <v>1</v>
      </c>
      <c r="Q459" s="5" t="n">
        <v>1</v>
      </c>
      <c r="R459" s="5" t="inlineStr">
        <is>
          <t>277-2025-12-31</t>
        </is>
      </c>
    </row>
    <row r="460">
      <c r="A460" s="5" t="n">
        <v>278</v>
      </c>
      <c r="B460" s="5" t="inlineStr">
        <is>
          <t>Docentes contratados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9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/>
      <c r="K460" s="5" t="n">
        <v>1017</v>
      </c>
      <c r="L460" s="14" t="n"/>
      <c r="M460" s="14" t="n"/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 t="inlineStr">
        <is>
          <t>278-2023-12-31</t>
        </is>
      </c>
    </row>
    <row r="461">
      <c r="A461" s="5" t="n">
        <v>278</v>
      </c>
      <c r="B461" s="5" t="inlineStr">
        <is>
          <t>Docentes contratados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09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/>
      <c r="K461" s="5" t="n">
        <v>2098</v>
      </c>
      <c r="L461" s="14" t="n"/>
      <c r="M461" s="14" t="n"/>
      <c r="N461" s="5" t="inlineStr">
        <is>
          <t>Metrica</t>
        </is>
      </c>
      <c r="O461" s="5" t="inlineStr">
        <is>
          <t>Metrica</t>
        </is>
      </c>
      <c r="P461" s="5" t="n">
        <v>0</v>
      </c>
      <c r="Q461" s="5" t="n">
        <v>0</v>
      </c>
      <c r="R461" s="5" t="inlineStr">
        <is>
          <t>278-2024-12-31</t>
        </is>
      </c>
    </row>
    <row r="462">
      <c r="A462" s="5" t="n">
        <v>278</v>
      </c>
      <c r="B462" s="5" t="inlineStr">
        <is>
          <t>Docentes contratados - Metrica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09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/>
      <c r="K462" s="5" t="n">
        <v>2170</v>
      </c>
      <c r="L462" s="14" t="n"/>
      <c r="M462" s="14" t="n"/>
      <c r="N462" s="5" t="inlineStr">
        <is>
          <t>Metrica</t>
        </is>
      </c>
      <c r="O462" s="5" t="inlineStr">
        <is>
          <t>Metrica</t>
        </is>
      </c>
      <c r="P462" s="5" t="n">
        <v>0</v>
      </c>
      <c r="Q462" s="5" t="n">
        <v>0</v>
      </c>
      <c r="R462" s="5" t="inlineStr">
        <is>
          <t>278-2025-12-31</t>
        </is>
      </c>
      <c r="S462" t="inlineStr">
        <is>
          <t>Metrica</t>
        </is>
      </c>
    </row>
    <row r="463">
      <c r="A463" s="5" t="n">
        <v>279</v>
      </c>
      <c r="B463" s="5" t="inlineStr">
        <is>
          <t>Docentes tiempo completo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09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608</v>
      </c>
      <c r="L463" s="14" t="n"/>
      <c r="M463" s="14" t="n"/>
      <c r="N463" s="5" t="n">
        <v>0</v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279-2023-12-31</t>
        </is>
      </c>
    </row>
    <row r="464">
      <c r="A464" s="5" t="n">
        <v>280</v>
      </c>
      <c r="B464" s="5" t="inlineStr">
        <is>
          <t>Docentes medio tiempo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9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/>
      <c r="K464" s="5" t="n">
        <v>186</v>
      </c>
      <c r="L464" s="14" t="n"/>
      <c r="M464" s="14" t="n"/>
      <c r="N464" s="5" t="n">
        <v>0</v>
      </c>
      <c r="O464" s="5" t="inlineStr">
        <is>
          <t>ENT</t>
        </is>
      </c>
      <c r="P464" s="5" t="n">
        <v>0</v>
      </c>
      <c r="Q464" s="5" t="n">
        <v>0</v>
      </c>
      <c r="R464" s="5" t="inlineStr">
        <is>
          <t>280-2023-12-31</t>
        </is>
      </c>
    </row>
    <row r="465">
      <c r="A465" s="5" t="n">
        <v>281</v>
      </c>
      <c r="B465" s="5" t="inlineStr">
        <is>
          <t>Docentes cátedra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9" t="n">
        <v>45291</v>
      </c>
      <c r="G465" s="15" t="n">
        <v>2023</v>
      </c>
      <c r="H465" s="6" t="inlineStr">
        <is>
          <t>Diciembre</t>
        </is>
      </c>
      <c r="I465" s="6" t="inlineStr">
        <is>
          <t>2023-2</t>
        </is>
      </c>
      <c r="J465" s="73" t="n"/>
      <c r="K465" s="9" t="n">
        <v>223</v>
      </c>
      <c r="L465" s="14" t="n"/>
      <c r="M465" s="14" t="n"/>
      <c r="N465" s="5" t="n">
        <v>0</v>
      </c>
      <c r="O465" s="5" t="inlineStr">
        <is>
          <t>ENT</t>
        </is>
      </c>
      <c r="P465" s="5" t="n">
        <v>0</v>
      </c>
      <c r="Q465" s="5" t="n">
        <v>0</v>
      </c>
      <c r="R465" s="5" t="inlineStr">
        <is>
          <t>281-2023-12-31</t>
        </is>
      </c>
    </row>
    <row r="466">
      <c r="A466" s="5" t="n">
        <v>282</v>
      </c>
      <c r="B466" s="5" t="inlineStr">
        <is>
          <t>Docentes evaluados</t>
        </is>
      </c>
      <c r="C466" s="5" t="inlineStr">
        <is>
          <t>Gestión Docente</t>
        </is>
      </c>
      <c r="D466" s="13" t="inlineStr">
        <is>
          <t>Semestral</t>
        </is>
      </c>
      <c r="E466" s="5" t="inlineStr">
        <is>
          <t>Positivo</t>
        </is>
      </c>
      <c r="F466" s="109" t="n">
        <v>45291</v>
      </c>
      <c r="G466" s="15" t="n">
        <v>2023</v>
      </c>
      <c r="H466" s="6" t="inlineStr">
        <is>
          <t>Diciembre</t>
        </is>
      </c>
      <c r="I466" s="6" t="inlineStr">
        <is>
          <t>2023-2</t>
        </is>
      </c>
      <c r="J466" s="5" t="n">
        <v>192</v>
      </c>
      <c r="K466" s="5" t="n">
        <v>194.36</v>
      </c>
      <c r="L466" s="14" t="n">
        <v>1.012291666666667</v>
      </c>
      <c r="M466" s="14" t="n">
        <v>1.012291666666667</v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282-2023-12-31</t>
        </is>
      </c>
    </row>
    <row r="467">
      <c r="A467" s="5" t="n">
        <v>282</v>
      </c>
      <c r="B467" s="5" t="inlineStr">
        <is>
          <t>Docentes evaluados</t>
        </is>
      </c>
      <c r="C467" s="5" t="inlineStr">
        <is>
          <t>Gestión Docente</t>
        </is>
      </c>
      <c r="D467" s="13" t="inlineStr">
        <is>
          <t>Semestral</t>
        </is>
      </c>
      <c r="E467" s="5" t="inlineStr">
        <is>
          <t>Positivo</t>
        </is>
      </c>
      <c r="F467" s="109" t="n">
        <v>45657</v>
      </c>
      <c r="G467" s="15" t="n">
        <v>2024</v>
      </c>
      <c r="H467" s="6" t="inlineStr">
        <is>
          <t>Diciembre</t>
        </is>
      </c>
      <c r="I467" s="6" t="inlineStr">
        <is>
          <t>2024-2</t>
        </is>
      </c>
      <c r="J467" s="5" t="n">
        <v>194</v>
      </c>
      <c r="K467" s="5" t="n">
        <v>193.86</v>
      </c>
      <c r="L467" s="14" t="n">
        <v>0.999278350515464</v>
      </c>
      <c r="M467" s="14" t="n">
        <v>0.999278350515464</v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282-2024-12-31</t>
        </is>
      </c>
    </row>
    <row r="468">
      <c r="A468" s="5" t="n">
        <v>282</v>
      </c>
      <c r="B468" s="5" t="inlineStr">
        <is>
          <t>Docentes evaluados</t>
        </is>
      </c>
      <c r="C468" s="5" t="inlineStr">
        <is>
          <t>Gestión Docente</t>
        </is>
      </c>
      <c r="D468" s="13" t="inlineStr">
        <is>
          <t>Trimestral</t>
        </is>
      </c>
      <c r="E468" s="5" t="inlineStr">
        <is>
          <t>Positivo</t>
        </is>
      </c>
      <c r="F468" s="109" t="n">
        <v>46022</v>
      </c>
      <c r="G468" s="15" t="n">
        <v>2025</v>
      </c>
      <c r="H468" s="6" t="inlineStr">
        <is>
          <t>Diciembre</t>
        </is>
      </c>
      <c r="I468" s="6" t="inlineStr">
        <is>
          <t>2025-2</t>
        </is>
      </c>
      <c r="J468" s="5" t="n">
        <v>194</v>
      </c>
      <c r="K468" s="5" t="n">
        <v>194.97</v>
      </c>
      <c r="L468" s="14" t="n">
        <v>1.005</v>
      </c>
      <c r="M468" s="14" t="n">
        <v>1.005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282-2025-12-31</t>
        </is>
      </c>
    </row>
    <row r="469">
      <c r="A469" s="5" t="n">
        <v>283</v>
      </c>
      <c r="B469" s="5" t="inlineStr">
        <is>
          <t>Resultado evaluación docente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09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4.5</v>
      </c>
      <c r="K469" s="5" t="n">
        <v>4.55</v>
      </c>
      <c r="L469" s="14" t="n">
        <v>1.011111111111111</v>
      </c>
      <c r="M469" s="14" t="n">
        <v>1.011111111111111</v>
      </c>
      <c r="N469" s="5" t="inlineStr">
        <is>
          <t>DEC</t>
        </is>
      </c>
      <c r="O469" s="5" t="inlineStr">
        <is>
          <t>DEC</t>
        </is>
      </c>
      <c r="P469" s="5" t="n">
        <v>2</v>
      </c>
      <c r="Q469" s="5" t="n">
        <v>2</v>
      </c>
      <c r="R469" s="5" t="inlineStr">
        <is>
          <t>283-2023-12-31</t>
        </is>
      </c>
    </row>
    <row r="470">
      <c r="A470" s="5" t="n">
        <v>283</v>
      </c>
      <c r="B470" s="5" t="inlineStr">
        <is>
          <t>Resultado evaluación docente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09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4.5</v>
      </c>
      <c r="K470" s="5" t="n">
        <v>4.64</v>
      </c>
      <c r="L470" s="14" t="n">
        <v>1.031111111111111</v>
      </c>
      <c r="M470" s="14" t="n">
        <v>1.031111111111111</v>
      </c>
      <c r="N470" s="5" t="inlineStr">
        <is>
          <t>DEC</t>
        </is>
      </c>
      <c r="O470" s="5" t="inlineStr">
        <is>
          <t>DEC</t>
        </is>
      </c>
      <c r="P470" s="5" t="n">
        <v>2</v>
      </c>
      <c r="Q470" s="5" t="n">
        <v>2</v>
      </c>
      <c r="R470" s="5" t="inlineStr">
        <is>
          <t>283-2024-12-31</t>
        </is>
      </c>
    </row>
    <row r="471">
      <c r="A471" s="5" t="n">
        <v>283</v>
      </c>
      <c r="B471" s="5" t="inlineStr">
        <is>
          <t>Resultado evaluación docente</t>
        </is>
      </c>
      <c r="C471" s="5" t="inlineStr">
        <is>
          <t>Gestión Docente</t>
        </is>
      </c>
      <c r="D471" s="5" t="inlineStr">
        <is>
          <t>Trimestral</t>
        </is>
      </c>
      <c r="E471" s="5" t="inlineStr">
        <is>
          <t>Positivo</t>
        </is>
      </c>
      <c r="F471" s="109" t="n">
        <v>46022</v>
      </c>
      <c r="G471" s="5" t="n">
        <v>2025</v>
      </c>
      <c r="H471" s="5" t="inlineStr">
        <is>
          <t>Diciembre</t>
        </is>
      </c>
      <c r="I471" s="6" t="inlineStr">
        <is>
          <t>2025-2</t>
        </is>
      </c>
      <c r="J471" s="5" t="n">
        <v>4.6</v>
      </c>
      <c r="K471" s="5" t="n">
        <v>4.67</v>
      </c>
      <c r="L471" s="14" t="n">
        <v>1.015217391304348</v>
      </c>
      <c r="M471" s="14" t="n">
        <v>1.015217391304348</v>
      </c>
      <c r="N471" s="5" t="inlineStr">
        <is>
          <t>DEC</t>
        </is>
      </c>
      <c r="O471" s="5" t="inlineStr">
        <is>
          <t>DEC</t>
        </is>
      </c>
      <c r="P471" s="5" t="n">
        <v>1</v>
      </c>
      <c r="Q471" s="5" t="n">
        <v>2</v>
      </c>
      <c r="R471" s="5" t="inlineStr">
        <is>
          <t>283-2025-12-31</t>
        </is>
      </c>
    </row>
    <row r="472">
      <c r="A472" s="5" t="n">
        <v>284</v>
      </c>
      <c r="B472" s="5" t="inlineStr">
        <is>
          <t>Número Horas semanales docentes</t>
        </is>
      </c>
      <c r="C472" s="5" t="inlineStr">
        <is>
          <t>Gestión Docente</t>
        </is>
      </c>
      <c r="D472" s="5" t="inlineStr">
        <is>
          <t>Semestral</t>
        </is>
      </c>
      <c r="E472" s="5" t="inlineStr">
        <is>
          <t>Positivo</t>
        </is>
      </c>
      <c r="F472" s="109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/>
      <c r="K472" s="5" t="n">
        <v>16281</v>
      </c>
      <c r="L472" s="14" t="n"/>
      <c r="M472" s="14" t="n"/>
      <c r="N472" s="5" t="inlineStr">
        <is>
          <t>DEC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284-2023-12-31</t>
        </is>
      </c>
    </row>
    <row r="473">
      <c r="A473" s="5" t="n">
        <v>285</v>
      </c>
      <c r="B473" s="5" t="inlineStr">
        <is>
          <t>Docentes con plan de trabajo asignado</t>
        </is>
      </c>
      <c r="C473" s="5" t="inlineStr">
        <is>
          <t>Gestión Docente</t>
        </is>
      </c>
      <c r="D473" s="5" t="inlineStr">
        <is>
          <t>Semestral</t>
        </is>
      </c>
      <c r="E473" s="5" t="inlineStr">
        <is>
          <t>Positivo</t>
        </is>
      </c>
      <c r="F473" s="109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100</v>
      </c>
      <c r="K473" s="5" t="n">
        <v>100</v>
      </c>
      <c r="L473" s="14" t="n">
        <v>1</v>
      </c>
      <c r="M473" s="14" t="n">
        <v>1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285-2023-12-31</t>
        </is>
      </c>
    </row>
    <row r="474">
      <c r="A474" s="5" t="n">
        <v>285</v>
      </c>
      <c r="B474" s="5" t="inlineStr">
        <is>
          <t>Docentes con plan de trabajo asignado</t>
        </is>
      </c>
      <c r="C474" s="5" t="inlineStr">
        <is>
          <t>Gestión Docente</t>
        </is>
      </c>
      <c r="D474" s="5" t="inlineStr">
        <is>
          <t>Semestral</t>
        </is>
      </c>
      <c r="E474" s="5" t="inlineStr">
        <is>
          <t>Positivo</t>
        </is>
      </c>
      <c r="F474" s="109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100</v>
      </c>
      <c r="K474" s="5" t="n">
        <v>100</v>
      </c>
      <c r="L474" s="14" t="n">
        <v>1</v>
      </c>
      <c r="M474" s="14" t="n">
        <v>1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285-2024-12-31</t>
        </is>
      </c>
    </row>
    <row r="475">
      <c r="A475" s="5" t="n">
        <v>285</v>
      </c>
      <c r="B475" s="5" t="inlineStr">
        <is>
          <t>Docentes con plan de trabajo asignado</t>
        </is>
      </c>
      <c r="C475" s="5" t="inlineStr">
        <is>
          <t>Gestión Docente</t>
        </is>
      </c>
      <c r="D475" s="5" t="inlineStr">
        <is>
          <t>Trimestral</t>
        </is>
      </c>
      <c r="E475" s="5" t="inlineStr">
        <is>
          <t>Positivo</t>
        </is>
      </c>
      <c r="F475" s="109" t="n">
        <v>46022</v>
      </c>
      <c r="G475" s="5" t="n">
        <v>2025</v>
      </c>
      <c r="H475" s="5" t="inlineStr">
        <is>
          <t>Diciembre</t>
        </is>
      </c>
      <c r="I475" s="6" t="inlineStr">
        <is>
          <t>2025-2</t>
        </is>
      </c>
      <c r="J475" s="5" t="n">
        <v>100</v>
      </c>
      <c r="K475" s="5" t="n">
        <v>100</v>
      </c>
      <c r="L475" s="14" t="n">
        <v>1</v>
      </c>
      <c r="M475" s="14" t="n">
        <v>1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285-2025-12-31</t>
        </is>
      </c>
    </row>
    <row r="476">
      <c r="A476" s="5" t="n">
        <v>286</v>
      </c>
      <c r="B476" s="5" t="inlineStr">
        <is>
          <t>Total docentes por nivel de estudios</t>
        </is>
      </c>
      <c r="C476" s="5" t="inlineStr">
        <is>
          <t>Gestión Docente</t>
        </is>
      </c>
      <c r="D476" s="5" t="inlineStr">
        <is>
          <t>Semestral</t>
        </is>
      </c>
      <c r="E476" s="5" t="inlineStr">
        <is>
          <t>Positivo</t>
        </is>
      </c>
      <c r="F476" s="109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/>
      <c r="K476" s="5" t="n">
        <v>1017</v>
      </c>
      <c r="L476" s="14" t="n"/>
      <c r="M476" s="14" t="n"/>
      <c r="N476" s="5" t="inlineStr">
        <is>
          <t>%</t>
        </is>
      </c>
      <c r="O476" s="5" t="inlineStr">
        <is>
          <t>ENT</t>
        </is>
      </c>
      <c r="P476" s="5" t="n">
        <v>0</v>
      </c>
      <c r="Q476" s="5" t="n">
        <v>0</v>
      </c>
      <c r="R476" s="5" t="inlineStr">
        <is>
          <t>286-2023-12-31</t>
        </is>
      </c>
    </row>
    <row r="477">
      <c r="A477" s="5" t="n">
        <v>286</v>
      </c>
      <c r="B477" s="5" t="inlineStr">
        <is>
          <t>Total docentes por nivel de estudios</t>
        </is>
      </c>
      <c r="C477" s="5" t="inlineStr">
        <is>
          <t>Gestión Docente</t>
        </is>
      </c>
      <c r="D477" s="5" t="inlineStr">
        <is>
          <t>Semestral</t>
        </is>
      </c>
      <c r="E477" s="5" t="inlineStr">
        <is>
          <t>Positivo</t>
        </is>
      </c>
      <c r="F477" s="109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5" t="n"/>
      <c r="K477" s="5" t="n">
        <v>2098</v>
      </c>
      <c r="L477" s="14" t="n"/>
      <c r="M477" s="14" t="n"/>
      <c r="N477" s="5" t="inlineStr">
        <is>
          <t>Metrica</t>
        </is>
      </c>
      <c r="O477" s="5" t="inlineStr">
        <is>
          <t>Metrica</t>
        </is>
      </c>
      <c r="P477" s="5" t="n">
        <v>0</v>
      </c>
      <c r="Q477" s="5" t="n">
        <v>0</v>
      </c>
      <c r="R477" s="5" t="inlineStr">
        <is>
          <t>286-2024-12-31</t>
        </is>
      </c>
    </row>
    <row r="478">
      <c r="A478" s="5" t="n">
        <v>286</v>
      </c>
      <c r="B478" s="5" t="inlineStr">
        <is>
          <t>Total docentes por nivel de estudios - Metrica</t>
        </is>
      </c>
      <c r="C478" s="5" t="inlineStr">
        <is>
          <t>Gestión Docente</t>
        </is>
      </c>
      <c r="D478" s="5" t="inlineStr">
        <is>
          <t>Trimestral</t>
        </is>
      </c>
      <c r="E478" s="5" t="inlineStr">
        <is>
          <t>Positivo</t>
        </is>
      </c>
      <c r="F478" s="109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/>
      <c r="K478" s="5" t="n">
        <v>2170</v>
      </c>
      <c r="L478" s="14" t="n"/>
      <c r="M478" s="14" t="n"/>
      <c r="N478" s="5" t="inlineStr">
        <is>
          <t>Metrica</t>
        </is>
      </c>
      <c r="O478" s="5" t="inlineStr">
        <is>
          <t>Metrica</t>
        </is>
      </c>
      <c r="P478" s="5" t="n">
        <v>0</v>
      </c>
      <c r="Q478" s="5" t="n">
        <v>0</v>
      </c>
      <c r="R478" s="5" t="inlineStr">
        <is>
          <t>286-2025-12-31</t>
        </is>
      </c>
      <c r="S478" t="inlineStr">
        <is>
          <t>Metrica</t>
        </is>
      </c>
    </row>
    <row r="479">
      <c r="A479" s="5" t="n">
        <v>288</v>
      </c>
      <c r="B479" s="5" t="inlineStr">
        <is>
          <t>Número docentes escalafonados presentados en convocatoria</t>
        </is>
      </c>
      <c r="C479" s="5" t="inlineStr">
        <is>
          <t>Gestión Docente</t>
        </is>
      </c>
      <c r="D479" s="5" t="inlineStr">
        <is>
          <t>Semestral</t>
        </is>
      </c>
      <c r="E479" s="5" t="inlineStr">
        <is>
          <t>Positivo</t>
        </is>
      </c>
      <c r="F479" s="109" t="n">
        <v>45291</v>
      </c>
      <c r="G479" s="5" t="n">
        <v>2023</v>
      </c>
      <c r="H479" s="5" t="inlineStr">
        <is>
          <t>Diciembre</t>
        </is>
      </c>
      <c r="I479" s="6" t="inlineStr">
        <is>
          <t>2023-2</t>
        </is>
      </c>
      <c r="J479" s="5" t="n">
        <v>85</v>
      </c>
      <c r="K479" s="5" t="n">
        <v>112.5</v>
      </c>
      <c r="L479" s="14" t="n">
        <v>1.3</v>
      </c>
      <c r="M479" s="14" t="n">
        <v>1.323529411764706</v>
      </c>
      <c r="N479" s="5" t="inlineStr">
        <is>
          <t>ENT</t>
        </is>
      </c>
      <c r="O479" s="5" t="inlineStr">
        <is>
          <t>ENT</t>
        </is>
      </c>
      <c r="P479" s="5" t="n">
        <v>0</v>
      </c>
      <c r="Q479" s="5" t="n">
        <v>0</v>
      </c>
      <c r="R479" s="5" t="inlineStr">
        <is>
          <t>288-2023-12-31</t>
        </is>
      </c>
    </row>
    <row r="480">
      <c r="A480" s="5" t="n">
        <v>288</v>
      </c>
      <c r="B480" s="5" t="inlineStr">
        <is>
          <t>Número docentes escalafonados presentados en convocatoria</t>
        </is>
      </c>
      <c r="C480" s="5" t="inlineStr">
        <is>
          <t>Gestión Docente</t>
        </is>
      </c>
      <c r="D480" s="5" t="inlineStr">
        <is>
          <t>Semestral</t>
        </is>
      </c>
      <c r="E480" s="5" t="inlineStr">
        <is>
          <t>Positivo</t>
        </is>
      </c>
      <c r="F480" s="109" t="n">
        <v>45657</v>
      </c>
      <c r="G480" s="5" t="n">
        <v>2024</v>
      </c>
      <c r="H480" s="5" t="inlineStr">
        <is>
          <t>Diciembre</t>
        </is>
      </c>
      <c r="I480" s="6" t="inlineStr">
        <is>
          <t>2024-2</t>
        </is>
      </c>
      <c r="J480" s="5" t="n">
        <v>85</v>
      </c>
      <c r="K480" s="5" t="n">
        <v>26</v>
      </c>
      <c r="L480" s="14" t="n">
        <v>0.3058823529411765</v>
      </c>
      <c r="M480" s="14" t="n">
        <v>0.3058823529411765</v>
      </c>
      <c r="N480" s="5" t="inlineStr">
        <is>
          <t>ENT</t>
        </is>
      </c>
      <c r="O480" s="5" t="inlineStr">
        <is>
          <t>ENT</t>
        </is>
      </c>
      <c r="P480" s="5" t="n">
        <v>0</v>
      </c>
      <c r="Q480" s="5" t="n">
        <v>0</v>
      </c>
      <c r="R480" s="5" t="inlineStr">
        <is>
          <t>288-2024-12-31</t>
        </is>
      </c>
    </row>
    <row r="481">
      <c r="A481" s="5" t="n">
        <v>288</v>
      </c>
      <c r="B481" s="5" t="inlineStr">
        <is>
          <t>Número docentes escalafonados presentados en convocatoria</t>
        </is>
      </c>
      <c r="C481" s="5" t="inlineStr">
        <is>
          <t>Gestión Docente</t>
        </is>
      </c>
      <c r="D481" s="5" t="inlineStr">
        <is>
          <t>Anual</t>
        </is>
      </c>
      <c r="E481" s="5" t="inlineStr">
        <is>
          <t>Positivo</t>
        </is>
      </c>
      <c r="F481" s="109" t="n">
        <v>45838</v>
      </c>
      <c r="G481" s="5" t="n">
        <v>2025</v>
      </c>
      <c r="H481" s="5" t="inlineStr">
        <is>
          <t>Junio</t>
        </is>
      </c>
      <c r="I481" s="6" t="inlineStr">
        <is>
          <t>2025-1</t>
        </is>
      </c>
      <c r="J481" s="5" t="n">
        <v>100</v>
      </c>
      <c r="K481" s="5" t="n">
        <v>100</v>
      </c>
      <c r="L481" s="14" t="n">
        <v>1</v>
      </c>
      <c r="M481" s="14" t="n">
        <v>1</v>
      </c>
      <c r="N481" s="5" t="inlineStr">
        <is>
          <t>ENT</t>
        </is>
      </c>
      <c r="O481" s="5" t="inlineStr">
        <is>
          <t>ENT</t>
        </is>
      </c>
      <c r="P481" s="5" t="n">
        <v>0</v>
      </c>
      <c r="Q481" s="5" t="n">
        <v>0</v>
      </c>
      <c r="R481" s="5" t="inlineStr">
        <is>
          <t>288-2025-06-30</t>
        </is>
      </c>
    </row>
    <row r="482">
      <c r="A482" s="5" t="n">
        <v>289</v>
      </c>
      <c r="B482" s="5" t="inlineStr">
        <is>
          <t>Cumplimiento plan de comunicaciones SGC</t>
        </is>
      </c>
      <c r="C482" s="5" t="inlineStr">
        <is>
          <t>Gestión de calidad</t>
        </is>
      </c>
      <c r="D482" s="5" t="inlineStr">
        <is>
          <t>Trimestral</t>
        </is>
      </c>
      <c r="E482" s="5" t="inlineStr">
        <is>
          <t>Positivo</t>
        </is>
      </c>
      <c r="F482" s="109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95</v>
      </c>
      <c r="K482" s="5" t="n">
        <v>87.5</v>
      </c>
      <c r="L482" s="14" t="n">
        <v>0.9210526315789473</v>
      </c>
      <c r="M482" s="14" t="n">
        <v>0.9210526315789473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289-2023-12-31</t>
        </is>
      </c>
    </row>
    <row r="483">
      <c r="A483" s="5" t="n">
        <v>289</v>
      </c>
      <c r="B483" s="5" t="inlineStr">
        <is>
          <t>Cumplimiento plan de comunicaciones SGC</t>
        </is>
      </c>
      <c r="C483" s="5" t="inlineStr">
        <is>
          <t>Gestión de calidad</t>
        </is>
      </c>
      <c r="D483" s="5" t="inlineStr">
        <is>
          <t>Trimestral</t>
        </is>
      </c>
      <c r="E483" s="5" t="inlineStr">
        <is>
          <t>Positivo</t>
        </is>
      </c>
      <c r="F483" s="109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95</v>
      </c>
      <c r="K483" s="5" t="n">
        <v>100</v>
      </c>
      <c r="L483" s="14" t="n">
        <v>1.052631578947368</v>
      </c>
      <c r="M483" s="14" t="n">
        <v>1.052631578947368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289-2024-12-31</t>
        </is>
      </c>
    </row>
    <row r="484">
      <c r="A484" s="5" t="n">
        <v>290</v>
      </c>
      <c r="B484" s="61" t="inlineStr">
        <is>
          <t>Cierre eficaz de las oportunidades de mejora</t>
        </is>
      </c>
      <c r="C484" s="5" t="inlineStr">
        <is>
          <t>Planificación POLISIGS</t>
        </is>
      </c>
      <c r="D484" s="5" t="inlineStr">
        <is>
          <t>Bimestral</t>
        </is>
      </c>
      <c r="E484" s="5" t="inlineStr">
        <is>
          <t>Positivo</t>
        </is>
      </c>
      <c r="F484" s="109" t="n">
        <v>45291</v>
      </c>
      <c r="G484" s="5" t="n">
        <v>2023</v>
      </c>
      <c r="H484" s="5" t="inlineStr">
        <is>
          <t>Diciembre</t>
        </is>
      </c>
      <c r="I484" s="6" t="inlineStr">
        <is>
          <t>2023-2</t>
        </is>
      </c>
      <c r="J484" s="5" t="n">
        <v>90</v>
      </c>
      <c r="K484" s="5" t="n">
        <v>89.36</v>
      </c>
      <c r="L484" s="14" t="n">
        <v>0.9928888888888889</v>
      </c>
      <c r="M484" s="14" t="n">
        <v>0.9928888888888889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290-2023-12-31</t>
        </is>
      </c>
    </row>
    <row r="485">
      <c r="A485" s="5" t="n">
        <v>290</v>
      </c>
      <c r="B485" s="5" t="inlineStr">
        <is>
          <t>Cierre eficaz de las oportunidades de mejora</t>
        </is>
      </c>
      <c r="C485" s="5" t="inlineStr">
        <is>
          <t>Planificación POLISIGS</t>
        </is>
      </c>
      <c r="D485" s="5" t="inlineStr">
        <is>
          <t>Bimestral</t>
        </is>
      </c>
      <c r="E485" s="5" t="inlineStr">
        <is>
          <t>Positivo</t>
        </is>
      </c>
      <c r="F485" s="109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90</v>
      </c>
      <c r="K485" s="5" t="n">
        <v>100</v>
      </c>
      <c r="L485" s="14" t="n">
        <v>1.111111111111111</v>
      </c>
      <c r="M485" s="14" t="n">
        <v>1.111111111111111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290-2024-12-31</t>
        </is>
      </c>
    </row>
    <row r="486">
      <c r="A486" s="5" t="n">
        <v>290</v>
      </c>
      <c r="B486" s="5" t="inlineStr">
        <is>
          <t>Cierre eficaz de las oportunidades de mejora</t>
        </is>
      </c>
      <c r="C486" s="5" t="inlineStr">
        <is>
          <t>Planificación POLISIGS</t>
        </is>
      </c>
      <c r="D486" s="5" t="inlineStr">
        <is>
          <t>Bimestral</t>
        </is>
      </c>
      <c r="E486" s="5" t="inlineStr">
        <is>
          <t>Positivo</t>
        </is>
      </c>
      <c r="F486" s="109" t="n">
        <v>45838</v>
      </c>
      <c r="G486" s="5" t="n">
        <v>2025</v>
      </c>
      <c r="H486" s="5" t="inlineStr">
        <is>
          <t>Junio</t>
        </is>
      </c>
      <c r="I486" s="6" t="inlineStr">
        <is>
          <t>2025-1</t>
        </is>
      </c>
      <c r="J486" s="5" t="n">
        <v>90</v>
      </c>
      <c r="K486" s="5" t="n">
        <v>93.33</v>
      </c>
      <c r="L486" s="14" t="n">
        <v>1.037</v>
      </c>
      <c r="M486" s="14" t="n">
        <v>1.037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290-2025-06-30</t>
        </is>
      </c>
    </row>
    <row r="487">
      <c r="A487" s="5" t="n">
        <v>291</v>
      </c>
      <c r="B487" s="5" t="inlineStr">
        <is>
          <t>Cumplimiento del cronograma de actividades deportivas</t>
        </is>
      </c>
      <c r="C487" s="5" t="inlineStr">
        <is>
          <t>Cultura y Deporte</t>
        </is>
      </c>
      <c r="D487" s="5" t="inlineStr">
        <is>
          <t>Semestral</t>
        </is>
      </c>
      <c r="E487" s="5" t="inlineStr">
        <is>
          <t>Positivo</t>
        </is>
      </c>
      <c r="F487" s="109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100</v>
      </c>
      <c r="K487" s="5" t="n">
        <v>100</v>
      </c>
      <c r="L487" s="14" t="n">
        <v>1</v>
      </c>
      <c r="M487" s="14" t="n">
        <v>1</v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291-2023-12-31</t>
        </is>
      </c>
    </row>
    <row r="488">
      <c r="A488" s="5" t="n">
        <v>291</v>
      </c>
      <c r="B488" s="5" t="inlineStr">
        <is>
          <t>Cumplimiento del cronograma de actividades deportivas</t>
        </is>
      </c>
      <c r="C488" s="5" t="inlineStr">
        <is>
          <t>Cultura y Deporte</t>
        </is>
      </c>
      <c r="D488" s="5" t="inlineStr">
        <is>
          <t>Semestral</t>
        </is>
      </c>
      <c r="E488" s="5" t="inlineStr">
        <is>
          <t>Positivo</t>
        </is>
      </c>
      <c r="F488" s="109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100</v>
      </c>
      <c r="K488" s="5" t="n">
        <v>100</v>
      </c>
      <c r="L488" s="14" t="n">
        <v>1</v>
      </c>
      <c r="M488" s="14" t="n">
        <v>1</v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291-2024-12-31</t>
        </is>
      </c>
    </row>
    <row r="489">
      <c r="A489" s="5" t="n">
        <v>292</v>
      </c>
      <c r="B489" s="5" t="inlineStr">
        <is>
          <t>Participación en Actividades deportivas presenciales</t>
        </is>
      </c>
      <c r="C489" s="5" t="inlineStr">
        <is>
          <t>Cultura y Deporte</t>
        </is>
      </c>
      <c r="D489" s="5" t="inlineStr">
        <is>
          <t>Semestral</t>
        </is>
      </c>
      <c r="E489" s="5" t="inlineStr">
        <is>
          <t>Positivo</t>
        </is>
      </c>
      <c r="F489" s="109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6</v>
      </c>
      <c r="K489" s="5" t="n">
        <v>38.649673477986</v>
      </c>
      <c r="L489" s="14" t="n">
        <v>1.3</v>
      </c>
      <c r="M489" s="14" t="n">
        <v>6.441612246331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292-2023-12-31</t>
        </is>
      </c>
    </row>
    <row r="490">
      <c r="A490" s="5" t="n">
        <v>292</v>
      </c>
      <c r="B490" s="5" t="inlineStr">
        <is>
          <t>Participación en Actividades deportivas</t>
        </is>
      </c>
      <c r="C490" s="5" t="inlineStr">
        <is>
          <t>Cultura y Deporte</t>
        </is>
      </c>
      <c r="D490" s="5" t="inlineStr">
        <is>
          <t>Semestral</t>
        </is>
      </c>
      <c r="E490" s="5" t="inlineStr">
        <is>
          <t>Positivo</t>
        </is>
      </c>
      <c r="F490" s="109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6</v>
      </c>
      <c r="K490" s="5" t="n">
        <v>37.57776741179673</v>
      </c>
      <c r="L490" s="14" t="n">
        <v>1.3</v>
      </c>
      <c r="M490" s="14" t="n">
        <v>6.262961235299454</v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292-2024-12-31</t>
        </is>
      </c>
    </row>
    <row r="491">
      <c r="A491" s="5" t="n">
        <v>292</v>
      </c>
      <c r="B491" s="5" t="inlineStr">
        <is>
          <t>Participación en Actividades deportivas</t>
        </is>
      </c>
      <c r="C491" s="5" t="inlineStr">
        <is>
          <t>Cultura y Deporte</t>
        </is>
      </c>
      <c r="D491" s="5" t="inlineStr">
        <is>
          <t>Trimestral</t>
        </is>
      </c>
      <c r="E491" s="5" t="inlineStr">
        <is>
          <t>Positivo</t>
        </is>
      </c>
      <c r="F491" s="109" t="n">
        <v>46022</v>
      </c>
      <c r="G491" s="5" t="n">
        <v>2025</v>
      </c>
      <c r="H491" s="5" t="inlineStr">
        <is>
          <t>Diciembre</t>
        </is>
      </c>
      <c r="I491" s="6" t="inlineStr">
        <is>
          <t>2025-2</t>
        </is>
      </c>
      <c r="J491" s="5" t="n">
        <v>16</v>
      </c>
      <c r="K491" s="5" t="n">
        <v>21</v>
      </c>
      <c r="L491" s="14" t="n">
        <v>1.3</v>
      </c>
      <c r="M491" s="14" t="n">
        <v>1.3125</v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292-2025-12-31</t>
        </is>
      </c>
    </row>
    <row r="492">
      <c r="A492" s="5" t="n">
        <v>293</v>
      </c>
      <c r="B492" s="5" t="inlineStr">
        <is>
          <t>Cumplimiento del cronograma de actividades culturales</t>
        </is>
      </c>
      <c r="C492" s="5" t="inlineStr">
        <is>
          <t>Cultura y Deporte</t>
        </is>
      </c>
      <c r="D492" s="5" t="inlineStr">
        <is>
          <t>Semestral</t>
        </is>
      </c>
      <c r="E492" s="5" t="inlineStr">
        <is>
          <t>Positivo</t>
        </is>
      </c>
      <c r="F492" s="109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100</v>
      </c>
      <c r="K492" s="5" t="n">
        <v>100</v>
      </c>
      <c r="L492" s="14" t="n">
        <v>1</v>
      </c>
      <c r="M492" s="14" t="n">
        <v>1</v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293-2023-12-31</t>
        </is>
      </c>
    </row>
    <row r="493">
      <c r="A493" s="5" t="n">
        <v>293</v>
      </c>
      <c r="B493" s="5" t="inlineStr">
        <is>
          <t>Cumplimiento del cronograma de actividades culturales</t>
        </is>
      </c>
      <c r="C493" s="5" t="inlineStr">
        <is>
          <t>Cultura y Deporte</t>
        </is>
      </c>
      <c r="D493" s="5" t="inlineStr">
        <is>
          <t>Semestral</t>
        </is>
      </c>
      <c r="E493" s="5" t="inlineStr">
        <is>
          <t>Positivo</t>
        </is>
      </c>
      <c r="F493" s="109" t="n">
        <v>45657</v>
      </c>
      <c r="G493" s="5" t="n">
        <v>2024</v>
      </c>
      <c r="H493" s="5" t="inlineStr">
        <is>
          <t>Diciembre</t>
        </is>
      </c>
      <c r="I493" s="6" t="inlineStr">
        <is>
          <t>2024-2</t>
        </is>
      </c>
      <c r="J493" s="5" t="n">
        <v>100</v>
      </c>
      <c r="K493" s="10" t="n">
        <v>100</v>
      </c>
      <c r="L493" s="14" t="n">
        <v>1</v>
      </c>
      <c r="M493" s="14" t="n">
        <v>1</v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293-2024-12-31</t>
        </is>
      </c>
    </row>
    <row r="494">
      <c r="A494" s="5" t="n">
        <v>294</v>
      </c>
      <c r="B494" s="5" t="inlineStr">
        <is>
          <t>Participación en actividades culturales presenciales</t>
        </is>
      </c>
      <c r="C494" s="5" t="inlineStr">
        <is>
          <t>Cultura y Deporte</t>
        </is>
      </c>
      <c r="D494" s="5" t="inlineStr">
        <is>
          <t>Semestral</t>
        </is>
      </c>
      <c r="E494" s="5" t="inlineStr">
        <is>
          <t>Positivo</t>
        </is>
      </c>
      <c r="F494" s="109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6</v>
      </c>
      <c r="K494" s="5" t="n">
        <v>72.145485125617</v>
      </c>
      <c r="L494" s="14" t="n">
        <v>1.3</v>
      </c>
      <c r="M494" s="14" t="n">
        <v>12.02424752093617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294-2023-12-31</t>
        </is>
      </c>
    </row>
    <row r="495">
      <c r="A495" s="5" t="n">
        <v>294</v>
      </c>
      <c r="B495" s="5" t="inlineStr">
        <is>
          <t>Participación en actividades culturales</t>
        </is>
      </c>
      <c r="C495" s="5" t="inlineStr">
        <is>
          <t>Cultura y Deporte</t>
        </is>
      </c>
      <c r="D495" s="5" t="inlineStr">
        <is>
          <t>Semestral</t>
        </is>
      </c>
      <c r="E495" s="5" t="inlineStr">
        <is>
          <t>Positivo</t>
        </is>
      </c>
      <c r="F495" s="109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6</v>
      </c>
      <c r="K495" s="5" t="n">
        <v>31.77669452181987</v>
      </c>
      <c r="L495" s="14" t="n">
        <v>1.3</v>
      </c>
      <c r="M495" s="14" t="n">
        <v>5.296115753636645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294-2024-12-31</t>
        </is>
      </c>
    </row>
    <row r="496">
      <c r="A496" s="5" t="n">
        <v>294</v>
      </c>
      <c r="B496" s="5" t="inlineStr">
        <is>
          <t>Participación en actividades culturales</t>
        </is>
      </c>
      <c r="C496" s="5" t="inlineStr">
        <is>
          <t>Cultura y Deporte</t>
        </is>
      </c>
      <c r="D496" s="5" t="inlineStr">
        <is>
          <t>Trimestral</t>
        </is>
      </c>
      <c r="E496" s="5" t="inlineStr">
        <is>
          <t>Positivo</t>
        </is>
      </c>
      <c r="F496" s="109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5" t="n">
        <v>16</v>
      </c>
      <c r="K496" s="15" t="n">
        <v>44.83000000000001</v>
      </c>
      <c r="L496" s="14" t="n">
        <v>1.3</v>
      </c>
      <c r="M496" s="14" t="n">
        <v>2.801875000000001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294-2025-12-31</t>
        </is>
      </c>
    </row>
    <row r="497">
      <c r="A497" s="5" t="n">
        <v>295</v>
      </c>
      <c r="B497" s="5" t="inlineStr">
        <is>
          <t>Cumplimiento Del Cierre De Oportunidades De Mejora De Auditoria</t>
        </is>
      </c>
      <c r="C497" s="5" t="inlineStr">
        <is>
          <t>AUDITORÍA INTERNA</t>
        </is>
      </c>
      <c r="D497" s="5" t="inlineStr">
        <is>
          <t>Semestral</t>
        </is>
      </c>
      <c r="E497" s="5" t="inlineStr">
        <is>
          <t>Positivo</t>
        </is>
      </c>
      <c r="F497" s="109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>
        <v>32</v>
      </c>
      <c r="K497" s="5" t="n">
        <v>14</v>
      </c>
      <c r="L497" s="14" t="n">
        <v>0.4375</v>
      </c>
      <c r="M497" s="14" t="n">
        <v>0.4375</v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295-2023-12-31</t>
        </is>
      </c>
    </row>
    <row r="498">
      <c r="A498" s="5" t="n">
        <v>295</v>
      </c>
      <c r="B498" s="5" t="inlineStr">
        <is>
          <t>Cumplimiento Del Cierre De Oportunidades De Mejora De Auditoria</t>
        </is>
      </c>
      <c r="C498" s="5" t="inlineStr">
        <is>
          <t>AUDITORÍA INTERNA</t>
        </is>
      </c>
      <c r="D498" s="5" t="inlineStr">
        <is>
          <t>Semestral</t>
        </is>
      </c>
      <c r="E498" s="5" t="inlineStr">
        <is>
          <t>Positivo</t>
        </is>
      </c>
      <c r="F498" s="109" t="n">
        <v>45473</v>
      </c>
      <c r="G498" s="5" t="n">
        <v>2024</v>
      </c>
      <c r="H498" s="5" t="inlineStr">
        <is>
          <t>Junio</t>
        </is>
      </c>
      <c r="I498" s="6" t="inlineStr">
        <is>
          <t>2024-1</t>
        </is>
      </c>
      <c r="J498" s="5" t="n">
        <v>60</v>
      </c>
      <c r="K498" s="5" t="n">
        <v>52.38</v>
      </c>
      <c r="L498" s="14" t="n">
        <v>0.873</v>
      </c>
      <c r="M498" s="14" t="n">
        <v>0.873</v>
      </c>
      <c r="N498" s="5" t="inlineStr">
        <is>
          <t>ENT</t>
        </is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295-2024-06-30</t>
        </is>
      </c>
    </row>
    <row r="499">
      <c r="A499" s="5" t="n">
        <v>296</v>
      </c>
      <c r="B499" s="5" t="inlineStr">
        <is>
          <t>Gestión de riesgos por subprocesos</t>
        </is>
      </c>
      <c r="C499" s="5" t="inlineStr">
        <is>
          <t>GESTIÓN DE RIESGOS</t>
        </is>
      </c>
      <c r="D499" s="5" t="inlineStr">
        <is>
          <t>Bimestral</t>
        </is>
      </c>
      <c r="E499" s="5" t="inlineStr">
        <is>
          <t>Positivo</t>
        </is>
      </c>
      <c r="F499" s="109" t="n">
        <v>45291</v>
      </c>
      <c r="G499" s="15" t="n">
        <v>2023</v>
      </c>
      <c r="H499" s="6" t="inlineStr">
        <is>
          <t>Diciembre</t>
        </is>
      </c>
      <c r="I499" s="6" t="inlineStr">
        <is>
          <t>2023-2</t>
        </is>
      </c>
      <c r="J499" s="5" t="n">
        <v>100</v>
      </c>
      <c r="K499" s="5" t="n">
        <v>85.45</v>
      </c>
      <c r="L499" s="14" t="n">
        <v>0.8545</v>
      </c>
      <c r="M499" s="14" t="n">
        <v>0.8545</v>
      </c>
      <c r="N499" s="5" t="inlineStr">
        <is>
          <t>ENT</t>
        </is>
      </c>
      <c r="O499" s="5" t="inlineStr">
        <is>
          <t>DEC</t>
        </is>
      </c>
      <c r="P499" s="5" t="n">
        <v>1</v>
      </c>
      <c r="Q499" s="5" t="n">
        <v>1</v>
      </c>
      <c r="R499" s="5" t="inlineStr">
        <is>
          <t>296-2023-12-31</t>
        </is>
      </c>
    </row>
    <row r="500">
      <c r="A500" s="5" t="n">
        <v>297</v>
      </c>
      <c r="B500" s="5" t="inlineStr">
        <is>
          <t>N de riesgos operacionales intervenidos</t>
        </is>
      </c>
      <c r="C500" s="5" t="inlineStr">
        <is>
          <t>GESTIÓN DE RIESGOS</t>
        </is>
      </c>
      <c r="D500" s="5" t="inlineStr">
        <is>
          <t>Bimestral</t>
        </is>
      </c>
      <c r="E500" s="5" t="inlineStr">
        <is>
          <t>Negativo</t>
        </is>
      </c>
      <c r="F500" s="109" t="n">
        <v>45291</v>
      </c>
      <c r="G500" s="15" t="n">
        <v>2023</v>
      </c>
      <c r="H500" s="6" t="inlineStr">
        <is>
          <t>Diciembre</t>
        </is>
      </c>
      <c r="I500" s="6" t="inlineStr">
        <is>
          <t>2023-2</t>
        </is>
      </c>
      <c r="J500" s="5" t="n">
        <v>20</v>
      </c>
      <c r="K500" s="5" t="n">
        <v>0.93</v>
      </c>
      <c r="L500" s="14" t="n">
        <v>1.3</v>
      </c>
      <c r="M500" s="14" t="n">
        <v>21.50537634408602</v>
      </c>
      <c r="N500" s="5" t="inlineStr">
        <is>
          <t>ENT</t>
        </is>
      </c>
      <c r="O500" s="5" t="inlineStr">
        <is>
          <t>DEC</t>
        </is>
      </c>
      <c r="P500" s="5" t="n">
        <v>1</v>
      </c>
      <c r="Q500" s="5" t="n">
        <v>1</v>
      </c>
      <c r="R500" s="5" t="inlineStr">
        <is>
          <t>297-2023-12-31</t>
        </is>
      </c>
    </row>
    <row r="501">
      <c r="A501" s="5" t="n">
        <v>298</v>
      </c>
      <c r="B501" s="5" t="inlineStr">
        <is>
          <t>N de riesgos materializados</t>
        </is>
      </c>
      <c r="C501" s="5" t="inlineStr">
        <is>
          <t>GESTIÓN DE RIESGOS</t>
        </is>
      </c>
      <c r="D501" s="5" t="inlineStr">
        <is>
          <t>Semestral</t>
        </is>
      </c>
      <c r="E501" s="5" t="inlineStr">
        <is>
          <t>Negativo</t>
        </is>
      </c>
      <c r="F501" s="109" t="n">
        <v>45291</v>
      </c>
      <c r="G501" s="15" t="n">
        <v>2023</v>
      </c>
      <c r="H501" s="6" t="inlineStr">
        <is>
          <t>Diciembre</t>
        </is>
      </c>
      <c r="I501" s="6" t="inlineStr">
        <is>
          <t>2023-2</t>
        </is>
      </c>
      <c r="J501" s="5" t="n"/>
      <c r="K501" s="5" t="n">
        <v>1</v>
      </c>
      <c r="L501" s="14" t="n"/>
      <c r="M501" s="14" t="n"/>
      <c r="N501" s="5" t="inlineStr">
        <is>
          <t>Linea Base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298-2023-12-31</t>
        </is>
      </c>
    </row>
    <row r="502">
      <c r="A502" s="5" t="n">
        <v>300</v>
      </c>
      <c r="B502" s="5" t="inlineStr">
        <is>
          <t>Cumplimiento de Inspecciones de control</t>
        </is>
      </c>
      <c r="C502" s="5" t="inlineStr">
        <is>
          <t>Administración de Servicios Generales</t>
        </is>
      </c>
      <c r="D502" s="5" t="inlineStr">
        <is>
          <t>Trimestral</t>
        </is>
      </c>
      <c r="E502" s="5" t="inlineStr">
        <is>
          <t>Positivo</t>
        </is>
      </c>
      <c r="F502" s="109" t="n">
        <v>45291</v>
      </c>
      <c r="G502" s="15" t="n">
        <v>2023</v>
      </c>
      <c r="H502" s="6" t="inlineStr">
        <is>
          <t>Diciembre</t>
        </is>
      </c>
      <c r="I502" s="6" t="inlineStr">
        <is>
          <t>2023-2</t>
        </is>
      </c>
      <c r="J502" s="5" t="n">
        <v>100</v>
      </c>
      <c r="K502" s="5" t="n">
        <v>100</v>
      </c>
      <c r="L502" s="14" t="n">
        <v>1</v>
      </c>
      <c r="M502" s="14" t="n">
        <v>1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300-2023-12-31</t>
        </is>
      </c>
    </row>
    <row r="503">
      <c r="A503" s="5" t="n">
        <v>300</v>
      </c>
      <c r="B503" s="5" t="inlineStr">
        <is>
          <t>Cumplimiento de Inspecciones de control</t>
        </is>
      </c>
      <c r="C503" s="5" t="inlineStr">
        <is>
          <t>Administración de Servicios Generales</t>
        </is>
      </c>
      <c r="D503" s="5" t="inlineStr">
        <is>
          <t>Trimestral</t>
        </is>
      </c>
      <c r="E503" s="5" t="inlineStr">
        <is>
          <t>Positivo</t>
        </is>
      </c>
      <c r="F503" s="109" t="n">
        <v>45657</v>
      </c>
      <c r="G503" s="15" t="n">
        <v>2024</v>
      </c>
      <c r="H503" s="6" t="inlineStr">
        <is>
          <t>Diciembre</t>
        </is>
      </c>
      <c r="I503" s="6" t="inlineStr">
        <is>
          <t>2024-2</t>
        </is>
      </c>
      <c r="J503" s="5" t="n">
        <v>100</v>
      </c>
      <c r="K503" s="5" t="n">
        <v>100</v>
      </c>
      <c r="L503" s="14" t="n">
        <v>1</v>
      </c>
      <c r="M503" s="14" t="n">
        <v>1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300-2024-12-31</t>
        </is>
      </c>
    </row>
    <row r="504">
      <c r="A504" s="5" t="n">
        <v>300</v>
      </c>
      <c r="B504" s="5" t="inlineStr">
        <is>
          <t>Cumplimiento de Inspecciones de control</t>
        </is>
      </c>
      <c r="C504" s="5" t="inlineStr">
        <is>
          <t>Administración de Servicios Generales</t>
        </is>
      </c>
      <c r="D504" s="5" t="inlineStr">
        <is>
          <t>Semestral</t>
        </is>
      </c>
      <c r="E504" s="5" t="inlineStr">
        <is>
          <t>Positivo</t>
        </is>
      </c>
      <c r="F504" s="109" t="n">
        <v>46022</v>
      </c>
      <c r="G504" s="15" t="n">
        <v>2025</v>
      </c>
      <c r="H504" s="6" t="inlineStr">
        <is>
          <t>Diciembre</t>
        </is>
      </c>
      <c r="I504" s="6" t="inlineStr">
        <is>
          <t>2025-2</t>
        </is>
      </c>
      <c r="J504" s="5" t="n">
        <v>100</v>
      </c>
      <c r="K504" s="10" t="n">
        <v>100</v>
      </c>
      <c r="L504" s="14" t="n">
        <v>1</v>
      </c>
      <c r="M504" s="14" t="n">
        <v>1</v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300-2025-12-31</t>
        </is>
      </c>
    </row>
    <row r="505">
      <c r="A505" s="5" t="n">
        <v>300</v>
      </c>
      <c r="B505" s="5" t="inlineStr">
        <is>
          <t>Cumplimiento de Inspecciones de control</t>
        </is>
      </c>
      <c r="C505" s="5" t="inlineStr">
        <is>
          <t>Administración de Servicios Generales</t>
        </is>
      </c>
      <c r="D505" s="5" t="inlineStr">
        <is>
          <t>Semestral</t>
        </is>
      </c>
      <c r="E505" s="5" t="inlineStr">
        <is>
          <t>Positivo</t>
        </is>
      </c>
      <c r="F505" s="109" t="n">
        <v>46112</v>
      </c>
      <c r="G505" s="15" t="n">
        <v>2026</v>
      </c>
      <c r="H505" s="6" t="inlineStr">
        <is>
          <t>Marzo</t>
        </is>
      </c>
      <c r="I505" s="6" t="inlineStr">
        <is>
          <t>2026-1</t>
        </is>
      </c>
      <c r="J505" s="5" t="n">
        <v>100</v>
      </c>
      <c r="K505" s="10" t="n">
        <v>100</v>
      </c>
      <c r="L505" s="14" t="n">
        <v>1</v>
      </c>
      <c r="M505" s="14" t="n">
        <v>1</v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300-2026-03-31</t>
        </is>
      </c>
    </row>
    <row r="506">
      <c r="A506" s="5" t="n">
        <v>301</v>
      </c>
      <c r="B506" s="5" t="inlineStr">
        <is>
          <t>Cumplimiento plan de trabajo</t>
        </is>
      </c>
      <c r="C506" s="5" t="inlineStr">
        <is>
          <t>Administración de Servicios Generales</t>
        </is>
      </c>
      <c r="D506" s="5" t="inlineStr">
        <is>
          <t>Trimestral</t>
        </is>
      </c>
      <c r="E506" s="5" t="inlineStr">
        <is>
          <t>Positivo</t>
        </is>
      </c>
      <c r="F506" s="109" t="n">
        <v>45291</v>
      </c>
      <c r="G506" s="15" t="n">
        <v>2023</v>
      </c>
      <c r="H506" s="6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14" t="n">
        <v>1</v>
      </c>
      <c r="M506" s="14" t="n">
        <v>1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301-2023-12-31</t>
        </is>
      </c>
    </row>
    <row r="507">
      <c r="A507" s="21" t="n">
        <v>301</v>
      </c>
      <c r="B507" s="20" t="inlineStr">
        <is>
          <t>Cumplimiento plan de trabajo</t>
        </is>
      </c>
      <c r="C507" s="5" t="inlineStr">
        <is>
          <t>Administración de Servicios Generales</t>
        </is>
      </c>
      <c r="D507" s="5" t="inlineStr">
        <is>
          <t>Trimestral</t>
        </is>
      </c>
      <c r="E507" s="5" t="inlineStr">
        <is>
          <t>Positivo</t>
        </is>
      </c>
      <c r="F507" s="109" t="n">
        <v>45657</v>
      </c>
      <c r="G507" s="15" t="n">
        <v>2024</v>
      </c>
      <c r="H507" s="6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14" t="n">
        <v>1</v>
      </c>
      <c r="M507" s="14" t="n">
        <v>1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301-2024-12-31</t>
        </is>
      </c>
    </row>
    <row r="508">
      <c r="A508" s="5" t="n">
        <v>301</v>
      </c>
      <c r="B508" s="5" t="inlineStr">
        <is>
          <t>Cumplimiento plan de trabajo</t>
        </is>
      </c>
      <c r="C508" s="5" t="inlineStr">
        <is>
          <t>Administración de Servicios Generales</t>
        </is>
      </c>
      <c r="D508" s="5" t="inlineStr">
        <is>
          <t>Semestral</t>
        </is>
      </c>
      <c r="E508" s="5" t="inlineStr">
        <is>
          <t>Positivo</t>
        </is>
      </c>
      <c r="F508" s="109" t="n">
        <v>46022</v>
      </c>
      <c r="G508" s="15" t="n">
        <v>2025</v>
      </c>
      <c r="H508" s="6" t="inlineStr">
        <is>
          <t>Diciembre</t>
        </is>
      </c>
      <c r="I508" s="6" t="inlineStr">
        <is>
          <t>2025-2</t>
        </is>
      </c>
      <c r="J508" s="5" t="n">
        <v>100</v>
      </c>
      <c r="K508" s="5" t="n">
        <v>100</v>
      </c>
      <c r="L508" s="14" t="n">
        <v>1</v>
      </c>
      <c r="M508" s="14" t="n">
        <v>1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301-2025-12-31</t>
        </is>
      </c>
    </row>
    <row r="509">
      <c r="A509" s="5" t="n">
        <v>301</v>
      </c>
      <c r="B509" s="5" t="inlineStr">
        <is>
          <t>Cumplimiento plan de trabajo</t>
        </is>
      </c>
      <c r="C509" s="5" t="inlineStr">
        <is>
          <t>Administración de Servicios Generales</t>
        </is>
      </c>
      <c r="D509" s="5" t="inlineStr">
        <is>
          <t>Semestral</t>
        </is>
      </c>
      <c r="E509" s="5" t="inlineStr">
        <is>
          <t>Positivo</t>
        </is>
      </c>
      <c r="F509" s="109" t="n">
        <v>46112</v>
      </c>
      <c r="G509" s="15" t="n">
        <v>2026</v>
      </c>
      <c r="H509" s="6" t="inlineStr">
        <is>
          <t>Marzo</t>
        </is>
      </c>
      <c r="I509" s="6" t="inlineStr">
        <is>
          <t>2026-1</t>
        </is>
      </c>
      <c r="J509" s="5" t="n">
        <v>100</v>
      </c>
      <c r="K509" s="5" t="n">
        <v>100</v>
      </c>
      <c r="L509" s="14" t="n">
        <v>1</v>
      </c>
      <c r="M509" s="14" t="n">
        <v>1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301-2026-03-31</t>
        </is>
      </c>
    </row>
    <row r="510">
      <c r="A510" s="5" t="n">
        <v>302</v>
      </c>
      <c r="B510" s="5" t="inlineStr">
        <is>
          <t>N de solicitudes radicadas</t>
        </is>
      </c>
      <c r="C510" s="5" t="inlineStr">
        <is>
          <t>Centro de Medios Audiovisuales</t>
        </is>
      </c>
      <c r="D510" s="5" t="inlineStr">
        <is>
          <t>Semestral</t>
        </is>
      </c>
      <c r="E510" s="5" t="inlineStr">
        <is>
          <t>Positivo</t>
        </is>
      </c>
      <c r="F510" s="109" t="n">
        <v>45291</v>
      </c>
      <c r="G510" s="15" t="n">
        <v>2023</v>
      </c>
      <c r="H510" s="6" t="inlineStr">
        <is>
          <t>Diciembre</t>
        </is>
      </c>
      <c r="I510" s="6" t="inlineStr">
        <is>
          <t>2023-2</t>
        </is>
      </c>
      <c r="J510" s="5" t="n"/>
      <c r="K510" s="5" t="n">
        <v>0</v>
      </c>
      <c r="L510" s="14" t="n"/>
      <c r="M510" s="14" t="n"/>
      <c r="N510" s="5" t="inlineStr">
        <is>
          <t>%</t>
        </is>
      </c>
      <c r="O510" s="5" t="inlineStr">
        <is>
          <t>ENT</t>
        </is>
      </c>
      <c r="P510" s="5" t="n">
        <v>0</v>
      </c>
      <c r="Q510" s="5" t="n">
        <v>0</v>
      </c>
      <c r="R510" s="5" t="inlineStr">
        <is>
          <t>302-2023-12-31</t>
        </is>
      </c>
    </row>
    <row r="511">
      <c r="A511" s="5" t="n">
        <v>302</v>
      </c>
      <c r="B511" s="5" t="inlineStr">
        <is>
          <t>N de solicitudes radicadas</t>
        </is>
      </c>
      <c r="C511" s="5" t="inlineStr">
        <is>
          <t>Centro de Medios Audiovisuales</t>
        </is>
      </c>
      <c r="D511" s="13" t="inlineStr">
        <is>
          <t>Semestral</t>
        </is>
      </c>
      <c r="E511" s="5" t="inlineStr">
        <is>
          <t>Positivo</t>
        </is>
      </c>
      <c r="F511" s="109" t="n">
        <v>45657</v>
      </c>
      <c r="G511" s="15" t="n">
        <v>2024</v>
      </c>
      <c r="H511" s="6" t="inlineStr">
        <is>
          <t>Diciembre</t>
        </is>
      </c>
      <c r="I511" s="6" t="inlineStr">
        <is>
          <t>2024-2</t>
        </is>
      </c>
      <c r="J511" s="5" t="n">
        <v>0</v>
      </c>
      <c r="K511" s="5" t="n">
        <v>37020</v>
      </c>
      <c r="L511" s="14" t="n"/>
      <c r="M511" s="14" t="n"/>
      <c r="N511" s="5" t="n">
        <v>0</v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302-2024-12-31</t>
        </is>
      </c>
    </row>
    <row r="512">
      <c r="A512" s="5" t="n">
        <v>302</v>
      </c>
      <c r="B512" s="5" t="inlineStr">
        <is>
          <t>N de solicitudes radicadas - (Metrica)</t>
        </is>
      </c>
      <c r="C512" s="5" t="inlineStr">
        <is>
          <t>Centro de Medios Audiovisuales</t>
        </is>
      </c>
      <c r="D512" s="13" t="inlineStr">
        <is>
          <t>Trimestral</t>
        </is>
      </c>
      <c r="E512" s="5" t="inlineStr">
        <is>
          <t>Positivo</t>
        </is>
      </c>
      <c r="F512" s="109" t="n">
        <v>46022</v>
      </c>
      <c r="G512" s="15" t="n">
        <v>2025</v>
      </c>
      <c r="H512" s="6" t="inlineStr">
        <is>
          <t>Diciembre</t>
        </is>
      </c>
      <c r="I512" s="6" t="inlineStr">
        <is>
          <t>2025-2</t>
        </is>
      </c>
      <c r="J512" s="5" t="n"/>
      <c r="K512" s="5" t="n">
        <v>53083</v>
      </c>
      <c r="L512" s="14" t="n"/>
      <c r="M512" s="14" t="n"/>
      <c r="N512" s="5" t="inlineStr">
        <is>
          <t>%</t>
        </is>
      </c>
      <c r="O512" s="5" t="inlineStr">
        <is>
          <t>ENT</t>
        </is>
      </c>
      <c r="P512" s="5" t="n">
        <v>0</v>
      </c>
      <c r="Q512" s="5" t="n">
        <v>0</v>
      </c>
      <c r="R512" s="5" t="inlineStr">
        <is>
          <t>302-2025-12-31</t>
        </is>
      </c>
      <c r="S512" t="inlineStr">
        <is>
          <t>Metrica</t>
        </is>
      </c>
    </row>
    <row r="513">
      <c r="A513" s="5" t="n">
        <v>303</v>
      </c>
      <c r="B513" s="5" t="inlineStr">
        <is>
          <t>Cumplimiento del cronograma de actividades de salud</t>
        </is>
      </c>
      <c r="C513" s="5" t="inlineStr">
        <is>
          <t>Servicio de Salud</t>
        </is>
      </c>
      <c r="D513" s="13" t="inlineStr">
        <is>
          <t>Semestral</t>
        </is>
      </c>
      <c r="E513" s="5" t="inlineStr">
        <is>
          <t>Positivo</t>
        </is>
      </c>
      <c r="F513" s="109" t="n">
        <v>45291</v>
      </c>
      <c r="G513" s="15" t="n">
        <v>2023</v>
      </c>
      <c r="H513" s="6" t="inlineStr">
        <is>
          <t>Diciembre</t>
        </is>
      </c>
      <c r="I513" s="6" t="inlineStr">
        <is>
          <t>2023-2</t>
        </is>
      </c>
      <c r="J513" s="5" t="n">
        <v>200</v>
      </c>
      <c r="K513" s="5" t="n">
        <v>155.3030303030305</v>
      </c>
      <c r="L513" s="14" t="n">
        <v>0.7765151515151526</v>
      </c>
      <c r="M513" s="14" t="n">
        <v>0.7765151515151526</v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303-2023-12-31</t>
        </is>
      </c>
    </row>
    <row r="514">
      <c r="A514" s="5" t="n">
        <v>303</v>
      </c>
      <c r="B514" s="5" t="inlineStr">
        <is>
          <t>Cumplimiento del cronograma de actividades de salud</t>
        </is>
      </c>
      <c r="C514" s="5" t="inlineStr">
        <is>
          <t>Servicio de Salud</t>
        </is>
      </c>
      <c r="D514" s="13" t="inlineStr">
        <is>
          <t>Semestral</t>
        </is>
      </c>
      <c r="E514" s="5" t="inlineStr">
        <is>
          <t>Positivo</t>
        </is>
      </c>
      <c r="F514" s="109" t="n">
        <v>45657</v>
      </c>
      <c r="G514" s="15" t="n">
        <v>2024</v>
      </c>
      <c r="H514" s="6" t="inlineStr">
        <is>
          <t>Diciembre</t>
        </is>
      </c>
      <c r="I514" s="6" t="inlineStr">
        <is>
          <t>2024-2</t>
        </is>
      </c>
      <c r="J514" s="5" t="n">
        <v>190</v>
      </c>
      <c r="K514" s="5" t="n">
        <v>195.6521739130435</v>
      </c>
      <c r="L514" s="14" t="n">
        <v>1.02974828375286</v>
      </c>
      <c r="M514" s="14" t="n">
        <v>1.02974828375286</v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 t="inlineStr">
        <is>
          <t>303-2024-12-31</t>
        </is>
      </c>
    </row>
    <row r="515">
      <c r="A515" s="5" t="n">
        <v>303</v>
      </c>
      <c r="B515" s="5" t="inlineStr">
        <is>
          <t>Cumplimiento del cronograma de actividades de salud</t>
        </is>
      </c>
      <c r="C515" s="5" t="inlineStr">
        <is>
          <t>Servicio de Salud</t>
        </is>
      </c>
      <c r="D515" s="13" t="inlineStr">
        <is>
          <t>Trimestral</t>
        </is>
      </c>
      <c r="E515" s="5" t="inlineStr">
        <is>
          <t>Positivo</t>
        </is>
      </c>
      <c r="F515" s="109" t="n">
        <v>46022</v>
      </c>
      <c r="G515" s="15" t="n">
        <v>2025</v>
      </c>
      <c r="H515" s="6" t="inlineStr">
        <is>
          <t>Diciembre</t>
        </is>
      </c>
      <c r="I515" s="6" t="inlineStr">
        <is>
          <t>2025-2</t>
        </is>
      </c>
      <c r="J515" s="5" t="n">
        <v>190</v>
      </c>
      <c r="K515" s="5" t="n">
        <v>190.32</v>
      </c>
      <c r="L515" s="14" t="n">
        <v>1.001684210526316</v>
      </c>
      <c r="M515" s="14" t="n">
        <v>1.001684210526316</v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303-2025-12-31</t>
        </is>
      </c>
    </row>
    <row r="516">
      <c r="A516" s="5" t="n">
        <v>304</v>
      </c>
      <c r="B516" s="5" t="inlineStr">
        <is>
          <t>Impacto de Campañas de promoción y prevención</t>
        </is>
      </c>
      <c r="C516" s="5" t="inlineStr">
        <is>
          <t>Servicio de Salud</t>
        </is>
      </c>
      <c r="D516" s="13" t="inlineStr">
        <is>
          <t>Semestral</t>
        </is>
      </c>
      <c r="E516" s="5" t="inlineStr">
        <is>
          <t>Positivo</t>
        </is>
      </c>
      <c r="F516" s="109" t="n">
        <v>45291</v>
      </c>
      <c r="G516" s="15" t="n">
        <v>2023</v>
      </c>
      <c r="H516" s="6" t="inlineStr">
        <is>
          <t>Diciembre</t>
        </is>
      </c>
      <c r="I516" s="6" t="inlineStr">
        <is>
          <t>2023-2</t>
        </is>
      </c>
      <c r="J516" s="5" t="n">
        <v>200</v>
      </c>
      <c r="K516" s="5" t="n">
        <v>366.1900000000001</v>
      </c>
      <c r="L516" s="14" t="n">
        <v>1.3</v>
      </c>
      <c r="M516" s="14" t="n">
        <v>1.830950000000001</v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304-2023-12-31</t>
        </is>
      </c>
    </row>
    <row r="517">
      <c r="A517" s="5" t="n">
        <v>304</v>
      </c>
      <c r="B517" s="5" t="inlineStr">
        <is>
          <t>Impacto de Campañas de promoción y prevención</t>
        </is>
      </c>
      <c r="C517" s="5" t="inlineStr">
        <is>
          <t>Servicio de Salud</t>
        </is>
      </c>
      <c r="D517" s="13" t="inlineStr">
        <is>
          <t>Semestral</t>
        </is>
      </c>
      <c r="E517" s="5" t="inlineStr">
        <is>
          <t>Positivo</t>
        </is>
      </c>
      <c r="F517" s="109" t="n">
        <v>45657</v>
      </c>
      <c r="G517" s="15" t="n">
        <v>2024</v>
      </c>
      <c r="H517" s="6" t="inlineStr">
        <is>
          <t>Diciembre</t>
        </is>
      </c>
      <c r="I517" s="6" t="inlineStr">
        <is>
          <t>2024-2</t>
        </is>
      </c>
      <c r="J517" s="5" t="n">
        <v>200</v>
      </c>
      <c r="K517" s="5" t="n">
        <v>183.68</v>
      </c>
      <c r="L517" s="14" t="n">
        <v>0.9184</v>
      </c>
      <c r="M517" s="14" t="n">
        <v>0.9184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304-2024-12-31</t>
        </is>
      </c>
    </row>
    <row r="518">
      <c r="A518" s="5" t="n">
        <v>304</v>
      </c>
      <c r="B518" s="5" t="inlineStr">
        <is>
          <t>Impacto de Campañas de promoción y prevención</t>
        </is>
      </c>
      <c r="C518" s="5" t="inlineStr">
        <is>
          <t>Servicio de Salud</t>
        </is>
      </c>
      <c r="D518" s="13" t="inlineStr">
        <is>
          <t>Trimestral</t>
        </is>
      </c>
      <c r="E518" s="5" t="inlineStr">
        <is>
          <t>Positivo</t>
        </is>
      </c>
      <c r="F518" s="109" t="n">
        <v>46022</v>
      </c>
      <c r="G518" s="15" t="n">
        <v>2025</v>
      </c>
      <c r="H518" s="6" t="inlineStr">
        <is>
          <t>Diciembre</t>
        </is>
      </c>
      <c r="I518" s="6" t="inlineStr">
        <is>
          <t>2025-2</t>
        </is>
      </c>
      <c r="J518" s="5" t="n">
        <v>200</v>
      </c>
      <c r="K518" s="5" t="n">
        <v>214.56</v>
      </c>
      <c r="L518" s="14" t="n">
        <v>1.0728</v>
      </c>
      <c r="M518" s="14" t="n">
        <v>1.0728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304-2025-12-31</t>
        </is>
      </c>
    </row>
    <row r="519">
      <c r="A519" s="5" t="n">
        <v>305</v>
      </c>
      <c r="B519" s="5" t="inlineStr">
        <is>
          <t>Cumplimiento del plan anual de mantenimiento de equipos médicos</t>
        </is>
      </c>
      <c r="C519" s="5" t="inlineStr">
        <is>
          <t>Servicio de Salud</t>
        </is>
      </c>
      <c r="D519" s="13" t="inlineStr">
        <is>
          <t>Anual</t>
        </is>
      </c>
      <c r="E519" s="5" t="inlineStr">
        <is>
          <t>Positivo</t>
        </is>
      </c>
      <c r="F519" s="109" t="n">
        <v>45291</v>
      </c>
      <c r="G519" s="15" t="n">
        <v>2023</v>
      </c>
      <c r="H519" s="6" t="inlineStr">
        <is>
          <t>Diciembre</t>
        </is>
      </c>
      <c r="I519" s="6" t="inlineStr">
        <is>
          <t>2023-2</t>
        </is>
      </c>
      <c r="J519" s="5" t="n">
        <v>100</v>
      </c>
      <c r="K519" s="5" t="n">
        <v>100</v>
      </c>
      <c r="L519" s="14" t="n">
        <v>1</v>
      </c>
      <c r="M519" s="14" t="n">
        <v>1</v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 t="inlineStr">
        <is>
          <t>305-2023-12-31</t>
        </is>
      </c>
    </row>
    <row r="520">
      <c r="A520" s="5" t="n">
        <v>305</v>
      </c>
      <c r="B520" s="5" t="inlineStr">
        <is>
          <t>Cumplimiento del plan anual de mantenimiento de equipos médicos</t>
        </is>
      </c>
      <c r="C520" s="5" t="inlineStr">
        <is>
          <t>Servicio de Salud</t>
        </is>
      </c>
      <c r="D520" s="13" t="inlineStr">
        <is>
          <t>Anual</t>
        </is>
      </c>
      <c r="E520" s="5" t="inlineStr">
        <is>
          <t>Positivo</t>
        </is>
      </c>
      <c r="F520" s="109" t="n">
        <v>45657</v>
      </c>
      <c r="G520" s="15" t="n">
        <v>2024</v>
      </c>
      <c r="H520" s="6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100</v>
      </c>
      <c r="L520" s="14" t="n">
        <v>1</v>
      </c>
      <c r="M520" s="14" t="n">
        <v>1</v>
      </c>
      <c r="N520" s="5" t="inlineStr">
        <is>
          <t>%</t>
        </is>
      </c>
      <c r="O520" s="5" t="inlineStr">
        <is>
          <t>%</t>
        </is>
      </c>
      <c r="P520" s="5" t="n">
        <v>0</v>
      </c>
      <c r="Q520" s="5" t="n">
        <v>0</v>
      </c>
      <c r="R520" s="5" t="inlineStr">
        <is>
          <t>305-2024-12-31</t>
        </is>
      </c>
    </row>
    <row r="521">
      <c r="A521" s="5" t="n">
        <v>306</v>
      </c>
      <c r="B521" s="5" t="inlineStr">
        <is>
          <t>Seguimiento KPI Plan de Desarrollo Institucional</t>
        </is>
      </c>
      <c r="C521" s="5" t="inlineStr">
        <is>
          <t>Desempeño Institucional</t>
        </is>
      </c>
      <c r="D521" s="13" t="inlineStr">
        <is>
          <t>Trimestral</t>
        </is>
      </c>
      <c r="E521" s="5" t="inlineStr">
        <is>
          <t>Positivo</t>
        </is>
      </c>
      <c r="F521" s="109" t="n">
        <v>45291</v>
      </c>
      <c r="G521" s="15" t="n">
        <v>2023</v>
      </c>
      <c r="H521" s="6" t="inlineStr">
        <is>
          <t>Diciembre</t>
        </is>
      </c>
      <c r="I521" s="6" t="inlineStr">
        <is>
          <t>2023-2</t>
        </is>
      </c>
      <c r="J521" s="5" t="n">
        <v>100</v>
      </c>
      <c r="K521" s="5" t="n">
        <v>156.5</v>
      </c>
      <c r="L521" s="14" t="n">
        <v>1.3</v>
      </c>
      <c r="M521" s="14" t="n">
        <v>1.565</v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 t="inlineStr">
        <is>
          <t>306-2023-12-31</t>
        </is>
      </c>
    </row>
    <row r="522">
      <c r="A522" s="5" t="n">
        <v>306</v>
      </c>
      <c r="B522" s="5" t="inlineStr">
        <is>
          <t>Seguimiento KPI Plan de Desarrollo Institucional</t>
        </is>
      </c>
      <c r="C522" s="5" t="inlineStr">
        <is>
          <t>Desempeño Institucional</t>
        </is>
      </c>
      <c r="D522" s="13" t="inlineStr">
        <is>
          <t>Trimestral</t>
        </is>
      </c>
      <c r="E522" s="5" t="inlineStr">
        <is>
          <t>Positivo</t>
        </is>
      </c>
      <c r="F522" s="109" t="n">
        <v>45657</v>
      </c>
      <c r="G522" s="15" t="n">
        <v>2024</v>
      </c>
      <c r="H522" s="6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175.5</v>
      </c>
      <c r="L522" s="14" t="n">
        <v>1.3</v>
      </c>
      <c r="M522" s="14" t="n">
        <v>1.755</v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 t="inlineStr">
        <is>
          <t>306-2024-12-31</t>
        </is>
      </c>
    </row>
    <row r="523">
      <c r="A523" s="5" t="n">
        <v>306</v>
      </c>
      <c r="B523" s="5" t="inlineStr">
        <is>
          <t>Seguimiento KPI Plan de Desarrollo Institucional</t>
        </is>
      </c>
      <c r="C523" s="5" t="inlineStr">
        <is>
          <t>Desempeño Institucional</t>
        </is>
      </c>
      <c r="D523" s="13" t="inlineStr">
        <is>
          <t>Semestral</t>
        </is>
      </c>
      <c r="E523" s="5" t="inlineStr">
        <is>
          <t>Positivo</t>
        </is>
      </c>
      <c r="F523" s="109" t="n">
        <v>46022</v>
      </c>
      <c r="G523" s="15" t="n">
        <v>2025</v>
      </c>
      <c r="H523" s="6" t="inlineStr">
        <is>
          <t>Diciembre</t>
        </is>
      </c>
      <c r="I523" s="6" t="inlineStr">
        <is>
          <t>2025-2</t>
        </is>
      </c>
      <c r="J523" s="5" t="n">
        <v>100</v>
      </c>
      <c r="K523" s="5" t="n">
        <v>107.3733333333333</v>
      </c>
      <c r="L523" s="14" t="n">
        <v>1.073733333333333</v>
      </c>
      <c r="M523" s="14" t="n">
        <v>1.073733333333333</v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 t="inlineStr">
        <is>
          <t>306-2025-12-31</t>
        </is>
      </c>
    </row>
    <row r="524">
      <c r="A524" s="5" t="n">
        <v>307</v>
      </c>
      <c r="B524" s="5" t="inlineStr">
        <is>
          <t>Organización de escenarios de visibilidad nacional e internacional</t>
        </is>
      </c>
      <c r="C524" s="5" t="inlineStr">
        <is>
          <t>VISIBILIDAD NACIONAL E INTERNACIONAL</t>
        </is>
      </c>
      <c r="D524" s="13" t="inlineStr">
        <is>
          <t>Semestral</t>
        </is>
      </c>
      <c r="E524" s="5" t="inlineStr">
        <is>
          <t>Positivo</t>
        </is>
      </c>
      <c r="F524" s="109" t="n">
        <v>45291</v>
      </c>
      <c r="G524" s="15" t="n">
        <v>2023</v>
      </c>
      <c r="H524" s="6" t="inlineStr">
        <is>
          <t>Diciembre</t>
        </is>
      </c>
      <c r="I524" s="6" t="inlineStr">
        <is>
          <t>2023-2</t>
        </is>
      </c>
      <c r="J524" s="5" t="n">
        <v>46</v>
      </c>
      <c r="K524" s="10" t="n">
        <v>107</v>
      </c>
      <c r="L524" s="14" t="n">
        <v>1.3</v>
      </c>
      <c r="M524" s="14" t="n">
        <v>2.326086956521739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307-2023-12-31</t>
        </is>
      </c>
    </row>
    <row r="525">
      <c r="A525" s="5" t="n">
        <v>307</v>
      </c>
      <c r="B525" s="5" t="inlineStr">
        <is>
          <t>Organización de escenarios de visibilidad nacional e internacional</t>
        </is>
      </c>
      <c r="C525" s="5" t="inlineStr">
        <is>
          <t>VISIBILIDAD NACIONAL E INTERNACIONAL</t>
        </is>
      </c>
      <c r="D525" s="13" t="inlineStr">
        <is>
          <t>Semestral</t>
        </is>
      </c>
      <c r="E525" s="5" t="inlineStr">
        <is>
          <t>Positivo</t>
        </is>
      </c>
      <c r="F525" s="109" t="n">
        <v>45657</v>
      </c>
      <c r="G525" s="15" t="n">
        <v>2024</v>
      </c>
      <c r="H525" s="6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413.33</v>
      </c>
      <c r="L525" s="14" t="n">
        <v>1.3</v>
      </c>
      <c r="M525" s="14" t="n">
        <v>4.1333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307-2024-12-31</t>
        </is>
      </c>
    </row>
    <row r="526">
      <c r="A526" s="5" t="n">
        <v>308</v>
      </c>
      <c r="B526" s="5" t="inlineStr">
        <is>
          <t>Movilidad Física Entrantes Profesores</t>
        </is>
      </c>
      <c r="C526" s="5" t="inlineStr">
        <is>
          <t>VISIBILIDAD NACIONAL E INTERNACIONAL</t>
        </is>
      </c>
      <c r="D526" s="13" t="inlineStr">
        <is>
          <t>Semestral</t>
        </is>
      </c>
      <c r="E526" s="5" t="inlineStr">
        <is>
          <t>Positivo</t>
        </is>
      </c>
      <c r="F526" s="109" t="n">
        <v>45291</v>
      </c>
      <c r="G526" s="15" t="n">
        <v>2023</v>
      </c>
      <c r="H526" s="6" t="inlineStr">
        <is>
          <t>Diciembre</t>
        </is>
      </c>
      <c r="I526" s="6" t="inlineStr">
        <is>
          <t>2023-2</t>
        </is>
      </c>
      <c r="J526" s="5" t="n">
        <v>32</v>
      </c>
      <c r="K526" s="5" t="n">
        <v>81</v>
      </c>
      <c r="L526" s="14" t="n">
        <v>1.3</v>
      </c>
      <c r="M526" s="14" t="n">
        <v>2.53125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308-2023-12-31</t>
        </is>
      </c>
    </row>
    <row r="527">
      <c r="A527" s="5" t="n">
        <v>308</v>
      </c>
      <c r="B527" s="5" t="inlineStr">
        <is>
          <t>Movilidad Física Entrantes Profesores</t>
        </is>
      </c>
      <c r="C527" s="5" t="inlineStr">
        <is>
          <t>VISIBILIDAD NACIONAL E INTERNACIONAL</t>
        </is>
      </c>
      <c r="D527" s="13" t="inlineStr">
        <is>
          <t>Semestral</t>
        </is>
      </c>
      <c r="E527" s="5" t="inlineStr">
        <is>
          <t>Positivo</t>
        </is>
      </c>
      <c r="F527" s="109" t="n">
        <v>45657</v>
      </c>
      <c r="G527" s="15" t="n">
        <v>2024</v>
      </c>
      <c r="H527" s="6" t="inlineStr">
        <is>
          <t>Diciembre</t>
        </is>
      </c>
      <c r="I527" s="6" t="inlineStr">
        <is>
          <t>2024-2</t>
        </is>
      </c>
      <c r="J527" s="5" t="n">
        <v>100</v>
      </c>
      <c r="K527" s="5" t="n">
        <v>100</v>
      </c>
      <c r="L527" s="14" t="n">
        <v>1</v>
      </c>
      <c r="M527" s="14" t="n">
        <v>1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308-2024-12-31</t>
        </is>
      </c>
    </row>
    <row r="528">
      <c r="A528" s="5" t="n">
        <v>309</v>
      </c>
      <c r="B528" s="5" t="inlineStr">
        <is>
          <t>Movilidad Física Profesores Salientes</t>
        </is>
      </c>
      <c r="C528" s="5" t="inlineStr">
        <is>
          <t>VISIBILIDAD NACIONAL E INTERNACIONAL</t>
        </is>
      </c>
      <c r="D528" s="13" t="inlineStr">
        <is>
          <t>Semestral</t>
        </is>
      </c>
      <c r="E528" s="5" t="inlineStr">
        <is>
          <t>Positivo</t>
        </is>
      </c>
      <c r="F528" s="109" t="n">
        <v>45291</v>
      </c>
      <c r="G528" s="15" t="n">
        <v>2023</v>
      </c>
      <c r="H528" s="6" t="inlineStr">
        <is>
          <t>Diciembre</t>
        </is>
      </c>
      <c r="I528" s="6" t="inlineStr">
        <is>
          <t>2023-2</t>
        </is>
      </c>
      <c r="J528" s="5" t="n">
        <v>64</v>
      </c>
      <c r="K528" s="5" t="n">
        <v>103</v>
      </c>
      <c r="L528" s="14" t="n">
        <v>1.3</v>
      </c>
      <c r="M528" s="14" t="n">
        <v>1.609375</v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309-2023-12-31</t>
        </is>
      </c>
    </row>
    <row r="529">
      <c r="A529" s="5" t="n">
        <v>309</v>
      </c>
      <c r="B529" s="5" t="inlineStr">
        <is>
          <t>Movilidad Física Salientes Profesores</t>
        </is>
      </c>
      <c r="C529" s="5" t="inlineStr">
        <is>
          <t>VISIBILIDAD NACIONAL E INTERNACIONAL</t>
        </is>
      </c>
      <c r="D529" s="13" t="inlineStr">
        <is>
          <t>Semestral</t>
        </is>
      </c>
      <c r="E529" s="5" t="inlineStr">
        <is>
          <t>Positivo</t>
        </is>
      </c>
      <c r="F529" s="109" t="n">
        <v>45657</v>
      </c>
      <c r="G529" s="15" t="n">
        <v>2024</v>
      </c>
      <c r="H529" s="6" t="inlineStr">
        <is>
          <t>Diciembre</t>
        </is>
      </c>
      <c r="I529" s="6" t="inlineStr">
        <is>
          <t>2024-2</t>
        </is>
      </c>
      <c r="J529" s="5" t="n">
        <v>100</v>
      </c>
      <c r="K529" s="5" t="n">
        <v>154.67</v>
      </c>
      <c r="L529" s="14" t="n">
        <v>1.3</v>
      </c>
      <c r="M529" s="14" t="n">
        <v>1.5467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309-2024-12-31</t>
        </is>
      </c>
    </row>
    <row r="530">
      <c r="A530" s="5" t="n">
        <v>310</v>
      </c>
      <c r="B530" s="5" t="inlineStr">
        <is>
          <t>Movilidad Física Entrante Estudiantes</t>
        </is>
      </c>
      <c r="C530" s="5" t="inlineStr">
        <is>
          <t>VISIBILIDAD NACIONAL E INTERNACIONAL</t>
        </is>
      </c>
      <c r="D530" s="13" t="inlineStr">
        <is>
          <t>Semestral</t>
        </is>
      </c>
      <c r="E530" s="5" t="inlineStr">
        <is>
          <t>Positivo</t>
        </is>
      </c>
      <c r="F530" s="109" t="n">
        <v>45291</v>
      </c>
      <c r="G530" s="15" t="n">
        <v>2023</v>
      </c>
      <c r="H530" s="6" t="inlineStr">
        <is>
          <t>Diciembre</t>
        </is>
      </c>
      <c r="I530" s="6" t="inlineStr">
        <is>
          <t>2023-2</t>
        </is>
      </c>
      <c r="J530" s="5" t="n">
        <v>84</v>
      </c>
      <c r="K530" s="5" t="n">
        <v>166</v>
      </c>
      <c r="L530" s="14" t="n">
        <v>1.3</v>
      </c>
      <c r="M530" s="14" t="n">
        <v>1.976190476190476</v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310-2023-12-31</t>
        </is>
      </c>
    </row>
    <row r="531">
      <c r="A531" s="5" t="n">
        <v>310</v>
      </c>
      <c r="B531" s="5" t="inlineStr">
        <is>
          <t>Movilidad Física Entrante Estudiantes</t>
        </is>
      </c>
      <c r="C531" s="5" t="inlineStr">
        <is>
          <t>VISIBILIDAD NACIONAL E INTERNACIONAL</t>
        </is>
      </c>
      <c r="D531" s="13" t="inlineStr">
        <is>
          <t>Semestral</t>
        </is>
      </c>
      <c r="E531" s="5" t="inlineStr">
        <is>
          <t>Positivo</t>
        </is>
      </c>
      <c r="F531" s="109" t="n">
        <v>45657</v>
      </c>
      <c r="G531" s="15" t="n">
        <v>2024</v>
      </c>
      <c r="H531" s="6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79.13</v>
      </c>
      <c r="L531" s="14" t="n">
        <v>0.7913</v>
      </c>
      <c r="M531" s="14" t="n">
        <v>0.7913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310-2024-12-31</t>
        </is>
      </c>
    </row>
    <row r="532">
      <c r="A532" s="5" t="n">
        <v>311</v>
      </c>
      <c r="B532" s="5" t="inlineStr">
        <is>
          <t>Movilidad Física Saliente Estudiantes</t>
        </is>
      </c>
      <c r="C532" s="5" t="inlineStr">
        <is>
          <t>VISIBILIDAD NACIONAL E INTERNACIONAL</t>
        </is>
      </c>
      <c r="D532" s="13" t="inlineStr">
        <is>
          <t>Semestral</t>
        </is>
      </c>
      <c r="E532" s="5" t="inlineStr">
        <is>
          <t>Positivo</t>
        </is>
      </c>
      <c r="F532" s="109" t="n">
        <v>45291</v>
      </c>
      <c r="G532" s="15" t="n">
        <v>2023</v>
      </c>
      <c r="H532" s="6" t="inlineStr">
        <is>
          <t>Diciembre</t>
        </is>
      </c>
      <c r="I532" s="6" t="inlineStr">
        <is>
          <t>2023-2</t>
        </is>
      </c>
      <c r="J532" s="5" t="n">
        <v>267</v>
      </c>
      <c r="K532" s="5" t="n">
        <v>332</v>
      </c>
      <c r="L532" s="14" t="n">
        <v>1.243445692883895</v>
      </c>
      <c r="M532" s="14" t="n">
        <v>1.243445692883895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311-2023-12-31</t>
        </is>
      </c>
    </row>
    <row r="533">
      <c r="A533" s="5" t="n">
        <v>311</v>
      </c>
      <c r="B533" s="5" t="inlineStr">
        <is>
          <t>Movilidad Física Saliente Estudiantes</t>
        </is>
      </c>
      <c r="C533" s="5" t="inlineStr">
        <is>
          <t>VISIBILIDAD NACIONAL E INTERNACIONAL</t>
        </is>
      </c>
      <c r="D533" s="13" t="inlineStr">
        <is>
          <t>Semestral</t>
        </is>
      </c>
      <c r="E533" s="5" t="inlineStr">
        <is>
          <t>Positivo</t>
        </is>
      </c>
      <c r="F533" s="109" t="n">
        <v>45657</v>
      </c>
      <c r="G533" s="15" t="n">
        <v>2024</v>
      </c>
      <c r="H533" s="6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67.76000000000001</v>
      </c>
      <c r="L533" s="14" t="n">
        <v>0.6776000000000001</v>
      </c>
      <c r="M533" s="14" t="n">
        <v>0.6776000000000001</v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311-2024-12-31</t>
        </is>
      </c>
    </row>
    <row r="534">
      <c r="A534" s="5" t="n">
        <v>312</v>
      </c>
      <c r="B534" s="5" t="inlineStr">
        <is>
          <t>Clases espejo</t>
        </is>
      </c>
      <c r="C534" s="5" t="inlineStr">
        <is>
          <t>VISIBILIDAD NACIONAL E INTERNACIONAL</t>
        </is>
      </c>
      <c r="D534" s="13" t="inlineStr">
        <is>
          <t>Semestral</t>
        </is>
      </c>
      <c r="E534" s="5" t="inlineStr">
        <is>
          <t>Positivo</t>
        </is>
      </c>
      <c r="F534" s="109" t="n">
        <v>45291</v>
      </c>
      <c r="G534" s="15" t="n">
        <v>2023</v>
      </c>
      <c r="H534" s="6" t="inlineStr">
        <is>
          <t>Diciembre</t>
        </is>
      </c>
      <c r="I534" s="6" t="inlineStr">
        <is>
          <t>2023-2</t>
        </is>
      </c>
      <c r="J534" s="5" t="n">
        <v>221</v>
      </c>
      <c r="K534" s="5" t="n">
        <v>243</v>
      </c>
      <c r="L534" s="14" t="n">
        <v>1.099547511312217</v>
      </c>
      <c r="M534" s="14" t="n">
        <v>1.099547511312217</v>
      </c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312-2023-12-31</t>
        </is>
      </c>
    </row>
    <row r="535">
      <c r="A535" s="5" t="n">
        <v>312</v>
      </c>
      <c r="B535" s="5" t="inlineStr">
        <is>
          <t>Clases espejo</t>
        </is>
      </c>
      <c r="C535" s="5" t="inlineStr">
        <is>
          <t>VISIBILIDAD NACIONAL E INTERNACIONAL</t>
        </is>
      </c>
      <c r="D535" s="13" t="inlineStr">
        <is>
          <t>Semestral</t>
        </is>
      </c>
      <c r="E535" s="5" t="inlineStr">
        <is>
          <t>Positivo</t>
        </is>
      </c>
      <c r="F535" s="109" t="n">
        <v>45657</v>
      </c>
      <c r="G535" s="15" t="n">
        <v>2024</v>
      </c>
      <c r="H535" s="6" t="inlineStr">
        <is>
          <t>Diciembre</t>
        </is>
      </c>
      <c r="I535" s="6" t="inlineStr">
        <is>
          <t>2024-2</t>
        </is>
      </c>
      <c r="J535" s="5" t="n">
        <v>100</v>
      </c>
      <c r="K535" s="5" t="n">
        <v>137</v>
      </c>
      <c r="L535" s="14" t="n">
        <v>1.3</v>
      </c>
      <c r="M535" s="14" t="n">
        <v>1.37</v>
      </c>
      <c r="N535" s="5" t="inlineStr">
        <is>
          <t>ENT</t>
        </is>
      </c>
      <c r="O535" s="5" t="inlineStr">
        <is>
          <t>ENT</t>
        </is>
      </c>
      <c r="P535" s="5" t="n">
        <v>0</v>
      </c>
      <c r="Q535" s="5" t="n">
        <v>0</v>
      </c>
      <c r="R535" s="5" t="inlineStr">
        <is>
          <t>312-2024-12-31</t>
        </is>
      </c>
    </row>
    <row r="536">
      <c r="A536" s="5" t="n">
        <v>313</v>
      </c>
      <c r="B536" s="5" t="inlineStr">
        <is>
          <t>Seminarios y cursos internacionales virtuales impartidos y certificados por entidades externas</t>
        </is>
      </c>
      <c r="C536" s="5" t="inlineStr">
        <is>
          <t>VISIBILIDAD NACIONAL E INTERNACIONAL</t>
        </is>
      </c>
      <c r="D536" s="13" t="inlineStr">
        <is>
          <t>Semestral</t>
        </is>
      </c>
      <c r="E536" s="5" t="inlineStr">
        <is>
          <t>Positivo</t>
        </is>
      </c>
      <c r="F536" s="109" t="n">
        <v>45291</v>
      </c>
      <c r="G536" s="15" t="n">
        <v>2023</v>
      </c>
      <c r="H536" s="6" t="inlineStr">
        <is>
          <t>Diciembre</t>
        </is>
      </c>
      <c r="I536" s="6" t="inlineStr">
        <is>
          <t>2023-2</t>
        </is>
      </c>
      <c r="J536" s="5" t="n">
        <v>28</v>
      </c>
      <c r="K536" s="5" t="n">
        <v>25</v>
      </c>
      <c r="L536" s="14" t="n">
        <v>0.8928571428571429</v>
      </c>
      <c r="M536" s="14" t="n">
        <v>0.8928571428571429</v>
      </c>
      <c r="N536" s="5" t="inlineStr">
        <is>
          <t>ENT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313-2023-12-31</t>
        </is>
      </c>
    </row>
    <row r="537">
      <c r="A537" s="5" t="n">
        <v>313</v>
      </c>
      <c r="B537" s="5" t="inlineStr">
        <is>
          <t>Seminarios y cursos internacionales virtuales impartidos y certificados por entidades externas</t>
        </is>
      </c>
      <c r="C537" s="5" t="inlineStr">
        <is>
          <t>VISIBILIDAD NACIONAL E INTERNACIONAL</t>
        </is>
      </c>
      <c r="D537" s="13" t="inlineStr">
        <is>
          <t>Semestral</t>
        </is>
      </c>
      <c r="E537" s="5" t="inlineStr">
        <is>
          <t>Positivo</t>
        </is>
      </c>
      <c r="F537" s="109" t="n">
        <v>45657</v>
      </c>
      <c r="G537" s="15" t="n">
        <v>2024</v>
      </c>
      <c r="H537" s="6" t="inlineStr">
        <is>
          <t>Diciembre</t>
        </is>
      </c>
      <c r="I537" s="6" t="inlineStr">
        <is>
          <t>2024-2</t>
        </is>
      </c>
      <c r="J537" s="5" t="n">
        <v>100</v>
      </c>
      <c r="K537" s="5" t="n">
        <v>100</v>
      </c>
      <c r="L537" s="14" t="n">
        <v>1</v>
      </c>
      <c r="M537" s="14" t="n">
        <v>1</v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313-2024-12-31</t>
        </is>
      </c>
    </row>
    <row r="538">
      <c r="A538" s="5" t="n">
        <v>314</v>
      </c>
      <c r="B538" s="5" t="inlineStr">
        <is>
          <t>N de asignaturas COIL - (Collaborative Online International Learning)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09" t="n">
        <v>45291</v>
      </c>
      <c r="G538" s="15" t="n">
        <v>2023</v>
      </c>
      <c r="H538" s="6" t="inlineStr">
        <is>
          <t>Diciembre</t>
        </is>
      </c>
      <c r="I538" s="6" t="inlineStr">
        <is>
          <t>2023-2</t>
        </is>
      </c>
      <c r="J538" s="5" t="n">
        <v>23</v>
      </c>
      <c r="K538" s="5" t="n">
        <v>29</v>
      </c>
      <c r="L538" s="14" t="n">
        <v>1.260869565217391</v>
      </c>
      <c r="M538" s="14" t="n">
        <v>1.260869565217391</v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314-2023-12-31</t>
        </is>
      </c>
    </row>
    <row r="539">
      <c r="A539" s="5" t="n">
        <v>314</v>
      </c>
      <c r="B539" s="5" t="inlineStr">
        <is>
          <t>N de asignaturas COIL - (Collaborative Online International Learning)</t>
        </is>
      </c>
      <c r="C539" s="5" t="inlineStr">
        <is>
          <t>VISIBILIDAD NACIONAL E INTERNACIONAL</t>
        </is>
      </c>
      <c r="D539" s="13" t="inlineStr">
        <is>
          <t>Semestral</t>
        </is>
      </c>
      <c r="E539" s="5" t="inlineStr">
        <is>
          <t>Positivo</t>
        </is>
      </c>
      <c r="F539" s="109" t="n">
        <v>45657</v>
      </c>
      <c r="G539" s="15" t="n">
        <v>2024</v>
      </c>
      <c r="H539" s="6" t="inlineStr">
        <is>
          <t>Diciembre</t>
        </is>
      </c>
      <c r="I539" s="6" t="inlineStr">
        <is>
          <t>2024-2</t>
        </is>
      </c>
      <c r="J539" s="5" t="n">
        <v>100</v>
      </c>
      <c r="K539" s="5" t="n">
        <v>145</v>
      </c>
      <c r="L539" s="14" t="n">
        <v>1.3</v>
      </c>
      <c r="M539" s="14" t="n">
        <v>1.45</v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314-2024-12-31</t>
        </is>
      </c>
    </row>
    <row r="540">
      <c r="A540" s="5" t="n">
        <v>315</v>
      </c>
      <c r="B540" s="5" t="inlineStr">
        <is>
          <t>Convenios con doble titulación</t>
        </is>
      </c>
      <c r="C540" s="5" t="inlineStr">
        <is>
          <t>VISIBILIDAD NACIONAL E INTERNACIONAL</t>
        </is>
      </c>
      <c r="D540" s="13" t="inlineStr">
        <is>
          <t>Semestral</t>
        </is>
      </c>
      <c r="E540" s="5" t="inlineStr">
        <is>
          <t>Positivo</t>
        </is>
      </c>
      <c r="F540" s="109" t="n">
        <v>45291</v>
      </c>
      <c r="G540" s="15" t="n">
        <v>2023</v>
      </c>
      <c r="H540" s="6" t="inlineStr">
        <is>
          <t>Diciembre</t>
        </is>
      </c>
      <c r="I540" s="6" t="inlineStr">
        <is>
          <t>2023-2</t>
        </is>
      </c>
      <c r="J540" s="73" t="n">
        <v>5</v>
      </c>
      <c r="K540" s="9" t="n">
        <v>7</v>
      </c>
      <c r="L540" s="14" t="n">
        <v>1.3</v>
      </c>
      <c r="M540" s="14" t="n">
        <v>1.4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315-2023-12-31</t>
        </is>
      </c>
    </row>
    <row r="541">
      <c r="A541" s="5" t="n">
        <v>315</v>
      </c>
      <c r="B541" s="5" t="inlineStr">
        <is>
          <t>Num de programas con convenios de doble titulación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109" t="n">
        <v>45657</v>
      </c>
      <c r="G541" s="15" t="n">
        <v>2024</v>
      </c>
      <c r="H541" s="6" t="inlineStr">
        <is>
          <t>Diciembre</t>
        </is>
      </c>
      <c r="I541" s="6" t="inlineStr">
        <is>
          <t>2024-2</t>
        </is>
      </c>
      <c r="J541" s="5" t="n"/>
      <c r="K541" s="5" t="n"/>
      <c r="L541" s="14" t="n"/>
      <c r="M541" s="14" t="n"/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315-2024-12-31</t>
        </is>
      </c>
    </row>
    <row r="542">
      <c r="A542" s="5" t="n">
        <v>316</v>
      </c>
      <c r="B542" s="5" t="inlineStr">
        <is>
          <t>Asignaturas con sesiones en segundo idioma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109" t="n">
        <v>45291</v>
      </c>
      <c r="G542" s="15" t="n">
        <v>2023</v>
      </c>
      <c r="H542" s="6" t="inlineStr">
        <is>
          <t>Diciembre</t>
        </is>
      </c>
      <c r="I542" s="6" t="inlineStr">
        <is>
          <t>2023-2</t>
        </is>
      </c>
      <c r="J542" s="5" t="n">
        <v>21</v>
      </c>
      <c r="K542" s="5" t="n">
        <v>22</v>
      </c>
      <c r="L542" s="14" t="n">
        <v>1.047619047619048</v>
      </c>
      <c r="M542" s="14" t="n">
        <v>1.047619047619048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316-2023-12-31</t>
        </is>
      </c>
    </row>
    <row r="543">
      <c r="A543" s="5" t="n">
        <v>317</v>
      </c>
      <c r="B543" s="5" t="inlineStr">
        <is>
          <t>Plan De Internacionalización A 7 Años</t>
        </is>
      </c>
      <c r="C543" s="5" t="inlineStr">
        <is>
          <t>VISIBILIDAD NACIONAL E INTERNACIONAL</t>
        </is>
      </c>
      <c r="D543" s="13" t="inlineStr">
        <is>
          <t>Anual</t>
        </is>
      </c>
      <c r="E543" s="5" t="inlineStr">
        <is>
          <t>Positivo</t>
        </is>
      </c>
      <c r="F543" s="109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12</v>
      </c>
      <c r="K543" s="5" t="n">
        <v>12</v>
      </c>
      <c r="L543" s="14" t="n">
        <v>1</v>
      </c>
      <c r="M543" s="14" t="n">
        <v>1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317-2023-12-31</t>
        </is>
      </c>
    </row>
    <row r="544">
      <c r="A544" s="5" t="n">
        <v>317</v>
      </c>
      <c r="B544" s="5" t="inlineStr">
        <is>
          <t>Plan De Internacionalización A 7 Años</t>
        </is>
      </c>
      <c r="C544" s="5" t="inlineStr">
        <is>
          <t>VISIBILIDAD NACIONAL E INTERNACIONAL</t>
        </is>
      </c>
      <c r="D544" s="13" t="inlineStr">
        <is>
          <t>Anual</t>
        </is>
      </c>
      <c r="E544" s="5" t="inlineStr">
        <is>
          <t>Positivo</t>
        </is>
      </c>
      <c r="F544" s="109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100</v>
      </c>
      <c r="K544" s="5" t="n">
        <v>100</v>
      </c>
      <c r="L544" s="14" t="n">
        <v>1</v>
      </c>
      <c r="M544" s="14" t="n">
        <v>1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317-2024-12-31</t>
        </is>
      </c>
    </row>
    <row r="545">
      <c r="A545" s="5" t="n">
        <v>318</v>
      </c>
      <c r="B545" s="5" t="inlineStr">
        <is>
          <t>Convenios, alianzas activas con actividades desde 2018</t>
        </is>
      </c>
      <c r="C545" s="5" t="inlineStr">
        <is>
          <t>VISIBILIDAD NACIONAL E INTERNACIONAL</t>
        </is>
      </c>
      <c r="D545" s="13" t="inlineStr">
        <is>
          <t>Semestral</t>
        </is>
      </c>
      <c r="E545" s="5" t="inlineStr">
        <is>
          <t>Positivo</t>
        </is>
      </c>
      <c r="F545" s="109" t="n">
        <v>45291</v>
      </c>
      <c r="G545" s="15" t="n">
        <v>2023</v>
      </c>
      <c r="H545" s="6" t="inlineStr">
        <is>
          <t>Diciembre</t>
        </is>
      </c>
      <c r="I545" s="6" t="inlineStr">
        <is>
          <t>2023-2</t>
        </is>
      </c>
      <c r="J545" s="5" t="n">
        <v>80</v>
      </c>
      <c r="K545" s="5" t="n">
        <v>90.90909090909091</v>
      </c>
      <c r="L545" s="14" t="n">
        <v>1.136363636363636</v>
      </c>
      <c r="M545" s="14" t="n">
        <v>1.136363636363636</v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318-2023-12-31</t>
        </is>
      </c>
    </row>
    <row r="546">
      <c r="A546" s="5" t="n">
        <v>318</v>
      </c>
      <c r="B546" s="5" t="inlineStr">
        <is>
          <t>Convenios, alianzas activas con actividades en los últimos 5 años</t>
        </is>
      </c>
      <c r="C546" s="5" t="inlineStr">
        <is>
          <t>VISIBILIDAD NACIONAL E INTERNACIONAL</t>
        </is>
      </c>
      <c r="D546" s="13" t="inlineStr">
        <is>
          <t>Anual</t>
        </is>
      </c>
      <c r="E546" s="5" t="inlineStr">
        <is>
          <t>Positivo</t>
        </is>
      </c>
      <c r="F546" s="109" t="n">
        <v>45657</v>
      </c>
      <c r="G546" s="15" t="n">
        <v>2024</v>
      </c>
      <c r="H546" s="6" t="inlineStr">
        <is>
          <t>Diciembre</t>
        </is>
      </c>
      <c r="I546" s="6" t="inlineStr">
        <is>
          <t>2024-2</t>
        </is>
      </c>
      <c r="J546" s="5" t="n">
        <v>80</v>
      </c>
      <c r="K546" s="5" t="n">
        <v>90.28</v>
      </c>
      <c r="L546" s="14" t="n">
        <v>1.1285</v>
      </c>
      <c r="M546" s="14" t="n">
        <v>1.1285</v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318-2024-12-31</t>
        </is>
      </c>
    </row>
    <row r="547">
      <c r="A547" s="5" t="n">
        <v>318</v>
      </c>
      <c r="B547" s="5" t="inlineStr">
        <is>
          <t>Convenios, alianzas activas con actividades en los últimos 5 años</t>
        </is>
      </c>
      <c r="C547" s="5" t="inlineStr">
        <is>
          <t>VISIBILIDAD NACIONAL E INTERNACIONAL</t>
        </is>
      </c>
      <c r="D547" s="13" t="inlineStr">
        <is>
          <t>Anual</t>
        </is>
      </c>
      <c r="E547" s="5" t="inlineStr">
        <is>
          <t>Positivo</t>
        </is>
      </c>
      <c r="F547" s="109" t="n">
        <v>46022</v>
      </c>
      <c r="G547" s="15" t="n">
        <v>2025</v>
      </c>
      <c r="H547" s="6" t="inlineStr">
        <is>
          <t>Diciembre</t>
        </is>
      </c>
      <c r="I547" s="6" t="inlineStr">
        <is>
          <t>2025-2</t>
        </is>
      </c>
      <c r="J547" s="5" t="n">
        <v>85</v>
      </c>
      <c r="K547" s="5" t="n">
        <v>86.16</v>
      </c>
      <c r="L547" s="14" t="n">
        <v>1.013647058823529</v>
      </c>
      <c r="M547" s="14" t="n">
        <v>1.013647058823529</v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318-2025-12-31</t>
        </is>
      </c>
    </row>
    <row r="548">
      <c r="A548" s="63" t="n">
        <v>319</v>
      </c>
      <c r="B548" s="63" t="inlineStr">
        <is>
          <t>Nivel de cumplimiento de la gestión de internacionalización descrito en el plan de trabajo de la ORNI</t>
        </is>
      </c>
      <c r="C548" s="5" t="inlineStr">
        <is>
          <t>VISIBILIDAD NACIONAL E INTERNACIONAL</t>
        </is>
      </c>
      <c r="D548" s="13" t="inlineStr">
        <is>
          <t>Semestral</t>
        </is>
      </c>
      <c r="E548" s="5" t="inlineStr">
        <is>
          <t>Positivo</t>
        </is>
      </c>
      <c r="F548" s="109" t="n">
        <v>45291</v>
      </c>
      <c r="G548" s="15" t="n">
        <v>2023</v>
      </c>
      <c r="H548" s="6" t="inlineStr">
        <is>
          <t>Diciembre</t>
        </is>
      </c>
      <c r="I548" s="6" t="inlineStr">
        <is>
          <t>2023-2</t>
        </is>
      </c>
      <c r="J548" s="73" t="n">
        <v>100</v>
      </c>
      <c r="K548" s="9" t="n">
        <v>100</v>
      </c>
      <c r="L548" s="14" t="n">
        <v>1</v>
      </c>
      <c r="M548" s="14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319-2023-12-31</t>
        </is>
      </c>
    </row>
    <row r="549">
      <c r="A549" s="5" t="n">
        <v>319</v>
      </c>
      <c r="B549" s="5" t="inlineStr">
        <is>
          <t>Nivel de cumplimiento de la gestión de internacionalización descrito en el plan de trabajo de la ORNI</t>
        </is>
      </c>
      <c r="C549" s="5" t="inlineStr">
        <is>
          <t>VISIBILIDAD NACIONAL E INTERNACIONAL</t>
        </is>
      </c>
      <c r="D549" s="13" t="inlineStr">
        <is>
          <t>Semestral</t>
        </is>
      </c>
      <c r="E549" s="5" t="inlineStr">
        <is>
          <t>Positivo</t>
        </is>
      </c>
      <c r="F549" s="109" t="n">
        <v>45657</v>
      </c>
      <c r="G549" s="15" t="n">
        <v>2024</v>
      </c>
      <c r="H549" s="6" t="inlineStr">
        <is>
          <t>Diciembre</t>
        </is>
      </c>
      <c r="I549" s="6" t="inlineStr">
        <is>
          <t>2024-2</t>
        </is>
      </c>
      <c r="J549" s="5" t="n">
        <v>100</v>
      </c>
      <c r="K549" s="5" t="n">
        <v>100</v>
      </c>
      <c r="L549" s="14" t="n">
        <v>1</v>
      </c>
      <c r="M549" s="14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319-2024-12-31</t>
        </is>
      </c>
    </row>
    <row r="550">
      <c r="A550" s="5" t="n">
        <v>320</v>
      </c>
      <c r="B550" s="5" t="inlineStr">
        <is>
          <t>Participación docentes eventos académicos internacionales virtuales</t>
        </is>
      </c>
      <c r="C550" s="5" t="inlineStr">
        <is>
          <t>VISIBILIDAD NACIONAL E INTERNACIONAL</t>
        </is>
      </c>
      <c r="D550" s="13" t="inlineStr">
        <is>
          <t>Semestral</t>
        </is>
      </c>
      <c r="E550" s="5" t="inlineStr">
        <is>
          <t>Positivo</t>
        </is>
      </c>
      <c r="F550" s="109" t="n">
        <v>45291</v>
      </c>
      <c r="G550" s="15" t="n">
        <v>2023</v>
      </c>
      <c r="H550" s="6" t="inlineStr">
        <is>
          <t>Diciembre</t>
        </is>
      </c>
      <c r="I550" s="6" t="inlineStr">
        <is>
          <t>2023-2</t>
        </is>
      </c>
      <c r="J550" s="5" t="n">
        <v>41</v>
      </c>
      <c r="K550" s="5" t="n">
        <v>29</v>
      </c>
      <c r="L550" s="14" t="n">
        <v>0.7073170731707317</v>
      </c>
      <c r="M550" s="14" t="n">
        <v>0.7073170731707317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320-2023-12-31</t>
        </is>
      </c>
    </row>
    <row r="551">
      <c r="A551" s="5" t="n">
        <v>320</v>
      </c>
      <c r="B551" s="5" t="inlineStr">
        <is>
          <t>Participación docentes Poli en eventos académicos internacionales virtuales</t>
        </is>
      </c>
      <c r="C551" s="5" t="inlineStr">
        <is>
          <t>VISIBILIDAD NACIONAL E INTERNACIONAL</t>
        </is>
      </c>
      <c r="D551" s="13" t="inlineStr">
        <is>
          <t>Semestral</t>
        </is>
      </c>
      <c r="E551" s="5" t="inlineStr">
        <is>
          <t>Positivo</t>
        </is>
      </c>
      <c r="F551" s="109" t="n">
        <v>45657</v>
      </c>
      <c r="G551" s="15" t="n">
        <v>2024</v>
      </c>
      <c r="H551" s="6" t="inlineStr">
        <is>
          <t>Diciembre</t>
        </is>
      </c>
      <c r="I551" s="6" t="inlineStr">
        <is>
          <t>2024-2</t>
        </is>
      </c>
      <c r="J551" s="3" t="n">
        <v>100</v>
      </c>
      <c r="K551" s="9" t="n">
        <v>115</v>
      </c>
      <c r="L551" s="14" t="n">
        <v>1.15</v>
      </c>
      <c r="M551" s="14" t="n">
        <v>1.15</v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320-2024-12-31</t>
        </is>
      </c>
    </row>
    <row r="552">
      <c r="A552" s="5" t="n">
        <v>321</v>
      </c>
      <c r="B552" s="5" t="inlineStr">
        <is>
          <t>Participación estudiantes eventos académicos internacionales virtuales</t>
        </is>
      </c>
      <c r="C552" s="5" t="inlineStr">
        <is>
          <t>VISIBILIDAD NACIONAL E INTERNACIONAL</t>
        </is>
      </c>
      <c r="D552" s="13" t="inlineStr">
        <is>
          <t>Semestral</t>
        </is>
      </c>
      <c r="E552" s="5" t="inlineStr">
        <is>
          <t>Positivo</t>
        </is>
      </c>
      <c r="F552" s="109" t="n">
        <v>45291</v>
      </c>
      <c r="G552" s="15" t="n">
        <v>2023</v>
      </c>
      <c r="H552" s="6" t="inlineStr">
        <is>
          <t>Diciembre</t>
        </is>
      </c>
      <c r="I552" s="6" t="inlineStr">
        <is>
          <t>2023-2</t>
        </is>
      </c>
      <c r="J552" s="5" t="n">
        <v>360</v>
      </c>
      <c r="K552" s="10" t="n">
        <v>467</v>
      </c>
      <c r="L552" s="14" t="n">
        <v>1.297222222222222</v>
      </c>
      <c r="M552" s="14" t="n">
        <v>1.297222222222222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321-2023-12-31</t>
        </is>
      </c>
    </row>
    <row r="553">
      <c r="A553" s="5" t="n">
        <v>321</v>
      </c>
      <c r="B553" s="5" t="inlineStr">
        <is>
          <t>Participación estudiantes Poli en eventos académicos internacionales virtuales</t>
        </is>
      </c>
      <c r="C553" s="5" t="inlineStr">
        <is>
          <t>VISIBILIDAD NACIONAL E INTERNACIONAL</t>
        </is>
      </c>
      <c r="D553" s="13" t="inlineStr">
        <is>
          <t>Semestral</t>
        </is>
      </c>
      <c r="E553" s="5" t="inlineStr">
        <is>
          <t>Positivo</t>
        </is>
      </c>
      <c r="F553" s="109" t="n">
        <v>45657</v>
      </c>
      <c r="G553" s="15" t="n">
        <v>2024</v>
      </c>
      <c r="H553" s="6" t="inlineStr">
        <is>
          <t>Diciembre</t>
        </is>
      </c>
      <c r="I553" s="6" t="inlineStr">
        <is>
          <t>2024-2</t>
        </is>
      </c>
      <c r="J553" s="5" t="n">
        <v>100</v>
      </c>
      <c r="K553" s="52" t="n">
        <v>502.17</v>
      </c>
      <c r="L553" s="14" t="n">
        <v>1.3</v>
      </c>
      <c r="M553" s="14" t="n">
        <v>5.0217</v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321-2024-12-31</t>
        </is>
      </c>
    </row>
    <row r="554">
      <c r="A554" s="5" t="n">
        <v>323</v>
      </c>
      <c r="B554" s="5" t="inlineStr">
        <is>
          <t>Número de renovaciones de registro calificado</t>
        </is>
      </c>
      <c r="C554" s="5" t="inlineStr">
        <is>
          <t>Creación, modificación y cierre de programas académicos</t>
        </is>
      </c>
      <c r="D554" s="13" t="inlineStr">
        <is>
          <t>Semestral</t>
        </is>
      </c>
      <c r="E554" s="5" t="inlineStr">
        <is>
          <t>Positivo</t>
        </is>
      </c>
      <c r="F554" s="109" t="n">
        <v>45291</v>
      </c>
      <c r="G554" s="15" t="n">
        <v>2023</v>
      </c>
      <c r="H554" s="6" t="inlineStr">
        <is>
          <t>Diciembre</t>
        </is>
      </c>
      <c r="I554" s="6" t="inlineStr">
        <is>
          <t>2023-2</t>
        </is>
      </c>
      <c r="J554" s="5" t="n">
        <v>200</v>
      </c>
      <c r="K554" s="5" t="n">
        <v>200</v>
      </c>
      <c r="L554" s="14" t="n">
        <v>1</v>
      </c>
      <c r="M554" s="14" t="n">
        <v>1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323-2023-12-31</t>
        </is>
      </c>
    </row>
    <row r="555">
      <c r="A555" s="5" t="n">
        <v>323</v>
      </c>
      <c r="B555" s="5" t="inlineStr">
        <is>
          <t>Número de renovaciones de registro calificado</t>
        </is>
      </c>
      <c r="C555" s="5" t="inlineStr">
        <is>
          <t>Creación, modificación y cierre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109" t="n">
        <v>45657</v>
      </c>
      <c r="G555" s="15" t="n">
        <v>2024</v>
      </c>
      <c r="H555" s="6" t="inlineStr">
        <is>
          <t>Diciembre</t>
        </is>
      </c>
      <c r="I555" s="6" t="inlineStr">
        <is>
          <t>2024-2</t>
        </is>
      </c>
      <c r="J555" s="5" t="n">
        <v>200</v>
      </c>
      <c r="K555" s="5" t="n">
        <v>100</v>
      </c>
      <c r="L555" s="14" t="n">
        <v>0.5</v>
      </c>
      <c r="M555" s="14" t="n">
        <v>0.5</v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323-2024-12-31</t>
        </is>
      </c>
    </row>
    <row r="556">
      <c r="A556" s="5" t="n">
        <v>323</v>
      </c>
      <c r="B556" s="5" t="inlineStr">
        <is>
          <t>Número de renovaciones de registro calificado</t>
        </is>
      </c>
      <c r="C556" s="5" t="inlineStr">
        <is>
          <t>Creación, modificación y cierre de programas académicos</t>
        </is>
      </c>
      <c r="D556" s="13" t="inlineStr">
        <is>
          <t>Semestral</t>
        </is>
      </c>
      <c r="E556" s="5" t="inlineStr">
        <is>
          <t>Positivo</t>
        </is>
      </c>
      <c r="F556" s="109" t="n">
        <v>46022</v>
      </c>
      <c r="G556" s="15" t="n">
        <v>2025</v>
      </c>
      <c r="H556" s="6" t="inlineStr">
        <is>
          <t>Diciembre</t>
        </is>
      </c>
      <c r="I556" s="6" t="inlineStr">
        <is>
          <t>2025-2</t>
        </is>
      </c>
      <c r="J556" s="5" t="n">
        <v>200</v>
      </c>
      <c r="K556" s="5" t="n">
        <v>200</v>
      </c>
      <c r="L556" s="14" t="n">
        <v>1</v>
      </c>
      <c r="M556" s="14" t="n">
        <v>1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323-2025-12-31</t>
        </is>
      </c>
    </row>
    <row r="557">
      <c r="A557" s="5" t="n">
        <v>324</v>
      </c>
      <c r="B557" s="5" t="inlineStr">
        <is>
          <t>Número de programas nuevos radicados en el Ministerio de Educación</t>
        </is>
      </c>
      <c r="C557" s="5" t="inlineStr">
        <is>
          <t>Creación, modificación y cierre de programas académicos</t>
        </is>
      </c>
      <c r="D557" s="13" t="inlineStr">
        <is>
          <t>Semestral</t>
        </is>
      </c>
      <c r="E557" s="5" t="inlineStr">
        <is>
          <t>Positivo</t>
        </is>
      </c>
      <c r="F557" s="109" t="n">
        <v>45291</v>
      </c>
      <c r="G557" s="15" t="n">
        <v>2023</v>
      </c>
      <c r="H557" s="6" t="inlineStr">
        <is>
          <t>Diciembre</t>
        </is>
      </c>
      <c r="I557" s="6" t="inlineStr">
        <is>
          <t>2023-2</t>
        </is>
      </c>
      <c r="J557" s="5" t="n">
        <v>200</v>
      </c>
      <c r="K557" s="5" t="n">
        <v>100</v>
      </c>
      <c r="L557" s="14" t="n">
        <v>0.5</v>
      </c>
      <c r="M557" s="14" t="n">
        <v>0.5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324-2023-12-31</t>
        </is>
      </c>
    </row>
    <row r="558">
      <c r="A558" s="5" t="n">
        <v>324</v>
      </c>
      <c r="B558" s="5" t="inlineStr">
        <is>
          <t>Número de programas nuevos radicados en el Ministerio de Educación</t>
        </is>
      </c>
      <c r="C558" s="5" t="inlineStr">
        <is>
          <t>Creación, modificación y cierre de programas académicos</t>
        </is>
      </c>
      <c r="D558" s="13" t="inlineStr">
        <is>
          <t>Semestral</t>
        </is>
      </c>
      <c r="E558" s="5" t="inlineStr">
        <is>
          <t>Positivo</t>
        </is>
      </c>
      <c r="F558" s="109" t="n">
        <v>45657</v>
      </c>
      <c r="G558" s="15" t="n">
        <v>2024</v>
      </c>
      <c r="H558" s="6" t="inlineStr">
        <is>
          <t>Diciembre</t>
        </is>
      </c>
      <c r="I558" s="6" t="inlineStr">
        <is>
          <t>2024-2</t>
        </is>
      </c>
      <c r="J558" s="5" t="n">
        <v>200</v>
      </c>
      <c r="K558" s="5" t="n">
        <v>100</v>
      </c>
      <c r="L558" s="14" t="n">
        <v>0.5</v>
      </c>
      <c r="M558" s="14" t="n">
        <v>0.5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324-2024-12-31</t>
        </is>
      </c>
    </row>
    <row r="559">
      <c r="A559" s="5" t="n">
        <v>324</v>
      </c>
      <c r="B559" s="5" t="inlineStr">
        <is>
          <t>Número de programas nuevos radicados en el Ministerio de Educación</t>
        </is>
      </c>
      <c r="C559" s="5" t="inlineStr">
        <is>
          <t>Creación, modificación y cierre de programas académicos</t>
        </is>
      </c>
      <c r="D559" s="13" t="inlineStr">
        <is>
          <t>Trimestral</t>
        </is>
      </c>
      <c r="E559" s="5" t="inlineStr">
        <is>
          <t>Positivo</t>
        </is>
      </c>
      <c r="F559" s="109" t="n">
        <v>46022</v>
      </c>
      <c r="G559" s="15" t="n">
        <v>2025</v>
      </c>
      <c r="H559" s="6" t="inlineStr">
        <is>
          <t>Diciembre</t>
        </is>
      </c>
      <c r="I559" s="6" t="inlineStr">
        <is>
          <t>2025-2</t>
        </is>
      </c>
      <c r="J559" s="15" t="n">
        <v>200</v>
      </c>
      <c r="K559" s="5" t="n">
        <v>300</v>
      </c>
      <c r="L559" s="14" t="n">
        <v>1.3</v>
      </c>
      <c r="M559" s="14" t="n">
        <v>1.5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324-2025-12-31</t>
        </is>
      </c>
    </row>
    <row r="560">
      <c r="A560" s="5" t="n">
        <v>325</v>
      </c>
      <c r="B560" s="5" t="inlineStr">
        <is>
          <t>Número de programas nuevos con registro calificado aprobado</t>
        </is>
      </c>
      <c r="C560" s="5" t="inlineStr">
        <is>
          <t>Creación, modificación y cierre de programas académicos</t>
        </is>
      </c>
      <c r="D560" s="13" t="inlineStr">
        <is>
          <t>Semestral</t>
        </is>
      </c>
      <c r="E560" s="5" t="inlineStr">
        <is>
          <t>Positivo</t>
        </is>
      </c>
      <c r="F560" s="109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200</v>
      </c>
      <c r="K560" s="5" t="n">
        <v>100</v>
      </c>
      <c r="L560" s="14" t="n">
        <v>0.5</v>
      </c>
      <c r="M560" s="14" t="n">
        <v>0.5</v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325-2023-12-31</t>
        </is>
      </c>
    </row>
    <row r="561">
      <c r="A561" s="5" t="n">
        <v>325</v>
      </c>
      <c r="B561" s="5" t="inlineStr">
        <is>
          <t>Número de programas nuevos con registro calificado aprobado</t>
        </is>
      </c>
      <c r="C561" s="5" t="inlineStr">
        <is>
          <t>Creación, modificación y cierre de programas académicos</t>
        </is>
      </c>
      <c r="D561" s="13" t="inlineStr">
        <is>
          <t>Semestral</t>
        </is>
      </c>
      <c r="E561" s="5" t="inlineStr">
        <is>
          <t>Positivo</t>
        </is>
      </c>
      <c r="F561" s="109" t="n">
        <v>45657</v>
      </c>
      <c r="G561" s="15" t="n">
        <v>2024</v>
      </c>
      <c r="H561" s="6" t="inlineStr">
        <is>
          <t>Diciembre</t>
        </is>
      </c>
      <c r="I561" s="6" t="inlineStr">
        <is>
          <t>2024-2</t>
        </is>
      </c>
      <c r="J561" s="5" t="n">
        <v>200</v>
      </c>
      <c r="K561" s="5" t="n">
        <v>200</v>
      </c>
      <c r="L561" s="14" t="n">
        <v>1</v>
      </c>
      <c r="M561" s="14" t="n">
        <v>1</v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325-2024-12-31</t>
        </is>
      </c>
    </row>
    <row r="562">
      <c r="A562" s="5" t="n">
        <v>325</v>
      </c>
      <c r="B562" s="5" t="inlineStr">
        <is>
          <t>Número de programas nuevos con registro calificado aprobado</t>
        </is>
      </c>
      <c r="C562" s="5" t="inlineStr">
        <is>
          <t>Creación, modificación y cierre de programas académicos</t>
        </is>
      </c>
      <c r="D562" s="13" t="inlineStr">
        <is>
          <t>Semestral</t>
        </is>
      </c>
      <c r="E562" s="5" t="inlineStr">
        <is>
          <t>Positivo</t>
        </is>
      </c>
      <c r="F562" s="109" t="n">
        <v>46022</v>
      </c>
      <c r="G562" s="15" t="n">
        <v>2025</v>
      </c>
      <c r="H562" s="6" t="inlineStr">
        <is>
          <t>Diciembre</t>
        </is>
      </c>
      <c r="I562" s="6" t="inlineStr">
        <is>
          <t>2025-2</t>
        </is>
      </c>
      <c r="J562" s="5" t="n">
        <v>12</v>
      </c>
      <c r="K562" s="5" t="n">
        <v>200</v>
      </c>
      <c r="L562" s="14" t="n">
        <v>1.3</v>
      </c>
      <c r="M562" s="14" t="n">
        <v>16.66666666666667</v>
      </c>
      <c r="N562" s="5" t="inlineStr">
        <is>
          <t>ENT</t>
        </is>
      </c>
      <c r="O562" s="5" t="inlineStr">
        <is>
          <t>ENT</t>
        </is>
      </c>
      <c r="P562" s="5" t="n">
        <v>0</v>
      </c>
      <c r="Q562" s="5" t="n">
        <v>0</v>
      </c>
      <c r="R562" s="5" t="inlineStr">
        <is>
          <t>325-2025-12-31</t>
        </is>
      </c>
    </row>
    <row r="563">
      <c r="A563" s="5" t="n">
        <v>326</v>
      </c>
      <c r="B563" s="5" t="inlineStr">
        <is>
          <t>Número de informes de autoevaluación con fines de acreditación en alta calidad radicados</t>
        </is>
      </c>
      <c r="C563" s="5" t="inlineStr">
        <is>
          <t>Autoevaluación de programas académicos</t>
        </is>
      </c>
      <c r="D563" s="13" t="inlineStr">
        <is>
          <t>Anual</t>
        </is>
      </c>
      <c r="E563" s="5" t="inlineStr">
        <is>
          <t>Positivo</t>
        </is>
      </c>
      <c r="F563" s="109" t="n">
        <v>45291</v>
      </c>
      <c r="G563" s="15" t="n">
        <v>2023</v>
      </c>
      <c r="H563" s="6" t="inlineStr">
        <is>
          <t>Diciembre</t>
        </is>
      </c>
      <c r="I563" s="6" t="inlineStr">
        <is>
          <t>2023-2</t>
        </is>
      </c>
      <c r="J563" s="5" t="n">
        <v>100</v>
      </c>
      <c r="K563" s="5" t="n">
        <v>100</v>
      </c>
      <c r="L563" s="14" t="n">
        <v>1</v>
      </c>
      <c r="M563" s="14" t="n">
        <v>1</v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326-2023-12-31</t>
        </is>
      </c>
    </row>
    <row r="564">
      <c r="A564" s="5" t="n">
        <v>326</v>
      </c>
      <c r="B564" s="5" t="inlineStr">
        <is>
          <t>Número de informes de autoevaluación con fines de acreditación en alta calidad radicados- Metrica</t>
        </is>
      </c>
      <c r="C564" s="5" t="inlineStr">
        <is>
          <t>Autoevaluación de programas académicos</t>
        </is>
      </c>
      <c r="D564" s="13" t="inlineStr">
        <is>
          <t>Anual</t>
        </is>
      </c>
      <c r="E564" s="5" t="inlineStr">
        <is>
          <t>Positivo</t>
        </is>
      </c>
      <c r="F564" s="109" t="n">
        <v>45657</v>
      </c>
      <c r="G564" s="15" t="n">
        <v>2024</v>
      </c>
      <c r="H564" s="6" t="inlineStr">
        <is>
          <t>Diciembre</t>
        </is>
      </c>
      <c r="I564" s="6" t="inlineStr">
        <is>
          <t>2024-2</t>
        </is>
      </c>
      <c r="J564" s="5" t="n">
        <v>0</v>
      </c>
      <c r="K564" s="5" t="n">
        <v>0</v>
      </c>
      <c r="L564" s="14" t="n">
        <v>1</v>
      </c>
      <c r="M564" s="14" t="n">
        <v>1</v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326-2024-12-31</t>
        </is>
      </c>
      <c r="S564" t="inlineStr">
        <is>
          <t>Metrica</t>
        </is>
      </c>
    </row>
    <row r="565">
      <c r="A565" s="5" t="n">
        <v>326</v>
      </c>
      <c r="B565" s="5" t="inlineStr">
        <is>
          <t>Número de informes de autoevaluación con fines de acreditación en alta calidad radicados- Metrica</t>
        </is>
      </c>
      <c r="C565" s="5" t="inlineStr">
        <is>
          <t>Autoevaluación de programas académicos</t>
        </is>
      </c>
      <c r="D565" s="13" t="inlineStr">
        <is>
          <t>Anual</t>
        </is>
      </c>
      <c r="E565" s="5" t="inlineStr">
        <is>
          <t>Positivo</t>
        </is>
      </c>
      <c r="F565" s="109" t="n">
        <v>46022</v>
      </c>
      <c r="G565" s="15" t="n">
        <v>2025</v>
      </c>
      <c r="H565" s="6" t="inlineStr">
        <is>
          <t>Diciembre</t>
        </is>
      </c>
      <c r="I565" s="6" t="inlineStr">
        <is>
          <t>2025-2</t>
        </is>
      </c>
      <c r="J565" s="5" t="n">
        <v>3</v>
      </c>
      <c r="K565" s="5" t="n">
        <v>100</v>
      </c>
      <c r="L565" s="14" t="n">
        <v>1.3</v>
      </c>
      <c r="M565" s="14" t="n">
        <v>33.33333333333334</v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326-2025-12-31</t>
        </is>
      </c>
      <c r="S565" t="inlineStr">
        <is>
          <t>Metrica</t>
        </is>
      </c>
    </row>
    <row r="566">
      <c r="A566" s="5" t="n">
        <v>327</v>
      </c>
      <c r="B566" s="5" t="inlineStr">
        <is>
          <t>Número de programas con obtención de acreditación por primera vez</t>
        </is>
      </c>
      <c r="C566" s="5" t="inlineStr">
        <is>
          <t>Autoevaluación de programas académicos</t>
        </is>
      </c>
      <c r="D566" s="13" t="inlineStr">
        <is>
          <t>Semestral</t>
        </is>
      </c>
      <c r="E566" s="5" t="inlineStr">
        <is>
          <t>Positivo</t>
        </is>
      </c>
      <c r="F566" s="109" t="n">
        <v>45291</v>
      </c>
      <c r="G566" s="15" t="n">
        <v>2023</v>
      </c>
      <c r="H566" s="6" t="inlineStr">
        <is>
          <t>Diciembre</t>
        </is>
      </c>
      <c r="I566" s="6" t="inlineStr">
        <is>
          <t>2023-2</t>
        </is>
      </c>
      <c r="J566" s="5" t="n">
        <v>200</v>
      </c>
      <c r="K566" s="5" t="n">
        <v>100</v>
      </c>
      <c r="L566" s="14" t="n">
        <v>0.5</v>
      </c>
      <c r="M566" s="14" t="n">
        <v>0.5</v>
      </c>
      <c r="N566" s="5" t="inlineStr">
        <is>
          <t>ENT</t>
        </is>
      </c>
      <c r="O566" s="5" t="inlineStr">
        <is>
          <t>ENT</t>
        </is>
      </c>
      <c r="P566" s="5" t="n">
        <v>0</v>
      </c>
      <c r="Q566" s="5" t="n">
        <v>0</v>
      </c>
      <c r="R566" s="5" t="inlineStr">
        <is>
          <t>327-2023-12-31</t>
        </is>
      </c>
    </row>
    <row r="567">
      <c r="A567" s="5" t="n">
        <v>327</v>
      </c>
      <c r="B567" s="5" t="inlineStr">
        <is>
          <t>Número de programas con obtención de acreditación por primera vez</t>
        </is>
      </c>
      <c r="C567" s="5" t="inlineStr">
        <is>
          <t>Autoevaluación de programas académicos</t>
        </is>
      </c>
      <c r="D567" s="13" t="inlineStr">
        <is>
          <t>Semestral</t>
        </is>
      </c>
      <c r="E567" s="5" t="inlineStr">
        <is>
          <t>Positivo</t>
        </is>
      </c>
      <c r="F567" s="109" t="n">
        <v>45657</v>
      </c>
      <c r="G567" s="15" t="n">
        <v>2024</v>
      </c>
      <c r="H567" s="6" t="inlineStr">
        <is>
          <t>Diciembre</t>
        </is>
      </c>
      <c r="I567" s="6" t="inlineStr">
        <is>
          <t>2024-2</t>
        </is>
      </c>
      <c r="J567" s="5" t="n">
        <v>100</v>
      </c>
      <c r="K567" s="5" t="n">
        <v>0</v>
      </c>
      <c r="L567" s="14" t="n">
        <v>0</v>
      </c>
      <c r="M567" s="14" t="n">
        <v>0</v>
      </c>
      <c r="N567" s="5" t="inlineStr">
        <is>
          <t>ENT</t>
        </is>
      </c>
      <c r="O567" s="5" t="inlineStr">
        <is>
          <t>ENT</t>
        </is>
      </c>
      <c r="P567" s="5" t="n">
        <v>0</v>
      </c>
      <c r="Q567" s="5" t="n">
        <v>0</v>
      </c>
      <c r="R567" s="5" t="inlineStr">
        <is>
          <t>327-2024-12-31</t>
        </is>
      </c>
    </row>
    <row r="568">
      <c r="A568" s="5" t="n">
        <v>327</v>
      </c>
      <c r="B568" s="5" t="inlineStr">
        <is>
          <t>Número de programas con obtención de acreditación por primera vez- Metrica</t>
        </is>
      </c>
      <c r="C568" s="5" t="inlineStr">
        <is>
          <t>Autoevaluación de programas académicos</t>
        </is>
      </c>
      <c r="D568" s="13" t="inlineStr">
        <is>
          <t>Trimestral</t>
        </is>
      </c>
      <c r="E568" s="5" t="inlineStr">
        <is>
          <t>Positivo</t>
        </is>
      </c>
      <c r="F568" s="109" t="n">
        <v>46022</v>
      </c>
      <c r="G568" s="15" t="n">
        <v>2025</v>
      </c>
      <c r="H568" s="6" t="inlineStr">
        <is>
          <t>Diciembre</t>
        </is>
      </c>
      <c r="I568" s="6" t="inlineStr">
        <is>
          <t>2025-2</t>
        </is>
      </c>
      <c r="J568" s="5" t="n">
        <v>200</v>
      </c>
      <c r="K568" s="5" t="n">
        <v>200</v>
      </c>
      <c r="L568" s="14" t="n">
        <v>1</v>
      </c>
      <c r="M568" s="14" t="n">
        <v>1</v>
      </c>
      <c r="N568" s="5" t="inlineStr">
        <is>
          <t>ENT</t>
        </is>
      </c>
      <c r="O568" s="5" t="inlineStr">
        <is>
          <t>ENT</t>
        </is>
      </c>
      <c r="P568" s="5" t="n">
        <v>0</v>
      </c>
      <c r="Q568" s="5" t="n">
        <v>0</v>
      </c>
      <c r="R568" s="5" t="inlineStr">
        <is>
          <t>327-2025-12-31</t>
        </is>
      </c>
      <c r="S568" t="inlineStr">
        <is>
          <t>Metrica</t>
        </is>
      </c>
    </row>
    <row r="569">
      <c r="A569" s="5" t="n">
        <v>328</v>
      </c>
      <c r="B569" s="5" t="inlineStr">
        <is>
          <t>Nivel de encuestas obtenidas en el encuentro institucional de graduados</t>
        </is>
      </c>
      <c r="C569" s="5" t="inlineStr">
        <is>
          <t>Gestión de Graduados</t>
        </is>
      </c>
      <c r="D569" s="13" t="inlineStr">
        <is>
          <t>Anual</t>
        </is>
      </c>
      <c r="E569" s="5" t="inlineStr">
        <is>
          <t>Positivo</t>
        </is>
      </c>
      <c r="F569" s="109" t="n">
        <v>45291</v>
      </c>
      <c r="G569" s="15" t="n">
        <v>2023</v>
      </c>
      <c r="H569" s="6" t="inlineStr">
        <is>
          <t>Diciembre</t>
        </is>
      </c>
      <c r="I569" s="6" t="inlineStr">
        <is>
          <t>2023-2</t>
        </is>
      </c>
      <c r="J569" s="5" t="n">
        <v>800</v>
      </c>
      <c r="K569" s="5" t="n">
        <v>1035</v>
      </c>
      <c r="L569" s="14" t="n">
        <v>1.29375</v>
      </c>
      <c r="M569" s="14" t="n">
        <v>1.29375</v>
      </c>
      <c r="N569" s="5" t="inlineStr">
        <is>
          <t>ENT</t>
        </is>
      </c>
      <c r="O569" s="5" t="inlineStr">
        <is>
          <t>ENT</t>
        </is>
      </c>
      <c r="P569" s="5" t="n">
        <v>0</v>
      </c>
      <c r="Q569" s="5" t="n">
        <v>0</v>
      </c>
      <c r="R569" s="5" t="inlineStr">
        <is>
          <t>328-2023-12-31</t>
        </is>
      </c>
    </row>
    <row r="570">
      <c r="A570" s="5" t="n">
        <v>328</v>
      </c>
      <c r="B570" s="5" t="inlineStr">
        <is>
          <t>Nivel de encuestas obtenidas en el encuentro institucional de graduados</t>
        </is>
      </c>
      <c r="C570" s="5" t="inlineStr">
        <is>
          <t>Gestión de Graduados</t>
        </is>
      </c>
      <c r="D570" s="13" t="inlineStr">
        <is>
          <t>Anual</t>
        </is>
      </c>
      <c r="E570" s="5" t="inlineStr">
        <is>
          <t>Positivo</t>
        </is>
      </c>
      <c r="F570" s="109" t="n">
        <v>45657</v>
      </c>
      <c r="G570" s="15" t="n">
        <v>2024</v>
      </c>
      <c r="H570" s="6" t="inlineStr">
        <is>
          <t>Diciembre</t>
        </is>
      </c>
      <c r="I570" s="6" t="inlineStr">
        <is>
          <t>2024-2</t>
        </is>
      </c>
      <c r="J570" s="5" t="n">
        <v>100</v>
      </c>
      <c r="K570" s="5" t="n">
        <v>157</v>
      </c>
      <c r="L570" s="14" t="n">
        <v>1.3</v>
      </c>
      <c r="M570" s="14" t="n">
        <v>1.57</v>
      </c>
      <c r="N570" s="5" t="inlineStr">
        <is>
          <t>ENT</t>
        </is>
      </c>
      <c r="O570" s="5" t="inlineStr">
        <is>
          <t>ENT</t>
        </is>
      </c>
      <c r="P570" s="5" t="n">
        <v>0</v>
      </c>
      <c r="Q570" s="5" t="n">
        <v>0</v>
      </c>
      <c r="R570" s="5" t="inlineStr">
        <is>
          <t>328-2024-12-31</t>
        </is>
      </c>
    </row>
    <row r="571">
      <c r="A571" s="5" t="n">
        <v>329</v>
      </c>
      <c r="B571" s="5" t="inlineStr">
        <is>
          <t>Participación en actividades diseñadas para graduados</t>
        </is>
      </c>
      <c r="C571" s="5" t="inlineStr">
        <is>
          <t>Gestión de Graduados</t>
        </is>
      </c>
      <c r="D571" s="13" t="inlineStr">
        <is>
          <t>Anual</t>
        </is>
      </c>
      <c r="E571" s="5" t="inlineStr">
        <is>
          <t>Positivo</t>
        </is>
      </c>
      <c r="F571" s="109" t="n">
        <v>45291</v>
      </c>
      <c r="G571" s="15" t="n">
        <v>2023</v>
      </c>
      <c r="H571" s="6" t="inlineStr">
        <is>
          <t>Diciembre</t>
        </is>
      </c>
      <c r="I571" s="6" t="inlineStr">
        <is>
          <t>2023-2</t>
        </is>
      </c>
      <c r="J571" s="5" t="n">
        <v>3000</v>
      </c>
      <c r="K571" s="5" t="n">
        <v>3315</v>
      </c>
      <c r="L571" s="14" t="n">
        <v>1.105</v>
      </c>
      <c r="M571" s="14" t="n">
        <v>1.105</v>
      </c>
      <c r="N571" s="5" t="inlineStr">
        <is>
          <t>ENT</t>
        </is>
      </c>
      <c r="O571" s="5" t="inlineStr">
        <is>
          <t>ENT</t>
        </is>
      </c>
      <c r="P571" s="5" t="n">
        <v>0</v>
      </c>
      <c r="Q571" s="5" t="n">
        <v>0</v>
      </c>
      <c r="R571" s="5" t="inlineStr">
        <is>
          <t>329-2023-12-31</t>
        </is>
      </c>
    </row>
    <row r="572">
      <c r="A572" s="5" t="n">
        <v>329</v>
      </c>
      <c r="B572" s="5" t="inlineStr">
        <is>
          <t>Participación en actividades diseñadas para graduados</t>
        </is>
      </c>
      <c r="C572" s="5" t="inlineStr">
        <is>
          <t>Gestión de Graduados</t>
        </is>
      </c>
      <c r="D572" s="13" t="inlineStr">
        <is>
          <t>Anual</t>
        </is>
      </c>
      <c r="E572" s="5" t="inlineStr">
        <is>
          <t>Positivo</t>
        </is>
      </c>
      <c r="F572" s="109" t="n">
        <v>45657</v>
      </c>
      <c r="G572" s="15" t="n">
        <v>2024</v>
      </c>
      <c r="H572" s="6" t="inlineStr">
        <is>
          <t>Diciembre</t>
        </is>
      </c>
      <c r="I572" s="6" t="inlineStr">
        <is>
          <t>2024-2</t>
        </is>
      </c>
      <c r="J572" s="5" t="n">
        <v>100</v>
      </c>
      <c r="K572" s="5" t="n">
        <v>106.63</v>
      </c>
      <c r="L572" s="14" t="n">
        <v>1.0663</v>
      </c>
      <c r="M572" s="14" t="n">
        <v>1.0663</v>
      </c>
      <c r="N572" s="5" t="inlineStr">
        <is>
          <t>ENT</t>
        </is>
      </c>
      <c r="O572" s="5" t="inlineStr">
        <is>
          <t>ENT</t>
        </is>
      </c>
      <c r="P572" s="5" t="n">
        <v>0</v>
      </c>
      <c r="Q572" s="5" t="n">
        <v>0</v>
      </c>
      <c r="R572" s="5" t="inlineStr">
        <is>
          <t>329-2024-12-31</t>
        </is>
      </c>
    </row>
    <row r="573">
      <c r="A573" s="5" t="n">
        <v>331</v>
      </c>
      <c r="B573" s="5" t="inlineStr">
        <is>
          <t>Nivel de empleabilidad del graduado</t>
        </is>
      </c>
      <c r="C573" s="5" t="inlineStr">
        <is>
          <t>Gestión de Graduados</t>
        </is>
      </c>
      <c r="D573" s="13" t="inlineStr">
        <is>
          <t>Anual</t>
        </is>
      </c>
      <c r="E573" s="5" t="inlineStr">
        <is>
          <t>Positivo</t>
        </is>
      </c>
      <c r="F573" s="109" t="n">
        <v>45291</v>
      </c>
      <c r="G573" s="15" t="n">
        <v>2023</v>
      </c>
      <c r="H573" s="6" t="inlineStr">
        <is>
          <t>Diciembre</t>
        </is>
      </c>
      <c r="I573" s="6" t="inlineStr">
        <is>
          <t>2023-2</t>
        </is>
      </c>
      <c r="J573" s="5" t="n"/>
      <c r="K573" s="5" t="n">
        <v>81</v>
      </c>
      <c r="L573" s="14" t="n"/>
      <c r="M573" s="14" t="n"/>
      <c r="N573" s="5" t="inlineStr">
        <is>
          <t>No Aplica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331-2023-12-31</t>
        </is>
      </c>
    </row>
    <row r="574">
      <c r="A574" s="5" t="n">
        <v>331</v>
      </c>
      <c r="B574" s="5" t="inlineStr">
        <is>
          <t>Nivel de empleabilidad del graduado</t>
        </is>
      </c>
      <c r="C574" s="5" t="inlineStr">
        <is>
          <t>Gestión de Graduados</t>
        </is>
      </c>
      <c r="D574" s="13" t="inlineStr">
        <is>
          <t>Anual</t>
        </is>
      </c>
      <c r="E574" s="5" t="inlineStr">
        <is>
          <t>Positivo</t>
        </is>
      </c>
      <c r="F574" s="109" t="n">
        <v>45657</v>
      </c>
      <c r="G574" s="15" t="n">
        <v>2024</v>
      </c>
      <c r="H574" s="6" t="inlineStr">
        <is>
          <t>Diciembre</t>
        </is>
      </c>
      <c r="I574" s="6" t="inlineStr">
        <is>
          <t>2024-2</t>
        </is>
      </c>
      <c r="J574" s="5" t="n"/>
      <c r="K574" s="5" t="n">
        <v>82</v>
      </c>
      <c r="L574" s="14" t="n"/>
      <c r="M574" s="14" t="n"/>
      <c r="N574" s="5" t="inlineStr">
        <is>
          <t>No Aplica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331-2024-12-31</t>
        </is>
      </c>
    </row>
    <row r="575">
      <c r="A575" s="5" t="n">
        <v>332</v>
      </c>
      <c r="B575" s="5" t="inlineStr">
        <is>
          <t>Índice de rotación</t>
        </is>
      </c>
      <c r="C575" s="5" t="inlineStr">
        <is>
          <t>GESTIÓN Y DESARROLLO DEL TALENTO HUMANO</t>
        </is>
      </c>
      <c r="D575" s="13" t="inlineStr">
        <is>
          <t>Semestral</t>
        </is>
      </c>
      <c r="E575" s="5" t="inlineStr">
        <is>
          <t>Negativo</t>
        </is>
      </c>
      <c r="F575" s="109" t="n">
        <v>45291</v>
      </c>
      <c r="G575" s="15" t="n">
        <v>2023</v>
      </c>
      <c r="H575" s="6" t="inlineStr">
        <is>
          <t>Diciembre</t>
        </is>
      </c>
      <c r="I575" s="6" t="inlineStr">
        <is>
          <t>2023-2</t>
        </is>
      </c>
      <c r="J575" s="5" t="n">
        <v>1.8</v>
      </c>
      <c r="K575" s="5" t="n">
        <v>1.435</v>
      </c>
      <c r="L575" s="14" t="n">
        <v>1.254355400696864</v>
      </c>
      <c r="M575" s="14" t="n">
        <v>1.254355400696864</v>
      </c>
      <c r="N575" s="5" t="inlineStr">
        <is>
          <t>DEC</t>
        </is>
      </c>
      <c r="O575" s="5" t="inlineStr">
        <is>
          <t>DEC</t>
        </is>
      </c>
      <c r="P575" s="5" t="n">
        <v>1</v>
      </c>
      <c r="Q575" s="5" t="n">
        <v>1</v>
      </c>
      <c r="R575" s="5" t="inlineStr">
        <is>
          <t>332-2023-12-31</t>
        </is>
      </c>
    </row>
    <row r="576">
      <c r="A576" s="5" t="n">
        <v>332</v>
      </c>
      <c r="B576" s="5" t="inlineStr">
        <is>
          <t>Índice de rotación</t>
        </is>
      </c>
      <c r="C576" s="5" t="inlineStr">
        <is>
          <t>GESTIÓN Y DESARROLLO DEL TALENTO HUMANO</t>
        </is>
      </c>
      <c r="D576" s="13" t="inlineStr">
        <is>
          <t>Semestral</t>
        </is>
      </c>
      <c r="E576" s="5" t="inlineStr">
        <is>
          <t>Negativo</t>
        </is>
      </c>
      <c r="F576" s="109" t="n">
        <v>45657</v>
      </c>
      <c r="G576" s="15" t="n">
        <v>2024</v>
      </c>
      <c r="H576" s="6" t="inlineStr">
        <is>
          <t>Diciembre</t>
        </is>
      </c>
      <c r="I576" s="6" t="inlineStr">
        <is>
          <t>2024-2</t>
        </is>
      </c>
      <c r="J576" s="5" t="n">
        <v>1.65</v>
      </c>
      <c r="K576" s="5" t="n">
        <v>1.15</v>
      </c>
      <c r="L576" s="14" t="n">
        <v>1.3</v>
      </c>
      <c r="M576" s="14" t="n">
        <v>1.434782608695652</v>
      </c>
      <c r="N576" s="5" t="inlineStr">
        <is>
          <t>DEC</t>
        </is>
      </c>
      <c r="O576" s="5" t="inlineStr">
        <is>
          <t>DEC</t>
        </is>
      </c>
      <c r="P576" s="5" t="n">
        <v>1</v>
      </c>
      <c r="Q576" s="5" t="n">
        <v>2</v>
      </c>
      <c r="R576" s="5" t="inlineStr">
        <is>
          <t>332-2024-12-31</t>
        </is>
      </c>
    </row>
    <row r="577">
      <c r="A577" s="5" t="n">
        <v>332</v>
      </c>
      <c r="B577" s="5" t="inlineStr">
        <is>
          <t>Índice de rotación</t>
        </is>
      </c>
      <c r="C577" s="5" t="inlineStr">
        <is>
          <t>GESTIÓN Y DESARROLLO DEL TALENTO HUMANO</t>
        </is>
      </c>
      <c r="D577" s="13" t="inlineStr">
        <is>
          <t>Semestral</t>
        </is>
      </c>
      <c r="E577" s="5" t="inlineStr">
        <is>
          <t>Negativo</t>
        </is>
      </c>
      <c r="F577" s="109" t="n">
        <v>46022</v>
      </c>
      <c r="G577" s="15" t="n">
        <v>2025</v>
      </c>
      <c r="H577" s="6" t="inlineStr">
        <is>
          <t>Diciembre</t>
        </is>
      </c>
      <c r="I577" s="6" t="inlineStr">
        <is>
          <t>2025-2</t>
        </is>
      </c>
      <c r="J577" s="5" t="n">
        <v>1.18</v>
      </c>
      <c r="K577" s="5" t="n">
        <v>0.89</v>
      </c>
      <c r="L577" s="14" t="n">
        <v>1.3</v>
      </c>
      <c r="M577" s="14" t="n">
        <v>1.325842696629213</v>
      </c>
      <c r="N577" s="5" t="inlineStr">
        <is>
          <t>DEC</t>
        </is>
      </c>
      <c r="O577" s="5" t="inlineStr">
        <is>
          <t>DEC</t>
        </is>
      </c>
      <c r="P577" s="5" t="n">
        <v>2</v>
      </c>
      <c r="Q577" s="5" t="n">
        <v>2</v>
      </c>
      <c r="R577" s="5" t="inlineStr">
        <is>
          <t>332-2025-12-31</t>
        </is>
      </c>
    </row>
    <row r="578">
      <c r="A578" s="5" t="n">
        <v>334</v>
      </c>
      <c r="B578" s="5" t="inlineStr">
        <is>
          <t>Resultado de la evaluación 360 (evaluación por competencias)</t>
        </is>
      </c>
      <c r="C578" s="5" t="inlineStr">
        <is>
          <t>GESTIÓN Y DESARROLLO DEL TALENTO HUMANO</t>
        </is>
      </c>
      <c r="D578" s="13" t="inlineStr">
        <is>
          <t>Anual</t>
        </is>
      </c>
      <c r="E578" s="5" t="inlineStr">
        <is>
          <t>Positivo</t>
        </is>
      </c>
      <c r="F578" s="109" t="n">
        <v>45291</v>
      </c>
      <c r="G578" s="15" t="n">
        <v>2023</v>
      </c>
      <c r="H578" s="6" t="inlineStr">
        <is>
          <t>Diciembre</t>
        </is>
      </c>
      <c r="I578" s="6" t="inlineStr">
        <is>
          <t>2023-2</t>
        </is>
      </c>
      <c r="J578" s="5" t="n">
        <v>88</v>
      </c>
      <c r="K578" s="5" t="n">
        <v>88.39</v>
      </c>
      <c r="L578" s="14" t="n">
        <v>1.004431818181818</v>
      </c>
      <c r="M578" s="14" t="n">
        <v>1.004431818181818</v>
      </c>
      <c r="N578" s="5" t="inlineStr">
        <is>
          <t>ENT</t>
        </is>
      </c>
      <c r="O578" s="5" t="inlineStr">
        <is>
          <t>DEC</t>
        </is>
      </c>
      <c r="P578" s="5" t="n">
        <v>0</v>
      </c>
      <c r="Q578" s="5" t="n">
        <v>1</v>
      </c>
      <c r="R578" s="5" t="inlineStr">
        <is>
          <t>334-2023-12-31</t>
        </is>
      </c>
    </row>
    <row r="579">
      <c r="A579" s="5" t="n">
        <v>334</v>
      </c>
      <c r="B579" s="5" t="inlineStr">
        <is>
          <t>Resultado de la evaluación 360 (evaluación por competencias)</t>
        </is>
      </c>
      <c r="C579" s="5" t="inlineStr">
        <is>
          <t>GESTIÓN Y DESARROLLO DEL TALENTO HUMANO</t>
        </is>
      </c>
      <c r="D579" s="13" t="inlineStr">
        <is>
          <t>Anual</t>
        </is>
      </c>
      <c r="E579" s="5" t="inlineStr">
        <is>
          <t>Positivo</t>
        </is>
      </c>
      <c r="F579" s="109" t="n">
        <v>45657</v>
      </c>
      <c r="G579" s="15" t="n">
        <v>2024</v>
      </c>
      <c r="H579" s="6" t="inlineStr">
        <is>
          <t>Diciembre</t>
        </is>
      </c>
      <c r="I579" s="6" t="inlineStr">
        <is>
          <t>2024-2</t>
        </is>
      </c>
      <c r="J579" s="5" t="n">
        <v>88</v>
      </c>
      <c r="K579" s="5" t="n">
        <v>88.84</v>
      </c>
      <c r="L579" s="14" t="n">
        <v>1.009545454545455</v>
      </c>
      <c r="M579" s="14" t="n">
        <v>1.009545454545455</v>
      </c>
      <c r="N579" s="5" t="inlineStr">
        <is>
          <t>ENT</t>
        </is>
      </c>
      <c r="O579" s="5" t="inlineStr">
        <is>
          <t>DEC</t>
        </is>
      </c>
      <c r="P579" s="5" t="n">
        <v>0</v>
      </c>
      <c r="Q579" s="5" t="n">
        <v>1</v>
      </c>
      <c r="R579" s="5" t="inlineStr">
        <is>
          <t>334-2024-12-31</t>
        </is>
      </c>
    </row>
    <row r="580">
      <c r="A580" s="5" t="n">
        <v>334</v>
      </c>
      <c r="B580" s="5" t="inlineStr">
        <is>
          <t>Resultado de la evaluación 360 (evaluación por competencias)</t>
        </is>
      </c>
      <c r="C580" s="5" t="inlineStr">
        <is>
          <t>GESTIÓN Y DESARROLLO DEL TALENTO HUMANO</t>
        </is>
      </c>
      <c r="D580" s="13" t="inlineStr">
        <is>
          <t>Anual</t>
        </is>
      </c>
      <c r="E580" s="5" t="inlineStr">
        <is>
          <t>Positivo</t>
        </is>
      </c>
      <c r="F580" s="109" t="n">
        <v>46022</v>
      </c>
      <c r="G580" s="15" t="n">
        <v>2025</v>
      </c>
      <c r="H580" s="6" t="inlineStr">
        <is>
          <t>Diciembre</t>
        </is>
      </c>
      <c r="I580" s="6" t="inlineStr">
        <is>
          <t>2025-2</t>
        </is>
      </c>
      <c r="J580" s="5" t="n">
        <v>89</v>
      </c>
      <c r="K580" s="5" t="n">
        <v>90.09999999999999</v>
      </c>
      <c r="L580" s="14" t="n">
        <v>1.012359550561798</v>
      </c>
      <c r="M580" s="14" t="n">
        <v>1.012359550561798</v>
      </c>
      <c r="N580" s="5" t="inlineStr">
        <is>
          <t>ENT</t>
        </is>
      </c>
      <c r="O580" s="5" t="inlineStr">
        <is>
          <t>DEC</t>
        </is>
      </c>
      <c r="P580" s="5" t="n">
        <v>0</v>
      </c>
      <c r="Q580" s="5" t="n">
        <v>1</v>
      </c>
      <c r="R580" s="5" t="inlineStr">
        <is>
          <t>334-2025-12-31</t>
        </is>
      </c>
    </row>
    <row r="581">
      <c r="A581" s="5" t="n">
        <v>335</v>
      </c>
      <c r="B581" s="5" t="inlineStr">
        <is>
          <t>Cumplimiento de diagnóstico necesidades de capacitación por área</t>
        </is>
      </c>
      <c r="C581" s="5" t="inlineStr">
        <is>
          <t>GESTIÓN Y DESARROLLO DEL TALENTO HUMANO</t>
        </is>
      </c>
      <c r="D581" s="13" t="inlineStr">
        <is>
          <t>Anual</t>
        </is>
      </c>
      <c r="E581" s="5" t="inlineStr">
        <is>
          <t>Positivo</t>
        </is>
      </c>
      <c r="F581" s="109" t="n">
        <v>45291</v>
      </c>
      <c r="G581" s="15" t="n">
        <v>2023</v>
      </c>
      <c r="H581" s="6" t="inlineStr">
        <is>
          <t>Diciembre</t>
        </is>
      </c>
      <c r="I581" s="6" t="inlineStr">
        <is>
          <t>2023-2</t>
        </is>
      </c>
      <c r="J581" s="5" t="n">
        <v>80</v>
      </c>
      <c r="K581" s="5" t="n">
        <v>93.84999999999999</v>
      </c>
      <c r="L581" s="14" t="n">
        <v>1.173125</v>
      </c>
      <c r="M581" s="14" t="n">
        <v>1.173125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335-2023-12-31</t>
        </is>
      </c>
    </row>
    <row r="582">
      <c r="A582" s="5" t="n">
        <v>335</v>
      </c>
      <c r="B582" s="5" t="inlineStr">
        <is>
          <t>Cumplimiento de diagnóstico necesidades de capacitación por área</t>
        </is>
      </c>
      <c r="C582" s="5" t="inlineStr">
        <is>
          <t>GESTIÓN Y DESARROLLO DEL TALENTO HUMANO</t>
        </is>
      </c>
      <c r="D582" s="13" t="inlineStr">
        <is>
          <t>Anual</t>
        </is>
      </c>
      <c r="E582" s="5" t="inlineStr">
        <is>
          <t>Positivo</t>
        </is>
      </c>
      <c r="F582" s="109" t="n">
        <v>45657</v>
      </c>
      <c r="G582" s="15" t="n">
        <v>2024</v>
      </c>
      <c r="H582" s="6" t="inlineStr">
        <is>
          <t>Diciembre</t>
        </is>
      </c>
      <c r="I582" s="6" t="inlineStr">
        <is>
          <t>2024-2</t>
        </is>
      </c>
      <c r="J582" s="5" t="n">
        <v>82</v>
      </c>
      <c r="K582" s="5" t="n">
        <v>80.95</v>
      </c>
      <c r="L582" s="14" t="n">
        <v>0.9871951219512195</v>
      </c>
      <c r="M582" s="14" t="n">
        <v>0.9871951219512195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335-2024-12-31</t>
        </is>
      </c>
    </row>
    <row r="583">
      <c r="A583" s="5" t="n">
        <v>336</v>
      </c>
      <c r="B583" s="5" t="inlineStr">
        <is>
          <t>Materiales bibliográficos en formato físico con estado de perdida</t>
        </is>
      </c>
      <c r="C583" s="5" t="inlineStr">
        <is>
          <t>Biblioteca Institucional</t>
        </is>
      </c>
      <c r="D583" s="13" t="inlineStr">
        <is>
          <t>Anual</t>
        </is>
      </c>
      <c r="E583" s="5" t="inlineStr">
        <is>
          <t>Negativo</t>
        </is>
      </c>
      <c r="F583" s="109" t="n">
        <v>45291</v>
      </c>
      <c r="G583" s="15" t="n">
        <v>2023</v>
      </c>
      <c r="H583" s="6" t="inlineStr">
        <is>
          <t>Diciembre</t>
        </is>
      </c>
      <c r="I583" s="6" t="inlineStr">
        <is>
          <t>2023-2</t>
        </is>
      </c>
      <c r="J583" s="5" t="n">
        <v>2</v>
      </c>
      <c r="K583" s="5" t="n">
        <v>1.742198218602321</v>
      </c>
      <c r="L583" s="14" t="n">
        <v>1.147975</v>
      </c>
      <c r="M583" s="14" t="n">
        <v>1.147975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336-2023-12-31</t>
        </is>
      </c>
    </row>
    <row r="584">
      <c r="A584" s="5" t="n">
        <v>336</v>
      </c>
      <c r="B584" s="5" t="inlineStr">
        <is>
          <t>Materiales bibliográficos en formato físico con estado de perdida</t>
        </is>
      </c>
      <c r="C584" s="5" t="inlineStr">
        <is>
          <t>Biblioteca Institucional</t>
        </is>
      </c>
      <c r="D584" s="13" t="inlineStr">
        <is>
          <t>Anual</t>
        </is>
      </c>
      <c r="E584" s="5" t="inlineStr">
        <is>
          <t>Negativo</t>
        </is>
      </c>
      <c r="F584" s="109" t="n">
        <v>45657</v>
      </c>
      <c r="G584" s="15" t="n">
        <v>2024</v>
      </c>
      <c r="H584" s="6" t="inlineStr">
        <is>
          <t>Diciembre</t>
        </is>
      </c>
      <c r="I584" s="6" t="inlineStr">
        <is>
          <t>2024-2</t>
        </is>
      </c>
      <c r="J584" s="5" t="n">
        <v>2</v>
      </c>
      <c r="K584" s="5" t="n">
        <v>0.79</v>
      </c>
      <c r="L584" s="14" t="n">
        <v>1.3</v>
      </c>
      <c r="M584" s="14" t="n">
        <v>2.531645569620253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336-2024-12-31</t>
        </is>
      </c>
    </row>
    <row r="585">
      <c r="A585" s="5" t="n">
        <v>336</v>
      </c>
      <c r="B585" s="5" t="inlineStr">
        <is>
          <t>Materiales bibliográficos en formato físico con estado de perdida</t>
        </is>
      </c>
      <c r="C585" s="5" t="inlineStr">
        <is>
          <t>Biblioteca Institucional</t>
        </is>
      </c>
      <c r="D585" s="13" t="inlineStr">
        <is>
          <t>Anual</t>
        </is>
      </c>
      <c r="E585" s="5" t="inlineStr">
        <is>
          <t>Negativo</t>
        </is>
      </c>
      <c r="F585" s="109" t="n">
        <v>46022</v>
      </c>
      <c r="G585" s="15" t="n">
        <v>2025</v>
      </c>
      <c r="H585" s="6" t="inlineStr">
        <is>
          <t>Diciembre</t>
        </is>
      </c>
      <c r="I585" s="6" t="inlineStr">
        <is>
          <t>2025-2</t>
        </is>
      </c>
      <c r="J585" s="5" t="n">
        <v>2</v>
      </c>
      <c r="K585" s="5" t="n">
        <v>0.36</v>
      </c>
      <c r="L585" s="14" t="n">
        <v>1.3</v>
      </c>
      <c r="M585" s="14" t="n">
        <v>5.555555555555555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336-2025-12-31</t>
        </is>
      </c>
    </row>
    <row r="586">
      <c r="A586" s="5" t="n">
        <v>337</v>
      </c>
      <c r="B586" s="5" t="inlineStr">
        <is>
          <t>Número de programas con renovación de acreditación en alta calidad</t>
        </is>
      </c>
      <c r="C586" s="5" t="inlineStr">
        <is>
          <t>Autoevaluación de programas académicos</t>
        </is>
      </c>
      <c r="D586" s="13" t="inlineStr">
        <is>
          <t>Semestral</t>
        </is>
      </c>
      <c r="E586" s="5" t="inlineStr">
        <is>
          <t>Positivo</t>
        </is>
      </c>
      <c r="F586" s="109" t="n">
        <v>45291</v>
      </c>
      <c r="G586" s="15" t="n">
        <v>2023</v>
      </c>
      <c r="H586" s="6" t="inlineStr">
        <is>
          <t>Diciembre</t>
        </is>
      </c>
      <c r="I586" s="6" t="inlineStr">
        <is>
          <t>2023-2</t>
        </is>
      </c>
      <c r="J586" s="5" t="n">
        <v>200</v>
      </c>
      <c r="K586" t="n">
        <v>100</v>
      </c>
      <c r="L586" s="14" t="n">
        <v>0.5</v>
      </c>
      <c r="M586" s="14" t="n">
        <v>0.5</v>
      </c>
      <c r="N586" s="5" t="inlineStr">
        <is>
          <t>ENT</t>
        </is>
      </c>
      <c r="O586" s="5" t="inlineStr">
        <is>
          <t>ENT</t>
        </is>
      </c>
      <c r="P586" s="5" t="n">
        <v>0</v>
      </c>
      <c r="Q586" s="5" t="n">
        <v>0</v>
      </c>
      <c r="R586" s="5" t="inlineStr">
        <is>
          <t>337-2023-12-31</t>
        </is>
      </c>
    </row>
    <row r="587">
      <c r="A587" s="5" t="n">
        <v>337</v>
      </c>
      <c r="B587" s="5" t="inlineStr">
        <is>
          <t>Número de programas con renovación de acreditación en alta calidad</t>
        </is>
      </c>
      <c r="C587" s="5" t="inlineStr">
        <is>
          <t>Autoevaluación de programas académicos</t>
        </is>
      </c>
      <c r="D587" s="13" t="inlineStr">
        <is>
          <t>Semestral</t>
        </is>
      </c>
      <c r="E587" s="5" t="inlineStr">
        <is>
          <t>Positivo</t>
        </is>
      </c>
      <c r="F587" s="109" t="n">
        <v>45657</v>
      </c>
      <c r="G587" s="15" t="n">
        <v>2024</v>
      </c>
      <c r="H587" s="6" t="inlineStr">
        <is>
          <t>Diciembre</t>
        </is>
      </c>
      <c r="I587" s="6" t="inlineStr">
        <is>
          <t>2024-2</t>
        </is>
      </c>
      <c r="J587" s="5" t="n">
        <v>200</v>
      </c>
      <c r="K587" s="5" t="n">
        <v>100</v>
      </c>
      <c r="L587" s="14" t="n">
        <v>0.5</v>
      </c>
      <c r="M587" s="14" t="n">
        <v>0.5</v>
      </c>
      <c r="N587" s="5" t="inlineStr">
        <is>
          <t>ENT</t>
        </is>
      </c>
      <c r="O587" s="5" t="inlineStr">
        <is>
          <t>ENT</t>
        </is>
      </c>
      <c r="P587" s="5" t="n">
        <v>0</v>
      </c>
      <c r="Q587" s="5" t="n">
        <v>0</v>
      </c>
      <c r="R587" s="5" t="inlineStr">
        <is>
          <t>337-2024-12-31</t>
        </is>
      </c>
    </row>
    <row r="588">
      <c r="A588" s="5" t="n">
        <v>337</v>
      </c>
      <c r="B588" s="5" t="inlineStr">
        <is>
          <t>Número de programas con renovación de acreditación en alta calidad - Metrica</t>
        </is>
      </c>
      <c r="C588" s="5" t="inlineStr">
        <is>
          <t>Autoevaluación de programas académicos</t>
        </is>
      </c>
      <c r="D588" s="13" t="inlineStr">
        <is>
          <t>Semestral</t>
        </is>
      </c>
      <c r="E588" s="5" t="inlineStr">
        <is>
          <t>Positivo</t>
        </is>
      </c>
      <c r="F588" s="109" t="n">
        <v>45838</v>
      </c>
      <c r="G588" s="15" t="n">
        <v>2025</v>
      </c>
      <c r="H588" s="6" t="inlineStr">
        <is>
          <t>Junio</t>
        </is>
      </c>
      <c r="I588" s="6" t="inlineStr">
        <is>
          <t>2025-1</t>
        </is>
      </c>
      <c r="J588" s="5" t="n">
        <v>100</v>
      </c>
      <c r="K588" s="5" t="n"/>
      <c r="L588" s="14" t="n"/>
      <c r="M588" s="14" t="n"/>
      <c r="N588" s="5" t="n"/>
      <c r="O588" s="5" t="n"/>
      <c r="P588" s="5" t="n">
        <v>0</v>
      </c>
      <c r="Q588" s="5" t="n">
        <v>0</v>
      </c>
      <c r="R588" s="5" t="inlineStr">
        <is>
          <t>337-2025-06-30</t>
        </is>
      </c>
    </row>
    <row r="589">
      <c r="A589" s="5" t="n">
        <v>338</v>
      </c>
      <c r="B589" s="5" t="inlineStr">
        <is>
          <t>Número de programas con condiciones iniciales aprobadas</t>
        </is>
      </c>
      <c r="C589" s="5" t="inlineStr">
        <is>
          <t>Autoevaluación de programas académicos</t>
        </is>
      </c>
      <c r="D589" s="13" t="inlineStr">
        <is>
          <t>Semestral</t>
        </is>
      </c>
      <c r="E589" s="5" t="inlineStr">
        <is>
          <t>Positivo</t>
        </is>
      </c>
      <c r="F589" s="109" t="n">
        <v>45291</v>
      </c>
      <c r="G589" s="15" t="n">
        <v>2023</v>
      </c>
      <c r="H589" s="6" t="inlineStr">
        <is>
          <t>Diciembre</t>
        </is>
      </c>
      <c r="I589" s="6" t="inlineStr">
        <is>
          <t>2023-2</t>
        </is>
      </c>
      <c r="J589" s="5" t="n">
        <v>100</v>
      </c>
      <c r="K589" s="5" t="n">
        <v>100</v>
      </c>
      <c r="L589" s="14" t="n">
        <v>1</v>
      </c>
      <c r="M589" s="14" t="n">
        <v>1</v>
      </c>
      <c r="N589" s="5" t="inlineStr">
        <is>
          <t>ENT</t>
        </is>
      </c>
      <c r="O589" s="5" t="inlineStr">
        <is>
          <t>ENT</t>
        </is>
      </c>
      <c r="P589" s="5" t="n">
        <v>0</v>
      </c>
      <c r="Q589" s="5" t="n">
        <v>0</v>
      </c>
      <c r="R589" s="5" t="inlineStr">
        <is>
          <t>338-2023-12-31</t>
        </is>
      </c>
    </row>
    <row r="590">
      <c r="A590" s="5" t="n">
        <v>338</v>
      </c>
      <c r="B590" s="5" t="inlineStr">
        <is>
          <t>Número de programas con condiciones iniciales aprobadas</t>
        </is>
      </c>
      <c r="C590" s="5" t="inlineStr">
        <is>
          <t>Autoevaluación de programas académicos</t>
        </is>
      </c>
      <c r="D590" s="13" t="inlineStr">
        <is>
          <t>Semestral</t>
        </is>
      </c>
      <c r="E590" s="5" t="inlineStr">
        <is>
          <t>Positivo</t>
        </is>
      </c>
      <c r="F590" s="109" t="n">
        <v>45657</v>
      </c>
      <c r="G590" s="15" t="n">
        <v>2024</v>
      </c>
      <c r="H590" s="6" t="inlineStr">
        <is>
          <t>Diciembre</t>
        </is>
      </c>
      <c r="I590" s="6" t="inlineStr">
        <is>
          <t>2024-2</t>
        </is>
      </c>
      <c r="J590" s="5" t="n">
        <v>200</v>
      </c>
      <c r="K590" s="5" t="n">
        <v>100</v>
      </c>
      <c r="L590" s="14" t="n">
        <v>0.5</v>
      </c>
      <c r="M590" s="14" t="n">
        <v>0.5</v>
      </c>
      <c r="N590" s="5" t="inlineStr">
        <is>
          <t>ENT</t>
        </is>
      </c>
      <c r="O590" s="5" t="inlineStr">
        <is>
          <t>ENT</t>
        </is>
      </c>
      <c r="P590" s="5" t="n">
        <v>0</v>
      </c>
      <c r="Q590" s="5" t="n">
        <v>0</v>
      </c>
      <c r="R590" s="5" t="inlineStr">
        <is>
          <t>338-2024-12-31</t>
        </is>
      </c>
    </row>
    <row r="591">
      <c r="A591" s="5" t="n">
        <v>338</v>
      </c>
      <c r="B591" s="5" t="inlineStr">
        <is>
          <t>Número de programas con condiciones iniciales aprobadas (indicador externo)- Metrica</t>
        </is>
      </c>
      <c r="C591" s="5" t="inlineStr">
        <is>
          <t>Autoevaluación de programas académicos</t>
        </is>
      </c>
      <c r="D591" s="13" t="inlineStr">
        <is>
          <t>Trimestral</t>
        </is>
      </c>
      <c r="E591" s="5" t="inlineStr">
        <is>
          <t>Positivo</t>
        </is>
      </c>
      <c r="F591" s="109" t="n">
        <v>46022</v>
      </c>
      <c r="G591" s="15" t="n">
        <v>2025</v>
      </c>
      <c r="H591" s="6" t="inlineStr">
        <is>
          <t>Diciembre</t>
        </is>
      </c>
      <c r="I591" s="6" t="inlineStr">
        <is>
          <t>2025-2</t>
        </is>
      </c>
      <c r="J591" s="5" t="n">
        <v>200</v>
      </c>
      <c r="K591" s="5" t="n">
        <v>200</v>
      </c>
      <c r="L591" s="14" t="n">
        <v>1</v>
      </c>
      <c r="M591" s="14" t="n">
        <v>1</v>
      </c>
      <c r="N591" s="5" t="inlineStr">
        <is>
          <t>ENT</t>
        </is>
      </c>
      <c r="O591" s="5" t="inlineStr">
        <is>
          <t>ENT</t>
        </is>
      </c>
      <c r="P591" s="5" t="n">
        <v>0</v>
      </c>
      <c r="Q591" s="5" t="n">
        <v>0</v>
      </c>
      <c r="R591" s="5" t="inlineStr">
        <is>
          <t>338-2025-12-31</t>
        </is>
      </c>
      <c r="S591" t="inlineStr">
        <is>
          <t>Metrica</t>
        </is>
      </c>
    </row>
    <row r="592">
      <c r="A592" s="5" t="n">
        <v>339</v>
      </c>
      <c r="B592" s="5" t="inlineStr">
        <is>
          <t>% Programas acreditables acreditados Sede Bogotá</t>
        </is>
      </c>
      <c r="C592" s="5" t="inlineStr">
        <is>
          <t>Autoevaluación institucional</t>
        </is>
      </c>
      <c r="D592" s="13" t="inlineStr">
        <is>
          <t>Anual</t>
        </is>
      </c>
      <c r="E592" s="5" t="inlineStr">
        <is>
          <t>Positivo</t>
        </is>
      </c>
      <c r="F592" s="109" t="n">
        <v>45291</v>
      </c>
      <c r="G592" s="15" t="n">
        <v>2023</v>
      </c>
      <c r="H592" s="6" t="inlineStr">
        <is>
          <t>Diciembre</t>
        </is>
      </c>
      <c r="I592" s="6" t="inlineStr">
        <is>
          <t>2023-2</t>
        </is>
      </c>
      <c r="J592" s="5" t="n">
        <v>30</v>
      </c>
      <c r="K592" s="5" t="n">
        <v>28.57142857142857</v>
      </c>
      <c r="L592" s="14" t="n">
        <v>0.9523809523809523</v>
      </c>
      <c r="M592" s="14" t="n">
        <v>0.9523809523809523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1</v>
      </c>
      <c r="R592" s="5" t="inlineStr">
        <is>
          <t>339-2023-12-31</t>
        </is>
      </c>
    </row>
    <row r="593">
      <c r="A593" s="5" t="n">
        <v>339</v>
      </c>
      <c r="B593" s="5" t="inlineStr">
        <is>
          <t>% Programas acreditables acreditados Sede Bogotá</t>
        </is>
      </c>
      <c r="C593" s="5" t="inlineStr">
        <is>
          <t>Autoevaluación institucional</t>
        </is>
      </c>
      <c r="D593" s="13" t="inlineStr">
        <is>
          <t>Anual</t>
        </is>
      </c>
      <c r="E593" s="5" t="inlineStr">
        <is>
          <t>Positivo</t>
        </is>
      </c>
      <c r="F593" s="109" t="n">
        <v>45657</v>
      </c>
      <c r="G593" s="15" t="n">
        <v>2024</v>
      </c>
      <c r="H593" s="6" t="inlineStr">
        <is>
          <t>Diciembre</t>
        </is>
      </c>
      <c r="I593" s="6" t="inlineStr">
        <is>
          <t>2024-2</t>
        </is>
      </c>
      <c r="J593" s="5" t="n">
        <v>30</v>
      </c>
      <c r="K593" s="5" t="n">
        <v>30.3</v>
      </c>
      <c r="L593" s="14" t="n">
        <v>1.01</v>
      </c>
      <c r="M593" s="14" t="n">
        <v>1.01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1</v>
      </c>
      <c r="R593" s="5" t="inlineStr">
        <is>
          <t>339-2024-12-31</t>
        </is>
      </c>
    </row>
    <row r="594">
      <c r="A594" s="5" t="n">
        <v>339</v>
      </c>
      <c r="B594" s="5" t="inlineStr">
        <is>
          <t>% Programas acreditables acreditados Sede Bogotá</t>
        </is>
      </c>
      <c r="C594" s="5" t="inlineStr">
        <is>
          <t>Autoevaluación institucional</t>
        </is>
      </c>
      <c r="D594" s="13" t="inlineStr">
        <is>
          <t>Anual</t>
        </is>
      </c>
      <c r="E594" s="5" t="inlineStr">
        <is>
          <t>Positivo</t>
        </is>
      </c>
      <c r="F594" s="109" t="n">
        <v>46022</v>
      </c>
      <c r="G594" s="15" t="n">
        <v>2025</v>
      </c>
      <c r="H594" s="6" t="inlineStr">
        <is>
          <t>Diciembre</t>
        </is>
      </c>
      <c r="I594" s="6" t="inlineStr">
        <is>
          <t>2025-2</t>
        </is>
      </c>
      <c r="J594" s="5" t="n">
        <v>30</v>
      </c>
      <c r="K594" s="5" t="n">
        <v>35.29</v>
      </c>
      <c r="L594" s="14" t="n">
        <v>1.176333333333333</v>
      </c>
      <c r="M594" s="14" t="n">
        <v>1.176333333333333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1</v>
      </c>
      <c r="R594" s="5" t="inlineStr">
        <is>
          <t>339-2025-12-31</t>
        </is>
      </c>
    </row>
    <row r="595">
      <c r="A595" s="5" t="n">
        <v>340</v>
      </c>
      <c r="B595" s="5" t="inlineStr">
        <is>
          <t>Cumplimiento cronograma revisiones locativas</t>
        </is>
      </c>
      <c r="C595" s="5" t="inlineStr">
        <is>
          <t>Gestión Infraestructura Física</t>
        </is>
      </c>
      <c r="D595" s="13" t="inlineStr">
        <is>
          <t>Trimestral</t>
        </is>
      </c>
      <c r="E595" s="5" t="inlineStr">
        <is>
          <t>Positivo</t>
        </is>
      </c>
      <c r="F595" s="109" t="n">
        <v>45291</v>
      </c>
      <c r="G595" s="15" t="n">
        <v>2023</v>
      </c>
      <c r="H595" s="6" t="inlineStr">
        <is>
          <t>Diciembre</t>
        </is>
      </c>
      <c r="I595" s="6" t="inlineStr">
        <is>
          <t>2023-2</t>
        </is>
      </c>
      <c r="J595" s="5" t="n">
        <v>90</v>
      </c>
      <c r="K595" s="5" t="n">
        <v>100</v>
      </c>
      <c r="L595" s="14" t="n">
        <v>1.111111111111111</v>
      </c>
      <c r="M595" s="14" t="n">
        <v>1.111111111111111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340-2023-12-31</t>
        </is>
      </c>
    </row>
    <row r="596">
      <c r="A596" s="5" t="n">
        <v>340</v>
      </c>
      <c r="B596" s="5" t="inlineStr">
        <is>
          <t>Cumplimiento cronograma revisiones locativas</t>
        </is>
      </c>
      <c r="C596" s="5" t="inlineStr">
        <is>
          <t>Gestión Infraestructura Física</t>
        </is>
      </c>
      <c r="D596" s="13" t="inlineStr">
        <is>
          <t>Trimestral</t>
        </is>
      </c>
      <c r="E596" s="5" t="inlineStr">
        <is>
          <t>Positivo</t>
        </is>
      </c>
      <c r="F596" s="109" t="n">
        <v>45657</v>
      </c>
      <c r="G596" s="15" t="n">
        <v>2024</v>
      </c>
      <c r="H596" s="6" t="inlineStr">
        <is>
          <t>Diciembre</t>
        </is>
      </c>
      <c r="I596" s="6" t="inlineStr">
        <is>
          <t>2024-2</t>
        </is>
      </c>
      <c r="J596" s="5" t="n">
        <v>95</v>
      </c>
      <c r="K596" s="5" t="n">
        <v>100</v>
      </c>
      <c r="L596" s="14" t="n">
        <v>1.052631578947368</v>
      </c>
      <c r="M596" s="14" t="n">
        <v>1.052631578947368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340-2024-12-31</t>
        </is>
      </c>
    </row>
    <row r="597">
      <c r="A597" s="5" t="n">
        <v>341</v>
      </c>
      <c r="B597" s="5" t="inlineStr">
        <is>
          <t>Monto total de ahorro en gestión de abastecimiento</t>
        </is>
      </c>
      <c r="C597" s="5" t="inlineStr">
        <is>
          <t>GESTIÓN DE ABASTECIMIENTO</t>
        </is>
      </c>
      <c r="D597" s="13" t="inlineStr">
        <is>
          <t>Semestral</t>
        </is>
      </c>
      <c r="E597" s="5" t="inlineStr">
        <is>
          <t>Positivo</t>
        </is>
      </c>
      <c r="F597" s="109" t="n">
        <v>45291</v>
      </c>
      <c r="G597" s="15" t="n">
        <v>2023</v>
      </c>
      <c r="H597" s="6" t="inlineStr">
        <is>
          <t>Diciembre</t>
        </is>
      </c>
      <c r="I597" s="6" t="inlineStr">
        <is>
          <t>2023-2</t>
        </is>
      </c>
      <c r="J597" s="5" t="n">
        <v>200</v>
      </c>
      <c r="K597" s="10" t="n">
        <v>254.43966666667</v>
      </c>
      <c r="L597" s="14" t="n">
        <v>1.27219833333335</v>
      </c>
      <c r="M597" s="14" t="n">
        <v>1.27219833333335</v>
      </c>
      <c r="N597" s="5" t="inlineStr">
        <is>
          <t>$</t>
        </is>
      </c>
      <c r="O597" s="5" t="inlineStr">
        <is>
          <t>$</t>
        </is>
      </c>
      <c r="P597" s="5" t="n">
        <v>0</v>
      </c>
      <c r="Q597" s="5" t="n">
        <v>0</v>
      </c>
      <c r="R597" s="5" t="inlineStr">
        <is>
          <t>341-2023-12-31</t>
        </is>
      </c>
    </row>
    <row r="598">
      <c r="A598" s="5" t="n">
        <v>341</v>
      </c>
      <c r="B598" s="5" t="inlineStr">
        <is>
          <t>Reducción de costos en gestión de abastecimiento</t>
        </is>
      </c>
      <c r="C598" s="5" t="inlineStr">
        <is>
          <t>GESTIÓN DE ABASTECIMIENTO</t>
        </is>
      </c>
      <c r="D598" s="13" t="inlineStr">
        <is>
          <t>Semestral</t>
        </is>
      </c>
      <c r="E598" s="5" t="inlineStr">
        <is>
          <t>Positivo</t>
        </is>
      </c>
      <c r="F598" s="109" t="n">
        <v>45657</v>
      </c>
      <c r="G598" s="15" t="n">
        <v>2024</v>
      </c>
      <c r="H598" s="6" t="inlineStr">
        <is>
          <t>Diciembre</t>
        </is>
      </c>
      <c r="I598" s="6" t="inlineStr">
        <is>
          <t>2024-2</t>
        </is>
      </c>
      <c r="J598" s="5" t="n">
        <v>200</v>
      </c>
      <c r="K598" s="5" t="n">
        <v>227.44</v>
      </c>
      <c r="L598" s="14" t="n">
        <v>1.1372</v>
      </c>
      <c r="M598" s="14" t="n">
        <v>1.1372</v>
      </c>
      <c r="N598" s="5" t="inlineStr">
        <is>
          <t>$</t>
        </is>
      </c>
      <c r="O598" s="5" t="inlineStr">
        <is>
          <t>$</t>
        </is>
      </c>
      <c r="P598" s="5" t="n">
        <v>0</v>
      </c>
      <c r="Q598" s="5" t="n">
        <v>0</v>
      </c>
      <c r="R598" s="5" t="inlineStr">
        <is>
          <t>341-2024-12-31</t>
        </is>
      </c>
    </row>
    <row r="599">
      <c r="A599" s="5" t="n">
        <v>341</v>
      </c>
      <c r="B599" s="5" t="inlineStr">
        <is>
          <t>Eficiencia en la reducción de costos en la gestión del abastecimiento</t>
        </is>
      </c>
      <c r="C599" s="5" t="inlineStr">
        <is>
          <t>GESTIÓN DE ABASTECIMIENTO</t>
        </is>
      </c>
      <c r="D599" s="13" t="inlineStr">
        <is>
          <t>Trimestral</t>
        </is>
      </c>
      <c r="E599" s="5" t="inlineStr">
        <is>
          <t>Positivo</t>
        </is>
      </c>
      <c r="F599" s="109" t="n">
        <v>46022</v>
      </c>
      <c r="G599" s="15" t="n">
        <v>2025</v>
      </c>
      <c r="H599" s="6" t="inlineStr">
        <is>
          <t>Diciembre</t>
        </is>
      </c>
      <c r="I599" s="6" t="inlineStr">
        <is>
          <t>2025-2</t>
        </is>
      </c>
      <c r="J599" s="5" t="n">
        <v>200</v>
      </c>
      <c r="K599" s="5" t="n">
        <v>204.9</v>
      </c>
      <c r="L599" s="14" t="n">
        <v>1.0245</v>
      </c>
      <c r="M599" s="14" t="n">
        <v>1.0245</v>
      </c>
      <c r="N599" s="5" t="inlineStr">
        <is>
          <t>$</t>
        </is>
      </c>
      <c r="O599" s="5" t="inlineStr">
        <is>
          <t>$</t>
        </is>
      </c>
      <c r="P599" s="5" t="n">
        <v>0</v>
      </c>
      <c r="Q599" s="5" t="n">
        <v>0</v>
      </c>
      <c r="R599" s="5" t="inlineStr">
        <is>
          <t>341-2025-12-31</t>
        </is>
      </c>
    </row>
    <row r="600">
      <c r="A600" s="5" t="n">
        <v>344</v>
      </c>
      <c r="B600" s="5" t="inlineStr">
        <is>
          <t>Cumplimiento del plan de Inducción institucional</t>
        </is>
      </c>
      <c r="C600" s="5" t="inlineStr">
        <is>
          <t>GESTIÓN Y DESARROLLO DEL TALENTO HUMANO</t>
        </is>
      </c>
      <c r="D600" s="13" t="inlineStr">
        <is>
          <t>Semestral</t>
        </is>
      </c>
      <c r="E600" s="5" t="inlineStr">
        <is>
          <t>Positivo</t>
        </is>
      </c>
      <c r="F600" s="109" t="n">
        <v>45291</v>
      </c>
      <c r="G600" s="15" t="n">
        <v>2023</v>
      </c>
      <c r="H600" s="6" t="inlineStr">
        <is>
          <t>Diciembre</t>
        </is>
      </c>
      <c r="I600" s="6" t="inlineStr">
        <is>
          <t>2023-2</t>
        </is>
      </c>
      <c r="J600" s="5" t="n">
        <v>90</v>
      </c>
      <c r="K600" s="5" t="n">
        <v>97.752180451128</v>
      </c>
      <c r="L600" s="14" t="n">
        <v>1.086135338345867</v>
      </c>
      <c r="M600" s="14" t="n">
        <v>1.086135338345867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344-2023-12-31</t>
        </is>
      </c>
    </row>
    <row r="601">
      <c r="A601" s="5" t="n">
        <v>344</v>
      </c>
      <c r="B601" s="5" t="inlineStr">
        <is>
          <t>Cumplimiento del plan de Inducción institucional</t>
        </is>
      </c>
      <c r="C601" s="5" t="inlineStr">
        <is>
          <t>GESTIÓN Y DESARROLLO DEL TALENTO HUMANO</t>
        </is>
      </c>
      <c r="D601" s="13" t="inlineStr">
        <is>
          <t>Semestral</t>
        </is>
      </c>
      <c r="E601" s="5" t="inlineStr">
        <is>
          <t>Positivo</t>
        </is>
      </c>
      <c r="F601" s="109" t="n">
        <v>45657</v>
      </c>
      <c r="G601" s="15" t="n">
        <v>2024</v>
      </c>
      <c r="H601" s="6" t="inlineStr">
        <is>
          <t>Diciembre</t>
        </is>
      </c>
      <c r="I601" s="6" t="inlineStr">
        <is>
          <t>2024-2</t>
        </is>
      </c>
      <c r="J601" s="5" t="n">
        <v>93</v>
      </c>
      <c r="K601" s="5" t="n">
        <v>98.265</v>
      </c>
      <c r="L601" s="14" t="n">
        <v>1.056612903225806</v>
      </c>
      <c r="M601" s="14" t="n">
        <v>1.056612903225806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344-2024-12-31</t>
        </is>
      </c>
    </row>
    <row r="602">
      <c r="A602" s="5" t="n">
        <v>344</v>
      </c>
      <c r="B602" s="5" t="inlineStr">
        <is>
          <t>Cumplimiento del plan de Inducción institucional</t>
        </is>
      </c>
      <c r="C602" s="5" t="inlineStr">
        <is>
          <t>GESTIÓN Y DESARROLLO DEL TALENTO HUMANO</t>
        </is>
      </c>
      <c r="D602" s="13" t="inlineStr">
        <is>
          <t>Trimestral</t>
        </is>
      </c>
      <c r="E602" s="5" t="inlineStr">
        <is>
          <t>Positivo</t>
        </is>
      </c>
      <c r="F602" s="109" t="n">
        <v>46022</v>
      </c>
      <c r="G602" s="15" t="n">
        <v>2025</v>
      </c>
      <c r="H602" s="6" t="inlineStr">
        <is>
          <t>Diciembre</t>
        </is>
      </c>
      <c r="I602" s="6" t="inlineStr">
        <is>
          <t>2025-2</t>
        </is>
      </c>
      <c r="J602" s="5" t="n">
        <v>93</v>
      </c>
      <c r="K602" s="5" t="n">
        <v>99.715</v>
      </c>
      <c r="L602" s="14" t="n">
        <v>1.072204301075269</v>
      </c>
      <c r="M602" s="14" t="n">
        <v>1.072204301075269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344-2025-12-31</t>
        </is>
      </c>
    </row>
    <row r="603">
      <c r="A603" s="5" t="n">
        <v>345</v>
      </c>
      <c r="B603" s="5" t="inlineStr">
        <is>
          <t>% de profesores impactados plan de desarrollo docente</t>
        </is>
      </c>
      <c r="C603" s="5" t="inlineStr">
        <is>
          <t>GESTIÓN Y DESARROLLO DEL TALENTO HUMANO</t>
        </is>
      </c>
      <c r="D603" s="13" t="inlineStr">
        <is>
          <t>Anual</t>
        </is>
      </c>
      <c r="E603" s="5" t="inlineStr">
        <is>
          <t>Positivo</t>
        </is>
      </c>
      <c r="F603" s="109" t="n">
        <v>45291</v>
      </c>
      <c r="G603" s="15" t="n">
        <v>2023</v>
      </c>
      <c r="H603" s="6" t="inlineStr">
        <is>
          <t>Diciembre</t>
        </is>
      </c>
      <c r="I603" s="6" t="inlineStr">
        <is>
          <t>2023-2</t>
        </is>
      </c>
      <c r="J603" s="5" t="n"/>
      <c r="K603" s="5" t="n">
        <v>94.84999999999999</v>
      </c>
      <c r="L603" s="14" t="n"/>
      <c r="M603" s="14" t="n"/>
      <c r="N603" s="5" t="inlineStr">
        <is>
          <t>Linea Base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345-2023-12-31</t>
        </is>
      </c>
    </row>
    <row r="604">
      <c r="A604" s="5" t="n">
        <v>346</v>
      </c>
      <c r="B604" s="5" t="inlineStr">
        <is>
          <t>% de profesores impactados en actividades de Bienestar</t>
        </is>
      </c>
      <c r="C604" s="5" t="inlineStr">
        <is>
          <t>GESTIÓN Y DESARROLLO DEL TALENTO HUMANO</t>
        </is>
      </c>
      <c r="D604" s="13" t="inlineStr">
        <is>
          <t>Anual</t>
        </is>
      </c>
      <c r="E604" s="5" t="inlineStr">
        <is>
          <t>Positivo</t>
        </is>
      </c>
      <c r="F604" s="109" t="n">
        <v>45291</v>
      </c>
      <c r="G604" s="15" t="n">
        <v>2023</v>
      </c>
      <c r="H604" s="6" t="inlineStr">
        <is>
          <t>Diciembre</t>
        </is>
      </c>
      <c r="I604" s="6" t="inlineStr">
        <is>
          <t>2023-2</t>
        </is>
      </c>
      <c r="J604" s="5" t="n"/>
      <c r="K604" s="10" t="n">
        <v>83.91608391608392</v>
      </c>
      <c r="L604" s="14" t="n"/>
      <c r="M604" s="14" t="n"/>
      <c r="N604" s="5" t="inlineStr">
        <is>
          <t>Linea Base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346-2023-12-31</t>
        </is>
      </c>
    </row>
    <row r="605">
      <c r="A605" s="5" t="n">
        <v>346</v>
      </c>
      <c r="B605" s="5" t="inlineStr">
        <is>
          <t>% de profesores impactados en actividades de Bienestar</t>
        </is>
      </c>
      <c r="C605" s="5" t="inlineStr">
        <is>
          <t>GESTIÓN Y DESARROLLO DEL TALENTO HUMANO</t>
        </is>
      </c>
      <c r="D605" s="13" t="inlineStr">
        <is>
          <t>Anual</t>
        </is>
      </c>
      <c r="E605" s="5" t="inlineStr">
        <is>
          <t>Positivo</t>
        </is>
      </c>
      <c r="F605" s="109" t="n">
        <v>45657</v>
      </c>
      <c r="G605" s="15" t="n">
        <v>2024</v>
      </c>
      <c r="H605" s="6" t="inlineStr">
        <is>
          <t>Diciembre</t>
        </is>
      </c>
      <c r="I605" s="6" t="inlineStr">
        <is>
          <t>2024-2</t>
        </is>
      </c>
      <c r="J605" s="5" t="n">
        <v>85</v>
      </c>
      <c r="K605" s="5" t="n">
        <v>91.88</v>
      </c>
      <c r="L605" s="14" t="n">
        <v>1.080941176470588</v>
      </c>
      <c r="M605" s="14" t="n">
        <v>1.080941176470588</v>
      </c>
      <c r="N605" s="5" t="inlineStr">
        <is>
          <t>Linea Base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346-2024-12-31</t>
        </is>
      </c>
    </row>
    <row r="606">
      <c r="A606" s="5" t="n">
        <v>346</v>
      </c>
      <c r="B606" s="5" t="inlineStr">
        <is>
          <t>% de profesores impactados en actividades de Bienestar</t>
        </is>
      </c>
      <c r="C606" s="5" t="inlineStr">
        <is>
          <t>GESTIÓN Y DESARROLLO DEL TALENTO HUMANO</t>
        </is>
      </c>
      <c r="D606" s="13" t="inlineStr">
        <is>
          <t>Anual</t>
        </is>
      </c>
      <c r="E606" s="5" t="inlineStr">
        <is>
          <t>Positivo</t>
        </is>
      </c>
      <c r="F606" s="109" t="n">
        <v>46022</v>
      </c>
      <c r="G606" s="5" t="n">
        <v>2025</v>
      </c>
      <c r="H606" s="5" t="inlineStr">
        <is>
          <t>Diciembre</t>
        </is>
      </c>
      <c r="I606" s="6" t="inlineStr">
        <is>
          <t>2025-2</t>
        </is>
      </c>
      <c r="J606" s="5" t="n">
        <v>85</v>
      </c>
      <c r="K606" s="5" t="n">
        <v>97.28</v>
      </c>
      <c r="L606" s="14" t="n">
        <v>1.144470588235294</v>
      </c>
      <c r="M606" s="14" t="n">
        <v>1.144470588235294</v>
      </c>
      <c r="N606" s="5" t="inlineStr">
        <is>
          <t>Linea Base</t>
        </is>
      </c>
      <c r="O606" s="5" t="inlineStr">
        <is>
          <t>%</t>
        </is>
      </c>
      <c r="P606" s="5" t="n">
        <v>0</v>
      </c>
      <c r="Q606" s="5" t="n">
        <v>0</v>
      </c>
      <c r="R606" s="5" t="inlineStr">
        <is>
          <t>346-2025-12-31</t>
        </is>
      </c>
    </row>
    <row r="607">
      <c r="A607" s="5" t="n">
        <v>347</v>
      </c>
      <c r="B607" s="5" t="inlineStr">
        <is>
          <t>Legalizaciones y anticipos</t>
        </is>
      </c>
      <c r="C607" s="5" t="inlineStr">
        <is>
          <t>Contabilidad</t>
        </is>
      </c>
      <c r="D607" s="13" t="inlineStr">
        <is>
          <t>Trimestral</t>
        </is>
      </c>
      <c r="E607" s="5" t="inlineStr">
        <is>
          <t>Negativo</t>
        </is>
      </c>
      <c r="F607" s="109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6.75</v>
      </c>
      <c r="L607" s="14" t="n"/>
      <c r="M607" s="14" t="n"/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 t="inlineStr">
        <is>
          <t>347-2023-12-31</t>
        </is>
      </c>
    </row>
    <row r="608">
      <c r="A608" s="5" t="n">
        <v>347</v>
      </c>
      <c r="B608" s="5" t="inlineStr">
        <is>
          <t>Legalizaciones y anticipos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109" t="n">
        <v>45657</v>
      </c>
      <c r="G608" s="15" t="n">
        <v>2024</v>
      </c>
      <c r="H608" s="6" t="inlineStr">
        <is>
          <t>Diciembre</t>
        </is>
      </c>
      <c r="I608" s="6" t="inlineStr">
        <is>
          <t>2024-2</t>
        </is>
      </c>
      <c r="J608" s="5" t="n">
        <v>5</v>
      </c>
      <c r="K608" s="5" t="n">
        <v>0.75</v>
      </c>
      <c r="L608" s="14" t="n">
        <v>1.3</v>
      </c>
      <c r="M608" s="14" t="n">
        <v>6.666666666666667</v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347-2024-12-31</t>
        </is>
      </c>
    </row>
    <row r="609">
      <c r="A609" s="5" t="n">
        <v>347</v>
      </c>
      <c r="B609" s="5" t="inlineStr">
        <is>
          <t>Legalizaciones y anticipos</t>
        </is>
      </c>
      <c r="C609" s="5" t="inlineStr">
        <is>
          <t>Contabilidad</t>
        </is>
      </c>
      <c r="D609" s="13" t="inlineStr">
        <is>
          <t>Semestral</t>
        </is>
      </c>
      <c r="E609" s="5" t="inlineStr">
        <is>
          <t>Negativo</t>
        </is>
      </c>
      <c r="F609" s="109" t="n">
        <v>46022</v>
      </c>
      <c r="G609" s="15" t="n">
        <v>2025</v>
      </c>
      <c r="H609" s="6" t="inlineStr">
        <is>
          <t>Diciembre</t>
        </is>
      </c>
      <c r="I609" s="6" t="inlineStr">
        <is>
          <t>2025-2</t>
        </is>
      </c>
      <c r="J609" s="5" t="n">
        <v>5</v>
      </c>
      <c r="K609" s="5" t="n">
        <v>2.25</v>
      </c>
      <c r="L609" s="14" t="n">
        <v>1.3</v>
      </c>
      <c r="M609" s="14" t="n">
        <v>2.222222222222222</v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347-2025-12-31</t>
        </is>
      </c>
    </row>
    <row r="610">
      <c r="A610" s="5" t="n">
        <v>347</v>
      </c>
      <c r="B610" s="5" t="inlineStr">
        <is>
          <t>Legalizaciones y anticipos</t>
        </is>
      </c>
      <c r="C610" s="5" t="inlineStr">
        <is>
          <t>Contabilidad</t>
        </is>
      </c>
      <c r="D610" s="5" t="inlineStr">
        <is>
          <t>Semestral</t>
        </is>
      </c>
      <c r="E610" s="5" t="inlineStr">
        <is>
          <t>Negativo</t>
        </is>
      </c>
      <c r="F610" s="109" t="n">
        <v>46112</v>
      </c>
      <c r="G610" s="5" t="n">
        <v>2026</v>
      </c>
      <c r="H610" s="5" t="inlineStr">
        <is>
          <t>Marzo</t>
        </is>
      </c>
      <c r="I610" s="6" t="inlineStr">
        <is>
          <t>2026-1</t>
        </is>
      </c>
      <c r="J610" s="5" t="n">
        <v>5</v>
      </c>
      <c r="K610" s="5" t="n">
        <v>1</v>
      </c>
      <c r="L610" s="14" t="n">
        <v>1.3</v>
      </c>
      <c r="M610" s="14" t="n">
        <v>5</v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347-2026-03-31</t>
        </is>
      </c>
    </row>
    <row r="611">
      <c r="A611" s="5" t="n">
        <v>348</v>
      </c>
      <c r="B611" s="5" t="inlineStr">
        <is>
          <t>Cuentas por pagar</t>
        </is>
      </c>
      <c r="C611" s="5" t="inlineStr">
        <is>
          <t>Contabilidad</t>
        </is>
      </c>
      <c r="D611" s="5" t="inlineStr">
        <is>
          <t>Trimestral</t>
        </is>
      </c>
      <c r="E611" s="5" t="inlineStr">
        <is>
          <t>Positivo</t>
        </is>
      </c>
      <c r="F611" s="109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99</v>
      </c>
      <c r="K611" s="5" t="n">
        <v>99.908847789973</v>
      </c>
      <c r="L611" s="14" t="n">
        <v>1.009180280706798</v>
      </c>
      <c r="M611" s="14" t="n">
        <v>1.009180280706798</v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348-2023-12-31</t>
        </is>
      </c>
    </row>
    <row r="612">
      <c r="A612" s="5" t="n">
        <v>348</v>
      </c>
      <c r="B612" s="5" t="inlineStr">
        <is>
          <t>Cuentas por pagar</t>
        </is>
      </c>
      <c r="C612" s="5" t="inlineStr">
        <is>
          <t>Contabilidad</t>
        </is>
      </c>
      <c r="D612" s="5" t="inlineStr">
        <is>
          <t>Trimestral</t>
        </is>
      </c>
      <c r="E612" s="5" t="inlineStr">
        <is>
          <t>Positivo</t>
        </is>
      </c>
      <c r="F612" s="109" t="n">
        <v>45657</v>
      </c>
      <c r="G612" s="5" t="n">
        <v>2024</v>
      </c>
      <c r="H612" s="5" t="inlineStr">
        <is>
          <t>Diciembre</t>
        </is>
      </c>
      <c r="I612" s="6" t="inlineStr">
        <is>
          <t>2024-2</t>
        </is>
      </c>
      <c r="J612" s="5" t="n">
        <v>99</v>
      </c>
      <c r="K612" s="5" t="n">
        <v>99.96250000000001</v>
      </c>
      <c r="L612" s="14" t="n">
        <v>1.009722222222222</v>
      </c>
      <c r="M612" s="14" t="n">
        <v>1.009722222222222</v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2</v>
      </c>
      <c r="R612" s="5" t="inlineStr">
        <is>
          <t>348-2024-12-31</t>
        </is>
      </c>
    </row>
    <row r="613">
      <c r="A613" s="5" t="n">
        <v>348</v>
      </c>
      <c r="B613" s="5" t="inlineStr">
        <is>
          <t>Cuentas por pagar</t>
        </is>
      </c>
      <c r="C613" s="5" t="inlineStr">
        <is>
          <t>Contabilidad</t>
        </is>
      </c>
      <c r="D613" s="5" t="inlineStr">
        <is>
          <t>Semestral</t>
        </is>
      </c>
      <c r="E613" s="5" t="inlineStr">
        <is>
          <t>Positivo</t>
        </is>
      </c>
      <c r="F613" s="109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99</v>
      </c>
      <c r="K613" s="10" t="n">
        <v>100</v>
      </c>
      <c r="L613" s="14" t="n">
        <v>1.01010101010101</v>
      </c>
      <c r="M613" s="14" t="n">
        <v>1.01010101010101</v>
      </c>
      <c r="N613" s="5" t="inlineStr">
        <is>
          <t>%</t>
        </is>
      </c>
      <c r="O613" s="5" t="inlineStr">
        <is>
          <t>%</t>
        </is>
      </c>
      <c r="P613" s="5" t="n">
        <v>0</v>
      </c>
      <c r="Q613" s="5" t="n">
        <v>0</v>
      </c>
      <c r="R613" s="5" t="inlineStr">
        <is>
          <t>348-2025-12-31</t>
        </is>
      </c>
    </row>
    <row r="614">
      <c r="A614" s="5" t="n">
        <v>348</v>
      </c>
      <c r="B614" s="5" t="inlineStr">
        <is>
          <t>Cuentas por pagar</t>
        </is>
      </c>
      <c r="C614" s="5" t="inlineStr">
        <is>
          <t>Contabilidad</t>
        </is>
      </c>
      <c r="D614" s="5" t="inlineStr">
        <is>
          <t>Semestral</t>
        </is>
      </c>
      <c r="E614" s="5" t="inlineStr">
        <is>
          <t>Positivo</t>
        </is>
      </c>
      <c r="F614" s="109" t="n">
        <v>46112</v>
      </c>
      <c r="G614" s="5" t="n">
        <v>2026</v>
      </c>
      <c r="H614" s="5" t="inlineStr">
        <is>
          <t>Marzo</t>
        </is>
      </c>
      <c r="I614" s="6" t="inlineStr">
        <is>
          <t>2026-1</t>
        </is>
      </c>
      <c r="J614" s="5" t="n">
        <v>99</v>
      </c>
      <c r="K614" s="10" t="n">
        <v>100</v>
      </c>
      <c r="L614" s="14" t="n">
        <v>1.01010101010101</v>
      </c>
      <c r="M614" s="14" t="n">
        <v>1.01010101010101</v>
      </c>
      <c r="N614" s="5" t="inlineStr">
        <is>
          <t>%</t>
        </is>
      </c>
      <c r="O614" s="5" t="inlineStr">
        <is>
          <t>%</t>
        </is>
      </c>
      <c r="P614" s="5" t="n">
        <v>0</v>
      </c>
      <c r="Q614" s="5" t="n">
        <v>0</v>
      </c>
      <c r="R614" s="5" t="inlineStr">
        <is>
          <t>348-2026-03-31</t>
        </is>
      </c>
    </row>
    <row r="615">
      <c r="A615" s="5" t="n">
        <v>349</v>
      </c>
      <c r="B615" s="5" t="inlineStr">
        <is>
          <t>Número de redes de investigación</t>
        </is>
      </c>
      <c r="C615" s="5" t="inlineStr">
        <is>
          <t>Investigación, desarrollo tecnológico, innovación y creación</t>
        </is>
      </c>
      <c r="D615" s="5" t="inlineStr">
        <is>
          <t>Anual</t>
        </is>
      </c>
      <c r="E615" s="5" t="inlineStr">
        <is>
          <t>Positivo</t>
        </is>
      </c>
      <c r="F615" s="109" t="n">
        <v>45291</v>
      </c>
      <c r="G615" s="5" t="n">
        <v>2023</v>
      </c>
      <c r="H615" s="5" t="inlineStr">
        <is>
          <t>Diciembre</t>
        </is>
      </c>
      <c r="I615" s="6" t="inlineStr">
        <is>
          <t>2023-2</t>
        </is>
      </c>
      <c r="J615" s="5" t="n"/>
      <c r="K615" s="10" t="n"/>
      <c r="L615" s="14" t="n"/>
      <c r="M615" s="14" t="n"/>
      <c r="N615" s="5" t="inlineStr">
        <is>
          <t>ENT</t>
        </is>
      </c>
      <c r="O615" s="5" t="inlineStr">
        <is>
          <t>DEC</t>
        </is>
      </c>
      <c r="P615" s="5" t="n">
        <v>0</v>
      </c>
      <c r="Q615" s="5" t="n">
        <v>0</v>
      </c>
      <c r="R615" s="5" t="inlineStr">
        <is>
          <t>349-2023-12-31</t>
        </is>
      </c>
    </row>
    <row r="616">
      <c r="A616" s="5" t="n">
        <v>350</v>
      </c>
      <c r="B616" s="5" t="inlineStr">
        <is>
          <t>Centros de investigación, ciencia y de apoyo a CTI en consolidación</t>
        </is>
      </c>
      <c r="C616" s="5" t="inlineStr">
        <is>
          <t>Investigación, desarrollo tecnológico, innovación y creación</t>
        </is>
      </c>
      <c r="D616" s="5" t="inlineStr">
        <is>
          <t>Anual</t>
        </is>
      </c>
      <c r="E616" s="5" t="inlineStr">
        <is>
          <t>Positivo</t>
        </is>
      </c>
      <c r="F616" s="109" t="n">
        <v>45291</v>
      </c>
      <c r="G616" s="5" t="n">
        <v>2023</v>
      </c>
      <c r="H616" s="5" t="inlineStr">
        <is>
          <t>Diciembre</t>
        </is>
      </c>
      <c r="I616" s="6" t="inlineStr">
        <is>
          <t>2023-2</t>
        </is>
      </c>
      <c r="J616" s="5" t="n"/>
      <c r="K616" s="5" t="n"/>
      <c r="L616" s="14" t="n"/>
      <c r="M616" s="14" t="n"/>
      <c r="N616" s="5" t="inlineStr">
        <is>
          <t>ENT</t>
        </is>
      </c>
      <c r="O616" s="5" t="inlineStr">
        <is>
          <t>DEC</t>
        </is>
      </c>
      <c r="P616" s="5" t="n">
        <v>0</v>
      </c>
      <c r="Q616" s="5" t="n">
        <v>0</v>
      </c>
      <c r="R616" s="5" t="inlineStr">
        <is>
          <t>350-2023-12-31</t>
        </is>
      </c>
    </row>
    <row r="617">
      <c r="A617" s="5" t="n">
        <v>351</v>
      </c>
      <c r="B617" s="5" t="inlineStr">
        <is>
          <t>Partidas conciliatorias de bancos</t>
        </is>
      </c>
      <c r="C617" s="5" t="inlineStr">
        <is>
          <t>Contabilidad</t>
        </is>
      </c>
      <c r="D617" s="5" t="inlineStr">
        <is>
          <t>Trimestral</t>
        </is>
      </c>
      <c r="E617" s="5" t="inlineStr">
        <is>
          <t>Negativo</t>
        </is>
      </c>
      <c r="F617" s="109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0</v>
      </c>
      <c r="K617" s="5" t="n">
        <v>8.373582070494432</v>
      </c>
      <c r="L617" s="14" t="n"/>
      <c r="M617" s="14" t="n"/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1</v>
      </c>
      <c r="R617" s="5" t="inlineStr">
        <is>
          <t>351-2023-12-31</t>
        </is>
      </c>
    </row>
    <row r="618">
      <c r="A618" s="5" t="n">
        <v>351</v>
      </c>
      <c r="B618" s="5" t="inlineStr">
        <is>
          <t>Partidas conciliatorias de bancos</t>
        </is>
      </c>
      <c r="C618" s="5" t="inlineStr">
        <is>
          <t>Contabilidad</t>
        </is>
      </c>
      <c r="D618" s="5" t="inlineStr">
        <is>
          <t>Trimestral</t>
        </is>
      </c>
      <c r="E618" s="5" t="inlineStr">
        <is>
          <t>Negativo</t>
        </is>
      </c>
      <c r="F618" s="109" t="n">
        <v>45657</v>
      </c>
      <c r="G618" s="5" t="n">
        <v>2024</v>
      </c>
      <c r="H618" s="5" t="inlineStr">
        <is>
          <t>Diciembre</t>
        </is>
      </c>
      <c r="I618" s="6" t="inlineStr">
        <is>
          <t>2024-2</t>
        </is>
      </c>
      <c r="J618" s="5" t="n">
        <v>0</v>
      </c>
      <c r="K618" s="5" t="n">
        <v>5.551689405242506</v>
      </c>
      <c r="L618" s="14" t="n"/>
      <c r="M618" s="14" t="n"/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1</v>
      </c>
      <c r="R618" s="5" t="inlineStr">
        <is>
          <t>351-2024-12-31</t>
        </is>
      </c>
    </row>
    <row r="619">
      <c r="A619" s="5" t="n">
        <v>351</v>
      </c>
      <c r="B619" s="20" t="inlineStr">
        <is>
          <t>Partidas conciliatorias de bancos</t>
        </is>
      </c>
      <c r="C619" s="5" t="inlineStr">
        <is>
          <t>Contabilidad</t>
        </is>
      </c>
      <c r="D619" s="5" t="inlineStr">
        <is>
          <t>Semestral</t>
        </is>
      </c>
      <c r="E619" s="5" t="inlineStr">
        <is>
          <t>Negativo</t>
        </is>
      </c>
      <c r="F619" s="109" t="n">
        <v>45930</v>
      </c>
      <c r="G619" s="15" t="n">
        <v>2025</v>
      </c>
      <c r="H619" s="6" t="inlineStr">
        <is>
          <t>Septiembre</t>
        </is>
      </c>
      <c r="I619" s="6" t="inlineStr">
        <is>
          <t>2025-2</t>
        </is>
      </c>
      <c r="J619" t="n">
        <v>0</v>
      </c>
      <c r="K619" t="n">
        <v>0.46</v>
      </c>
      <c r="L619" s="14" t="n"/>
      <c r="M619" s="14" t="n"/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1</v>
      </c>
      <c r="R619" s="5" t="inlineStr">
        <is>
          <t>351-2025-09-30</t>
        </is>
      </c>
    </row>
    <row r="620">
      <c r="A620" s="5" t="n">
        <v>351</v>
      </c>
      <c r="B620" s="5" t="inlineStr">
        <is>
          <t>Partidas conciliatorias de bancos</t>
        </is>
      </c>
      <c r="C620" s="5" t="inlineStr">
        <is>
          <t>Contabilidad</t>
        </is>
      </c>
      <c r="D620" s="5" t="inlineStr">
        <is>
          <t>Semestral</t>
        </is>
      </c>
      <c r="E620" s="5" t="inlineStr">
        <is>
          <t>Negativo</t>
        </is>
      </c>
      <c r="F620" s="109" t="n">
        <v>46112</v>
      </c>
      <c r="G620" s="15" t="n">
        <v>2026</v>
      </c>
      <c r="H620" s="6" t="inlineStr">
        <is>
          <t>Marzo</t>
        </is>
      </c>
      <c r="I620" s="6" t="inlineStr">
        <is>
          <t>2026-1</t>
        </is>
      </c>
      <c r="J620" s="5" t="n">
        <v>0</v>
      </c>
      <c r="K620" s="5" t="n">
        <v>0</v>
      </c>
      <c r="L620" s="14" t="n">
        <v>1</v>
      </c>
      <c r="M620" s="14" t="n">
        <v>1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1</v>
      </c>
      <c r="R620" s="5" t="inlineStr">
        <is>
          <t>351-2026-03-31</t>
        </is>
      </c>
    </row>
    <row r="621">
      <c r="A621" s="5" t="n">
        <v>352</v>
      </c>
      <c r="B621" s="5" t="inlineStr">
        <is>
          <t>Nivel de facturas generadas con error</t>
        </is>
      </c>
      <c r="C621" s="5" t="inlineStr">
        <is>
          <t>Contabilidad</t>
        </is>
      </c>
      <c r="D621" s="5" t="inlineStr">
        <is>
          <t>Trimestral</t>
        </is>
      </c>
      <c r="E621" s="5" t="inlineStr">
        <is>
          <t>Negativo</t>
        </is>
      </c>
      <c r="F621" s="109" t="n">
        <v>45291</v>
      </c>
      <c r="G621" s="15" t="n">
        <v>2023</v>
      </c>
      <c r="H621" s="6" t="inlineStr">
        <is>
          <t>Diciembre</t>
        </is>
      </c>
      <c r="I621" s="6" t="inlineStr">
        <is>
          <t>2023-2</t>
        </is>
      </c>
      <c r="J621" s="5" t="n">
        <v>0</v>
      </c>
      <c r="K621" s="5" t="n">
        <v>0.08661974028696783</v>
      </c>
      <c r="L621" s="14" t="n"/>
      <c r="M621" s="14" t="n"/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2</v>
      </c>
      <c r="R621" s="5" t="inlineStr">
        <is>
          <t>352-2023-12-31</t>
        </is>
      </c>
    </row>
    <row r="622">
      <c r="A622" s="5" t="n">
        <v>352</v>
      </c>
      <c r="B622" s="5" t="inlineStr">
        <is>
          <t>Nivel de facturas generadas con error</t>
        </is>
      </c>
      <c r="C622" s="5" t="inlineStr">
        <is>
          <t>Contabilidad</t>
        </is>
      </c>
      <c r="D622" s="5" t="inlineStr">
        <is>
          <t>Trimestral</t>
        </is>
      </c>
      <c r="E622" s="5" t="inlineStr">
        <is>
          <t>Negativo</t>
        </is>
      </c>
      <c r="F622" s="109" t="n">
        <v>45657</v>
      </c>
      <c r="G622" s="5" t="n">
        <v>2024</v>
      </c>
      <c r="H622" s="5" t="inlineStr">
        <is>
          <t>Diciembre</t>
        </is>
      </c>
      <c r="I622" s="6" t="inlineStr">
        <is>
          <t>2024-2</t>
        </is>
      </c>
      <c r="J622" s="5" t="n">
        <v>0</v>
      </c>
      <c r="K622" s="5" t="n">
        <v>0.04354213650011303</v>
      </c>
      <c r="L622" s="14" t="n"/>
      <c r="M622" s="14" t="n"/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2</v>
      </c>
      <c r="R622" s="5" t="inlineStr">
        <is>
          <t>352-2024-12-31</t>
        </is>
      </c>
    </row>
    <row r="623">
      <c r="A623" s="5" t="n">
        <v>352</v>
      </c>
      <c r="B623" s="5" t="inlineStr">
        <is>
          <t>Nivel de facturas generadas con error</t>
        </is>
      </c>
      <c r="C623" s="5" t="inlineStr">
        <is>
          <t>Contabilidad</t>
        </is>
      </c>
      <c r="D623" s="5" t="inlineStr">
        <is>
          <t>Semestral</t>
        </is>
      </c>
      <c r="E623" s="5" t="inlineStr">
        <is>
          <t>Negativo</t>
        </is>
      </c>
      <c r="F623" s="109" t="n">
        <v>45930</v>
      </c>
      <c r="G623" s="5" t="n">
        <v>2025</v>
      </c>
      <c r="H623" s="5" t="inlineStr">
        <is>
          <t>Septiembre</t>
        </is>
      </c>
      <c r="I623" s="6" t="inlineStr">
        <is>
          <t>2025-2</t>
        </is>
      </c>
      <c r="J623" s="5" t="n">
        <v>0</v>
      </c>
      <c r="K623" s="5" t="n">
        <v>0.006666666666666667</v>
      </c>
      <c r="L623" s="14" t="n"/>
      <c r="M623" s="14" t="n"/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2</v>
      </c>
      <c r="R623" s="5" t="inlineStr">
        <is>
          <t>352-2025-09-30</t>
        </is>
      </c>
    </row>
    <row r="624">
      <c r="A624" t="n">
        <v>352</v>
      </c>
      <c r="B624" t="inlineStr">
        <is>
          <t>Nivel de facturas generadas con error</t>
        </is>
      </c>
      <c r="C624" t="inlineStr">
        <is>
          <t>Contabilidad</t>
        </is>
      </c>
      <c r="D624" t="inlineStr">
        <is>
          <t>Semestral</t>
        </is>
      </c>
      <c r="E624" t="inlineStr">
        <is>
          <t>Negativo</t>
        </is>
      </c>
      <c r="F624" s="113" t="n">
        <v>46112</v>
      </c>
      <c r="G624" t="n">
        <v>2026</v>
      </c>
      <c r="H624" t="inlineStr">
        <is>
          <t>Marzo</t>
        </is>
      </c>
      <c r="I624" t="inlineStr">
        <is>
          <t>2026-1</t>
        </is>
      </c>
      <c r="J624" t="n">
        <v>0</v>
      </c>
      <c r="K624" t="n">
        <v>0.01</v>
      </c>
      <c r="L624" s="39" t="n"/>
      <c r="M624" s="39" t="n"/>
      <c r="N624" t="inlineStr">
        <is>
          <t>%</t>
        </is>
      </c>
      <c r="O624" t="inlineStr">
        <is>
          <t>%</t>
        </is>
      </c>
      <c r="P624" t="n">
        <v>0</v>
      </c>
      <c r="Q624" t="n">
        <v>2</v>
      </c>
      <c r="R624" t="inlineStr">
        <is>
          <t>352-2026-03-31</t>
        </is>
      </c>
    </row>
    <row r="625">
      <c r="A625" t="n">
        <v>353</v>
      </c>
      <c r="B625" t="inlineStr">
        <is>
          <t>Cobertura de tableros BI en procesos</t>
        </is>
      </c>
      <c r="C625" t="inlineStr">
        <is>
          <t>DATOS Y ANALÍTICA</t>
        </is>
      </c>
      <c r="D625" t="inlineStr">
        <is>
          <t>Semestral</t>
        </is>
      </c>
      <c r="E625" t="inlineStr">
        <is>
          <t>Positivo</t>
        </is>
      </c>
      <c r="F625" s="113" t="n">
        <v>45291</v>
      </c>
      <c r="G625" t="n">
        <v>2023</v>
      </c>
      <c r="H625" t="inlineStr">
        <is>
          <t>Diciembre</t>
        </is>
      </c>
      <c r="I625" t="inlineStr">
        <is>
          <t>2023-2</t>
        </is>
      </c>
      <c r="J625" t="n">
        <v>35</v>
      </c>
      <c r="K625" t="n">
        <v>40.3846153846154</v>
      </c>
      <c r="L625" s="39" t="n">
        <v>1.153846153846154</v>
      </c>
      <c r="M625" s="39" t="n">
        <v>1.153846153846154</v>
      </c>
      <c r="N625" t="inlineStr">
        <is>
          <t>ENT</t>
        </is>
      </c>
      <c r="O625" t="inlineStr">
        <is>
          <t>ENT</t>
        </is>
      </c>
      <c r="P625" t="n">
        <v>1</v>
      </c>
      <c r="Q625" t="n">
        <v>1</v>
      </c>
      <c r="R625" t="inlineStr">
        <is>
          <t>353-2023-12-31</t>
        </is>
      </c>
    </row>
    <row r="626">
      <c r="A626" t="n">
        <v>354</v>
      </c>
      <c r="B626" t="inlineStr">
        <is>
          <t>Plan de formación en analitica</t>
        </is>
      </c>
      <c r="C626" t="inlineStr">
        <is>
          <t>DATOS Y ANALÍTICA</t>
        </is>
      </c>
      <c r="D626" t="inlineStr">
        <is>
          <t>Semestral</t>
        </is>
      </c>
      <c r="E626" t="inlineStr">
        <is>
          <t>Positivo</t>
        </is>
      </c>
      <c r="F626" s="113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</v>
      </c>
      <c r="K626" t="n">
        <v>31.77</v>
      </c>
      <c r="L626" s="39" t="n">
        <v>1.3</v>
      </c>
      <c r="M626" s="39" t="n">
        <v>3.177</v>
      </c>
      <c r="N626" t="inlineStr">
        <is>
          <t>ENT</t>
        </is>
      </c>
      <c r="O626" t="inlineStr">
        <is>
          <t>DEC</t>
        </is>
      </c>
      <c r="P626" t="n">
        <v>1</v>
      </c>
      <c r="Q626" t="n">
        <v>1</v>
      </c>
      <c r="R626" t="inlineStr">
        <is>
          <t>354-2023-12-31</t>
        </is>
      </c>
    </row>
    <row r="627">
      <c r="A627" t="n">
        <v>355</v>
      </c>
      <c r="B627" t="inlineStr">
        <is>
          <t>Indice de liquidez</t>
        </is>
      </c>
      <c r="C627" t="inlineStr">
        <is>
          <t>Tesorería</t>
        </is>
      </c>
      <c r="D627" t="inlineStr">
        <is>
          <t>Anual</t>
        </is>
      </c>
      <c r="E627" t="inlineStr">
        <is>
          <t>Positivo</t>
        </is>
      </c>
      <c r="F627" s="113" t="n">
        <v>45291</v>
      </c>
      <c r="G627" t="n">
        <v>2023</v>
      </c>
      <c r="H627" t="inlineStr">
        <is>
          <t>Diciembre</t>
        </is>
      </c>
      <c r="I627" t="inlineStr">
        <is>
          <t>2023-2</t>
        </is>
      </c>
      <c r="J627" t="n">
        <v>1</v>
      </c>
      <c r="K627" t="n">
        <v>1.64916004403234</v>
      </c>
      <c r="L627" s="39" t="n">
        <v>1.3</v>
      </c>
      <c r="M627" s="39" t="n">
        <v>1.64916004403234</v>
      </c>
      <c r="N627" t="inlineStr">
        <is>
          <t>ENT</t>
        </is>
      </c>
      <c r="O627" t="inlineStr">
        <is>
          <t>DEC</t>
        </is>
      </c>
      <c r="P627" t="n">
        <v>1</v>
      </c>
      <c r="Q627" t="n">
        <v>1</v>
      </c>
      <c r="R627" t="inlineStr">
        <is>
          <t>355-2023-12-31</t>
        </is>
      </c>
    </row>
    <row r="628">
      <c r="A628" t="n">
        <v>355</v>
      </c>
      <c r="B628" t="inlineStr">
        <is>
          <t>Indice de liquidez</t>
        </is>
      </c>
      <c r="C628" t="inlineStr">
        <is>
          <t>Tesorería</t>
        </is>
      </c>
      <c r="D628" t="inlineStr">
        <is>
          <t>Anual</t>
        </is>
      </c>
      <c r="E628" t="inlineStr">
        <is>
          <t>Positivo</t>
        </is>
      </c>
      <c r="F628" s="113" t="n">
        <v>45657</v>
      </c>
      <c r="G628" t="n">
        <v>2024</v>
      </c>
      <c r="H628" t="inlineStr">
        <is>
          <t>Diciembre</t>
        </is>
      </c>
      <c r="I628" t="inlineStr">
        <is>
          <t>2024-2</t>
        </is>
      </c>
      <c r="J628" t="n">
        <v>1.7</v>
      </c>
      <c r="K628" t="n">
        <v>1.69</v>
      </c>
      <c r="L628" s="39" t="n">
        <v>0.9941176470588236</v>
      </c>
      <c r="M628" s="39" t="n">
        <v>0.9941176470588236</v>
      </c>
      <c r="N628" t="inlineStr">
        <is>
          <t>ENT</t>
        </is>
      </c>
      <c r="O628" t="inlineStr">
        <is>
          <t>DEC</t>
        </is>
      </c>
      <c r="P628" t="n">
        <v>1</v>
      </c>
      <c r="Q628" t="n">
        <v>1</v>
      </c>
      <c r="R628" t="inlineStr">
        <is>
          <t>355-2024-12-31</t>
        </is>
      </c>
    </row>
    <row r="629">
      <c r="A629" t="n">
        <v>355</v>
      </c>
      <c r="B629" t="inlineStr">
        <is>
          <t>Indice de liquidez</t>
        </is>
      </c>
      <c r="C629" t="inlineStr">
        <is>
          <t>Tesorería</t>
        </is>
      </c>
      <c r="D629" t="inlineStr">
        <is>
          <t>Anual</t>
        </is>
      </c>
      <c r="E629" t="inlineStr">
        <is>
          <t>Positivo</t>
        </is>
      </c>
      <c r="F629" s="113" t="n">
        <v>46022</v>
      </c>
      <c r="G629" t="n">
        <v>2025</v>
      </c>
      <c r="H629" t="inlineStr">
        <is>
          <t>Diciembre</t>
        </is>
      </c>
      <c r="I629" t="inlineStr">
        <is>
          <t>2025-2</t>
        </is>
      </c>
      <c r="J629" t="n">
        <v>1.4</v>
      </c>
      <c r="K629" t="n">
        <v>1.56</v>
      </c>
      <c r="L629" s="39" t="n">
        <v>1.114285714285714</v>
      </c>
      <c r="M629" s="39" t="n">
        <v>1.114285714285714</v>
      </c>
      <c r="N629" t="inlineStr">
        <is>
          <t>ENT</t>
        </is>
      </c>
      <c r="O629" t="inlineStr">
        <is>
          <t>DEC</t>
        </is>
      </c>
      <c r="P629" t="n">
        <v>1</v>
      </c>
      <c r="Q629" t="n">
        <v>1</v>
      </c>
      <c r="R629" t="inlineStr">
        <is>
          <t>355-2025-12-31</t>
        </is>
      </c>
    </row>
    <row r="630">
      <c r="A630" t="n">
        <v>356</v>
      </c>
      <c r="B630" t="inlineStr">
        <is>
          <t>Indice de Endeudamiento</t>
        </is>
      </c>
      <c r="C630" t="inlineStr">
        <is>
          <t>Tesorería</t>
        </is>
      </c>
      <c r="D630" t="inlineStr">
        <is>
          <t>Semestral</t>
        </is>
      </c>
      <c r="E630" t="inlineStr">
        <is>
          <t>Negativo</t>
        </is>
      </c>
      <c r="F630" s="113" t="n">
        <v>45291</v>
      </c>
      <c r="G630" t="n">
        <v>2023</v>
      </c>
      <c r="H630" t="inlineStr">
        <is>
          <t>Diciembre</t>
        </is>
      </c>
      <c r="I630" t="inlineStr">
        <is>
          <t>2023-2</t>
        </is>
      </c>
      <c r="J630" t="n">
        <v>60</v>
      </c>
      <c r="K630" t="n">
        <v>55.376980703801</v>
      </c>
      <c r="L630" s="39" t="n">
        <v>1.083482689692428</v>
      </c>
      <c r="M630" s="39" t="n">
        <v>1.083482689692428</v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1</v>
      </c>
      <c r="R630" t="inlineStr">
        <is>
          <t>356-2023-12-31</t>
        </is>
      </c>
    </row>
    <row r="631">
      <c r="A631" t="n">
        <v>356</v>
      </c>
      <c r="B631" t="inlineStr">
        <is>
          <t>Indice de Endeudamiento</t>
        </is>
      </c>
      <c r="C631" t="inlineStr">
        <is>
          <t>Tesorería</t>
        </is>
      </c>
      <c r="D631" t="inlineStr">
        <is>
          <t>Semestral</t>
        </is>
      </c>
      <c r="E631" t="inlineStr">
        <is>
          <t>Negativo</t>
        </is>
      </c>
      <c r="F631" s="113" t="n">
        <v>45657</v>
      </c>
      <c r="G631" t="n">
        <v>2024</v>
      </c>
      <c r="H631" t="inlineStr">
        <is>
          <t>Diciembre</t>
        </is>
      </c>
      <c r="I631" t="inlineStr">
        <is>
          <t>2024-2</t>
        </is>
      </c>
      <c r="J631" t="n">
        <v>60</v>
      </c>
      <c r="K631" t="n">
        <v>59.815</v>
      </c>
      <c r="L631" s="39" t="n">
        <v>1.003092869681518</v>
      </c>
      <c r="M631" s="39" t="n">
        <v>1.003092869681518</v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1</v>
      </c>
      <c r="R631" t="inlineStr">
        <is>
          <t>356-2024-12-31</t>
        </is>
      </c>
    </row>
    <row r="632">
      <c r="A632" t="n">
        <v>356</v>
      </c>
      <c r="B632" t="inlineStr">
        <is>
          <t>Indice de Endeudamiento</t>
        </is>
      </c>
      <c r="C632" t="inlineStr">
        <is>
          <t>Tesorería</t>
        </is>
      </c>
      <c r="D632" t="inlineStr">
        <is>
          <t>Trimestral</t>
        </is>
      </c>
      <c r="E632" t="inlineStr">
        <is>
          <t>Negativo</t>
        </is>
      </c>
      <c r="F632" s="113" t="n">
        <v>46022</v>
      </c>
      <c r="G632" t="n">
        <v>2025</v>
      </c>
      <c r="H632" t="inlineStr">
        <is>
          <t>Diciembre</t>
        </is>
      </c>
      <c r="I632" t="inlineStr">
        <is>
          <t>2025-2</t>
        </is>
      </c>
      <c r="J632" t="n">
        <v>60</v>
      </c>
      <c r="K632" t="n">
        <v>56.955</v>
      </c>
      <c r="L632" s="39" t="n">
        <v>1.053463260468791</v>
      </c>
      <c r="M632" s="39" t="n">
        <v>1.053463260468791</v>
      </c>
      <c r="N632" t="inlineStr">
        <is>
          <t>%</t>
        </is>
      </c>
      <c r="O632" t="inlineStr">
        <is>
          <t>%</t>
        </is>
      </c>
      <c r="P632" t="n">
        <v>0</v>
      </c>
      <c r="Q632" t="n">
        <v>1</v>
      </c>
      <c r="R632" t="inlineStr">
        <is>
          <t>356-2025-12-31</t>
        </is>
      </c>
    </row>
    <row r="633">
      <c r="A633" t="n">
        <v>357</v>
      </c>
      <c r="B633" t="inlineStr">
        <is>
          <t>Cartera</t>
        </is>
      </c>
      <c r="C633" t="inlineStr">
        <is>
          <t>Tesorería</t>
        </is>
      </c>
      <c r="D633" t="inlineStr">
        <is>
          <t>Semestral</t>
        </is>
      </c>
      <c r="E633" t="inlineStr">
        <is>
          <t>Positivo</t>
        </is>
      </c>
      <c r="F633" s="113" t="n">
        <v>45291</v>
      </c>
      <c r="G633" t="n">
        <v>2023</v>
      </c>
      <c r="H633" t="inlineStr">
        <is>
          <t>Diciembre</t>
        </is>
      </c>
      <c r="I633" t="inlineStr">
        <is>
          <t>2023-2</t>
        </is>
      </c>
      <c r="K633" t="n">
        <v>4.45</v>
      </c>
      <c r="L633" s="39" t="n"/>
      <c r="M633" s="39" t="n"/>
      <c r="N633" t="inlineStr">
        <is>
          <t>Metrica</t>
        </is>
      </c>
      <c r="P633" t="n">
        <v>0</v>
      </c>
      <c r="Q633" t="n">
        <v>2</v>
      </c>
      <c r="R633" t="inlineStr">
        <is>
          <t>357-2023-12-31</t>
        </is>
      </c>
    </row>
    <row r="634">
      <c r="A634" t="n">
        <v>357</v>
      </c>
      <c r="B634" t="inlineStr">
        <is>
          <t>Cartera</t>
        </is>
      </c>
      <c r="C634" t="inlineStr">
        <is>
          <t>Tesorería</t>
        </is>
      </c>
      <c r="D634" t="inlineStr">
        <is>
          <t>Semestral</t>
        </is>
      </c>
      <c r="E634" t="inlineStr">
        <is>
          <t>Positivo</t>
        </is>
      </c>
      <c r="F634" s="113" t="n">
        <v>45657</v>
      </c>
      <c r="G634" t="n">
        <v>2024</v>
      </c>
      <c r="H634" t="inlineStr">
        <is>
          <t>Diciembre</t>
        </is>
      </c>
      <c r="I634" t="inlineStr">
        <is>
          <t>2024-2</t>
        </is>
      </c>
      <c r="K634" t="n">
        <v>0.51</v>
      </c>
      <c r="L634" s="39" t="n"/>
      <c r="M634" s="39" t="n"/>
      <c r="N634" t="inlineStr">
        <is>
          <t>Metrica</t>
        </is>
      </c>
      <c r="P634" t="n">
        <v>0</v>
      </c>
      <c r="Q634" t="n">
        <v>2</v>
      </c>
      <c r="R634" t="inlineStr">
        <is>
          <t>357-2024-12-31</t>
        </is>
      </c>
    </row>
    <row r="635">
      <c r="A635" t="n">
        <v>357</v>
      </c>
      <c r="B635" t="inlineStr">
        <is>
          <t>Cartera - Metrica</t>
        </is>
      </c>
      <c r="C635" t="inlineStr">
        <is>
          <t>Tesorería</t>
        </is>
      </c>
      <c r="D635" t="inlineStr">
        <is>
          <t>Trimestral</t>
        </is>
      </c>
      <c r="E635" t="inlineStr">
        <is>
          <t>Positivo</t>
        </is>
      </c>
      <c r="F635" s="113" t="n">
        <v>46022</v>
      </c>
      <c r="G635" t="n">
        <v>2025</v>
      </c>
      <c r="H635" t="inlineStr">
        <is>
          <t>Diciembre</t>
        </is>
      </c>
      <c r="I635" t="inlineStr">
        <is>
          <t>2025-2</t>
        </is>
      </c>
      <c r="J635" t="n">
        <v>10049277970</v>
      </c>
      <c r="K635" t="n">
        <v>0.44</v>
      </c>
      <c r="L635" s="39" t="n">
        <v>4.378424015272811e-11</v>
      </c>
      <c r="M635" s="39" t="n">
        <v>4.378424015272811e-11</v>
      </c>
      <c r="N635" t="inlineStr">
        <is>
          <t>Metrica</t>
        </is>
      </c>
      <c r="P635" t="n">
        <v>0</v>
      </c>
      <c r="Q635" t="n">
        <v>2</v>
      </c>
      <c r="R635" t="inlineStr">
        <is>
          <t>357-2025-12-31</t>
        </is>
      </c>
      <c r="S635" t="inlineStr">
        <is>
          <t>Metrica</t>
        </is>
      </c>
    </row>
    <row r="636">
      <c r="A636" t="n">
        <v>358</v>
      </c>
      <c r="B636" t="inlineStr">
        <is>
          <t>Acompañamiento a estudiantes en practicas</t>
        </is>
      </c>
      <c r="C636" t="inlineStr">
        <is>
          <t>Prácticas</t>
        </is>
      </c>
      <c r="D636" t="inlineStr">
        <is>
          <t>Semestral</t>
        </is>
      </c>
      <c r="E636" t="inlineStr">
        <is>
          <t>Positivo</t>
        </is>
      </c>
      <c r="F636" s="113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87</v>
      </c>
      <c r="K636" t="n">
        <v>90.992268041237</v>
      </c>
      <c r="L636" s="39" t="n">
        <v>1.045888138405023</v>
      </c>
      <c r="M636" s="39" t="n">
        <v>1.045888138405023</v>
      </c>
      <c r="N636" t="inlineStr">
        <is>
          <t>%</t>
        </is>
      </c>
      <c r="O636" t="inlineStr">
        <is>
          <t>%</t>
        </is>
      </c>
      <c r="P636" t="n">
        <v>0</v>
      </c>
      <c r="Q636" t="n">
        <v>0</v>
      </c>
      <c r="R636" t="inlineStr">
        <is>
          <t>358-2023-12-31</t>
        </is>
      </c>
    </row>
    <row r="637">
      <c r="A637" t="n">
        <v>358</v>
      </c>
      <c r="B637" t="inlineStr">
        <is>
          <t>Acompañamiento a estudiantes en practicas</t>
        </is>
      </c>
      <c r="C637" t="inlineStr">
        <is>
          <t>Prácticas</t>
        </is>
      </c>
      <c r="D637" t="inlineStr">
        <is>
          <t>Semestral</t>
        </is>
      </c>
      <c r="E637" t="inlineStr">
        <is>
          <t>Positivo</t>
        </is>
      </c>
      <c r="F637" s="113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87</v>
      </c>
      <c r="K637" t="n">
        <v>98.995</v>
      </c>
      <c r="L637" s="39" t="n">
        <v>1.137873563218391</v>
      </c>
      <c r="M637" s="39" t="n">
        <v>1.137873563218391</v>
      </c>
      <c r="N637" t="inlineStr">
        <is>
          <t>%</t>
        </is>
      </c>
      <c r="O637" t="inlineStr">
        <is>
          <t>%</t>
        </is>
      </c>
      <c r="P637" t="n">
        <v>0</v>
      </c>
      <c r="Q637" t="n">
        <v>0</v>
      </c>
      <c r="R637" t="inlineStr">
        <is>
          <t>358-2024-12-31</t>
        </is>
      </c>
    </row>
    <row r="638">
      <c r="A638" t="n">
        <v>358</v>
      </c>
      <c r="B638" t="inlineStr">
        <is>
          <t>Nivel de acompañamiento a estudiantes en práctica</t>
        </is>
      </c>
      <c r="C638" t="inlineStr">
        <is>
          <t>Prácticas</t>
        </is>
      </c>
      <c r="D638" t="inlineStr">
        <is>
          <t>Trimestral</t>
        </is>
      </c>
      <c r="E638" t="inlineStr">
        <is>
          <t>Positivo</t>
        </is>
      </c>
      <c r="F638" s="113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39" t="n">
        <v>1</v>
      </c>
      <c r="M638" s="39" t="n">
        <v>1</v>
      </c>
      <c r="N638" t="inlineStr">
        <is>
          <t>%</t>
        </is>
      </c>
      <c r="O638" t="inlineStr">
        <is>
          <t>%</t>
        </is>
      </c>
      <c r="P638" t="n">
        <v>0</v>
      </c>
      <c r="Q638" t="n">
        <v>0</v>
      </c>
      <c r="R638" t="inlineStr">
        <is>
          <t>358-2025-12-31</t>
        </is>
      </c>
    </row>
    <row r="639">
      <c r="A639" t="n">
        <v>359</v>
      </c>
      <c r="B639" t="inlineStr">
        <is>
          <t>Satisfacción Institucional</t>
        </is>
      </c>
      <c r="C639" t="inlineStr">
        <is>
          <t>EXPERIENCIA INSTITUCIONAL</t>
        </is>
      </c>
      <c r="D639" t="inlineStr">
        <is>
          <t>Semestral</t>
        </is>
      </c>
      <c r="E639" t="inlineStr">
        <is>
          <t>Positivo</t>
        </is>
      </c>
      <c r="F639" s="113" t="n">
        <v>45657</v>
      </c>
      <c r="G639" t="n">
        <v>2024</v>
      </c>
      <c r="H639" t="inlineStr">
        <is>
          <t>Diciembre</t>
        </is>
      </c>
      <c r="I639" t="inlineStr">
        <is>
          <t>2024-2</t>
        </is>
      </c>
      <c r="J639" t="n">
        <v>80</v>
      </c>
      <c r="K639" t="n">
        <v>86</v>
      </c>
      <c r="L639" s="39" t="n">
        <v>1.075</v>
      </c>
      <c r="M639" s="39" t="n">
        <v>1.075</v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0</v>
      </c>
      <c r="R639" t="inlineStr">
        <is>
          <t>359-2024-12-31</t>
        </is>
      </c>
    </row>
    <row r="640">
      <c r="A640" t="n">
        <v>359</v>
      </c>
      <c r="B640" t="inlineStr">
        <is>
          <t>Satisfacción Institucional CSAT</t>
        </is>
      </c>
      <c r="C640" t="inlineStr">
        <is>
          <t>EXPERIENCIA INSTITUCIONAL</t>
        </is>
      </c>
      <c r="D640" t="inlineStr">
        <is>
          <t>Trimestral</t>
        </is>
      </c>
      <c r="E640" t="inlineStr">
        <is>
          <t>Positivo</t>
        </is>
      </c>
      <c r="F640" s="113" t="n">
        <v>46022</v>
      </c>
      <c r="G640" t="n">
        <v>2025</v>
      </c>
      <c r="H640" t="inlineStr">
        <is>
          <t>Diciembre</t>
        </is>
      </c>
      <c r="I640" t="inlineStr">
        <is>
          <t>2025-2</t>
        </is>
      </c>
      <c r="J640" t="n">
        <v>85</v>
      </c>
      <c r="K640" t="n">
        <v>89.90000000000001</v>
      </c>
      <c r="L640" s="39" t="n">
        <v>1.057647058823529</v>
      </c>
      <c r="M640" s="39" t="n">
        <v>1.057647058823529</v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0</v>
      </c>
      <c r="R640" t="inlineStr">
        <is>
          <t>359-2025-12-31</t>
        </is>
      </c>
    </row>
    <row r="641">
      <c r="A641" t="n">
        <v>361</v>
      </c>
      <c r="B641" t="inlineStr">
        <is>
          <t>Índice de Inclusión</t>
        </is>
      </c>
      <c r="C641" t="inlineStr">
        <is>
          <t>Gestión de la Responsabilidad Social</t>
        </is>
      </c>
      <c r="D641" t="inlineStr">
        <is>
          <t>Anual</t>
        </is>
      </c>
      <c r="E641" t="inlineStr">
        <is>
          <t>Positivo</t>
        </is>
      </c>
      <c r="F641" s="113" t="n">
        <v>45291</v>
      </c>
      <c r="G641" t="n">
        <v>2023</v>
      </c>
      <c r="H641" t="inlineStr">
        <is>
          <t>Diciembre</t>
        </is>
      </c>
      <c r="I641" t="inlineStr">
        <is>
          <t>2023-2</t>
        </is>
      </c>
      <c r="J641" t="n">
        <v>4.5</v>
      </c>
      <c r="K641" t="n">
        <v>4.56</v>
      </c>
      <c r="L641" s="39" t="n">
        <v>1.013333333333333</v>
      </c>
      <c r="M641" s="39" t="n">
        <v>1.013333333333333</v>
      </c>
      <c r="N641" t="inlineStr">
        <is>
          <t>DEC</t>
        </is>
      </c>
      <c r="O641" t="inlineStr">
        <is>
          <t>DEC</t>
        </is>
      </c>
      <c r="P641" t="n">
        <v>1</v>
      </c>
      <c r="Q641" t="n">
        <v>2</v>
      </c>
      <c r="R641" t="inlineStr">
        <is>
          <t>361-2023-12-31</t>
        </is>
      </c>
    </row>
    <row r="642">
      <c r="A642" t="n">
        <v>361</v>
      </c>
      <c r="B642" t="inlineStr">
        <is>
          <t>Índice de Inclusión</t>
        </is>
      </c>
      <c r="C642" t="inlineStr">
        <is>
          <t>Gestión de la Responsabilidad Social</t>
        </is>
      </c>
      <c r="D642" t="inlineStr">
        <is>
          <t>Anual</t>
        </is>
      </c>
      <c r="E642" t="inlineStr">
        <is>
          <t>Positivo</t>
        </is>
      </c>
      <c r="F642" s="113" t="n">
        <v>45657</v>
      </c>
      <c r="G642" t="n">
        <v>2024</v>
      </c>
      <c r="H642" t="inlineStr">
        <is>
          <t>Diciembre</t>
        </is>
      </c>
      <c r="I642" t="inlineStr">
        <is>
          <t>2024-2</t>
        </is>
      </c>
      <c r="L642" s="39" t="n"/>
      <c r="M642" s="39" t="n"/>
      <c r="N642" t="inlineStr">
        <is>
          <t>No Aplica</t>
        </is>
      </c>
      <c r="O642" t="inlineStr">
        <is>
          <t>No Aplica</t>
        </is>
      </c>
      <c r="P642" t="n">
        <v>1</v>
      </c>
      <c r="Q642" t="n">
        <v>2</v>
      </c>
      <c r="R642" t="inlineStr">
        <is>
          <t>361-2024-12-31</t>
        </is>
      </c>
    </row>
    <row r="643">
      <c r="A643" t="n">
        <v>361</v>
      </c>
      <c r="B643" t="inlineStr">
        <is>
          <t>Índice de Inclusión</t>
        </is>
      </c>
      <c r="C643" t="inlineStr">
        <is>
          <t>Gestión de la Responsabilidad Social</t>
        </is>
      </c>
      <c r="D643" t="inlineStr">
        <is>
          <t>Anual</t>
        </is>
      </c>
      <c r="E643" t="inlineStr">
        <is>
          <t>Positivo</t>
        </is>
      </c>
      <c r="F643" s="113" t="n">
        <v>46022</v>
      </c>
      <c r="G643" t="n">
        <v>2025</v>
      </c>
      <c r="H643" t="inlineStr">
        <is>
          <t>Diciembre</t>
        </is>
      </c>
      <c r="I643" t="inlineStr">
        <is>
          <t>2025-2</t>
        </is>
      </c>
      <c r="J643" t="n">
        <v>4.6</v>
      </c>
      <c r="K643" t="n">
        <v>4.78</v>
      </c>
      <c r="L643" s="39" t="n">
        <v>1.039130434782609</v>
      </c>
      <c r="M643" s="39" t="n">
        <v>1.039130434782609</v>
      </c>
      <c r="N643" t="inlineStr">
        <is>
          <t>DEC</t>
        </is>
      </c>
      <c r="O643" t="inlineStr">
        <is>
          <t>DEC</t>
        </is>
      </c>
      <c r="P643" t="n">
        <v>1</v>
      </c>
      <c r="Q643" t="n">
        <v>2</v>
      </c>
      <c r="R643" t="inlineStr">
        <is>
          <t>361-2025-12-31</t>
        </is>
      </c>
    </row>
    <row r="644">
      <c r="A644" t="n">
        <v>362</v>
      </c>
      <c r="B644" t="inlineStr">
        <is>
          <t>Aseguramiento de matricula académica presencial</t>
        </is>
      </c>
      <c r="C644" t="inlineStr">
        <is>
          <t>Operaciones Académicas</t>
        </is>
      </c>
      <c r="D644" t="inlineStr">
        <is>
          <t>Semestral</t>
        </is>
      </c>
      <c r="E644" t="inlineStr">
        <is>
          <t>Positivo</t>
        </is>
      </c>
      <c r="F644" s="113" t="n">
        <v>45291</v>
      </c>
      <c r="G644" t="n">
        <v>2023</v>
      </c>
      <c r="H644" t="inlineStr">
        <is>
          <t>Diciembre</t>
        </is>
      </c>
      <c r="I644" t="inlineStr">
        <is>
          <t>2023-2</t>
        </is>
      </c>
      <c r="J644" t="n">
        <v>100</v>
      </c>
      <c r="K644" t="n">
        <v>99.156641448592</v>
      </c>
      <c r="L644" s="39" t="n">
        <v>0.99156641448592</v>
      </c>
      <c r="M644" s="39" t="n">
        <v>0.99156641448592</v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362-2023-12-31</t>
        </is>
      </c>
    </row>
    <row r="645">
      <c r="A645" t="n">
        <v>362</v>
      </c>
      <c r="B645" t="inlineStr">
        <is>
          <t>Aseguramiento de matricula académica presencial</t>
        </is>
      </c>
      <c r="C645" t="inlineStr">
        <is>
          <t>Operaciones Académicas</t>
        </is>
      </c>
      <c r="D645" t="inlineStr">
        <is>
          <t>Semestral</t>
        </is>
      </c>
      <c r="E645" t="inlineStr">
        <is>
          <t>Positivo</t>
        </is>
      </c>
      <c r="F645" s="113" t="n">
        <v>45657</v>
      </c>
      <c r="G645" t="n">
        <v>2024</v>
      </c>
      <c r="H645" t="inlineStr">
        <is>
          <t>Diciembre</t>
        </is>
      </c>
      <c r="I645" t="inlineStr">
        <is>
          <t>2024-2</t>
        </is>
      </c>
      <c r="J645" t="n">
        <v>196</v>
      </c>
      <c r="K645" t="n">
        <v>199.0743230403801</v>
      </c>
      <c r="L645" s="39" t="n">
        <v>1.015685321634592</v>
      </c>
      <c r="M645" s="39" t="n">
        <v>1.015685321634592</v>
      </c>
      <c r="N645" t="inlineStr">
        <is>
          <t>%</t>
        </is>
      </c>
      <c r="O645" t="inlineStr">
        <is>
          <t>%</t>
        </is>
      </c>
      <c r="P645" t="n">
        <v>0</v>
      </c>
      <c r="Q645" t="n">
        <v>0</v>
      </c>
      <c r="R645" t="inlineStr">
        <is>
          <t>362-2024-12-31</t>
        </is>
      </c>
    </row>
    <row r="646">
      <c r="A646" t="n">
        <v>362</v>
      </c>
      <c r="B646" t="inlineStr">
        <is>
          <t>Aseguramiento de matricula académica presencial</t>
        </is>
      </c>
      <c r="C646" t="inlineStr">
        <is>
          <t>Operaciones Académicas</t>
        </is>
      </c>
      <c r="D646" t="inlineStr">
        <is>
          <t>Trimestral</t>
        </is>
      </c>
      <c r="E646" t="inlineStr">
        <is>
          <t>Positivo</t>
        </is>
      </c>
      <c r="F646" s="113" t="n">
        <v>46022</v>
      </c>
      <c r="G646" t="n">
        <v>2025</v>
      </c>
      <c r="H646" t="inlineStr">
        <is>
          <t>Diciembre</t>
        </is>
      </c>
      <c r="I646" t="inlineStr">
        <is>
          <t>2025-2</t>
        </is>
      </c>
      <c r="J646" t="n">
        <v>196</v>
      </c>
      <c r="K646" t="n">
        <v>199.33</v>
      </c>
      <c r="L646" s="39" t="n">
        <v>1.016989795918367</v>
      </c>
      <c r="M646" s="39" t="n">
        <v>1.016989795918367</v>
      </c>
      <c r="N646" t="inlineStr">
        <is>
          <t>%</t>
        </is>
      </c>
      <c r="O646" t="inlineStr">
        <is>
          <t>%</t>
        </is>
      </c>
      <c r="P646" t="n">
        <v>0</v>
      </c>
      <c r="Q646" t="n">
        <v>0</v>
      </c>
      <c r="R646" t="inlineStr">
        <is>
          <t>362-2025-12-31</t>
        </is>
      </c>
    </row>
    <row r="647">
      <c r="A647" t="n">
        <v>363</v>
      </c>
      <c r="B647" t="inlineStr">
        <is>
          <t>Seguimiento a la parametrización de aulas master y secciones de asignaturas</t>
        </is>
      </c>
      <c r="C647" t="inlineStr">
        <is>
          <t>Operaciones Académicas</t>
        </is>
      </c>
      <c r="D647" t="inlineStr">
        <is>
          <t>Semestral</t>
        </is>
      </c>
      <c r="E647" t="inlineStr">
        <is>
          <t>Positivo</t>
        </is>
      </c>
      <c r="F647" s="113" t="n">
        <v>45291</v>
      </c>
      <c r="G647" t="n">
        <v>2023</v>
      </c>
      <c r="H647" t="inlineStr">
        <is>
          <t>Diciembre</t>
        </is>
      </c>
      <c r="I647" t="inlineStr">
        <is>
          <t>2023-2</t>
        </is>
      </c>
      <c r="J647" t="n">
        <v>100</v>
      </c>
      <c r="K647" t="n">
        <v>100</v>
      </c>
      <c r="L647" s="39" t="n">
        <v>1</v>
      </c>
      <c r="M647" s="39" t="n">
        <v>1</v>
      </c>
      <c r="N647" t="inlineStr">
        <is>
          <t>%</t>
        </is>
      </c>
      <c r="O647" t="inlineStr">
        <is>
          <t>%</t>
        </is>
      </c>
      <c r="P647" t="n">
        <v>0</v>
      </c>
      <c r="Q647" t="n">
        <v>0</v>
      </c>
      <c r="R647" t="inlineStr">
        <is>
          <t>363-2023-12-31</t>
        </is>
      </c>
    </row>
    <row r="648">
      <c r="A648" t="n">
        <v>363</v>
      </c>
      <c r="B648" t="inlineStr">
        <is>
          <t>Seguimiento a la parametrización de aulas master y secciones de asignaturas</t>
        </is>
      </c>
      <c r="C648" t="inlineStr">
        <is>
          <t>Operaciones Académicas</t>
        </is>
      </c>
      <c r="D648" t="inlineStr">
        <is>
          <t>Semestral</t>
        </is>
      </c>
      <c r="E648" t="inlineStr">
        <is>
          <t>Positivo</t>
        </is>
      </c>
      <c r="F648" s="113" t="n">
        <v>45657</v>
      </c>
      <c r="G648" t="n">
        <v>2024</v>
      </c>
      <c r="H648" t="inlineStr">
        <is>
          <t>Diciembre</t>
        </is>
      </c>
      <c r="I648" t="inlineStr">
        <is>
          <t>2024-2</t>
        </is>
      </c>
      <c r="J648" t="n">
        <v>100</v>
      </c>
      <c r="K648" t="n">
        <v>100</v>
      </c>
      <c r="L648" s="39" t="n">
        <v>1</v>
      </c>
      <c r="M648" s="39" t="n">
        <v>1</v>
      </c>
      <c r="N648" t="inlineStr">
        <is>
          <t>%</t>
        </is>
      </c>
      <c r="O648" t="inlineStr">
        <is>
          <t>%</t>
        </is>
      </c>
      <c r="P648" t="n">
        <v>0</v>
      </c>
      <c r="Q648" t="n">
        <v>0</v>
      </c>
      <c r="R648" t="inlineStr">
        <is>
          <t>363-2024-12-31</t>
        </is>
      </c>
    </row>
    <row r="649">
      <c r="A649" t="n">
        <v>363</v>
      </c>
      <c r="B649" t="inlineStr">
        <is>
          <t>Seguimiento a la parametrización de aulas master y secciones de asignaturas</t>
        </is>
      </c>
      <c r="C649" t="inlineStr">
        <is>
          <t>Operaciones Académicas</t>
        </is>
      </c>
      <c r="D649" t="inlineStr">
        <is>
          <t>Trimestral</t>
        </is>
      </c>
      <c r="E649" t="inlineStr">
        <is>
          <t>Positivo</t>
        </is>
      </c>
      <c r="F649" s="113" t="n">
        <v>46022</v>
      </c>
      <c r="G649" t="n">
        <v>2025</v>
      </c>
      <c r="H649" t="inlineStr">
        <is>
          <t>Diciembre</t>
        </is>
      </c>
      <c r="I649" t="inlineStr">
        <is>
          <t>2025-2</t>
        </is>
      </c>
      <c r="J649" t="n">
        <v>100</v>
      </c>
      <c r="K649" t="n">
        <v>100</v>
      </c>
      <c r="L649" s="39" t="n">
        <v>1</v>
      </c>
      <c r="M649" s="39" t="n">
        <v>1</v>
      </c>
      <c r="N649" t="inlineStr">
        <is>
          <t>%</t>
        </is>
      </c>
      <c r="O649" t="inlineStr">
        <is>
          <t>%</t>
        </is>
      </c>
      <c r="P649" t="n">
        <v>0</v>
      </c>
      <c r="Q649" t="n">
        <v>0</v>
      </c>
      <c r="R649" t="inlineStr">
        <is>
          <t>363-2025-12-31</t>
        </is>
      </c>
    </row>
    <row r="650">
      <c r="A650" t="n">
        <v>364</v>
      </c>
      <c r="B650" t="inlineStr">
        <is>
          <t>Impacto de actividades de Responsabilidad y proyección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13" t="n">
        <v>45291</v>
      </c>
      <c r="G650" t="n">
        <v>2023</v>
      </c>
      <c r="H650" t="inlineStr">
        <is>
          <t>Diciembre</t>
        </is>
      </c>
      <c r="I650" t="inlineStr">
        <is>
          <t>2023-2</t>
        </is>
      </c>
      <c r="K650" t="n">
        <v>108694</v>
      </c>
      <c r="L650" s="39" t="n"/>
      <c r="M650" s="39" t="n"/>
      <c r="N650" t="inlineStr">
        <is>
          <t>Linea Base</t>
        </is>
      </c>
      <c r="O650" t="inlineStr">
        <is>
          <t>ENT</t>
        </is>
      </c>
      <c r="P650" t="n">
        <v>0</v>
      </c>
      <c r="Q650" t="n">
        <v>0</v>
      </c>
      <c r="R650" t="inlineStr">
        <is>
          <t>364-2023-12-31</t>
        </is>
      </c>
    </row>
    <row r="651">
      <c r="A651" t="n">
        <v>364</v>
      </c>
      <c r="B651" t="inlineStr">
        <is>
          <t>Impacto de actividades de Responsabilidad y proyección</t>
        </is>
      </c>
      <c r="C651" t="inlineStr">
        <is>
          <t>Gestión de la Responsabilidad Social</t>
        </is>
      </c>
      <c r="D651" t="inlineStr">
        <is>
          <t>Semestral</t>
        </is>
      </c>
      <c r="E651" t="inlineStr">
        <is>
          <t>Positivo</t>
        </is>
      </c>
      <c r="F651" s="113" t="n">
        <v>45657</v>
      </c>
      <c r="G651" t="n">
        <v>2024</v>
      </c>
      <c r="H651" t="inlineStr">
        <is>
          <t>Diciembre</t>
        </is>
      </c>
      <c r="I651" t="inlineStr">
        <is>
          <t>2024-2</t>
        </is>
      </c>
      <c r="J651" t="n">
        <v>200</v>
      </c>
      <c r="K651" t="n">
        <v>230.82</v>
      </c>
      <c r="L651" s="39" t="n">
        <v>1.1541</v>
      </c>
      <c r="M651" s="39" t="n">
        <v>1.1541</v>
      </c>
      <c r="N651" t="inlineStr">
        <is>
          <t>ENT</t>
        </is>
      </c>
      <c r="O651" t="inlineStr">
        <is>
          <t>ENT</t>
        </is>
      </c>
      <c r="P651" t="n">
        <v>0</v>
      </c>
      <c r="Q651" t="n">
        <v>0</v>
      </c>
      <c r="R651" t="inlineStr">
        <is>
          <t>364-2024-12-31</t>
        </is>
      </c>
    </row>
    <row r="652">
      <c r="A652" t="n">
        <v>364</v>
      </c>
      <c r="B652" t="inlineStr">
        <is>
          <t>Impacto de actividades de Responsabilidad y proyección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Negativo</t>
        </is>
      </c>
      <c r="F652" s="113" t="n">
        <v>46022</v>
      </c>
      <c r="G652" t="n">
        <v>2025</v>
      </c>
      <c r="H652" t="inlineStr">
        <is>
          <t>Diciembre</t>
        </is>
      </c>
      <c r="I652" t="inlineStr">
        <is>
          <t>2025-2</t>
        </is>
      </c>
      <c r="J652" t="n">
        <v>200</v>
      </c>
      <c r="K652" t="n">
        <v>172</v>
      </c>
      <c r="L652" s="39" t="n">
        <v>1.162790697674419</v>
      </c>
      <c r="M652" s="39" t="n">
        <v>1.162790697674419</v>
      </c>
      <c r="N652" t="inlineStr">
        <is>
          <t>ENT</t>
        </is>
      </c>
      <c r="O652" t="inlineStr">
        <is>
          <t>ENT</t>
        </is>
      </c>
      <c r="P652" t="n">
        <v>0</v>
      </c>
      <c r="Q652" t="n">
        <v>0</v>
      </c>
      <c r="R652" t="inlineStr">
        <is>
          <t>364-2025-12-31</t>
        </is>
      </c>
    </row>
    <row r="653">
      <c r="A653" t="n">
        <v>365</v>
      </c>
      <c r="B653" t="inlineStr">
        <is>
          <t>Seguimiento de asignación docente a NRC Pregrado-Posgrado Presencial</t>
        </is>
      </c>
      <c r="C653" t="inlineStr">
        <is>
          <t>Operaciones Académicas</t>
        </is>
      </c>
      <c r="D653" t="inlineStr">
        <is>
          <t>Semestral</t>
        </is>
      </c>
      <c r="E653" t="inlineStr">
        <is>
          <t>Positivo</t>
        </is>
      </c>
      <c r="F653" s="113" t="n">
        <v>45291</v>
      </c>
      <c r="G653" t="n">
        <v>2023</v>
      </c>
      <c r="H653" t="inlineStr">
        <is>
          <t>Diciembre</t>
        </is>
      </c>
      <c r="I653" t="inlineStr">
        <is>
          <t>2023-2</t>
        </is>
      </c>
      <c r="J653" t="n">
        <v>100</v>
      </c>
      <c r="K653" t="n">
        <v>100</v>
      </c>
      <c r="L653" s="39" t="n">
        <v>1</v>
      </c>
      <c r="M653" s="39" t="n">
        <v>1</v>
      </c>
      <c r="N653" t="inlineStr">
        <is>
          <t>%</t>
        </is>
      </c>
      <c r="O653" t="inlineStr">
        <is>
          <t>%</t>
        </is>
      </c>
      <c r="P653" t="n">
        <v>0</v>
      </c>
      <c r="Q653" t="n">
        <v>0</v>
      </c>
      <c r="R653" t="inlineStr">
        <is>
          <t>365-2023-12-31</t>
        </is>
      </c>
    </row>
    <row r="654">
      <c r="A654" t="n">
        <v>366</v>
      </c>
      <c r="B654" t="inlineStr">
        <is>
          <t>Normalización de cobros pecuniarios</t>
        </is>
      </c>
      <c r="C654" t="inlineStr">
        <is>
          <t>Operaciones Académicas</t>
        </is>
      </c>
      <c r="D654" t="inlineStr">
        <is>
          <t>Anual</t>
        </is>
      </c>
      <c r="E654" t="inlineStr">
        <is>
          <t>Positivo</t>
        </is>
      </c>
      <c r="F654" s="113" t="n">
        <v>45291</v>
      </c>
      <c r="G654" t="n">
        <v>2023</v>
      </c>
      <c r="H654" t="inlineStr">
        <is>
          <t>Diciembre</t>
        </is>
      </c>
      <c r="I654" t="inlineStr">
        <is>
          <t>2023-2</t>
        </is>
      </c>
      <c r="J654" t="n">
        <v>100</v>
      </c>
      <c r="K654" t="n">
        <v>100</v>
      </c>
      <c r="L654" s="39" t="n">
        <v>1</v>
      </c>
      <c r="M654" s="39" t="n">
        <v>1</v>
      </c>
      <c r="N654" t="inlineStr">
        <is>
          <t>ENT</t>
        </is>
      </c>
      <c r="O654" t="inlineStr">
        <is>
          <t>ENT</t>
        </is>
      </c>
      <c r="P654" t="n">
        <v>0</v>
      </c>
      <c r="Q654" t="n">
        <v>0</v>
      </c>
      <c r="R654" t="inlineStr">
        <is>
          <t>366-2023-12-31</t>
        </is>
      </c>
    </row>
    <row r="655">
      <c r="A655" t="n">
        <v>366</v>
      </c>
      <c r="B655" t="inlineStr">
        <is>
          <t>Normalización de cobros pecuniarios</t>
        </is>
      </c>
      <c r="C655" t="inlineStr">
        <is>
          <t>Operaciones Académicas</t>
        </is>
      </c>
      <c r="D655" t="inlineStr">
        <is>
          <t>Anual</t>
        </is>
      </c>
      <c r="E655" t="inlineStr">
        <is>
          <t>Positivo</t>
        </is>
      </c>
      <c r="F655" s="113" t="n">
        <v>45657</v>
      </c>
      <c r="G655" t="n">
        <v>2024</v>
      </c>
      <c r="H655" t="inlineStr">
        <is>
          <t>Diciembre</t>
        </is>
      </c>
      <c r="I655" t="inlineStr">
        <is>
          <t>2024-2</t>
        </is>
      </c>
      <c r="J655" t="n">
        <v>100</v>
      </c>
      <c r="K655" t="n">
        <v>100</v>
      </c>
      <c r="L655" s="39" t="n">
        <v>1</v>
      </c>
      <c r="M655" s="39" t="n">
        <v>1</v>
      </c>
      <c r="N655" t="inlineStr">
        <is>
          <t>ENT</t>
        </is>
      </c>
      <c r="O655" t="inlineStr">
        <is>
          <t>ENT</t>
        </is>
      </c>
      <c r="P655" t="n">
        <v>0</v>
      </c>
      <c r="Q655" t="n">
        <v>0</v>
      </c>
      <c r="R655" t="inlineStr">
        <is>
          <t>366-2024-12-31</t>
        </is>
      </c>
    </row>
    <row r="656">
      <c r="A656" t="n">
        <v>366</v>
      </c>
      <c r="B656" t="inlineStr">
        <is>
          <t>Normalización de cobros pecuniarios</t>
        </is>
      </c>
      <c r="C656" t="inlineStr">
        <is>
          <t>Operaciones Académicas</t>
        </is>
      </c>
      <c r="D656" t="inlineStr">
        <is>
          <t>Anual</t>
        </is>
      </c>
      <c r="E656" t="inlineStr">
        <is>
          <t>Positivo</t>
        </is>
      </c>
      <c r="F656" s="113" t="n">
        <v>46022</v>
      </c>
      <c r="G656" t="n">
        <v>2025</v>
      </c>
      <c r="H656" t="inlineStr">
        <is>
          <t>Diciembre</t>
        </is>
      </c>
      <c r="I656" t="inlineStr">
        <is>
          <t>2025-2</t>
        </is>
      </c>
      <c r="J656" t="n">
        <v>100</v>
      </c>
      <c r="K656" t="n">
        <v>100</v>
      </c>
      <c r="L656" s="39" t="n">
        <v>1</v>
      </c>
      <c r="M656" s="39" t="n">
        <v>1</v>
      </c>
      <c r="N656" t="inlineStr">
        <is>
          <t>ENT</t>
        </is>
      </c>
      <c r="O656" t="inlineStr">
        <is>
          <t>ENT</t>
        </is>
      </c>
      <c r="P656" t="n">
        <v>0</v>
      </c>
      <c r="Q656" t="n">
        <v>0</v>
      </c>
      <c r="R656" t="inlineStr">
        <is>
          <t>366-2025-12-31</t>
        </is>
      </c>
    </row>
    <row r="657">
      <c r="A657" t="n">
        <v>367</v>
      </c>
      <c r="B657" t="inlineStr">
        <is>
          <t>% Estudiantes con Becas</t>
        </is>
      </c>
      <c r="C657" t="inlineStr">
        <is>
          <t>Gestión de la Responsabilidad Social</t>
        </is>
      </c>
      <c r="D657" t="inlineStr">
        <is>
          <t>Anual</t>
        </is>
      </c>
      <c r="E657" t="inlineStr">
        <is>
          <t>Positivo</t>
        </is>
      </c>
      <c r="F657" s="113" t="n">
        <v>45291</v>
      </c>
      <c r="G657" t="n">
        <v>2023</v>
      </c>
      <c r="H657" t="inlineStr">
        <is>
          <t>Diciembre</t>
        </is>
      </c>
      <c r="I657" t="inlineStr">
        <is>
          <t>2023-2</t>
        </is>
      </c>
      <c r="J657" t="n">
        <v>5</v>
      </c>
      <c r="K657" t="n">
        <v>6.249756705204562</v>
      </c>
      <c r="L657" s="39" t="n">
        <v>1.249951341040912</v>
      </c>
      <c r="M657" s="39" t="n">
        <v>1.249951341040912</v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2</v>
      </c>
      <c r="R657" t="inlineStr">
        <is>
          <t>367-2023-12-31</t>
        </is>
      </c>
    </row>
    <row r="658">
      <c r="A658" t="n">
        <v>367</v>
      </c>
      <c r="B658" t="inlineStr">
        <is>
          <t>% Estudiantes con Becas</t>
        </is>
      </c>
      <c r="C658" t="inlineStr">
        <is>
          <t>Gestión de la Responsabilidad Social</t>
        </is>
      </c>
      <c r="D658" t="inlineStr">
        <is>
          <t>Anual</t>
        </is>
      </c>
      <c r="E658" t="inlineStr">
        <is>
          <t>Positivo</t>
        </is>
      </c>
      <c r="F658" s="113" t="n">
        <v>45657</v>
      </c>
      <c r="G658" t="n">
        <v>2024</v>
      </c>
      <c r="H658" t="inlineStr">
        <is>
          <t>Diciembre</t>
        </is>
      </c>
      <c r="I658" t="inlineStr">
        <is>
          <t>2024-2</t>
        </is>
      </c>
      <c r="J658" t="n">
        <v>5</v>
      </c>
      <c r="K658" t="n">
        <v>4.96</v>
      </c>
      <c r="L658" s="39" t="n">
        <v>0.992</v>
      </c>
      <c r="M658" s="39" t="n">
        <v>0.992</v>
      </c>
      <c r="N658" t="inlineStr">
        <is>
          <t>%</t>
        </is>
      </c>
      <c r="O658" t="inlineStr">
        <is>
          <t>%</t>
        </is>
      </c>
      <c r="P658" t="n">
        <v>0</v>
      </c>
      <c r="Q658" t="n">
        <v>2</v>
      </c>
      <c r="R658" t="inlineStr">
        <is>
          <t>367-2024-12-31</t>
        </is>
      </c>
    </row>
    <row r="659">
      <c r="A659" t="n">
        <v>367</v>
      </c>
      <c r="B659" t="inlineStr">
        <is>
          <t>% Estudiantes con Becas</t>
        </is>
      </c>
      <c r="C659" t="inlineStr">
        <is>
          <t>Gestión de la Responsabilidad Social</t>
        </is>
      </c>
      <c r="D659" t="inlineStr">
        <is>
          <t>Anual</t>
        </is>
      </c>
      <c r="E659" t="inlineStr">
        <is>
          <t>Positivo</t>
        </is>
      </c>
      <c r="F659" s="113" t="n">
        <v>46022</v>
      </c>
      <c r="G659" t="n">
        <v>2025</v>
      </c>
      <c r="H659" t="inlineStr">
        <is>
          <t>Diciembre</t>
        </is>
      </c>
      <c r="I659" t="inlineStr">
        <is>
          <t>2025-2</t>
        </is>
      </c>
      <c r="J659" t="n">
        <v>5</v>
      </c>
      <c r="K659" t="n">
        <v>3.82</v>
      </c>
      <c r="L659" s="39" t="n">
        <v>0.764</v>
      </c>
      <c r="M659" s="39" t="n">
        <v>0.764</v>
      </c>
      <c r="N659" t="inlineStr">
        <is>
          <t>%</t>
        </is>
      </c>
      <c r="O659" t="inlineStr">
        <is>
          <t>%</t>
        </is>
      </c>
      <c r="P659" t="n">
        <v>1</v>
      </c>
      <c r="Q659" t="n">
        <v>2</v>
      </c>
      <c r="R659" t="inlineStr">
        <is>
          <t>367-2025-12-31</t>
        </is>
      </c>
    </row>
    <row r="660">
      <c r="A660" t="n">
        <v>368</v>
      </c>
      <c r="B660" t="inlineStr">
        <is>
          <t>Satisfacción de los estudiantes de Educación para toda la vida</t>
        </is>
      </c>
      <c r="C660" t="inlineStr">
        <is>
          <t>Operación de Educación no Formal</t>
        </is>
      </c>
      <c r="D660" t="inlineStr">
        <is>
          <t>Trimestral</t>
        </is>
      </c>
      <c r="E660" t="inlineStr">
        <is>
          <t>Positivo</t>
        </is>
      </c>
      <c r="F660" s="113" t="n">
        <v>45291</v>
      </c>
      <c r="G660" t="n">
        <v>2023</v>
      </c>
      <c r="H660" t="inlineStr">
        <is>
          <t>Diciembre</t>
        </is>
      </c>
      <c r="I660" t="inlineStr">
        <is>
          <t>2023-2</t>
        </is>
      </c>
      <c r="J660" t="n">
        <v>90</v>
      </c>
      <c r="K660" t="n">
        <v>94.5</v>
      </c>
      <c r="L660" s="39" t="n">
        <v>1.05</v>
      </c>
      <c r="M660" s="39" t="n">
        <v>1.05</v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368-2023-12-31</t>
        </is>
      </c>
    </row>
    <row r="661">
      <c r="A661" t="n">
        <v>368</v>
      </c>
      <c r="B661" t="inlineStr">
        <is>
          <t>Satisfacción de los estudiantes de Educación para toda la vida</t>
        </is>
      </c>
      <c r="C661" t="inlineStr">
        <is>
          <t>Operación de Educación no Formal</t>
        </is>
      </c>
      <c r="D661" t="inlineStr">
        <is>
          <t>Trimestral</t>
        </is>
      </c>
      <c r="E661" t="inlineStr">
        <is>
          <t>Positivo</t>
        </is>
      </c>
      <c r="F661" s="113" t="n">
        <v>45657</v>
      </c>
      <c r="G661" t="n">
        <v>2024</v>
      </c>
      <c r="H661" t="inlineStr">
        <is>
          <t>Diciembre</t>
        </is>
      </c>
      <c r="I661" t="inlineStr">
        <is>
          <t>2024-2</t>
        </is>
      </c>
      <c r="J661" t="n">
        <v>90</v>
      </c>
      <c r="K661" t="n">
        <v>94.25</v>
      </c>
      <c r="L661" s="39" t="n">
        <v>1.047222222222222</v>
      </c>
      <c r="M661" s="39" t="n">
        <v>1.047222222222222</v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368-2024-12-31</t>
        </is>
      </c>
    </row>
    <row r="662">
      <c r="A662" t="n">
        <v>368</v>
      </c>
      <c r="B662" t="inlineStr">
        <is>
          <t>Satisfacción de los estudiantes de Educación para toda la vida</t>
        </is>
      </c>
      <c r="C662" t="inlineStr">
        <is>
          <t>Operación de nuevos negocios y CI</t>
        </is>
      </c>
      <c r="D662" t="inlineStr">
        <is>
          <t>Semestral</t>
        </is>
      </c>
      <c r="E662" t="inlineStr">
        <is>
          <t>Positivo</t>
        </is>
      </c>
      <c r="F662" s="113" t="n">
        <v>46022</v>
      </c>
      <c r="G662" t="n">
        <v>2025</v>
      </c>
      <c r="H662" t="inlineStr">
        <is>
          <t>Diciembre</t>
        </is>
      </c>
      <c r="I662" t="inlineStr">
        <is>
          <t>2025-2</t>
        </is>
      </c>
      <c r="J662" t="n">
        <v>93</v>
      </c>
      <c r="K662" t="n">
        <v>95</v>
      </c>
      <c r="L662" s="39" t="n">
        <v>1.021505376344086</v>
      </c>
      <c r="M662" s="39" t="n">
        <v>1.021505376344086</v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368-2025-12-31</t>
        </is>
      </c>
    </row>
    <row r="663">
      <c r="A663" t="n">
        <v>369</v>
      </c>
      <c r="B663" t="inlineStr">
        <is>
          <t>Participación de POLI- voluntariados (Estudiantes- Colaboradores)</t>
        </is>
      </c>
      <c r="C663" t="inlineStr">
        <is>
          <t>Gestión de la Responsabilidad Social</t>
        </is>
      </c>
      <c r="D663" t="inlineStr">
        <is>
          <t>Semestral</t>
        </is>
      </c>
      <c r="E663" t="inlineStr">
        <is>
          <t>Positivo</t>
        </is>
      </c>
      <c r="F663" s="113" t="n">
        <v>45291</v>
      </c>
      <c r="G663" t="n">
        <v>2023</v>
      </c>
      <c r="H663" t="inlineStr">
        <is>
          <t>Diciembre</t>
        </is>
      </c>
      <c r="I663" t="inlineStr">
        <is>
          <t>2023-2</t>
        </is>
      </c>
      <c r="K663" t="n">
        <v>174</v>
      </c>
      <c r="L663" s="39" t="n"/>
      <c r="M663" s="39" t="n"/>
      <c r="N663" t="inlineStr">
        <is>
          <t>Linea Base</t>
        </is>
      </c>
      <c r="O663" t="inlineStr">
        <is>
          <t>ENT</t>
        </is>
      </c>
      <c r="P663" t="n">
        <v>0</v>
      </c>
      <c r="Q663" t="n">
        <v>0</v>
      </c>
      <c r="R663" t="inlineStr">
        <is>
          <t>369-2023-12-31</t>
        </is>
      </c>
    </row>
    <row r="664">
      <c r="A664" t="n">
        <v>369</v>
      </c>
      <c r="B664" t="inlineStr">
        <is>
          <t>Participación de POLI- voluntariados (Estudiantes- Colaboradores)</t>
        </is>
      </c>
      <c r="C664" t="inlineStr">
        <is>
          <t>Gestión de la Responsabilidad Social</t>
        </is>
      </c>
      <c r="D664" t="inlineStr">
        <is>
          <t>Semestral</t>
        </is>
      </c>
      <c r="E664" t="inlineStr">
        <is>
          <t>Positivo</t>
        </is>
      </c>
      <c r="F664" s="113" t="n">
        <v>45657</v>
      </c>
      <c r="G664" t="n">
        <v>2024</v>
      </c>
      <c r="H664" t="inlineStr">
        <is>
          <t>Diciembre</t>
        </is>
      </c>
      <c r="I664" t="inlineStr">
        <is>
          <t>2024-2</t>
        </is>
      </c>
      <c r="J664" t="n">
        <v>200</v>
      </c>
      <c r="K664" t="n">
        <v>147.55</v>
      </c>
      <c r="L664" s="39" t="n">
        <v>0.73775</v>
      </c>
      <c r="M664" s="39" t="n">
        <v>0.73775</v>
      </c>
      <c r="N664" t="inlineStr">
        <is>
          <t>ENT</t>
        </is>
      </c>
      <c r="O664" t="inlineStr">
        <is>
          <t>ENT</t>
        </is>
      </c>
      <c r="P664" t="n">
        <v>0</v>
      </c>
      <c r="Q664" t="n">
        <v>0</v>
      </c>
      <c r="R664" t="inlineStr">
        <is>
          <t>369-2024-12-31</t>
        </is>
      </c>
    </row>
    <row r="665">
      <c r="A665" t="n">
        <v>369</v>
      </c>
      <c r="B665" t="inlineStr">
        <is>
          <t>Participación de POLI- voluntariados (Estudiantes- Colaboradores)</t>
        </is>
      </c>
      <c r="C665" t="inlineStr">
        <is>
          <t>Gestión de la Responsabilidad Social</t>
        </is>
      </c>
      <c r="D665" t="inlineStr">
        <is>
          <t>Semestral</t>
        </is>
      </c>
      <c r="E665" t="inlineStr">
        <is>
          <t>Positivo</t>
        </is>
      </c>
      <c r="F665" s="113" t="n">
        <v>46022</v>
      </c>
      <c r="G665" t="n">
        <v>2025</v>
      </c>
      <c r="H665" t="inlineStr">
        <is>
          <t>Diciembre</t>
        </is>
      </c>
      <c r="I665" t="inlineStr">
        <is>
          <t>2025-2</t>
        </is>
      </c>
      <c r="J665" t="n">
        <v>200</v>
      </c>
      <c r="K665" t="n">
        <v>197.15</v>
      </c>
      <c r="L665" s="39" t="n">
        <v>0.98575</v>
      </c>
      <c r="M665" s="39" t="n">
        <v>0.98575</v>
      </c>
      <c r="N665" t="inlineStr">
        <is>
          <t>ENT</t>
        </is>
      </c>
      <c r="O665" t="inlineStr">
        <is>
          <t>ENT</t>
        </is>
      </c>
      <c r="P665" t="n">
        <v>0</v>
      </c>
      <c r="Q665" t="n">
        <v>0</v>
      </c>
      <c r="R665" t="inlineStr">
        <is>
          <t>369-2025-12-31</t>
        </is>
      </c>
    </row>
    <row r="666">
      <c r="A666" t="n">
        <v>370</v>
      </c>
      <c r="B666" t="inlineStr">
        <is>
          <t>Oportunidades de mejora - Huella Verde</t>
        </is>
      </c>
      <c r="C666" t="inlineStr">
        <is>
          <t>Gestión de la Responsabilidad Social</t>
        </is>
      </c>
      <c r="D666" t="inlineStr">
        <is>
          <t>Semestral</t>
        </is>
      </c>
      <c r="E666" t="inlineStr">
        <is>
          <t>Positivo</t>
        </is>
      </c>
      <c r="F666" s="113" t="n">
        <v>45291</v>
      </c>
      <c r="G666" t="n">
        <v>2023</v>
      </c>
      <c r="H666" t="inlineStr">
        <is>
          <t>Diciembre</t>
        </is>
      </c>
      <c r="I666" t="inlineStr">
        <is>
          <t>2023-2</t>
        </is>
      </c>
      <c r="L666" s="39" t="n"/>
      <c r="M666" s="39" t="n"/>
      <c r="N666" t="inlineStr">
        <is>
          <t>ENT</t>
        </is>
      </c>
      <c r="O666" t="inlineStr">
        <is>
          <t>ENT</t>
        </is>
      </c>
      <c r="P666" t="n">
        <v>0</v>
      </c>
      <c r="Q666" t="n">
        <v>0</v>
      </c>
      <c r="R666" t="inlineStr">
        <is>
          <t>370-2023-12-31</t>
        </is>
      </c>
    </row>
    <row r="667">
      <c r="A667" t="n">
        <v>371</v>
      </c>
      <c r="B667" t="inlineStr">
        <is>
          <t>Recaudación de fondos</t>
        </is>
      </c>
      <c r="C667" t="inlineStr">
        <is>
          <t>Gestión de la Responsabilidad Social</t>
        </is>
      </c>
      <c r="D667" t="inlineStr">
        <is>
          <t>Semestral</t>
        </is>
      </c>
      <c r="E667" t="inlineStr">
        <is>
          <t>Positivo</t>
        </is>
      </c>
      <c r="F667" s="113" t="n">
        <v>45291</v>
      </c>
      <c r="G667" t="n">
        <v>2023</v>
      </c>
      <c r="H667" t="inlineStr">
        <is>
          <t>Diciembre</t>
        </is>
      </c>
      <c r="I667" t="inlineStr">
        <is>
          <t>2023-2</t>
        </is>
      </c>
      <c r="J667" t="n">
        <v>200</v>
      </c>
      <c r="K667" t="n">
        <v>330.57274243636</v>
      </c>
      <c r="L667" s="39" t="n">
        <v>1.3</v>
      </c>
      <c r="M667" s="39" t="n">
        <v>1.6528637121818</v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371-2023-12-31</t>
        </is>
      </c>
    </row>
    <row r="668">
      <c r="A668" t="n">
        <v>371</v>
      </c>
      <c r="B668" t="inlineStr">
        <is>
          <t>Recaudación de fondos</t>
        </is>
      </c>
      <c r="C668" t="inlineStr">
        <is>
          <t>Gestión de la Responsabilidad Social</t>
        </is>
      </c>
      <c r="D668" t="inlineStr">
        <is>
          <t>Semestral</t>
        </is>
      </c>
      <c r="E668" t="inlineStr">
        <is>
          <t>Positivo</t>
        </is>
      </c>
      <c r="F668" s="113" t="n">
        <v>45657</v>
      </c>
      <c r="G668" t="n">
        <v>2024</v>
      </c>
      <c r="H668" t="inlineStr">
        <is>
          <t>Diciembre</t>
        </is>
      </c>
      <c r="I668" t="inlineStr">
        <is>
          <t>2024-2</t>
        </is>
      </c>
      <c r="J668" t="n">
        <v>200</v>
      </c>
      <c r="K668" t="n">
        <v>246.71</v>
      </c>
      <c r="L668" s="39" t="n">
        <v>1.23355</v>
      </c>
      <c r="M668" s="39" t="n">
        <v>1.23355</v>
      </c>
      <c r="N668" t="inlineStr">
        <is>
          <t>$</t>
        </is>
      </c>
      <c r="O668" t="inlineStr">
        <is>
          <t>$</t>
        </is>
      </c>
      <c r="P668" t="n">
        <v>0</v>
      </c>
      <c r="Q668" t="n">
        <v>0</v>
      </c>
      <c r="R668" t="inlineStr">
        <is>
          <t>371-2024-12-31</t>
        </is>
      </c>
    </row>
    <row r="669">
      <c r="A669" t="n">
        <v>371</v>
      </c>
      <c r="B669" t="inlineStr">
        <is>
          <t>Recaudación de fondos</t>
        </is>
      </c>
      <c r="C669" t="inlineStr">
        <is>
          <t>Gestión de la Responsabilidad Social</t>
        </is>
      </c>
      <c r="D669" t="inlineStr">
        <is>
          <t>Trimestral</t>
        </is>
      </c>
      <c r="E669" t="inlineStr">
        <is>
          <t>Positivo</t>
        </is>
      </c>
      <c r="F669" s="113" t="n">
        <v>46022</v>
      </c>
      <c r="G669" t="n">
        <v>2025</v>
      </c>
      <c r="H669" t="inlineStr">
        <is>
          <t>Diciembre</t>
        </is>
      </c>
      <c r="I669" t="inlineStr">
        <is>
          <t>2025-2</t>
        </is>
      </c>
      <c r="J669" t="n">
        <v>200</v>
      </c>
      <c r="K669" t="n">
        <v>157.11</v>
      </c>
      <c r="L669" s="39" t="n">
        <v>0.7855500000000001</v>
      </c>
      <c r="M669" s="39" t="n">
        <v>0.7855500000000001</v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371-2025-12-31</t>
        </is>
      </c>
    </row>
    <row r="670">
      <c r="A670" t="n">
        <v>372</v>
      </c>
      <c r="B670" t="inlineStr">
        <is>
          <t>Satisfacción de los clientes corporativos Educación para toda la vida</t>
        </is>
      </c>
      <c r="C670" t="inlineStr">
        <is>
          <t>Operación de Educación no Formal</t>
        </is>
      </c>
      <c r="D670" t="inlineStr">
        <is>
          <t>Trimestral</t>
        </is>
      </c>
      <c r="E670" t="inlineStr">
        <is>
          <t>Positivo</t>
        </is>
      </c>
      <c r="F670" s="113" t="n">
        <v>45291</v>
      </c>
      <c r="G670" t="n">
        <v>2023</v>
      </c>
      <c r="H670" t="inlineStr">
        <is>
          <t>Diciembre</t>
        </is>
      </c>
      <c r="I670" t="inlineStr">
        <is>
          <t>2023-2</t>
        </is>
      </c>
      <c r="J670" t="n">
        <v>87</v>
      </c>
      <c r="K670" t="n">
        <v>95.5</v>
      </c>
      <c r="L670" s="39" t="n">
        <v>1.097701149425287</v>
      </c>
      <c r="M670" s="39" t="n">
        <v>1.097701149425287</v>
      </c>
      <c r="N670" t="inlineStr">
        <is>
          <t>%</t>
        </is>
      </c>
      <c r="O670" t="inlineStr">
        <is>
          <t>%</t>
        </is>
      </c>
      <c r="P670" t="n">
        <v>0</v>
      </c>
      <c r="Q670" t="n">
        <v>0</v>
      </c>
      <c r="R670" t="inlineStr">
        <is>
          <t>372-2023-12-31</t>
        </is>
      </c>
    </row>
    <row r="671">
      <c r="A671" t="n">
        <v>372</v>
      </c>
      <c r="B671" t="inlineStr">
        <is>
          <t>Satisfacción de los clientes corporativos Educación para toda la vida</t>
        </is>
      </c>
      <c r="C671" t="inlineStr">
        <is>
          <t>Operación de Educación no Formal</t>
        </is>
      </c>
      <c r="D671" t="inlineStr">
        <is>
          <t>Trimestral</t>
        </is>
      </c>
      <c r="E671" t="inlineStr">
        <is>
          <t>Positivo</t>
        </is>
      </c>
      <c r="F671" s="113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87</v>
      </c>
      <c r="K671" t="n">
        <v>91.75</v>
      </c>
      <c r="L671" s="39" t="n">
        <v>1.054597701149425</v>
      </c>
      <c r="M671" s="39" t="n">
        <v>1.054597701149425</v>
      </c>
      <c r="N671" t="inlineStr">
        <is>
          <t>%</t>
        </is>
      </c>
      <c r="O671" t="inlineStr">
        <is>
          <t>%</t>
        </is>
      </c>
      <c r="P671" t="n">
        <v>0</v>
      </c>
      <c r="Q671" t="n">
        <v>0</v>
      </c>
      <c r="R671" t="inlineStr">
        <is>
          <t>372-2024-12-31</t>
        </is>
      </c>
    </row>
    <row r="672">
      <c r="A672" t="n">
        <v>372</v>
      </c>
      <c r="B672" t="inlineStr">
        <is>
          <t>Satisfacción de los clientes corporativos Educación para toda la vida</t>
        </is>
      </c>
      <c r="C672" t="inlineStr">
        <is>
          <t>Operación de nuevos negocios y CI</t>
        </is>
      </c>
      <c r="D672" t="inlineStr">
        <is>
          <t>Semestral</t>
        </is>
      </c>
      <c r="E672" t="inlineStr">
        <is>
          <t>Positivo</t>
        </is>
      </c>
      <c r="F672" s="113" t="n">
        <v>46022</v>
      </c>
      <c r="G672" t="n">
        <v>2025</v>
      </c>
      <c r="H672" t="inlineStr">
        <is>
          <t>Diciembre</t>
        </is>
      </c>
      <c r="I672" t="inlineStr">
        <is>
          <t>2025-2</t>
        </is>
      </c>
      <c r="J672" t="n">
        <v>90</v>
      </c>
      <c r="K672" t="n">
        <v>95.5</v>
      </c>
      <c r="L672" s="39" t="n">
        <v>1.061111111111111</v>
      </c>
      <c r="M672" s="39" t="n">
        <v>1.061111111111111</v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372-2025-12-31</t>
        </is>
      </c>
    </row>
    <row r="673">
      <c r="A673" t="n">
        <v>373</v>
      </c>
      <c r="B673" t="inlineStr">
        <is>
          <t>Cumplimiento de planes anuales por líneas</t>
        </is>
      </c>
      <c r="C673" t="inlineStr">
        <is>
          <t>Planeación Estratégica</t>
        </is>
      </c>
      <c r="D673" t="inlineStr">
        <is>
          <t>Trimestral</t>
        </is>
      </c>
      <c r="E673" t="inlineStr">
        <is>
          <t>Positivo</t>
        </is>
      </c>
      <c r="F673" s="113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100</v>
      </c>
      <c r="K673" t="n">
        <v>73.9616666666675</v>
      </c>
      <c r="L673" s="39" t="n">
        <v>0.739616666666675</v>
      </c>
      <c r="M673" s="39" t="n">
        <v>0.739616666666675</v>
      </c>
      <c r="N673" t="inlineStr">
        <is>
          <t>%</t>
        </is>
      </c>
      <c r="O673" t="inlineStr">
        <is>
          <t>%</t>
        </is>
      </c>
      <c r="P673" t="n">
        <v>0</v>
      </c>
      <c r="Q673" t="n">
        <v>0</v>
      </c>
      <c r="R673" t="inlineStr">
        <is>
          <t>373-2023-12-31</t>
        </is>
      </c>
    </row>
    <row r="674">
      <c r="A674" t="n">
        <v>373</v>
      </c>
      <c r="B674" t="inlineStr">
        <is>
          <t>Cumplimiento de planes anuales por líneas</t>
        </is>
      </c>
      <c r="C674" t="inlineStr">
        <is>
          <t>Planeación Estratégica</t>
        </is>
      </c>
      <c r="D674" t="inlineStr">
        <is>
          <t>Trimestral</t>
        </is>
      </c>
      <c r="E674" t="inlineStr">
        <is>
          <t>Positivo</t>
        </is>
      </c>
      <c r="F674" s="113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100</v>
      </c>
      <c r="K674" t="n">
        <v>98.52500000000001</v>
      </c>
      <c r="L674" s="39" t="n">
        <v>0.9852500000000001</v>
      </c>
      <c r="M674" s="39" t="n">
        <v>0.9852500000000001</v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373-2024-12-31</t>
        </is>
      </c>
    </row>
    <row r="675">
      <c r="A675" t="n">
        <v>373</v>
      </c>
      <c r="B675" t="inlineStr">
        <is>
          <t>Cumplimiento de planes anuales por líneas</t>
        </is>
      </c>
      <c r="C675" t="inlineStr">
        <is>
          <t>Planeación Estratégica</t>
        </is>
      </c>
      <c r="D675" t="inlineStr">
        <is>
          <t>Semestral</t>
        </is>
      </c>
      <c r="E675" t="inlineStr">
        <is>
          <t>Positivo</t>
        </is>
      </c>
      <c r="F675" s="113" t="n">
        <v>46022</v>
      </c>
      <c r="G675" t="n">
        <v>2025</v>
      </c>
      <c r="H675" t="inlineStr">
        <is>
          <t>Diciembre</t>
        </is>
      </c>
      <c r="I675" t="inlineStr">
        <is>
          <t>2025-2</t>
        </is>
      </c>
      <c r="J675" t="n">
        <v>100</v>
      </c>
      <c r="K675" t="n">
        <v>101.215</v>
      </c>
      <c r="L675" s="39" t="n">
        <v>1.01215</v>
      </c>
      <c r="M675" s="39" t="n">
        <v>1.01215</v>
      </c>
      <c r="N675" t="inlineStr">
        <is>
          <t>%</t>
        </is>
      </c>
      <c r="O675" t="inlineStr">
        <is>
          <t>%</t>
        </is>
      </c>
      <c r="P675" t="n">
        <v>0</v>
      </c>
      <c r="Q675" t="n">
        <v>0</v>
      </c>
      <c r="R675" t="inlineStr">
        <is>
          <t>373-2025-12-31</t>
        </is>
      </c>
    </row>
    <row r="676">
      <c r="A676" t="n">
        <v>374</v>
      </c>
      <c r="B676" t="inlineStr">
        <is>
          <t>Disponibilidad de máster modalidad virtual</t>
        </is>
      </c>
      <c r="C676" t="inlineStr">
        <is>
          <t>Operaciones Académicas</t>
        </is>
      </c>
      <c r="D676" t="inlineStr">
        <is>
          <t>Semestral</t>
        </is>
      </c>
      <c r="E676" t="inlineStr">
        <is>
          <t>Positivo</t>
        </is>
      </c>
      <c r="F676" s="113" t="n">
        <v>45291</v>
      </c>
      <c r="G676" t="n">
        <v>2023</v>
      </c>
      <c r="H676" t="inlineStr">
        <is>
          <t>Diciembre</t>
        </is>
      </c>
      <c r="I676" t="inlineStr">
        <is>
          <t>2023-2</t>
        </is>
      </c>
      <c r="J676" t="n">
        <v>100</v>
      </c>
      <c r="K676" t="n">
        <v>100</v>
      </c>
      <c r="L676" s="39" t="n">
        <v>1</v>
      </c>
      <c r="M676" s="39" t="n">
        <v>1</v>
      </c>
      <c r="N676" t="inlineStr">
        <is>
          <t>ENT</t>
        </is>
      </c>
      <c r="O676" t="inlineStr">
        <is>
          <t>ENT</t>
        </is>
      </c>
      <c r="P676" t="n">
        <v>0</v>
      </c>
      <c r="Q676" t="n">
        <v>0</v>
      </c>
      <c r="R676" t="inlineStr">
        <is>
          <t>374-2023-12-31</t>
        </is>
      </c>
    </row>
    <row r="677">
      <c r="A677" t="n">
        <v>375</v>
      </c>
      <c r="B677" t="inlineStr">
        <is>
          <t>Disponibilidad de catálogo de asignaturas pregrado y posgrado presencial</t>
        </is>
      </c>
      <c r="C677" t="inlineStr">
        <is>
          <t>Operaciones Académicas</t>
        </is>
      </c>
      <c r="D677" t="inlineStr">
        <is>
          <t>Semestral</t>
        </is>
      </c>
      <c r="E677" t="inlineStr">
        <is>
          <t>Positivo</t>
        </is>
      </c>
      <c r="F677" s="113" t="n">
        <v>45291</v>
      </c>
      <c r="G677" t="n">
        <v>2023</v>
      </c>
      <c r="H677" t="inlineStr">
        <is>
          <t>Diciembre</t>
        </is>
      </c>
      <c r="I677" t="inlineStr">
        <is>
          <t>2023-2</t>
        </is>
      </c>
      <c r="J677" t="n">
        <v>100</v>
      </c>
      <c r="K677" t="n">
        <v>50</v>
      </c>
      <c r="L677" s="39" t="n">
        <v>0.5</v>
      </c>
      <c r="M677" s="39" t="n">
        <v>0.5</v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375-2023-12-31</t>
        </is>
      </c>
    </row>
    <row r="678">
      <c r="A678" t="n">
        <v>375</v>
      </c>
      <c r="B678" t="inlineStr">
        <is>
          <t>Disponibilidad de catálogo de asignaturas pregrado y posgrado presencial</t>
        </is>
      </c>
      <c r="C678" t="inlineStr">
        <is>
          <t>Operaciones Académicas</t>
        </is>
      </c>
      <c r="D678" t="inlineStr">
        <is>
          <t>Semestral</t>
        </is>
      </c>
      <c r="E678" t="inlineStr">
        <is>
          <t>Positivo</t>
        </is>
      </c>
      <c r="F678" s="113" t="n">
        <v>45657</v>
      </c>
      <c r="G678" t="n">
        <v>2024</v>
      </c>
      <c r="H678" t="inlineStr">
        <is>
          <t>Diciembre</t>
        </is>
      </c>
      <c r="I678" t="inlineStr">
        <is>
          <t>2024-2</t>
        </is>
      </c>
      <c r="J678" t="n">
        <v>100</v>
      </c>
      <c r="K678" t="n">
        <v>100</v>
      </c>
      <c r="L678" s="39" t="n">
        <v>1</v>
      </c>
      <c r="M678" s="39" t="n">
        <v>1</v>
      </c>
      <c r="N678" t="inlineStr">
        <is>
          <t>%</t>
        </is>
      </c>
      <c r="O678" t="inlineStr">
        <is>
          <t>%</t>
        </is>
      </c>
      <c r="P678" t="n">
        <v>0</v>
      </c>
      <c r="Q678" t="n">
        <v>0</v>
      </c>
      <c r="R678" t="inlineStr">
        <is>
          <t>375-2024-12-31</t>
        </is>
      </c>
    </row>
    <row r="679">
      <c r="A679" t="n">
        <v>375</v>
      </c>
      <c r="B679" t="inlineStr">
        <is>
          <t>Disponibilidad de catálogo de asignaturas pregrado y posgrado presencial</t>
        </is>
      </c>
      <c r="C679" t="inlineStr">
        <is>
          <t>Operaciones Académicas</t>
        </is>
      </c>
      <c r="D679" t="inlineStr">
        <is>
          <t>Trimestral</t>
        </is>
      </c>
      <c r="E679" t="inlineStr">
        <is>
          <t>Positivo</t>
        </is>
      </c>
      <c r="F679" s="113" t="n">
        <v>46022</v>
      </c>
      <c r="G679" t="n">
        <v>2025</v>
      </c>
      <c r="H679" t="inlineStr">
        <is>
          <t>Diciembre</t>
        </is>
      </c>
      <c r="I679" t="inlineStr">
        <is>
          <t>2025-2</t>
        </is>
      </c>
      <c r="J679" t="n">
        <v>100</v>
      </c>
      <c r="K679" t="n">
        <v>100</v>
      </c>
      <c r="L679" s="39" t="n">
        <v>1</v>
      </c>
      <c r="M679" s="39" t="n">
        <v>1</v>
      </c>
      <c r="N679" t="inlineStr">
        <is>
          <t>%</t>
        </is>
      </c>
      <c r="O679" t="inlineStr">
        <is>
          <t>%</t>
        </is>
      </c>
      <c r="P679" t="n">
        <v>0</v>
      </c>
      <c r="Q679" t="n">
        <v>0</v>
      </c>
      <c r="R679" t="inlineStr">
        <is>
          <t>375-2025-12-31</t>
        </is>
      </c>
    </row>
    <row r="680">
      <c r="A680" t="n">
        <v>376</v>
      </c>
      <c r="B680" t="inlineStr">
        <is>
          <t>Cumplimiento EBITDA</t>
        </is>
      </c>
      <c r="C680" t="inlineStr">
        <is>
          <t>Planeación Financiera</t>
        </is>
      </c>
      <c r="D680" t="inlineStr">
        <is>
          <t>Semestral</t>
        </is>
      </c>
      <c r="E680" t="inlineStr">
        <is>
          <t>Positivo</t>
        </is>
      </c>
      <c r="F680" s="113" t="n">
        <v>45291</v>
      </c>
      <c r="G680" t="n">
        <v>2023</v>
      </c>
      <c r="H680" t="inlineStr">
        <is>
          <t>Diciembre</t>
        </is>
      </c>
      <c r="I680" t="inlineStr">
        <is>
          <t>2023-2</t>
        </is>
      </c>
      <c r="J680" t="n">
        <v>95</v>
      </c>
      <c r="K680" t="n">
        <v>101.26</v>
      </c>
      <c r="L680" s="39" t="n">
        <v>1.065894736842105</v>
      </c>
      <c r="M680" s="39" t="n">
        <v>1.065894736842105</v>
      </c>
      <c r="N680" t="inlineStr">
        <is>
          <t>$</t>
        </is>
      </c>
      <c r="O680" t="inlineStr">
        <is>
          <t>$</t>
        </is>
      </c>
      <c r="P680" t="n">
        <v>0</v>
      </c>
      <c r="Q680" t="n">
        <v>0</v>
      </c>
      <c r="R680" t="inlineStr">
        <is>
          <t>376-2023-12-31</t>
        </is>
      </c>
    </row>
    <row r="681">
      <c r="A681" t="n">
        <v>376</v>
      </c>
      <c r="B681" t="inlineStr">
        <is>
          <t>Cumplimiento EBITDA</t>
        </is>
      </c>
      <c r="C681" t="inlineStr">
        <is>
          <t>Planeación Financiera</t>
        </is>
      </c>
      <c r="D681" t="inlineStr">
        <is>
          <t>Semestral</t>
        </is>
      </c>
      <c r="E681" t="inlineStr">
        <is>
          <t>Positivo</t>
        </is>
      </c>
      <c r="F681" s="113" t="n">
        <v>45657</v>
      </c>
      <c r="G681" t="n">
        <v>2024</v>
      </c>
      <c r="H681" t="inlineStr">
        <is>
          <t>Diciembre</t>
        </is>
      </c>
      <c r="I681" t="inlineStr">
        <is>
          <t>2024-2</t>
        </is>
      </c>
      <c r="J681" t="n">
        <v>95</v>
      </c>
      <c r="K681" t="n">
        <v>109.1</v>
      </c>
      <c r="L681" s="39" t="n">
        <v>1.148421052631579</v>
      </c>
      <c r="M681" s="39" t="n">
        <v>1.148421052631579</v>
      </c>
      <c r="N681" t="inlineStr">
        <is>
          <t>$</t>
        </is>
      </c>
      <c r="O681" t="inlineStr">
        <is>
          <t>$</t>
        </is>
      </c>
      <c r="P681" t="n">
        <v>0</v>
      </c>
      <c r="Q681" t="n">
        <v>0</v>
      </c>
      <c r="R681" t="inlineStr">
        <is>
          <t>376-2024-12-31</t>
        </is>
      </c>
    </row>
    <row r="682">
      <c r="A682" t="n">
        <v>376</v>
      </c>
      <c r="B682" t="inlineStr">
        <is>
          <t>Cumplimiento EBITDA</t>
        </is>
      </c>
      <c r="C682" t="inlineStr">
        <is>
          <t>Planeación Financiera</t>
        </is>
      </c>
      <c r="D682" t="inlineStr">
        <is>
          <t>Semestral</t>
        </is>
      </c>
      <c r="E682" t="inlineStr">
        <is>
          <t>Positivo</t>
        </is>
      </c>
      <c r="F682" s="113" t="n">
        <v>46022</v>
      </c>
      <c r="G682" t="n">
        <v>2025</v>
      </c>
      <c r="H682" t="inlineStr">
        <is>
          <t>Diciembre</t>
        </is>
      </c>
      <c r="I682" t="inlineStr">
        <is>
          <t>2025-2</t>
        </is>
      </c>
      <c r="J682" t="n">
        <v>95</v>
      </c>
      <c r="K682" t="n">
        <v>117.51</v>
      </c>
      <c r="L682" s="39" t="n">
        <v>1.236947368421053</v>
      </c>
      <c r="M682" s="39" t="n">
        <v>1.236947368421053</v>
      </c>
      <c r="N682" t="inlineStr">
        <is>
          <t>$</t>
        </is>
      </c>
      <c r="O682" t="inlineStr">
        <is>
          <t>$</t>
        </is>
      </c>
      <c r="P682" t="n">
        <v>0</v>
      </c>
      <c r="Q682" t="n">
        <v>0</v>
      </c>
      <c r="R682" t="inlineStr">
        <is>
          <t>376-2025-12-31</t>
        </is>
      </c>
    </row>
    <row r="683">
      <c r="A683" t="n">
        <v>377</v>
      </c>
      <c r="B683" t="inlineStr">
        <is>
          <t>CAPEX</t>
        </is>
      </c>
      <c r="C683" t="inlineStr">
        <is>
          <t>Planeación Financiera</t>
        </is>
      </c>
      <c r="D683" t="inlineStr">
        <is>
          <t>Semestral</t>
        </is>
      </c>
      <c r="E683" t="inlineStr">
        <is>
          <t>Negativo</t>
        </is>
      </c>
      <c r="F683" s="113" t="n">
        <v>45291</v>
      </c>
      <c r="G683" t="n">
        <v>2023</v>
      </c>
      <c r="H683" t="inlineStr">
        <is>
          <t>Diciembre</t>
        </is>
      </c>
      <c r="I683" t="inlineStr">
        <is>
          <t>2023-2</t>
        </is>
      </c>
      <c r="J683" t="n">
        <v>100</v>
      </c>
      <c r="K683" t="n">
        <v>60.77</v>
      </c>
      <c r="L683" s="39" t="n">
        <v>1.3</v>
      </c>
      <c r="M683" s="39" t="n">
        <v>1.645548790521639</v>
      </c>
      <c r="N683" t="inlineStr">
        <is>
          <t>$</t>
        </is>
      </c>
      <c r="O683" t="inlineStr">
        <is>
          <t>$</t>
        </is>
      </c>
      <c r="P683" t="n">
        <v>0</v>
      </c>
      <c r="Q683" t="n">
        <v>0</v>
      </c>
      <c r="R683" t="inlineStr">
        <is>
          <t>377-2023-12-31</t>
        </is>
      </c>
    </row>
    <row r="684">
      <c r="A684" t="n">
        <v>377</v>
      </c>
      <c r="B684" t="inlineStr">
        <is>
          <t>CAPEX</t>
        </is>
      </c>
      <c r="C684" t="inlineStr">
        <is>
          <t>Planeación Financiera</t>
        </is>
      </c>
      <c r="D684" t="inlineStr">
        <is>
          <t>Semestral</t>
        </is>
      </c>
      <c r="E684" t="inlineStr">
        <is>
          <t>Negativo</t>
        </is>
      </c>
      <c r="F684" s="113" t="n">
        <v>45657</v>
      </c>
      <c r="G684" t="n">
        <v>2024</v>
      </c>
      <c r="H684" t="inlineStr">
        <is>
          <t>Diciembre</t>
        </is>
      </c>
      <c r="I684" t="inlineStr">
        <is>
          <t>2024-2</t>
        </is>
      </c>
      <c r="J684" t="n">
        <v>100</v>
      </c>
      <c r="K684" t="n">
        <v>125.01</v>
      </c>
      <c r="L684" s="39" t="n">
        <v>0.7999360051195904</v>
      </c>
      <c r="M684" s="39" t="n">
        <v>0.7999360051195904</v>
      </c>
      <c r="N684" t="inlineStr">
        <is>
          <t>$</t>
        </is>
      </c>
      <c r="O684" t="inlineStr">
        <is>
          <t>$</t>
        </is>
      </c>
      <c r="P684" t="n">
        <v>0</v>
      </c>
      <c r="Q684" t="n">
        <v>0</v>
      </c>
      <c r="R684" t="inlineStr">
        <is>
          <t>377-2024-12-31</t>
        </is>
      </c>
    </row>
    <row r="685">
      <c r="A685" t="n">
        <v>377</v>
      </c>
      <c r="B685" t="inlineStr">
        <is>
          <t>CAPEX</t>
        </is>
      </c>
      <c r="C685" t="inlineStr">
        <is>
          <t>Planeación Financiera</t>
        </is>
      </c>
      <c r="D685" t="inlineStr">
        <is>
          <t>Semestral</t>
        </is>
      </c>
      <c r="E685" t="inlineStr">
        <is>
          <t>Positivo</t>
        </is>
      </c>
      <c r="F685" s="113" t="n">
        <v>46022</v>
      </c>
      <c r="G685" t="n">
        <v>2025</v>
      </c>
      <c r="H685" t="inlineStr">
        <is>
          <t>Diciembre</t>
        </is>
      </c>
      <c r="I685" t="inlineStr">
        <is>
          <t>2025-2</t>
        </is>
      </c>
      <c r="J685" t="n">
        <v>100</v>
      </c>
      <c r="K685" t="n">
        <v>107.11</v>
      </c>
      <c r="L685" s="39" t="n">
        <v>1.0711</v>
      </c>
      <c r="M685" s="39" t="n">
        <v>1.0711</v>
      </c>
      <c r="N685" t="inlineStr">
        <is>
          <t>$</t>
        </is>
      </c>
      <c r="O685" t="inlineStr">
        <is>
          <t>$</t>
        </is>
      </c>
      <c r="P685" t="n">
        <v>0</v>
      </c>
      <c r="Q685" t="n">
        <v>0</v>
      </c>
      <c r="R685" t="inlineStr">
        <is>
          <t>377-2025-12-31</t>
        </is>
      </c>
    </row>
    <row r="686">
      <c r="A686" t="n">
        <v>378</v>
      </c>
      <c r="B686" t="inlineStr">
        <is>
          <t>Proyectos tecnológicos</t>
        </is>
      </c>
      <c r="C686" t="inlineStr">
        <is>
          <t>GESTIÓN DE LA TECNOLOGÍA E INNOVACIÓN DIGITAL</t>
        </is>
      </c>
      <c r="D686" t="inlineStr">
        <is>
          <t>Mensual</t>
        </is>
      </c>
      <c r="E686" t="inlineStr">
        <is>
          <t>Positivo</t>
        </is>
      </c>
      <c r="F686" s="113" t="n">
        <v>45291</v>
      </c>
      <c r="G686" t="n">
        <v>2023</v>
      </c>
      <c r="H686" t="inlineStr">
        <is>
          <t>Diciembre</t>
        </is>
      </c>
      <c r="I686" t="inlineStr">
        <is>
          <t>2023-2</t>
        </is>
      </c>
      <c r="J686" t="n">
        <v>92</v>
      </c>
      <c r="K686" t="n">
        <v>95.58</v>
      </c>
      <c r="L686" s="39" t="n">
        <v>1.038913043478261</v>
      </c>
      <c r="M686" s="39" t="n">
        <v>1.038913043478261</v>
      </c>
      <c r="N686" t="inlineStr">
        <is>
          <t>%</t>
        </is>
      </c>
      <c r="O686" t="inlineStr">
        <is>
          <t>%</t>
        </is>
      </c>
      <c r="P686" t="n">
        <v>0</v>
      </c>
      <c r="Q686" t="n">
        <v>0</v>
      </c>
      <c r="R686" t="inlineStr">
        <is>
          <t>378-2023-12-31</t>
        </is>
      </c>
    </row>
    <row r="687">
      <c r="A687" t="n">
        <v>378</v>
      </c>
      <c r="B687" t="inlineStr">
        <is>
          <t>Proyectos tecnológicos</t>
        </is>
      </c>
      <c r="C687" t="inlineStr">
        <is>
          <t>GESTIÓN DE LA TECNOLOGÍA E INNOVACIÓN DIGITAL</t>
        </is>
      </c>
      <c r="D687" t="inlineStr">
        <is>
          <t>Mensual</t>
        </is>
      </c>
      <c r="E687" t="inlineStr">
        <is>
          <t>Positivo</t>
        </is>
      </c>
      <c r="F687" s="113" t="n">
        <v>45657</v>
      </c>
      <c r="G687" t="n">
        <v>2024</v>
      </c>
      <c r="H687" t="inlineStr">
        <is>
          <t>Diciembre</t>
        </is>
      </c>
      <c r="I687" t="inlineStr">
        <is>
          <t>2024-2</t>
        </is>
      </c>
      <c r="J687" t="n">
        <v>0</v>
      </c>
      <c r="K687" t="n">
        <v>0</v>
      </c>
      <c r="L687" s="39" t="n">
        <v>1</v>
      </c>
      <c r="M687" s="39" t="n">
        <v>1</v>
      </c>
      <c r="N687" t="inlineStr">
        <is>
          <t>%</t>
        </is>
      </c>
      <c r="O687" t="inlineStr">
        <is>
          <t>%</t>
        </is>
      </c>
      <c r="P687" t="n">
        <v>0</v>
      </c>
      <c r="Q687" t="n">
        <v>0</v>
      </c>
      <c r="R687" t="inlineStr">
        <is>
          <t>378-2024-12-31</t>
        </is>
      </c>
    </row>
    <row r="688">
      <c r="A688" t="n">
        <v>379</v>
      </c>
      <c r="B688" t="inlineStr">
        <is>
          <t>Total estudiantes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13" t="n">
        <v>45291</v>
      </c>
      <c r="G688" t="n">
        <v>2023</v>
      </c>
      <c r="H688" t="inlineStr">
        <is>
          <t>Diciembre</t>
        </is>
      </c>
      <c r="I688" t="inlineStr">
        <is>
          <t>2023-2</t>
        </is>
      </c>
      <c r="J688" t="n">
        <v>200</v>
      </c>
      <c r="K688" t="n">
        <v>211.37877164056</v>
      </c>
      <c r="L688" s="39" t="n">
        <v>1.0568938582028</v>
      </c>
      <c r="M688" s="39" t="n">
        <v>1.0568938582028</v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379-2023-12-31</t>
        </is>
      </c>
    </row>
    <row r="689">
      <c r="A689" t="n">
        <v>379</v>
      </c>
      <c r="B689" t="inlineStr">
        <is>
          <t>Total estudiantes nuevos</t>
        </is>
      </c>
      <c r="C689" t="inlineStr">
        <is>
          <t>Inscripción, admisión y matrícula de estudiantes nuevos</t>
        </is>
      </c>
      <c r="D689" t="inlineStr">
        <is>
          <t>Semestral</t>
        </is>
      </c>
      <c r="E689" t="inlineStr">
        <is>
          <t>Positivo</t>
        </is>
      </c>
      <c r="F689" s="113" t="n">
        <v>45657</v>
      </c>
      <c r="G689" t="n">
        <v>2024</v>
      </c>
      <c r="H689" t="inlineStr">
        <is>
          <t>Diciembre</t>
        </is>
      </c>
      <c r="I689" t="inlineStr">
        <is>
          <t>2024-2</t>
        </is>
      </c>
      <c r="J689" t="n">
        <v>200</v>
      </c>
      <c r="K689" t="n">
        <v>195.23</v>
      </c>
      <c r="L689" s="39" t="n">
        <v>0.97615</v>
      </c>
      <c r="M689" s="39" t="n">
        <v>0.97615</v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379-2024-12-31</t>
        </is>
      </c>
    </row>
    <row r="690">
      <c r="A690" t="n">
        <v>379</v>
      </c>
      <c r="B690" t="inlineStr">
        <is>
          <t>Total estudiantes nuevos</t>
        </is>
      </c>
      <c r="C690" t="inlineStr">
        <is>
          <t>Inscripción, admisión y matrícula de estudiantes nuevos</t>
        </is>
      </c>
      <c r="D690" t="inlineStr">
        <is>
          <t>Semestral</t>
        </is>
      </c>
      <c r="E690" t="inlineStr">
        <is>
          <t>Positivo</t>
        </is>
      </c>
      <c r="F690" s="113" t="n">
        <v>46022</v>
      </c>
      <c r="G690" t="n">
        <v>2025</v>
      </c>
      <c r="H690" t="inlineStr">
        <is>
          <t>Diciembre</t>
        </is>
      </c>
      <c r="I690" t="inlineStr">
        <is>
          <t>2025-2</t>
        </is>
      </c>
      <c r="J690" t="n">
        <v>200</v>
      </c>
      <c r="K690" t="n">
        <v>206.52</v>
      </c>
      <c r="L690" s="39" t="n">
        <v>1.0326</v>
      </c>
      <c r="M690" s="39" t="n">
        <v>1.0326</v>
      </c>
      <c r="N690" t="inlineStr">
        <is>
          <t>ENT</t>
        </is>
      </c>
      <c r="O690" t="inlineStr">
        <is>
          <t>ENT</t>
        </is>
      </c>
      <c r="P690" t="n">
        <v>0</v>
      </c>
      <c r="Q690" t="n">
        <v>0</v>
      </c>
      <c r="R690" t="inlineStr">
        <is>
          <t>379-2025-12-31</t>
        </is>
      </c>
    </row>
    <row r="691">
      <c r="A691" t="n">
        <v>380</v>
      </c>
      <c r="B691" t="inlineStr">
        <is>
          <t>Ingresos de matriculas de estudiantes nuevos</t>
        </is>
      </c>
      <c r="C691" t="inlineStr">
        <is>
          <t>Inscripción, admisión y matrícula de estudiantes nuevos</t>
        </is>
      </c>
      <c r="D691" t="inlineStr">
        <is>
          <t>Semestral</t>
        </is>
      </c>
      <c r="E691" t="inlineStr">
        <is>
          <t>Positivo</t>
        </is>
      </c>
      <c r="F691" s="113" t="n">
        <v>45291</v>
      </c>
      <c r="G691" t="n">
        <v>2023</v>
      </c>
      <c r="H691" t="inlineStr">
        <is>
          <t>Diciembre</t>
        </is>
      </c>
      <c r="I691" t="inlineStr">
        <is>
          <t>2023-2</t>
        </is>
      </c>
      <c r="J691" t="n">
        <v>49384.117103</v>
      </c>
      <c r="K691" t="n">
        <v>51094.632052</v>
      </c>
      <c r="L691" s="39" t="n">
        <v>1.034636945020853</v>
      </c>
      <c r="M691" s="39" t="n">
        <v>1.034636945020853</v>
      </c>
      <c r="N691" t="inlineStr">
        <is>
          <t>$</t>
        </is>
      </c>
      <c r="O691" t="inlineStr">
        <is>
          <t>$</t>
        </is>
      </c>
      <c r="P691" t="n">
        <v>0</v>
      </c>
      <c r="Q691" t="n">
        <v>0</v>
      </c>
      <c r="R691" t="inlineStr">
        <is>
          <t>380-2023-12-31</t>
        </is>
      </c>
    </row>
    <row r="692">
      <c r="A692" t="n">
        <v>380</v>
      </c>
      <c r="B692" t="inlineStr">
        <is>
          <t>Ingresos de matriculas de estudiantes nuevos</t>
        </is>
      </c>
      <c r="C692" t="inlineStr">
        <is>
          <t>Inscripción, admisión y matrícula de estudiantes nuevos</t>
        </is>
      </c>
      <c r="D692" t="inlineStr">
        <is>
          <t>Semestral</t>
        </is>
      </c>
      <c r="E692" t="inlineStr">
        <is>
          <t>Positivo</t>
        </is>
      </c>
      <c r="F692" s="113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100</v>
      </c>
      <c r="K692" t="n">
        <v>78.92</v>
      </c>
      <c r="L692" s="39" t="n">
        <v>0.7892</v>
      </c>
      <c r="M692" s="39" t="n">
        <v>0.7892</v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380-2024-12-31</t>
        </is>
      </c>
    </row>
    <row r="693">
      <c r="A693" t="n">
        <v>381</v>
      </c>
      <c r="B693" t="inlineStr">
        <is>
          <t>Cumplimiento de matrículas pregrado presencial nuevos</t>
        </is>
      </c>
      <c r="C693" t="inlineStr">
        <is>
          <t>Inscripción, admisión y matrícula de estudiantes nuevos</t>
        </is>
      </c>
      <c r="D693" t="inlineStr">
        <is>
          <t>Semestral</t>
        </is>
      </c>
      <c r="E693" t="inlineStr">
        <is>
          <t>Positivo</t>
        </is>
      </c>
      <c r="F693" s="113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200</v>
      </c>
      <c r="K693" t="n">
        <v>217.97170868347</v>
      </c>
      <c r="L693" s="39" t="n">
        <v>1.08985854341735</v>
      </c>
      <c r="M693" s="39" t="n">
        <v>1.08985854341735</v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381-2023-12-31</t>
        </is>
      </c>
    </row>
    <row r="694">
      <c r="A694" t="n">
        <v>381</v>
      </c>
      <c r="B694" t="inlineStr">
        <is>
          <t>Cumplimiento de matrículas pregrado presencial nuevos</t>
        </is>
      </c>
      <c r="C694" t="inlineStr">
        <is>
          <t>Inscripción, admisión y matrícula de estudiantes nuevos</t>
        </is>
      </c>
      <c r="D694" t="inlineStr">
        <is>
          <t>Semestral</t>
        </is>
      </c>
      <c r="E694" t="inlineStr">
        <is>
          <t>Positivo</t>
        </is>
      </c>
      <c r="F694" s="113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200</v>
      </c>
      <c r="K694" t="n">
        <v>194.45</v>
      </c>
      <c r="L694" s="39" t="n">
        <v>0.9722499999999999</v>
      </c>
      <c r="M694" s="39" t="n">
        <v>0.9722499999999999</v>
      </c>
      <c r="N694" t="inlineStr">
        <is>
          <t>ENT</t>
        </is>
      </c>
      <c r="O694" t="inlineStr">
        <is>
          <t>ENT</t>
        </is>
      </c>
      <c r="P694" t="n">
        <v>0</v>
      </c>
      <c r="Q694" t="n">
        <v>0</v>
      </c>
      <c r="R694" t="inlineStr">
        <is>
          <t>381-2024-12-31</t>
        </is>
      </c>
    </row>
    <row r="695">
      <c r="A695" t="n">
        <v>381</v>
      </c>
      <c r="B695" t="inlineStr">
        <is>
          <t>Cumplimiento de matrículas pregrado presencial nuevos</t>
        </is>
      </c>
      <c r="C695" t="inlineStr">
        <is>
          <t>Inscripción, admisión y matrícula de estudiantes nuevos</t>
        </is>
      </c>
      <c r="D695" t="inlineStr">
        <is>
          <t>Trimestral</t>
        </is>
      </c>
      <c r="E695" t="inlineStr">
        <is>
          <t>Positivo</t>
        </is>
      </c>
      <c r="F695" s="113" t="n">
        <v>46022</v>
      </c>
      <c r="G695" t="n">
        <v>2025</v>
      </c>
      <c r="H695" t="inlineStr">
        <is>
          <t>Diciembre</t>
        </is>
      </c>
      <c r="I695" t="inlineStr">
        <is>
          <t>2025-2</t>
        </is>
      </c>
      <c r="J695" t="n">
        <v>200</v>
      </c>
      <c r="K695" t="n">
        <v>211.88</v>
      </c>
      <c r="L695" s="39" t="n">
        <v>1.0594</v>
      </c>
      <c r="M695" s="39" t="n">
        <v>1.0594</v>
      </c>
      <c r="N695" t="inlineStr">
        <is>
          <t>ENT</t>
        </is>
      </c>
      <c r="O695" t="inlineStr">
        <is>
          <t>ENT</t>
        </is>
      </c>
      <c r="P695" t="n">
        <v>0</v>
      </c>
      <c r="Q695" t="n">
        <v>0</v>
      </c>
      <c r="R695" t="inlineStr">
        <is>
          <t>381-2025-12-31</t>
        </is>
      </c>
    </row>
    <row r="696">
      <c r="A696" t="n">
        <v>382</v>
      </c>
      <c r="B696" t="inlineStr">
        <is>
          <t>Cumplimiento de matrículas pregrado virtual nuevos</t>
        </is>
      </c>
      <c r="C696" t="inlineStr">
        <is>
          <t>Inscripción, admisión y matrícula de estudiantes nuevos</t>
        </is>
      </c>
      <c r="D696" t="inlineStr">
        <is>
          <t>Semestral</t>
        </is>
      </c>
      <c r="E696" t="inlineStr">
        <is>
          <t>Positivo</t>
        </is>
      </c>
      <c r="F696" s="113" t="n">
        <v>45291</v>
      </c>
      <c r="G696" t="n">
        <v>2023</v>
      </c>
      <c r="H696" t="inlineStr">
        <is>
          <t>Diciembre</t>
        </is>
      </c>
      <c r="I696" t="inlineStr">
        <is>
          <t>2023-2</t>
        </is>
      </c>
      <c r="J696" t="n">
        <v>200</v>
      </c>
      <c r="K696" t="n">
        <v>204.26041131951</v>
      </c>
      <c r="L696" s="39" t="n">
        <v>1.02130205659755</v>
      </c>
      <c r="M696" s="39" t="n">
        <v>1.02130205659755</v>
      </c>
      <c r="N696" t="inlineStr">
        <is>
          <t>ENT</t>
        </is>
      </c>
      <c r="O696" t="inlineStr">
        <is>
          <t>ENT</t>
        </is>
      </c>
      <c r="P696" t="n">
        <v>0</v>
      </c>
      <c r="Q696" t="n">
        <v>0</v>
      </c>
      <c r="R696" t="inlineStr">
        <is>
          <t>382-2023-12-31</t>
        </is>
      </c>
    </row>
    <row r="697">
      <c r="A697" t="n">
        <v>382</v>
      </c>
      <c r="B697" t="inlineStr">
        <is>
          <t>Cumplimiento de matrículas pregrado virtual nuevos</t>
        </is>
      </c>
      <c r="C697" t="inlineStr">
        <is>
          <t>Inscripción, admisión y matrícula de estudiantes nuevos</t>
        </is>
      </c>
      <c r="D697" t="inlineStr">
        <is>
          <t>Semestral</t>
        </is>
      </c>
      <c r="E697" t="inlineStr">
        <is>
          <t>Positivo</t>
        </is>
      </c>
      <c r="F697" s="113" t="n">
        <v>45657</v>
      </c>
      <c r="G697" t="n">
        <v>2024</v>
      </c>
      <c r="H697" t="inlineStr">
        <is>
          <t>Diciembre</t>
        </is>
      </c>
      <c r="I697" t="inlineStr">
        <is>
          <t>2024-2</t>
        </is>
      </c>
      <c r="J697" t="n">
        <v>200</v>
      </c>
      <c r="K697" t="n">
        <v>191.83</v>
      </c>
      <c r="L697" s="39" t="n">
        <v>0.9591500000000001</v>
      </c>
      <c r="M697" s="39" t="n">
        <v>0.9591500000000001</v>
      </c>
      <c r="N697" t="inlineStr">
        <is>
          <t>ENT</t>
        </is>
      </c>
      <c r="O697" t="inlineStr">
        <is>
          <t>ENT</t>
        </is>
      </c>
      <c r="P697" t="n">
        <v>0</v>
      </c>
      <c r="Q697" t="n">
        <v>0</v>
      </c>
      <c r="R697" t="inlineStr">
        <is>
          <t>382-2024-12-31</t>
        </is>
      </c>
    </row>
    <row r="698">
      <c r="A698" t="n">
        <v>382</v>
      </c>
      <c r="B698" t="inlineStr">
        <is>
          <t>Cumplimiento de matrículas pregrado virtual nuevos</t>
        </is>
      </c>
      <c r="C698" t="inlineStr">
        <is>
          <t>Inscripción, admisión y matrícula de estudiantes nuevos</t>
        </is>
      </c>
      <c r="D698" t="inlineStr">
        <is>
          <t>Trimestral</t>
        </is>
      </c>
      <c r="E698" t="inlineStr">
        <is>
          <t>Positivo</t>
        </is>
      </c>
      <c r="F698" s="113" t="n">
        <v>46022</v>
      </c>
      <c r="G698" t="n">
        <v>2025</v>
      </c>
      <c r="H698" t="inlineStr">
        <is>
          <t>Diciembre</t>
        </is>
      </c>
      <c r="I698" t="inlineStr">
        <is>
          <t>2025-2</t>
        </is>
      </c>
      <c r="J698" t="n">
        <v>200</v>
      </c>
      <c r="K698" t="n">
        <v>197.06</v>
      </c>
      <c r="L698" s="39" t="n">
        <v>0.9853000000000001</v>
      </c>
      <c r="M698" s="39" t="n">
        <v>0.9853000000000001</v>
      </c>
      <c r="N698" t="inlineStr">
        <is>
          <t>ENT</t>
        </is>
      </c>
      <c r="O698" t="inlineStr">
        <is>
          <t>ENT</t>
        </is>
      </c>
      <c r="P698" t="n">
        <v>0</v>
      </c>
      <c r="Q698" t="n">
        <v>0</v>
      </c>
      <c r="R698" t="inlineStr">
        <is>
          <t>382-2025-12-31</t>
        </is>
      </c>
    </row>
    <row r="699">
      <c r="A699" t="n">
        <v>383</v>
      </c>
      <c r="B699" t="inlineStr">
        <is>
          <t>Cumplimiento de matrículas posgrado virtual nuevos</t>
        </is>
      </c>
      <c r="C699" t="inlineStr">
        <is>
          <t>Inscripción, admisión y matrícula de estudiantes nuevos</t>
        </is>
      </c>
      <c r="D699" t="inlineStr">
        <is>
          <t>Semestral</t>
        </is>
      </c>
      <c r="E699" t="inlineStr">
        <is>
          <t>Positivo</t>
        </is>
      </c>
      <c r="F699" s="113" t="n">
        <v>45291</v>
      </c>
      <c r="G699" t="n">
        <v>2023</v>
      </c>
      <c r="H699" t="inlineStr">
        <is>
          <t>Diciembre</t>
        </is>
      </c>
      <c r="I699" t="inlineStr">
        <is>
          <t>2023-2</t>
        </is>
      </c>
      <c r="J699" t="n">
        <v>200</v>
      </c>
      <c r="K699" t="n">
        <v>258.04232994527</v>
      </c>
      <c r="L699" s="39" t="n">
        <v>1.29021164972635</v>
      </c>
      <c r="M699" s="39" t="n">
        <v>1.29021164972635</v>
      </c>
      <c r="N699" t="inlineStr">
        <is>
          <t>ENT</t>
        </is>
      </c>
      <c r="O699" t="inlineStr">
        <is>
          <t>ENT</t>
        </is>
      </c>
      <c r="P699" t="n">
        <v>0</v>
      </c>
      <c r="Q699" t="n">
        <v>0</v>
      </c>
      <c r="R699" t="inlineStr">
        <is>
          <t>383-2023-12-31</t>
        </is>
      </c>
    </row>
    <row r="700">
      <c r="A700" t="n">
        <v>383</v>
      </c>
      <c r="B700" t="inlineStr">
        <is>
          <t>Cumplimiento de matrículas posgrado virtual nuevos</t>
        </is>
      </c>
      <c r="C700" t="inlineStr">
        <is>
          <t>Inscripción, admisión y matrícula de estudiantes nuevos</t>
        </is>
      </c>
      <c r="D700" t="inlineStr">
        <is>
          <t>Semestral</t>
        </is>
      </c>
      <c r="E700" t="inlineStr">
        <is>
          <t>Positivo</t>
        </is>
      </c>
      <c r="F700" s="113" t="n">
        <v>45657</v>
      </c>
      <c r="G700" t="n">
        <v>2024</v>
      </c>
      <c r="H700" t="inlineStr">
        <is>
          <t>Diciembre</t>
        </is>
      </c>
      <c r="I700" t="inlineStr">
        <is>
          <t>2024-2</t>
        </is>
      </c>
      <c r="J700" t="n">
        <v>200</v>
      </c>
      <c r="K700" t="n">
        <v>220.91</v>
      </c>
      <c r="L700" s="39" t="n">
        <v>1.10455</v>
      </c>
      <c r="M700" s="39" t="n">
        <v>1.10455</v>
      </c>
      <c r="N700" t="inlineStr">
        <is>
          <t>ENT</t>
        </is>
      </c>
      <c r="O700" t="inlineStr">
        <is>
          <t>ENT</t>
        </is>
      </c>
      <c r="P700" t="n">
        <v>0</v>
      </c>
      <c r="Q700" t="n">
        <v>0</v>
      </c>
      <c r="R700" t="inlineStr">
        <is>
          <t>383-2024-12-31</t>
        </is>
      </c>
    </row>
    <row r="701">
      <c r="A701" t="n">
        <v>383</v>
      </c>
      <c r="B701" t="inlineStr">
        <is>
          <t>Cumplimiento de matrículas posgrado virtual nuevos</t>
        </is>
      </c>
      <c r="C701" t="inlineStr">
        <is>
          <t>Inscripción, admisión y matrícula de estudiantes nuevos</t>
        </is>
      </c>
      <c r="D701" t="inlineStr">
        <is>
          <t>Trimestral</t>
        </is>
      </c>
      <c r="E701" t="inlineStr">
        <is>
          <t>Positivo</t>
        </is>
      </c>
      <c r="F701" s="113" t="n">
        <v>46022</v>
      </c>
      <c r="G701" t="n">
        <v>2025</v>
      </c>
      <c r="H701" t="inlineStr">
        <is>
          <t>Diciembre</t>
        </is>
      </c>
      <c r="I701" t="inlineStr">
        <is>
          <t>2025-2</t>
        </is>
      </c>
      <c r="J701" t="n">
        <v>200</v>
      </c>
      <c r="K701" t="n">
        <v>264.83</v>
      </c>
      <c r="L701" s="39" t="n">
        <v>1.3</v>
      </c>
      <c r="M701" s="39" t="n">
        <v>1.32415</v>
      </c>
      <c r="N701" t="inlineStr">
        <is>
          <t>ENT</t>
        </is>
      </c>
      <c r="O701" t="inlineStr">
        <is>
          <t>ENT</t>
        </is>
      </c>
      <c r="P701" t="n">
        <v>0</v>
      </c>
      <c r="Q701" t="n">
        <v>0</v>
      </c>
      <c r="R701" t="inlineStr">
        <is>
          <t>383-2025-12-31</t>
        </is>
      </c>
    </row>
    <row r="702">
      <c r="A702" t="n">
        <v>384</v>
      </c>
      <c r="B702" t="inlineStr">
        <is>
          <t>Cumplimiento de matrículas posgrado presencial nuevos</t>
        </is>
      </c>
      <c r="C702" t="inlineStr">
        <is>
          <t>Inscripción, admisión y matrícula de estudiantes nuevos</t>
        </is>
      </c>
      <c r="D702" t="inlineStr">
        <is>
          <t>Semestral</t>
        </is>
      </c>
      <c r="E702" t="inlineStr">
        <is>
          <t>Positivo</t>
        </is>
      </c>
      <c r="F702" s="113" t="n">
        <v>45291</v>
      </c>
      <c r="G702" t="n">
        <v>2023</v>
      </c>
      <c r="H702" t="inlineStr">
        <is>
          <t>Diciembre</t>
        </is>
      </c>
      <c r="I702" t="inlineStr">
        <is>
          <t>2023-2</t>
        </is>
      </c>
      <c r="J702" t="n">
        <v>200</v>
      </c>
      <c r="K702" t="n">
        <v>227.14470588235</v>
      </c>
      <c r="L702" s="39" t="n">
        <v>1.13572352941175</v>
      </c>
      <c r="M702" s="39" t="n">
        <v>1.13572352941175</v>
      </c>
      <c r="N702" t="inlineStr">
        <is>
          <t>ENT</t>
        </is>
      </c>
      <c r="O702" t="inlineStr">
        <is>
          <t>ENT</t>
        </is>
      </c>
      <c r="P702" t="n">
        <v>0</v>
      </c>
      <c r="Q702" t="n">
        <v>0</v>
      </c>
      <c r="R702" t="inlineStr">
        <is>
          <t>384-2023-12-31</t>
        </is>
      </c>
    </row>
    <row r="703">
      <c r="A703" t="n">
        <v>384</v>
      </c>
      <c r="B703" t="inlineStr">
        <is>
          <t>Cumplimiento de matrículas posgrado presencial nuevos</t>
        </is>
      </c>
      <c r="C703" t="inlineStr">
        <is>
          <t>Inscripción, admisión y matrícula de estudiantes nuevos</t>
        </is>
      </c>
      <c r="D703" t="inlineStr">
        <is>
          <t>Semestral</t>
        </is>
      </c>
      <c r="E703" t="inlineStr">
        <is>
          <t>Positivo</t>
        </is>
      </c>
      <c r="F703" s="113" t="n">
        <v>45657</v>
      </c>
      <c r="G703" t="n">
        <v>2024</v>
      </c>
      <c r="H703" t="inlineStr">
        <is>
          <t>Diciembre</t>
        </is>
      </c>
      <c r="I703" t="inlineStr">
        <is>
          <t>2024-2</t>
        </is>
      </c>
      <c r="J703" t="n">
        <v>200</v>
      </c>
      <c r="K703" t="n">
        <v>190.1</v>
      </c>
      <c r="L703" s="39" t="n">
        <v>0.9505</v>
      </c>
      <c r="M703" s="39" t="n">
        <v>0.9505</v>
      </c>
      <c r="N703" t="inlineStr">
        <is>
          <t>ENT</t>
        </is>
      </c>
      <c r="O703" t="inlineStr">
        <is>
          <t>ENT</t>
        </is>
      </c>
      <c r="P703" t="n">
        <v>0</v>
      </c>
      <c r="Q703" t="n">
        <v>0</v>
      </c>
      <c r="R703" t="inlineStr">
        <is>
          <t>384-2024-12-31</t>
        </is>
      </c>
    </row>
    <row r="704">
      <c r="A704" t="n">
        <v>384</v>
      </c>
      <c r="B704" t="inlineStr">
        <is>
          <t>Cumplimiento de matrículas posgrado presencial nuevos</t>
        </is>
      </c>
      <c r="C704" t="inlineStr">
        <is>
          <t>Inscripción, admisión y matrícula de estudiantes nuevos</t>
        </is>
      </c>
      <c r="D704" t="inlineStr">
        <is>
          <t>Trimestral</t>
        </is>
      </c>
      <c r="E704" t="inlineStr">
        <is>
          <t>Positivo</t>
        </is>
      </c>
      <c r="F704" s="113" t="n">
        <v>46022</v>
      </c>
      <c r="G704" t="n">
        <v>2025</v>
      </c>
      <c r="H704" t="inlineStr">
        <is>
          <t>Diciembre</t>
        </is>
      </c>
      <c r="I704" t="inlineStr">
        <is>
          <t>2025-2</t>
        </is>
      </c>
      <c r="J704" t="n">
        <v>200</v>
      </c>
      <c r="K704" t="n">
        <v>204.16</v>
      </c>
      <c r="L704" s="39" t="n">
        <v>1.0208</v>
      </c>
      <c r="M704" s="39" t="n">
        <v>1.0208</v>
      </c>
      <c r="N704" t="inlineStr">
        <is>
          <t>ENT</t>
        </is>
      </c>
      <c r="O704" t="inlineStr">
        <is>
          <t>ENT</t>
        </is>
      </c>
      <c r="P704" t="n">
        <v>0</v>
      </c>
      <c r="Q704" t="n">
        <v>0</v>
      </c>
      <c r="R704" t="inlineStr">
        <is>
          <t>384-2025-12-31</t>
        </is>
      </c>
    </row>
    <row r="705">
      <c r="A705" t="n">
        <v>385</v>
      </c>
      <c r="B705" t="inlineStr">
        <is>
          <t>Ingresos totales de educación para la vida</t>
        </is>
      </c>
      <c r="C705" t="inlineStr">
        <is>
          <t>Mercadeo y venta de educación para la vida</t>
        </is>
      </c>
      <c r="D705" t="inlineStr">
        <is>
          <t>Semestral</t>
        </is>
      </c>
      <c r="E705" t="inlineStr">
        <is>
          <t>Positivo</t>
        </is>
      </c>
      <c r="F705" s="113" t="n">
        <v>45291</v>
      </c>
      <c r="G705" t="n">
        <v>2023</v>
      </c>
      <c r="H705" t="inlineStr">
        <is>
          <t>Diciembre</t>
        </is>
      </c>
      <c r="I705" t="inlineStr">
        <is>
          <t>2023-2</t>
        </is>
      </c>
      <c r="J705" t="n">
        <v>100</v>
      </c>
      <c r="K705" t="n">
        <v>124.93</v>
      </c>
      <c r="L705" s="39" t="n">
        <v>1.2493</v>
      </c>
      <c r="M705" s="39" t="n">
        <v>1.2493</v>
      </c>
      <c r="N705" t="inlineStr">
        <is>
          <t>$</t>
        </is>
      </c>
      <c r="O705" t="inlineStr">
        <is>
          <t>$</t>
        </is>
      </c>
      <c r="P705" t="n">
        <v>0</v>
      </c>
      <c r="Q705" t="n">
        <v>0</v>
      </c>
      <c r="R705" t="inlineStr">
        <is>
          <t>385-2023-12-31</t>
        </is>
      </c>
    </row>
    <row r="706">
      <c r="A706" t="n">
        <v>385</v>
      </c>
      <c r="B706" t="inlineStr">
        <is>
          <t>Ingresos totales de educación para la vida</t>
        </is>
      </c>
      <c r="C706" t="inlineStr">
        <is>
          <t>Mercadeo y venta de educación para la vida</t>
        </is>
      </c>
      <c r="D706" t="inlineStr">
        <is>
          <t>Semestral</t>
        </is>
      </c>
      <c r="E706" t="inlineStr">
        <is>
          <t>Positivo</t>
        </is>
      </c>
      <c r="F706" s="113" t="n">
        <v>45657</v>
      </c>
      <c r="G706" t="n">
        <v>2024</v>
      </c>
      <c r="H706" t="inlineStr">
        <is>
          <t>Diciembre</t>
        </is>
      </c>
      <c r="I706" t="inlineStr">
        <is>
          <t>2024-2</t>
        </is>
      </c>
      <c r="J706" t="n">
        <v>100</v>
      </c>
      <c r="K706" t="n">
        <v>88.56</v>
      </c>
      <c r="L706" s="39" t="n">
        <v>0.8856000000000001</v>
      </c>
      <c r="M706" s="39" t="n">
        <v>0.8856000000000001</v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385-2024-12-31</t>
        </is>
      </c>
    </row>
    <row r="707">
      <c r="A707" t="n">
        <v>385</v>
      </c>
      <c r="B707" t="inlineStr">
        <is>
          <t>Ingresos totales de educación para la vida</t>
        </is>
      </c>
      <c r="C707" t="inlineStr">
        <is>
          <t>Mercadeo y venta de educación para la vida</t>
        </is>
      </c>
      <c r="D707" t="inlineStr">
        <is>
          <t>Semestral</t>
        </is>
      </c>
      <c r="E707" t="inlineStr">
        <is>
          <t>Positivo</t>
        </is>
      </c>
      <c r="F707" s="113" t="n">
        <v>46022</v>
      </c>
      <c r="G707" t="n">
        <v>2025</v>
      </c>
      <c r="H707" t="inlineStr">
        <is>
          <t>Diciembre</t>
        </is>
      </c>
      <c r="I707" t="inlineStr">
        <is>
          <t>2025-2</t>
        </is>
      </c>
      <c r="J707" t="n">
        <v>100</v>
      </c>
      <c r="K707" t="n">
        <v>108.89</v>
      </c>
      <c r="L707" s="39" t="n">
        <v>1.0889</v>
      </c>
      <c r="M707" s="39" t="n">
        <v>1.0889</v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385-2025-12-31</t>
        </is>
      </c>
    </row>
    <row r="708">
      <c r="A708" t="n">
        <v>386</v>
      </c>
      <c r="B708" t="inlineStr">
        <is>
          <t>Cumplimiento Meta comercial Educación para toda la vida por linea</t>
        </is>
      </c>
      <c r="C708" t="inlineStr">
        <is>
          <t>Mercadeo y venta de educación para la vida</t>
        </is>
      </c>
      <c r="D708" t="inlineStr">
        <is>
          <t>Semestral</t>
        </is>
      </c>
      <c r="E708" t="inlineStr">
        <is>
          <t>Positivo</t>
        </is>
      </c>
      <c r="F708" s="113" t="n">
        <v>45291</v>
      </c>
      <c r="G708" t="n">
        <v>2023</v>
      </c>
      <c r="H708" t="inlineStr">
        <is>
          <t>Diciembre</t>
        </is>
      </c>
      <c r="I708" t="inlineStr">
        <is>
          <t>2023-2</t>
        </is>
      </c>
      <c r="J708" t="n">
        <v>200</v>
      </c>
      <c r="K708" t="n">
        <v>241.20486566654</v>
      </c>
      <c r="L708" s="39" t="n">
        <v>1.2060243283327</v>
      </c>
      <c r="M708" s="39" t="n">
        <v>1.2060243283327</v>
      </c>
      <c r="N708" t="inlineStr">
        <is>
          <t>%</t>
        </is>
      </c>
      <c r="O708" t="inlineStr">
        <is>
          <t>%</t>
        </is>
      </c>
      <c r="P708" t="n">
        <v>0</v>
      </c>
      <c r="Q708" t="n">
        <v>0</v>
      </c>
      <c r="R708" t="inlineStr">
        <is>
          <t>386-2023-12-31</t>
        </is>
      </c>
    </row>
    <row r="709">
      <c r="A709" t="n">
        <v>386</v>
      </c>
      <c r="B709" t="inlineStr">
        <is>
          <t>Cumplimiento Meta comercial Educación para toda la vida por linea</t>
        </is>
      </c>
      <c r="C709" t="inlineStr">
        <is>
          <t>Mercadeo y venta de educación para la vida</t>
        </is>
      </c>
      <c r="D709" t="inlineStr">
        <is>
          <t>Semestral</t>
        </is>
      </c>
      <c r="E709" t="inlineStr">
        <is>
          <t>Positivo</t>
        </is>
      </c>
      <c r="F709" s="113" t="n">
        <v>45657</v>
      </c>
      <c r="G709" t="n">
        <v>2024</v>
      </c>
      <c r="H709" t="inlineStr">
        <is>
          <t>Diciembre</t>
        </is>
      </c>
      <c r="I709" t="inlineStr">
        <is>
          <t>2024-2</t>
        </is>
      </c>
      <c r="J709" t="n">
        <v>200</v>
      </c>
      <c r="K709" t="n">
        <v>188.64</v>
      </c>
      <c r="L709" s="39" t="n">
        <v>0.9431999999999999</v>
      </c>
      <c r="M709" s="39" t="n">
        <v>0.9431999999999999</v>
      </c>
      <c r="N709" t="inlineStr">
        <is>
          <t>%</t>
        </is>
      </c>
      <c r="O709" t="inlineStr">
        <is>
          <t>%</t>
        </is>
      </c>
      <c r="P709" t="n">
        <v>0</v>
      </c>
      <c r="Q709" t="n">
        <v>0</v>
      </c>
      <c r="R709" t="inlineStr">
        <is>
          <t>386-2024-12-31</t>
        </is>
      </c>
    </row>
    <row r="710">
      <c r="A710" t="n">
        <v>386</v>
      </c>
      <c r="B710" t="inlineStr">
        <is>
          <t>Cumplimiento Meta comercial Educación para toda la vida por linea</t>
        </is>
      </c>
      <c r="C710" t="inlineStr">
        <is>
          <t>Mercadeo y venta de educación para la vida</t>
        </is>
      </c>
      <c r="D710" t="inlineStr">
        <is>
          <t>Trimestral</t>
        </is>
      </c>
      <c r="E710" t="inlineStr">
        <is>
          <t>Positivo</t>
        </is>
      </c>
      <c r="F710" s="113" t="n">
        <v>46022</v>
      </c>
      <c r="G710" t="n">
        <v>2025</v>
      </c>
      <c r="H710" t="inlineStr">
        <is>
          <t>Diciembre</t>
        </is>
      </c>
      <c r="I710" t="inlineStr">
        <is>
          <t>2025-2</t>
        </is>
      </c>
      <c r="J710" t="n">
        <v>200</v>
      </c>
      <c r="K710" t="n">
        <v>225.46</v>
      </c>
      <c r="L710" s="39" t="n">
        <v>1.1273</v>
      </c>
      <c r="M710" s="39" t="n">
        <v>1.1273</v>
      </c>
      <c r="N710" t="inlineStr">
        <is>
          <t>%</t>
        </is>
      </c>
      <c r="O710" t="inlineStr">
        <is>
          <t>%</t>
        </is>
      </c>
      <c r="P710" t="n">
        <v>0</v>
      </c>
      <c r="Q710" t="n">
        <v>0</v>
      </c>
      <c r="R710" t="inlineStr">
        <is>
          <t>386-2025-12-31</t>
        </is>
      </c>
    </row>
    <row r="711">
      <c r="A711" t="n">
        <v>387</v>
      </c>
      <c r="B711" t="inlineStr">
        <is>
          <t>Programas con reforzamiento curricular por escuela</t>
        </is>
      </c>
      <c r="C711" t="inlineStr">
        <is>
          <t>Gestión, Evaluación e Innovación Curricular</t>
        </is>
      </c>
      <c r="D711" t="inlineStr">
        <is>
          <t>Semestral</t>
        </is>
      </c>
      <c r="E711" t="inlineStr">
        <is>
          <t>Positivo</t>
        </is>
      </c>
      <c r="F711" s="113" t="n">
        <v>45291</v>
      </c>
      <c r="G711" t="n">
        <v>2023</v>
      </c>
      <c r="H711" t="inlineStr">
        <is>
          <t>Diciembre</t>
        </is>
      </c>
      <c r="I711" t="inlineStr">
        <is>
          <t>2023-2</t>
        </is>
      </c>
      <c r="J711" t="n">
        <v>38</v>
      </c>
      <c r="K711" t="n">
        <v>38</v>
      </c>
      <c r="L711" s="39" t="n">
        <v>1</v>
      </c>
      <c r="M711" s="39" t="n">
        <v>1</v>
      </c>
      <c r="N711" t="inlineStr">
        <is>
          <t>ENT</t>
        </is>
      </c>
      <c r="O711" t="inlineStr">
        <is>
          <t>ENT</t>
        </is>
      </c>
      <c r="P711" t="n">
        <v>0</v>
      </c>
      <c r="Q711" t="n">
        <v>0</v>
      </c>
      <c r="R711" t="inlineStr">
        <is>
          <t>387-2023-12-31</t>
        </is>
      </c>
    </row>
    <row r="712">
      <c r="A712" t="n">
        <v>388</v>
      </c>
      <c r="B712" t="inlineStr">
        <is>
          <t>Programas con matriz de resultados de aprendizaje por escuela</t>
        </is>
      </c>
      <c r="C712" t="inlineStr">
        <is>
          <t>Gestión, Evaluación e Innovación Curricular</t>
        </is>
      </c>
      <c r="D712" t="inlineStr">
        <is>
          <t>Semestral</t>
        </is>
      </c>
      <c r="E712" t="inlineStr">
        <is>
          <t>Positivo</t>
        </is>
      </c>
      <c r="F712" s="113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93</v>
      </c>
      <c r="K712" t="n">
        <v>93</v>
      </c>
      <c r="L712" s="39" t="n">
        <v>1</v>
      </c>
      <c r="M712" s="39" t="n">
        <v>1</v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388-2023-12-31</t>
        </is>
      </c>
    </row>
    <row r="713">
      <c r="A713" t="n">
        <v>389</v>
      </c>
      <c r="B713" t="inlineStr">
        <is>
          <t>Permanencia por escuela</t>
        </is>
      </c>
      <c r="C713" t="inlineStr">
        <is>
          <t>Permanencia</t>
        </is>
      </c>
      <c r="D713" t="inlineStr">
        <is>
          <t>Semestral</t>
        </is>
      </c>
      <c r="E713" t="inlineStr">
        <is>
          <t>Positivo</t>
        </is>
      </c>
      <c r="F713" s="113" t="n">
        <v>45291</v>
      </c>
      <c r="G713" t="n">
        <v>2023</v>
      </c>
      <c r="H713" t="inlineStr">
        <is>
          <t>Diciembre</t>
        </is>
      </c>
      <c r="I713" t="inlineStr">
        <is>
          <t>2023-2</t>
        </is>
      </c>
      <c r="J713" t="n">
        <v>91</v>
      </c>
      <c r="K713" t="n">
        <v>0</v>
      </c>
      <c r="L713" s="39" t="n">
        <v>0</v>
      </c>
      <c r="M713" s="39" t="n">
        <v>0</v>
      </c>
      <c r="N713" t="inlineStr">
        <is>
          <t>%</t>
        </is>
      </c>
      <c r="O713" t="inlineStr">
        <is>
          <t>%</t>
        </is>
      </c>
      <c r="P713" t="n">
        <v>0</v>
      </c>
      <c r="Q713" t="n">
        <v>0</v>
      </c>
      <c r="R713" t="inlineStr">
        <is>
          <t>389-2023-12-31</t>
        </is>
      </c>
    </row>
    <row r="714">
      <c r="A714" t="n">
        <v>389</v>
      </c>
      <c r="B714" t="inlineStr">
        <is>
          <t>Permanencia por escuela</t>
        </is>
      </c>
      <c r="C714" t="inlineStr">
        <is>
          <t>Permanencia</t>
        </is>
      </c>
      <c r="D714" t="inlineStr">
        <is>
          <t>Semestral</t>
        </is>
      </c>
      <c r="E714" t="inlineStr">
        <is>
          <t>Positivo</t>
        </is>
      </c>
      <c r="F714" s="113" t="n">
        <v>45657</v>
      </c>
      <c r="G714" t="n">
        <v>2024</v>
      </c>
      <c r="H714" t="inlineStr">
        <is>
          <t>Diciembre</t>
        </is>
      </c>
      <c r="I714" t="inlineStr">
        <is>
          <t>2024-2</t>
        </is>
      </c>
      <c r="J714" t="n">
        <v>85</v>
      </c>
      <c r="K714" t="n">
        <v>42.21666666666666</v>
      </c>
      <c r="L714" s="39" t="n">
        <v>0.4966666666666666</v>
      </c>
      <c r="M714" s="39" t="n">
        <v>0.4966666666666666</v>
      </c>
      <c r="N714" t="inlineStr">
        <is>
          <t>%</t>
        </is>
      </c>
      <c r="O714" t="inlineStr">
        <is>
          <t>%</t>
        </is>
      </c>
      <c r="P714" t="n">
        <v>0</v>
      </c>
      <c r="Q714" t="n">
        <v>0</v>
      </c>
      <c r="R714" t="inlineStr">
        <is>
          <t>389-2024-12-31</t>
        </is>
      </c>
    </row>
    <row r="715">
      <c r="A715" t="n">
        <v>389</v>
      </c>
      <c r="B715" t="inlineStr">
        <is>
          <t>Permanencia por escuela</t>
        </is>
      </c>
      <c r="C715" t="inlineStr">
        <is>
          <t>Gestión de Unidades Académicas</t>
        </is>
      </c>
      <c r="D715" t="inlineStr">
        <is>
          <t>Trimestral</t>
        </is>
      </c>
      <c r="E715" t="inlineStr">
        <is>
          <t>Positivo</t>
        </is>
      </c>
      <c r="F715" s="113" t="n">
        <v>46022</v>
      </c>
      <c r="G715" t="n">
        <v>2025</v>
      </c>
      <c r="H715" t="inlineStr">
        <is>
          <t>Diciembre</t>
        </is>
      </c>
      <c r="I715" t="inlineStr">
        <is>
          <t>2025-2</t>
        </is>
      </c>
      <c r="K715" t="n">
        <v>0</v>
      </c>
      <c r="L715" s="39" t="n"/>
      <c r="M715" s="39" t="n"/>
      <c r="N715" t="inlineStr">
        <is>
          <t>%</t>
        </is>
      </c>
      <c r="O715" t="inlineStr">
        <is>
          <t>%</t>
        </is>
      </c>
      <c r="P715" t="n">
        <v>0</v>
      </c>
      <c r="Q715" t="n">
        <v>0</v>
      </c>
      <c r="R715" t="inlineStr">
        <is>
          <t>389-2025-12-31</t>
        </is>
      </c>
    </row>
    <row r="716">
      <c r="A716" t="n">
        <v>390</v>
      </c>
      <c r="B716" t="inlineStr">
        <is>
          <t>Cumplimiento Plan Anual por escuela</t>
        </is>
      </c>
      <c r="C716" t="inlineStr">
        <is>
          <t>Gestión de Unidades Académicas</t>
        </is>
      </c>
      <c r="D716" t="inlineStr">
        <is>
          <t>Trimestral</t>
        </is>
      </c>
      <c r="E716" t="inlineStr">
        <is>
          <t>Positivo</t>
        </is>
      </c>
      <c r="F716" s="113" t="n">
        <v>45291</v>
      </c>
      <c r="G716" t="n">
        <v>2023</v>
      </c>
      <c r="H716" t="inlineStr">
        <is>
          <t>Diciembre</t>
        </is>
      </c>
      <c r="I716" t="inlineStr">
        <is>
          <t>2023-2</t>
        </is>
      </c>
      <c r="J716" t="n">
        <v>100</v>
      </c>
      <c r="K716" t="n">
        <v>99.24916666666699</v>
      </c>
      <c r="L716" s="39" t="n">
        <v>0.99249166666667</v>
      </c>
      <c r="M716" s="39" t="n">
        <v>0.99249166666667</v>
      </c>
      <c r="N716" t="inlineStr">
        <is>
          <t>%</t>
        </is>
      </c>
      <c r="O716" t="inlineStr">
        <is>
          <t>%</t>
        </is>
      </c>
      <c r="P716" t="n">
        <v>0</v>
      </c>
      <c r="Q716" t="n">
        <v>0</v>
      </c>
      <c r="R716" t="inlineStr">
        <is>
          <t>390-2023-12-31</t>
        </is>
      </c>
    </row>
    <row r="717">
      <c r="A717" t="n">
        <v>390</v>
      </c>
      <c r="B717" t="inlineStr">
        <is>
          <t>Cumplimiento Plan Anual por escuela</t>
        </is>
      </c>
      <c r="C717" t="inlineStr">
        <is>
          <t>Gestión de Unidades Académicas</t>
        </is>
      </c>
      <c r="D717" t="inlineStr">
        <is>
          <t>Trimestral</t>
        </is>
      </c>
      <c r="E717" t="inlineStr">
        <is>
          <t>Positivo</t>
        </is>
      </c>
      <c r="F717" s="113" t="n">
        <v>45657</v>
      </c>
      <c r="G717" t="n">
        <v>2024</v>
      </c>
      <c r="H717" t="inlineStr">
        <is>
          <t>Diciembre</t>
        </is>
      </c>
      <c r="I717" t="inlineStr">
        <is>
          <t>2024-2</t>
        </is>
      </c>
      <c r="J717" t="n">
        <v>100</v>
      </c>
      <c r="K717" t="n">
        <v>99.92</v>
      </c>
      <c r="L717" s="39" t="n">
        <v>0.9992</v>
      </c>
      <c r="M717" s="39" t="n">
        <v>0.9992</v>
      </c>
      <c r="N717" t="inlineStr">
        <is>
          <t>%</t>
        </is>
      </c>
      <c r="O717" t="inlineStr">
        <is>
          <t>%</t>
        </is>
      </c>
      <c r="P717" t="n">
        <v>0</v>
      </c>
      <c r="Q717" t="n">
        <v>0</v>
      </c>
      <c r="R717" t="inlineStr">
        <is>
          <t>390-2024-12-31</t>
        </is>
      </c>
    </row>
    <row r="718">
      <c r="A718" t="n">
        <v>390</v>
      </c>
      <c r="B718" t="inlineStr">
        <is>
          <t>Cumplimiento Plan Anual por escuela</t>
        </is>
      </c>
      <c r="C718" t="inlineStr">
        <is>
          <t>Planeación Estratégica</t>
        </is>
      </c>
      <c r="D718" t="inlineStr">
        <is>
          <t>Semestral</t>
        </is>
      </c>
      <c r="E718" t="inlineStr">
        <is>
          <t>Positivo</t>
        </is>
      </c>
      <c r="F718" s="113" t="n">
        <v>46022</v>
      </c>
      <c r="G718" t="n">
        <v>2025</v>
      </c>
      <c r="H718" t="inlineStr">
        <is>
          <t>Diciembre</t>
        </is>
      </c>
      <c r="I718" t="inlineStr">
        <is>
          <t>2025-2</t>
        </is>
      </c>
      <c r="J718" t="n">
        <v>100</v>
      </c>
      <c r="K718" t="n">
        <v>99.78</v>
      </c>
      <c r="L718" s="39" t="n">
        <v>0.9978</v>
      </c>
      <c r="M718" s="39" t="n">
        <v>0.9978</v>
      </c>
      <c r="N718" t="inlineStr">
        <is>
          <t>%</t>
        </is>
      </c>
      <c r="O718" t="inlineStr">
        <is>
          <t>%</t>
        </is>
      </c>
      <c r="P718" t="n">
        <v>0</v>
      </c>
      <c r="Q718" t="n">
        <v>0</v>
      </c>
      <c r="R718" t="inlineStr">
        <is>
          <t>390-2025-12-31</t>
        </is>
      </c>
    </row>
    <row r="719">
      <c r="A719" t="n">
        <v>391</v>
      </c>
      <c r="B719" t="inlineStr">
        <is>
          <t>Satisfacción del cliente con campañas integradas de marketing</t>
        </is>
      </c>
      <c r="C719" t="inlineStr">
        <is>
          <t>Gestión de campañas integradas de marketing</t>
        </is>
      </c>
      <c r="D719" t="inlineStr">
        <is>
          <t>Semestral</t>
        </is>
      </c>
      <c r="E719" t="inlineStr">
        <is>
          <t>Positivo</t>
        </is>
      </c>
      <c r="F719" s="113" t="n">
        <v>45291</v>
      </c>
      <c r="G719" t="n">
        <v>2023</v>
      </c>
      <c r="H719" t="inlineStr">
        <is>
          <t>Diciembre</t>
        </is>
      </c>
      <c r="I719" t="inlineStr">
        <is>
          <t>2023-2</t>
        </is>
      </c>
      <c r="J719" t="n">
        <v>93</v>
      </c>
      <c r="K719" t="n">
        <v>100</v>
      </c>
      <c r="L719" s="39" t="n">
        <v>1.075268817204301</v>
      </c>
      <c r="M719" s="39" t="n">
        <v>1.075268817204301</v>
      </c>
      <c r="N719" t="inlineStr">
        <is>
          <t>%</t>
        </is>
      </c>
      <c r="O719" t="inlineStr">
        <is>
          <t>%</t>
        </is>
      </c>
      <c r="P719" t="n">
        <v>0</v>
      </c>
      <c r="Q719" t="n">
        <v>0</v>
      </c>
      <c r="R719" t="inlineStr">
        <is>
          <t>391-2023-12-31</t>
        </is>
      </c>
    </row>
    <row r="720">
      <c r="A720" t="n">
        <v>391</v>
      </c>
      <c r="B720" t="inlineStr">
        <is>
          <t>Satisfacción del cliente con campañas integradas de marketing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13" t="n">
        <v>45657</v>
      </c>
      <c r="G720" t="n">
        <v>2024</v>
      </c>
      <c r="H720" t="inlineStr">
        <is>
          <t>Diciembre</t>
        </is>
      </c>
      <c r="I720" t="inlineStr">
        <is>
          <t>2024-2</t>
        </is>
      </c>
      <c r="J720" t="n">
        <v>96</v>
      </c>
      <c r="K720" t="n">
        <v>100</v>
      </c>
      <c r="L720" s="39" t="n">
        <v>1.041666666666667</v>
      </c>
      <c r="M720" s="39" t="n">
        <v>1.041666666666667</v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0</v>
      </c>
      <c r="R720" t="inlineStr">
        <is>
          <t>391-2024-12-31</t>
        </is>
      </c>
    </row>
    <row r="721">
      <c r="A721" t="n">
        <v>392</v>
      </c>
      <c r="B721" t="inlineStr">
        <is>
          <t>Ahorro institucional con base en la monetización de los servicios</t>
        </is>
      </c>
      <c r="C721" t="inlineStr">
        <is>
          <t>Gestión de campañas integradas de marketing</t>
        </is>
      </c>
      <c r="D721" t="inlineStr">
        <is>
          <t>Semestral</t>
        </is>
      </c>
      <c r="E721" t="inlineStr">
        <is>
          <t>Positivo</t>
        </is>
      </c>
      <c r="F721" s="113" t="n">
        <v>45291</v>
      </c>
      <c r="G721" t="n">
        <v>2023</v>
      </c>
      <c r="H721" t="inlineStr">
        <is>
          <t>Diciembre</t>
        </is>
      </c>
      <c r="I721" t="inlineStr">
        <is>
          <t>2023-2</t>
        </is>
      </c>
      <c r="J721" t="n">
        <v>100</v>
      </c>
      <c r="K721" t="n">
        <v>147.38</v>
      </c>
      <c r="L721" s="39" t="n">
        <v>1.3</v>
      </c>
      <c r="M721" s="39" t="n">
        <v>1.4738</v>
      </c>
      <c r="N721" t="inlineStr">
        <is>
          <t>$</t>
        </is>
      </c>
      <c r="O721" t="inlineStr">
        <is>
          <t>$</t>
        </is>
      </c>
      <c r="P721" t="n">
        <v>0</v>
      </c>
      <c r="Q721" t="n">
        <v>0</v>
      </c>
      <c r="R721" t="inlineStr">
        <is>
          <t>392-2023-12-31</t>
        </is>
      </c>
    </row>
    <row r="722">
      <c r="A722" t="n">
        <v>392</v>
      </c>
      <c r="B722" t="inlineStr">
        <is>
          <t>Ahorro institucional con base en la monetización de los servicios</t>
        </is>
      </c>
      <c r="C722" t="inlineStr">
        <is>
          <t>Gestión de campañas integradas de marketing</t>
        </is>
      </c>
      <c r="D722" t="inlineStr">
        <is>
          <t>Semestral</t>
        </is>
      </c>
      <c r="E722" t="inlineStr">
        <is>
          <t>Positivo</t>
        </is>
      </c>
      <c r="F722" s="113" t="n">
        <v>45657</v>
      </c>
      <c r="G722" t="n">
        <v>2024</v>
      </c>
      <c r="H722" t="inlineStr">
        <is>
          <t>Diciembre</t>
        </is>
      </c>
      <c r="I722" t="inlineStr">
        <is>
          <t>2024-2</t>
        </is>
      </c>
      <c r="J722" t="n">
        <v>100</v>
      </c>
      <c r="K722" t="n">
        <v>145.21</v>
      </c>
      <c r="L722" s="39" t="n">
        <v>1.3</v>
      </c>
      <c r="M722" s="39" t="n">
        <v>1.4521</v>
      </c>
      <c r="N722" t="inlineStr">
        <is>
          <t>$</t>
        </is>
      </c>
      <c r="O722" t="inlineStr">
        <is>
          <t>$</t>
        </is>
      </c>
      <c r="P722" t="n">
        <v>0</v>
      </c>
      <c r="Q722" t="n">
        <v>0</v>
      </c>
      <c r="R722" t="inlineStr">
        <is>
          <t>392-2024-12-31</t>
        </is>
      </c>
    </row>
    <row r="723">
      <c r="A723" t="n">
        <v>392</v>
      </c>
      <c r="B723" t="inlineStr">
        <is>
          <t>Ahorro institucional con base en la monetización de los servicios</t>
        </is>
      </c>
      <c r="C723" t="inlineStr">
        <is>
          <t>Gestión de campañas integradas de marketing</t>
        </is>
      </c>
      <c r="D723" t="inlineStr">
        <is>
          <t>Anual</t>
        </is>
      </c>
      <c r="E723" t="inlineStr">
        <is>
          <t>Positivo</t>
        </is>
      </c>
      <c r="F723" s="113" t="n">
        <v>46022</v>
      </c>
      <c r="G723" t="n">
        <v>2025</v>
      </c>
      <c r="H723" t="inlineStr">
        <is>
          <t>Diciembre</t>
        </is>
      </c>
      <c r="I723" t="inlineStr">
        <is>
          <t>2025-2</t>
        </is>
      </c>
      <c r="J723" t="n">
        <v>100</v>
      </c>
      <c r="K723" t="n">
        <v>100.8</v>
      </c>
      <c r="L723" s="39" t="n">
        <v>1.008</v>
      </c>
      <c r="M723" s="39" t="n">
        <v>1.008</v>
      </c>
      <c r="N723" t="inlineStr">
        <is>
          <t>$</t>
        </is>
      </c>
      <c r="O723" t="inlineStr">
        <is>
          <t>$</t>
        </is>
      </c>
      <c r="P723" t="n">
        <v>0</v>
      </c>
      <c r="Q723" t="n">
        <v>0</v>
      </c>
      <c r="R723" t="inlineStr">
        <is>
          <t>392-2025-12-31</t>
        </is>
      </c>
    </row>
    <row r="724">
      <c r="A724" t="n">
        <v>393</v>
      </c>
      <c r="B724" t="inlineStr">
        <is>
          <t>Disminución de los tiempos empleados en el desarrollo de las solicitudes</t>
        </is>
      </c>
      <c r="C724" t="inlineStr">
        <is>
          <t>Gestión de campañas integradas de marketing</t>
        </is>
      </c>
      <c r="D724" t="inlineStr">
        <is>
          <t>Anual</t>
        </is>
      </c>
      <c r="E724" t="inlineStr">
        <is>
          <t>Positivo</t>
        </is>
      </c>
      <c r="F724" s="113" t="n">
        <v>45291</v>
      </c>
      <c r="G724" t="n">
        <v>2023</v>
      </c>
      <c r="H724" t="inlineStr">
        <is>
          <t>Diciembre</t>
        </is>
      </c>
      <c r="I724" t="inlineStr">
        <is>
          <t>2023-2</t>
        </is>
      </c>
      <c r="J724" t="n">
        <v>15</v>
      </c>
      <c r="K724" t="n">
        <v>15.45</v>
      </c>
      <c r="L724" s="39" t="n">
        <v>1.03</v>
      </c>
      <c r="M724" s="39" t="n">
        <v>1.03</v>
      </c>
      <c r="N724" t="inlineStr">
        <is>
          <t>ENT</t>
        </is>
      </c>
      <c r="O724" t="inlineStr">
        <is>
          <t>DEC</t>
        </is>
      </c>
      <c r="P724" t="n">
        <v>1</v>
      </c>
      <c r="Q724" t="n">
        <v>1</v>
      </c>
      <c r="R724" t="inlineStr">
        <is>
          <t>393-2023-12-31</t>
        </is>
      </c>
    </row>
    <row r="725">
      <c r="A725" t="n">
        <v>393</v>
      </c>
      <c r="B725" t="inlineStr">
        <is>
          <t>Disminución de los tiempos empleados en el desarrollo de las solicitudes</t>
        </is>
      </c>
      <c r="C725" t="inlineStr">
        <is>
          <t>Gestión de campañas integradas de marketing</t>
        </is>
      </c>
      <c r="D725" t="inlineStr">
        <is>
          <t>Anual</t>
        </is>
      </c>
      <c r="E725" t="inlineStr">
        <is>
          <t>Negativo</t>
        </is>
      </c>
      <c r="F725" s="113" t="n">
        <v>45657</v>
      </c>
      <c r="G725" t="n">
        <v>2024</v>
      </c>
      <c r="H725" t="inlineStr">
        <is>
          <t>Diciembre</t>
        </is>
      </c>
      <c r="I725" t="inlineStr">
        <is>
          <t>2024-2</t>
        </is>
      </c>
      <c r="J725" t="n">
        <v>15</v>
      </c>
      <c r="K725" t="n">
        <v>13</v>
      </c>
      <c r="L725" s="39" t="n">
        <v>1.153846153846154</v>
      </c>
      <c r="M725" s="39" t="n">
        <v>1.153846153846154</v>
      </c>
      <c r="N725" t="inlineStr">
        <is>
          <t>ENT</t>
        </is>
      </c>
      <c r="O725" t="inlineStr">
        <is>
          <t>DEC</t>
        </is>
      </c>
      <c r="P725" t="n">
        <v>1</v>
      </c>
      <c r="Q725" t="n">
        <v>1</v>
      </c>
      <c r="R725" t="inlineStr">
        <is>
          <t>393-2024-12-31</t>
        </is>
      </c>
    </row>
    <row r="726">
      <c r="A726" t="n">
        <v>393</v>
      </c>
      <c r="B726" t="inlineStr">
        <is>
          <t>Disminución de los tiempos empleados en el desarrollo de las solicitudes</t>
        </is>
      </c>
      <c r="C726" t="inlineStr">
        <is>
          <t>Gestión de campañas integradas de marketing</t>
        </is>
      </c>
      <c r="D726" t="inlineStr">
        <is>
          <t>Anual</t>
        </is>
      </c>
      <c r="E726" t="inlineStr">
        <is>
          <t>Negativo</t>
        </is>
      </c>
      <c r="F726" s="113" t="n">
        <v>46022</v>
      </c>
      <c r="G726" t="n">
        <v>2025</v>
      </c>
      <c r="H726" t="inlineStr">
        <is>
          <t>Diciembre</t>
        </is>
      </c>
      <c r="I726" t="inlineStr">
        <is>
          <t>2025-2</t>
        </is>
      </c>
      <c r="K726" t="n">
        <v>12</v>
      </c>
      <c r="L726" s="39" t="n"/>
      <c r="M726" s="39" t="n"/>
      <c r="N726" t="inlineStr">
        <is>
          <t>ENT</t>
        </is>
      </c>
      <c r="O726" t="inlineStr">
        <is>
          <t>DEC</t>
        </is>
      </c>
      <c r="P726" t="n">
        <v>1</v>
      </c>
      <c r="Q726" t="n">
        <v>1</v>
      </c>
      <c r="R726" t="inlineStr">
        <is>
          <t>393-2025-12-31</t>
        </is>
      </c>
    </row>
    <row r="727">
      <c r="A727" t="n">
        <v>394</v>
      </c>
      <c r="B727" t="inlineStr">
        <is>
          <t>Publicaciones en medios de comunicación Tier 1 y Tier 2</t>
        </is>
      </c>
      <c r="C727" t="inlineStr">
        <is>
          <t>Comunicaciones Externas</t>
        </is>
      </c>
      <c r="D727" t="inlineStr">
        <is>
          <t>Semestral</t>
        </is>
      </c>
      <c r="E727" t="inlineStr">
        <is>
          <t>Positivo</t>
        </is>
      </c>
      <c r="F727" s="113" t="n">
        <v>45291</v>
      </c>
      <c r="G727" t="n">
        <v>2023</v>
      </c>
      <c r="H727" t="inlineStr">
        <is>
          <t>Diciembre</t>
        </is>
      </c>
      <c r="I727" t="inlineStr">
        <is>
          <t>2023-2</t>
        </is>
      </c>
      <c r="J727" t="n">
        <v>100</v>
      </c>
      <c r="K727" t="n">
        <v>312.569285714285</v>
      </c>
      <c r="L727" s="39" t="n">
        <v>1.3</v>
      </c>
      <c r="M727" s="39" t="n">
        <v>3.12569285714285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394-2023-12-31</t>
        </is>
      </c>
    </row>
    <row r="728">
      <c r="A728" t="n">
        <v>394</v>
      </c>
      <c r="B728" t="inlineStr">
        <is>
          <t>Publicaciones en medios de comunicación Tier 1 y Tier 2</t>
        </is>
      </c>
      <c r="C728" t="inlineStr">
        <is>
          <t>Comunicaciones Externas</t>
        </is>
      </c>
      <c r="D728" t="inlineStr">
        <is>
          <t>Semestral</t>
        </is>
      </c>
      <c r="E728" t="inlineStr">
        <is>
          <t>Positivo</t>
        </is>
      </c>
      <c r="F728" s="113" t="n">
        <v>45657</v>
      </c>
      <c r="G728" t="n">
        <v>2024</v>
      </c>
      <c r="H728" t="inlineStr">
        <is>
          <t>Diciembre</t>
        </is>
      </c>
      <c r="I728" t="inlineStr">
        <is>
          <t>2024-2</t>
        </is>
      </c>
      <c r="J728" t="n">
        <v>100</v>
      </c>
      <c r="K728" t="n">
        <v>155.3</v>
      </c>
      <c r="L728" s="39" t="n">
        <v>1.3</v>
      </c>
      <c r="M728" s="39" t="n">
        <v>1.553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394-2024-12-31</t>
        </is>
      </c>
    </row>
    <row r="729">
      <c r="A729" t="n">
        <v>394</v>
      </c>
      <c r="B729" t="inlineStr">
        <is>
          <t>Publicaciones en medios de comunicación Tier 1 y Tier 2</t>
        </is>
      </c>
      <c r="C729" t="inlineStr">
        <is>
          <t>Comunicaciones Externas</t>
        </is>
      </c>
      <c r="D729" t="inlineStr">
        <is>
          <t>Semestral</t>
        </is>
      </c>
      <c r="E729" t="inlineStr">
        <is>
          <t>Positivo</t>
        </is>
      </c>
      <c r="F729" s="113" t="n">
        <v>46022</v>
      </c>
      <c r="G729" t="n">
        <v>2025</v>
      </c>
      <c r="H729" t="inlineStr">
        <is>
          <t>Diciembre</t>
        </is>
      </c>
      <c r="I729" t="inlineStr">
        <is>
          <t>2025-2</t>
        </is>
      </c>
      <c r="J729" t="n">
        <v>100</v>
      </c>
      <c r="K729" t="n">
        <v>138.3925</v>
      </c>
      <c r="L729" s="39" t="n">
        <v>1.3</v>
      </c>
      <c r="M729" s="39" t="n">
        <v>1.383925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394-2025-12-31</t>
        </is>
      </c>
    </row>
    <row r="730">
      <c r="A730" t="n">
        <v>394</v>
      </c>
      <c r="B730" t="inlineStr">
        <is>
          <t>Publicaciones en medios de comunicación Tier 1 y Tier 2</t>
        </is>
      </c>
      <c r="C730" t="inlineStr">
        <is>
          <t>Comunicaciones Externas</t>
        </is>
      </c>
      <c r="D730" t="inlineStr">
        <is>
          <t>Semestral</t>
        </is>
      </c>
      <c r="E730" t="inlineStr">
        <is>
          <t>Positivo</t>
        </is>
      </c>
      <c r="F730" s="113" t="n">
        <v>46112</v>
      </c>
      <c r="G730" t="n">
        <v>2026</v>
      </c>
      <c r="H730" t="inlineStr">
        <is>
          <t>Marzo</t>
        </is>
      </c>
      <c r="I730" t="inlineStr">
        <is>
          <t>2026-1</t>
        </is>
      </c>
      <c r="J730" t="n">
        <v>100</v>
      </c>
      <c r="K730" t="n">
        <v>225.2</v>
      </c>
      <c r="L730" s="39" t="n">
        <v>1.3</v>
      </c>
      <c r="M730" s="39" t="n">
        <v>2.252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394-2026-03-31</t>
        </is>
      </c>
    </row>
    <row r="731">
      <c r="A731" t="n">
        <v>395</v>
      </c>
      <c r="B731" t="inlineStr">
        <is>
          <t>Publicaciones en medios de comunicación Tier 1 y Tier 2 de la región Antioquia</t>
        </is>
      </c>
      <c r="C731" t="inlineStr">
        <is>
          <t>Comunicaciones Externas</t>
        </is>
      </c>
      <c r="D731" t="inlineStr">
        <is>
          <t>Semestral</t>
        </is>
      </c>
      <c r="E731" t="inlineStr">
        <is>
          <t>Positivo</t>
        </is>
      </c>
      <c r="F731" s="113" t="n">
        <v>45291</v>
      </c>
      <c r="G731" t="n">
        <v>2023</v>
      </c>
      <c r="H731" t="inlineStr">
        <is>
          <t>Diciembre</t>
        </is>
      </c>
      <c r="I731" t="inlineStr">
        <is>
          <t>2023-2</t>
        </is>
      </c>
      <c r="J731" t="n">
        <v>100</v>
      </c>
      <c r="K731" t="n">
        <v>280.39382352941</v>
      </c>
      <c r="L731" s="39" t="n">
        <v>1.3</v>
      </c>
      <c r="M731" s="39" t="n">
        <v>2.8039382352941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395-2023-12-31</t>
        </is>
      </c>
    </row>
    <row r="732">
      <c r="A732" t="n">
        <v>395</v>
      </c>
      <c r="B732" t="inlineStr">
        <is>
          <t>Publicaciones en medios de comunicación de la región Antioquia</t>
        </is>
      </c>
      <c r="C732" t="inlineStr">
        <is>
          <t>Comunicaciones Externas</t>
        </is>
      </c>
      <c r="D732" t="inlineStr">
        <is>
          <t>Semestral</t>
        </is>
      </c>
      <c r="E732" t="inlineStr">
        <is>
          <t>Positivo</t>
        </is>
      </c>
      <c r="F732" s="113" t="n">
        <v>45657</v>
      </c>
      <c r="G732" t="n">
        <v>2024</v>
      </c>
      <c r="H732" t="inlineStr">
        <is>
          <t>Diciembre</t>
        </is>
      </c>
      <c r="I732" t="inlineStr">
        <is>
          <t>2024-2</t>
        </is>
      </c>
      <c r="J732" t="n">
        <v>100</v>
      </c>
      <c r="K732" t="n">
        <v>129.445</v>
      </c>
      <c r="L732" s="39" t="n">
        <v>1.29445</v>
      </c>
      <c r="M732" s="39" t="n">
        <v>1.29445</v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395-2024-12-31</t>
        </is>
      </c>
    </row>
    <row r="733">
      <c r="A733" t="n">
        <v>395</v>
      </c>
      <c r="B733" t="inlineStr">
        <is>
          <t>Publicaciones en medios de comunicación de la región Antioquia</t>
        </is>
      </c>
      <c r="C733" t="inlineStr">
        <is>
          <t>Comunicaciones Externas</t>
        </is>
      </c>
      <c r="D733" t="inlineStr">
        <is>
          <t>Semestral</t>
        </is>
      </c>
      <c r="E733" t="inlineStr">
        <is>
          <t>Positivo</t>
        </is>
      </c>
      <c r="F733" s="113" t="n">
        <v>46022</v>
      </c>
      <c r="G733" t="n">
        <v>2025</v>
      </c>
      <c r="H733" t="inlineStr">
        <is>
          <t>Diciembre</t>
        </is>
      </c>
      <c r="I733" t="inlineStr">
        <is>
          <t>2025-2</t>
        </is>
      </c>
      <c r="J733" t="n">
        <v>100</v>
      </c>
      <c r="K733" t="n">
        <v>204.415</v>
      </c>
      <c r="L733" s="39" t="n">
        <v>1.3</v>
      </c>
      <c r="M733" s="39" t="n">
        <v>2.04415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395-2025-12-31</t>
        </is>
      </c>
    </row>
    <row r="734">
      <c r="A734" t="n">
        <v>395</v>
      </c>
      <c r="B734" t="inlineStr">
        <is>
          <t>Publicaciones en medios de comunicación de la región Antioquia</t>
        </is>
      </c>
      <c r="C734" t="inlineStr">
        <is>
          <t>Comunicaciones Externas</t>
        </is>
      </c>
      <c r="D734" t="inlineStr">
        <is>
          <t>Semestral</t>
        </is>
      </c>
      <c r="E734" t="inlineStr">
        <is>
          <t>Positivo</t>
        </is>
      </c>
      <c r="F734" s="113" t="n">
        <v>46112</v>
      </c>
      <c r="G734" t="n">
        <v>2026</v>
      </c>
      <c r="H734" t="inlineStr">
        <is>
          <t>Marzo</t>
        </is>
      </c>
      <c r="I734" t="inlineStr">
        <is>
          <t>2026-1</t>
        </is>
      </c>
      <c r="K734" t="n">
        <v>173.33</v>
      </c>
      <c r="L734" s="39" t="n"/>
      <c r="M734" s="39" t="n"/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395-2026-03-31</t>
        </is>
      </c>
    </row>
    <row r="735">
      <c r="A735" t="n">
        <v>396</v>
      </c>
      <c r="B735" t="inlineStr">
        <is>
          <t>Publicaciones en el Campus Virtual</t>
        </is>
      </c>
      <c r="C735" t="inlineStr">
        <is>
          <t>Gestión de campañas integradas de marketing</t>
        </is>
      </c>
      <c r="D735" t="inlineStr">
        <is>
          <t>Semestral</t>
        </is>
      </c>
      <c r="E735" t="inlineStr">
        <is>
          <t>Positivo</t>
        </is>
      </c>
      <c r="F735" s="113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J735" t="n">
        <v>80</v>
      </c>
      <c r="K735" t="n">
        <v>88.89</v>
      </c>
      <c r="L735" s="39" t="n">
        <v>1.111125</v>
      </c>
      <c r="M735" s="39" t="n">
        <v>1.111125</v>
      </c>
      <c r="N735" t="inlineStr">
        <is>
          <t>ENT</t>
        </is>
      </c>
      <c r="O735" t="inlineStr">
        <is>
          <t>DEC</t>
        </is>
      </c>
      <c r="P735" t="n">
        <v>1</v>
      </c>
      <c r="Q735" t="n">
        <v>1</v>
      </c>
      <c r="R735" t="inlineStr">
        <is>
          <t>396-2023-12-31</t>
        </is>
      </c>
    </row>
    <row r="736">
      <c r="A736" t="n">
        <v>396</v>
      </c>
      <c r="B736" t="inlineStr">
        <is>
          <t>Publicaciones en el Campus Virtual</t>
        </is>
      </c>
      <c r="C736" t="inlineStr">
        <is>
          <t>Diseño de Contenido Virtual</t>
        </is>
      </c>
      <c r="D736" t="inlineStr">
        <is>
          <t>Semestral</t>
        </is>
      </c>
      <c r="E736" t="inlineStr">
        <is>
          <t>Positivo</t>
        </is>
      </c>
      <c r="F736" s="113" t="n">
        <v>45473</v>
      </c>
      <c r="G736" t="n">
        <v>2024</v>
      </c>
      <c r="H736" t="inlineStr">
        <is>
          <t>Junio</t>
        </is>
      </c>
      <c r="I736" t="inlineStr">
        <is>
          <t>2024-1</t>
        </is>
      </c>
      <c r="J736" t="n">
        <v>80</v>
      </c>
      <c r="K736" t="n">
        <v>88.09999999999999</v>
      </c>
      <c r="L736" s="39" t="n">
        <v>1.10125</v>
      </c>
      <c r="M736" s="39" t="n">
        <v>1.10125</v>
      </c>
      <c r="N736" t="inlineStr">
        <is>
          <t>ENT</t>
        </is>
      </c>
      <c r="O736" t="inlineStr">
        <is>
          <t>DEC</t>
        </is>
      </c>
      <c r="P736" t="n">
        <v>1</v>
      </c>
      <c r="Q736" t="n">
        <v>1</v>
      </c>
      <c r="R736" t="inlineStr">
        <is>
          <t>396-2024-06-30</t>
        </is>
      </c>
    </row>
    <row r="737">
      <c r="A737" t="n">
        <v>397</v>
      </c>
      <c r="B737" t="inlineStr">
        <is>
          <t>Gestión de casos del Estudio de Emisión</t>
        </is>
      </c>
      <c r="C737" t="inlineStr">
        <is>
          <t>Gestión de campañas integradas de marketing</t>
        </is>
      </c>
      <c r="D737" t="inlineStr">
        <is>
          <t>Semestral</t>
        </is>
      </c>
      <c r="E737" t="inlineStr">
        <is>
          <t>Positivo</t>
        </is>
      </c>
      <c r="F737" s="113" t="n">
        <v>45291</v>
      </c>
      <c r="G737" t="n">
        <v>2023</v>
      </c>
      <c r="H737" t="inlineStr">
        <is>
          <t>Diciembre</t>
        </is>
      </c>
      <c r="I737" t="inlineStr">
        <is>
          <t>2023-2</t>
        </is>
      </c>
      <c r="J737" t="n">
        <v>80</v>
      </c>
      <c r="K737" t="n">
        <v>92.01571428571449</v>
      </c>
      <c r="L737" s="39" t="n">
        <v>1.150196428571431</v>
      </c>
      <c r="M737" s="39" t="n">
        <v>1.150196428571431</v>
      </c>
      <c r="N737" t="inlineStr">
        <is>
          <t>%</t>
        </is>
      </c>
      <c r="O737" t="inlineStr">
        <is>
          <t>%</t>
        </is>
      </c>
      <c r="P737" t="n">
        <v>0</v>
      </c>
      <c r="Q737" t="n">
        <v>1</v>
      </c>
      <c r="R737" t="inlineStr">
        <is>
          <t>397-2023-12-31</t>
        </is>
      </c>
    </row>
    <row r="738">
      <c r="A738" t="n">
        <v>397</v>
      </c>
      <c r="B738" t="inlineStr">
        <is>
          <t>Gestión de casos del Estudio de Emisión</t>
        </is>
      </c>
      <c r="C738" t="inlineStr">
        <is>
          <t>Diseño de Contenido Virtual</t>
        </is>
      </c>
      <c r="D738" t="inlineStr">
        <is>
          <t>Semestral</t>
        </is>
      </c>
      <c r="E738" t="inlineStr">
        <is>
          <t>Positivo</t>
        </is>
      </c>
      <c r="F738" s="113" t="n">
        <v>45657</v>
      </c>
      <c r="G738" t="n">
        <v>2024</v>
      </c>
      <c r="H738" t="inlineStr">
        <is>
          <t>Diciembre</t>
        </is>
      </c>
      <c r="I738" t="inlineStr">
        <is>
          <t>2024-2</t>
        </is>
      </c>
      <c r="J738" t="n">
        <v>80</v>
      </c>
      <c r="K738" t="n">
        <v>91.47999999999999</v>
      </c>
      <c r="L738" s="39" t="n">
        <v>1.1435</v>
      </c>
      <c r="M738" s="39" t="n">
        <v>1.1435</v>
      </c>
      <c r="N738" t="inlineStr">
        <is>
          <t>%</t>
        </is>
      </c>
      <c r="O738" t="inlineStr">
        <is>
          <t>%</t>
        </is>
      </c>
      <c r="P738" t="n">
        <v>0</v>
      </c>
      <c r="Q738" t="n">
        <v>1</v>
      </c>
      <c r="R738" t="inlineStr">
        <is>
          <t>397-2024-12-31</t>
        </is>
      </c>
    </row>
    <row r="739">
      <c r="A739" t="n">
        <v>397</v>
      </c>
      <c r="B739" t="inlineStr">
        <is>
          <t>Gestión de casos del Estudio de Grabación Virtual</t>
        </is>
      </c>
      <c r="C739" t="inlineStr">
        <is>
          <t>Diseño de Contenido Virtual</t>
        </is>
      </c>
      <c r="D739" t="inlineStr">
        <is>
          <t>Trimestral</t>
        </is>
      </c>
      <c r="E739" t="inlineStr">
        <is>
          <t>Positivo</t>
        </is>
      </c>
      <c r="F739" s="113" t="n">
        <v>46022</v>
      </c>
      <c r="G739" t="n">
        <v>2025</v>
      </c>
      <c r="H739" t="inlineStr">
        <is>
          <t>Diciembre</t>
        </is>
      </c>
      <c r="I739" t="inlineStr">
        <is>
          <t>2025-2</t>
        </is>
      </c>
      <c r="J739" t="n">
        <v>90</v>
      </c>
      <c r="K739" t="n">
        <v>95.7</v>
      </c>
      <c r="L739" s="39" t="n">
        <v>1.063333333333333</v>
      </c>
      <c r="M739" s="39" t="n">
        <v>1.063333333333333</v>
      </c>
      <c r="N739" t="inlineStr">
        <is>
          <t>%</t>
        </is>
      </c>
      <c r="O739" t="inlineStr">
        <is>
          <t>%</t>
        </is>
      </c>
      <c r="P739" t="n">
        <v>0</v>
      </c>
      <c r="Q739" t="n">
        <v>1</v>
      </c>
      <c r="R739" t="inlineStr">
        <is>
          <t>397-2025-12-31</t>
        </is>
      </c>
    </row>
    <row r="740">
      <c r="A740" t="n">
        <v>398</v>
      </c>
      <c r="B740" t="inlineStr">
        <is>
          <t>Participación en actividades de desarrollo de Cultura y Formación Emprendedora</t>
        </is>
      </c>
      <c r="C740" t="inlineStr">
        <is>
          <t>Emprendimiento</t>
        </is>
      </c>
      <c r="D740" t="inlineStr">
        <is>
          <t>Semestral</t>
        </is>
      </c>
      <c r="E740" t="inlineStr">
        <is>
          <t>Positivo</t>
        </is>
      </c>
      <c r="F740" s="113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200</v>
      </c>
      <c r="K740" t="n">
        <v>491.2</v>
      </c>
      <c r="L740" s="39" t="n">
        <v>1.3</v>
      </c>
      <c r="M740" s="39" t="n">
        <v>2.456</v>
      </c>
      <c r="N740" t="inlineStr">
        <is>
          <t>ENT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398-2023-12-31</t>
        </is>
      </c>
    </row>
    <row r="741">
      <c r="A741" t="n">
        <v>398</v>
      </c>
      <c r="B741" t="inlineStr">
        <is>
          <t>Participación en actividades de desarrollo de Cultura y Formación Emprendedora</t>
        </is>
      </c>
      <c r="C741" t="inlineStr">
        <is>
          <t>Emprendimiento</t>
        </is>
      </c>
      <c r="D741" t="inlineStr">
        <is>
          <t>Semestral</t>
        </is>
      </c>
      <c r="E741" t="inlineStr">
        <is>
          <t>Positivo</t>
        </is>
      </c>
      <c r="F741" s="113" t="n">
        <v>45657</v>
      </c>
      <c r="G741" t="n">
        <v>2024</v>
      </c>
      <c r="H741" t="inlineStr">
        <is>
          <t>Diciembre</t>
        </is>
      </c>
      <c r="I741" t="inlineStr">
        <is>
          <t>2024-2</t>
        </is>
      </c>
      <c r="J741" t="n">
        <v>200</v>
      </c>
      <c r="K741" t="n">
        <v>443.92</v>
      </c>
      <c r="L741" s="39" t="n">
        <v>1.3</v>
      </c>
      <c r="M741" s="39" t="n">
        <v>2.2196</v>
      </c>
      <c r="N741" t="inlineStr">
        <is>
          <t>ENT</t>
        </is>
      </c>
      <c r="O741" t="inlineStr">
        <is>
          <t>ENT</t>
        </is>
      </c>
      <c r="P741" t="n">
        <v>0</v>
      </c>
      <c r="Q741" t="n">
        <v>0</v>
      </c>
      <c r="R741" t="inlineStr">
        <is>
          <t>398-2024-12-31</t>
        </is>
      </c>
    </row>
    <row r="742">
      <c r="A742" t="n">
        <v>398</v>
      </c>
      <c r="B742" t="inlineStr">
        <is>
          <t>Participación en actividades de desarrollo de Cultura y Formación Emprendedora</t>
        </is>
      </c>
      <c r="C742" t="inlineStr">
        <is>
          <t>Emprendimiento</t>
        </is>
      </c>
      <c r="D742" t="inlineStr">
        <is>
          <t>Trimestral</t>
        </is>
      </c>
      <c r="E742" t="inlineStr">
        <is>
          <t>Positivo</t>
        </is>
      </c>
      <c r="F742" s="113" t="n">
        <v>46022</v>
      </c>
      <c r="G742" t="n">
        <v>2025</v>
      </c>
      <c r="H742" t="inlineStr">
        <is>
          <t>Diciembre</t>
        </is>
      </c>
      <c r="I742" t="inlineStr">
        <is>
          <t>2025-2</t>
        </is>
      </c>
      <c r="J742" t="n">
        <v>200</v>
      </c>
      <c r="K742" t="n">
        <v>328.21</v>
      </c>
      <c r="L742" s="39" t="n">
        <v>1.3</v>
      </c>
      <c r="M742" s="39" t="n">
        <v>1.64105</v>
      </c>
      <c r="N742" t="inlineStr">
        <is>
          <t>ENT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398-2025-12-31</t>
        </is>
      </c>
    </row>
    <row r="743">
      <c r="A743" t="n">
        <v>399</v>
      </c>
      <c r="B743" t="inlineStr">
        <is>
          <t>Sesiones de Acompañamiento a emprendedores en creación de empresas</t>
        </is>
      </c>
      <c r="C743" t="inlineStr">
        <is>
          <t>Emprendimiento</t>
        </is>
      </c>
      <c r="D743" t="inlineStr">
        <is>
          <t>Semestral</t>
        </is>
      </c>
      <c r="E743" t="inlineStr">
        <is>
          <t>Positivo</t>
        </is>
      </c>
      <c r="F743" s="113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200</v>
      </c>
      <c r="K743" t="n">
        <v>266.8</v>
      </c>
      <c r="L743" s="39" t="n">
        <v>1.3</v>
      </c>
      <c r="M743" s="39" t="n">
        <v>1.334</v>
      </c>
      <c r="N743" t="inlineStr">
        <is>
          <t>ENT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399-2023-12-31</t>
        </is>
      </c>
    </row>
    <row r="744">
      <c r="A744" t="n">
        <v>399</v>
      </c>
      <c r="B744" t="inlineStr">
        <is>
          <t>Sesiones de Acompañamiento a emprendedores en creación de empresas</t>
        </is>
      </c>
      <c r="C744" t="inlineStr">
        <is>
          <t>Emprendimiento</t>
        </is>
      </c>
      <c r="D744" t="inlineStr">
        <is>
          <t>Semestral</t>
        </is>
      </c>
      <c r="E744" t="inlineStr">
        <is>
          <t>Positivo</t>
        </is>
      </c>
      <c r="F744" s="113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200</v>
      </c>
      <c r="K744" t="n">
        <v>222.72</v>
      </c>
      <c r="L744" s="39" t="n">
        <v>1.1136</v>
      </c>
      <c r="M744" s="39" t="n">
        <v>1.1136</v>
      </c>
      <c r="N744" t="inlineStr">
        <is>
          <t>ENT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399-2024-12-31</t>
        </is>
      </c>
    </row>
    <row r="745">
      <c r="A745" t="n">
        <v>399</v>
      </c>
      <c r="B745" t="inlineStr">
        <is>
          <t>Sesiones de Acompañamiento a emprendedores en creación de empresas</t>
        </is>
      </c>
      <c r="C745" t="inlineStr">
        <is>
          <t>Emprendimiento</t>
        </is>
      </c>
      <c r="D745" t="inlineStr">
        <is>
          <t>Trimestral</t>
        </is>
      </c>
      <c r="E745" t="inlineStr">
        <is>
          <t>Positivo</t>
        </is>
      </c>
      <c r="F745" s="113" t="n">
        <v>46022</v>
      </c>
      <c r="G745" t="n">
        <v>2025</v>
      </c>
      <c r="H745" t="inlineStr">
        <is>
          <t>Diciembre</t>
        </is>
      </c>
      <c r="I745" t="inlineStr">
        <is>
          <t>2025-2</t>
        </is>
      </c>
      <c r="J745" t="n">
        <v>200</v>
      </c>
      <c r="K745" t="n">
        <v>209.06</v>
      </c>
      <c r="L745" s="39" t="n">
        <v>1.0453</v>
      </c>
      <c r="M745" s="39" t="n">
        <v>1.0453</v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399-2025-12-31</t>
        </is>
      </c>
    </row>
    <row r="746">
      <c r="A746" t="n">
        <v>400</v>
      </c>
      <c r="B746" t="inlineStr">
        <is>
          <t>Puesta en marcha de proyectos de emprendimiento</t>
        </is>
      </c>
      <c r="C746" t="inlineStr">
        <is>
          <t>Emprendimiento</t>
        </is>
      </c>
      <c r="D746" t="inlineStr">
        <is>
          <t>Semestral</t>
        </is>
      </c>
      <c r="E746" t="inlineStr">
        <is>
          <t>Positivo</t>
        </is>
      </c>
      <c r="F746" s="113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n">
        <v>200</v>
      </c>
      <c r="K746" t="n">
        <v>502.86</v>
      </c>
      <c r="L746" s="39" t="n">
        <v>1.3</v>
      </c>
      <c r="M746" s="39" t="n">
        <v>2.5143</v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400-2023-12-31</t>
        </is>
      </c>
    </row>
    <row r="747">
      <c r="A747" t="n">
        <v>400</v>
      </c>
      <c r="B747" t="inlineStr">
        <is>
          <t>Puesta en marcha de proyectos de emprendimiento</t>
        </is>
      </c>
      <c r="C747" t="inlineStr">
        <is>
          <t>Emprendimiento</t>
        </is>
      </c>
      <c r="D747" t="inlineStr">
        <is>
          <t>Semestral</t>
        </is>
      </c>
      <c r="E747" t="inlineStr">
        <is>
          <t>Positivo</t>
        </is>
      </c>
      <c r="F747" s="113" t="n">
        <v>45657</v>
      </c>
      <c r="G747" t="n">
        <v>2024</v>
      </c>
      <c r="H747" t="inlineStr">
        <is>
          <t>Diciembre</t>
        </is>
      </c>
      <c r="I747" t="inlineStr">
        <is>
          <t>2024-2</t>
        </is>
      </c>
      <c r="J747" t="n">
        <v>200</v>
      </c>
      <c r="K747" t="n">
        <v>668.1800000000001</v>
      </c>
      <c r="L747" s="39" t="n">
        <v>1.3</v>
      </c>
      <c r="M747" s="39" t="n">
        <v>3.3409</v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400-2024-12-31</t>
        </is>
      </c>
    </row>
    <row r="748">
      <c r="A748" t="n">
        <v>400</v>
      </c>
      <c r="B748" t="inlineStr">
        <is>
          <t>Puesta en marcha de proyectos de emprendimiento</t>
        </is>
      </c>
      <c r="C748" t="inlineStr">
        <is>
          <t>Emprendimiento</t>
        </is>
      </c>
      <c r="D748" t="inlineStr">
        <is>
          <t>Trimestral</t>
        </is>
      </c>
      <c r="E748" t="inlineStr">
        <is>
          <t>Positivo</t>
        </is>
      </c>
      <c r="F748" s="113" t="n">
        <v>46022</v>
      </c>
      <c r="G748" t="n">
        <v>2025</v>
      </c>
      <c r="H748" t="inlineStr">
        <is>
          <t>Diciembre</t>
        </is>
      </c>
      <c r="I748" t="inlineStr">
        <is>
          <t>2025-2</t>
        </is>
      </c>
      <c r="J748" t="n">
        <v>200</v>
      </c>
      <c r="K748" t="n">
        <v>250.14</v>
      </c>
      <c r="L748" s="39" t="n">
        <v>1.2507</v>
      </c>
      <c r="M748" s="39" t="n">
        <v>1.2507</v>
      </c>
      <c r="N748" t="inlineStr">
        <is>
          <t>ENT</t>
        </is>
      </c>
      <c r="O748" t="inlineStr">
        <is>
          <t>ENT</t>
        </is>
      </c>
      <c r="P748" t="n">
        <v>0</v>
      </c>
      <c r="Q748" t="n">
        <v>0</v>
      </c>
      <c r="R748" t="inlineStr">
        <is>
          <t>400-2025-12-31</t>
        </is>
      </c>
    </row>
    <row r="749">
      <c r="A749" t="n">
        <v>401</v>
      </c>
      <c r="B749" t="inlineStr">
        <is>
          <t>Producción de nuevos MI-Books</t>
        </is>
      </c>
      <c r="C749" t="inlineStr">
        <is>
          <t>LEI</t>
        </is>
      </c>
      <c r="D749" t="inlineStr">
        <is>
          <t>Semestral</t>
        </is>
      </c>
      <c r="E749" t="inlineStr">
        <is>
          <t>Positivo</t>
        </is>
      </c>
      <c r="F749" s="113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180</v>
      </c>
      <c r="K749" t="n">
        <v>212.5</v>
      </c>
      <c r="L749" s="39" t="n">
        <v>1.180555555555556</v>
      </c>
      <c r="M749" s="39" t="n">
        <v>1.180555555555556</v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401-2023-12-31</t>
        </is>
      </c>
    </row>
    <row r="750">
      <c r="A750" t="n">
        <v>401</v>
      </c>
      <c r="B750" t="inlineStr">
        <is>
          <t>Producción de nuevos MI-Books</t>
        </is>
      </c>
      <c r="C750" t="inlineStr">
        <is>
          <t>LEI</t>
        </is>
      </c>
      <c r="D750" t="inlineStr">
        <is>
          <t>Semestral</t>
        </is>
      </c>
      <c r="E750" t="inlineStr">
        <is>
          <t>Positivo</t>
        </is>
      </c>
      <c r="F750" s="113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180</v>
      </c>
      <c r="K750" t="n">
        <v>212.5</v>
      </c>
      <c r="L750" s="39" t="n">
        <v>1.180555555555556</v>
      </c>
      <c r="M750" s="39" t="n">
        <v>1.180555555555556</v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401-2024-12-31</t>
        </is>
      </c>
    </row>
    <row r="751">
      <c r="A751" t="n">
        <v>401</v>
      </c>
      <c r="B751" t="inlineStr">
        <is>
          <t>Producción de nuevos MI-Books</t>
        </is>
      </c>
      <c r="C751" t="inlineStr">
        <is>
          <t>LEI</t>
        </is>
      </c>
      <c r="D751" t="inlineStr">
        <is>
          <t>Trimestral</t>
        </is>
      </c>
      <c r="E751" t="inlineStr">
        <is>
          <t>Positivo</t>
        </is>
      </c>
      <c r="F751" s="113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39" t="n">
        <v>1</v>
      </c>
      <c r="M751" s="39" t="n">
        <v>1</v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401-2025-12-31</t>
        </is>
      </c>
    </row>
    <row r="752">
      <c r="A752" t="n">
        <v>402</v>
      </c>
      <c r="B752" t="inlineStr">
        <is>
          <t>Informe anual de consulta de MI-Books</t>
        </is>
      </c>
      <c r="C752" t="inlineStr">
        <is>
          <t>LEI</t>
        </is>
      </c>
      <c r="D752" t="inlineStr">
        <is>
          <t>Anual</t>
        </is>
      </c>
      <c r="E752" t="inlineStr">
        <is>
          <t>Positivo</t>
        </is>
      </c>
      <c r="F752" s="113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K752" t="n">
        <v>21000</v>
      </c>
      <c r="L752" s="39" t="n"/>
      <c r="M752" s="39" t="n"/>
      <c r="N752" t="inlineStr">
        <is>
          <t>ENT</t>
        </is>
      </c>
      <c r="O752" t="inlineStr">
        <is>
          <t>ENT</t>
        </is>
      </c>
      <c r="P752" t="n">
        <v>0</v>
      </c>
      <c r="Q752" t="n">
        <v>0</v>
      </c>
      <c r="R752" t="inlineStr">
        <is>
          <t>402-2023-12-31</t>
        </is>
      </c>
    </row>
    <row r="753">
      <c r="A753" t="n">
        <v>402</v>
      </c>
      <c r="B753" t="inlineStr">
        <is>
          <t>Informe anual de consulta de MI-Books</t>
        </is>
      </c>
      <c r="C753" t="inlineStr">
        <is>
          <t>LEI</t>
        </is>
      </c>
      <c r="D753" t="inlineStr">
        <is>
          <t>Anual</t>
        </is>
      </c>
      <c r="E753" t="inlineStr">
        <is>
          <t>Positivo</t>
        </is>
      </c>
      <c r="F753" s="113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</v>
      </c>
      <c r="K753" t="n">
        <v>4.76</v>
      </c>
      <c r="L753" s="39" t="n">
        <v>1.3</v>
      </c>
      <c r="M753" s="39" t="n">
        <v>1.586666666666667</v>
      </c>
      <c r="N753" t="inlineStr">
        <is>
          <t>ENT</t>
        </is>
      </c>
      <c r="O753" t="inlineStr">
        <is>
          <t>ENT</t>
        </is>
      </c>
      <c r="P753" t="n">
        <v>0</v>
      </c>
      <c r="Q753" t="n">
        <v>0</v>
      </c>
      <c r="R753" t="inlineStr">
        <is>
          <t>402-2024-12-31</t>
        </is>
      </c>
    </row>
    <row r="754">
      <c r="A754" t="n">
        <v>402</v>
      </c>
      <c r="B754" t="inlineStr">
        <is>
          <t>Informe anual de consulta de MI-Books</t>
        </is>
      </c>
      <c r="C754" t="inlineStr">
        <is>
          <t>LEI</t>
        </is>
      </c>
      <c r="D754" t="inlineStr">
        <is>
          <t>Anual</t>
        </is>
      </c>
      <c r="E754" t="inlineStr">
        <is>
          <t>Positivo</t>
        </is>
      </c>
      <c r="F754" s="113" t="n">
        <v>46022</v>
      </c>
      <c r="G754" t="n">
        <v>2025</v>
      </c>
      <c r="H754" t="inlineStr">
        <is>
          <t>Diciembre</t>
        </is>
      </c>
      <c r="I754" t="inlineStr">
        <is>
          <t>2025-2</t>
        </is>
      </c>
      <c r="K754" t="n">
        <v>22.73</v>
      </c>
      <c r="L754" s="39" t="n"/>
      <c r="M754" s="39" t="n"/>
      <c r="N754" t="inlineStr">
        <is>
          <t>ENT</t>
        </is>
      </c>
      <c r="O754" t="inlineStr">
        <is>
          <t>ENT</t>
        </is>
      </c>
      <c r="P754" t="n">
        <v>0</v>
      </c>
      <c r="Q754" t="n">
        <v>0</v>
      </c>
      <c r="R754" t="inlineStr">
        <is>
          <t>402-2025-12-31</t>
        </is>
      </c>
    </row>
    <row r="755">
      <c r="A755" t="n">
        <v>403</v>
      </c>
      <c r="B755" t="inlineStr">
        <is>
          <t>Número de estudiantes que ha realizado la simulación</t>
        </is>
      </c>
      <c r="C755" t="inlineStr">
        <is>
          <t>LEI</t>
        </is>
      </c>
      <c r="D755" t="inlineStr">
        <is>
          <t>Semestral</t>
        </is>
      </c>
      <c r="E755" t="inlineStr">
        <is>
          <t>Positivo</t>
        </is>
      </c>
      <c r="F755" s="113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K755" t="n">
        <v>43009</v>
      </c>
      <c r="L755" s="39" t="n"/>
      <c r="M755" s="39" t="n"/>
      <c r="N755" t="inlineStr">
        <is>
          <t>Metrica</t>
        </is>
      </c>
      <c r="O755" t="inlineStr">
        <is>
          <t>ENT</t>
        </is>
      </c>
      <c r="P755" t="n">
        <v>0</v>
      </c>
      <c r="Q755" t="n">
        <v>0</v>
      </c>
      <c r="R755" t="inlineStr">
        <is>
          <t>403-2023-12-31</t>
        </is>
      </c>
    </row>
    <row r="756">
      <c r="A756" t="n">
        <v>403</v>
      </c>
      <c r="B756" t="inlineStr">
        <is>
          <t>Número de estudiantes que ha realizado la simulación</t>
        </is>
      </c>
      <c r="C756" t="inlineStr">
        <is>
          <t>LEI</t>
        </is>
      </c>
      <c r="D756" t="inlineStr">
        <is>
          <t>Semestral</t>
        </is>
      </c>
      <c r="E756" t="inlineStr">
        <is>
          <t>Positivo</t>
        </is>
      </c>
      <c r="F756" s="113" t="n">
        <v>45657</v>
      </c>
      <c r="G756" t="n">
        <v>2024</v>
      </c>
      <c r="H756" t="inlineStr">
        <is>
          <t>Diciembre</t>
        </is>
      </c>
      <c r="I756" t="inlineStr">
        <is>
          <t>2024-2</t>
        </is>
      </c>
      <c r="K756" t="n">
        <v>29418</v>
      </c>
      <c r="L756" s="39" t="n"/>
      <c r="M756" s="39" t="n"/>
      <c r="N756" t="inlineStr">
        <is>
          <t>Metrica</t>
        </is>
      </c>
      <c r="O756" t="inlineStr">
        <is>
          <t>ENT</t>
        </is>
      </c>
      <c r="P756" t="n">
        <v>0</v>
      </c>
      <c r="Q756" t="n">
        <v>0</v>
      </c>
      <c r="R756" t="inlineStr">
        <is>
          <t>403-2024-12-31</t>
        </is>
      </c>
    </row>
    <row r="757">
      <c r="A757" t="n">
        <v>403</v>
      </c>
      <c r="B757" t="inlineStr">
        <is>
          <t>Número de estudiantes que ha realizado la simulación (Metrica)</t>
        </is>
      </c>
      <c r="C757" t="inlineStr">
        <is>
          <t>LEI</t>
        </is>
      </c>
      <c r="D757" t="inlineStr">
        <is>
          <t>Trimestral</t>
        </is>
      </c>
      <c r="E757" t="inlineStr">
        <is>
          <t>Positivo</t>
        </is>
      </c>
      <c r="F757" s="113" t="n">
        <v>46022</v>
      </c>
      <c r="G757" t="n">
        <v>2025</v>
      </c>
      <c r="H757" t="inlineStr">
        <is>
          <t>Diciembre</t>
        </is>
      </c>
      <c r="I757" t="inlineStr">
        <is>
          <t>2025-2</t>
        </is>
      </c>
      <c r="K757" t="n">
        <v>26920</v>
      </c>
      <c r="L757" s="39" t="n"/>
      <c r="M757" s="39" t="n"/>
      <c r="N757" t="inlineStr">
        <is>
          <t>Metrica</t>
        </is>
      </c>
      <c r="O757" t="inlineStr">
        <is>
          <t>ENT</t>
        </is>
      </c>
      <c r="P757" t="n">
        <v>0</v>
      </c>
      <c r="Q757" t="n">
        <v>0</v>
      </c>
      <c r="R757" t="inlineStr">
        <is>
          <t>403-2025-12-31</t>
        </is>
      </c>
      <c r="S757" t="inlineStr">
        <is>
          <t>Metrica</t>
        </is>
      </c>
    </row>
    <row r="758">
      <c r="A758" t="n">
        <v>404</v>
      </c>
      <c r="B758" t="inlineStr">
        <is>
          <t>Casos presentados y solucionados</t>
        </is>
      </c>
      <c r="C758" t="inlineStr">
        <is>
          <t>LEI</t>
        </is>
      </c>
      <c r="D758" t="inlineStr">
        <is>
          <t>Semestral</t>
        </is>
      </c>
      <c r="E758" t="inlineStr">
        <is>
          <t>Negativo</t>
        </is>
      </c>
      <c r="F758" s="113" t="n">
        <v>45291</v>
      </c>
      <c r="G758" t="n">
        <v>2023</v>
      </c>
      <c r="H758" t="inlineStr">
        <is>
          <t>Diciembre</t>
        </is>
      </c>
      <c r="I758" t="inlineStr">
        <is>
          <t>2023-2</t>
        </is>
      </c>
      <c r="J758" t="n">
        <v>20</v>
      </c>
      <c r="K758" t="n">
        <v>1.7</v>
      </c>
      <c r="L758" s="39" t="n">
        <v>1.3</v>
      </c>
      <c r="M758" s="39" t="n">
        <v>11.76470588235294</v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404-2023-12-31</t>
        </is>
      </c>
    </row>
    <row r="759">
      <c r="A759" t="n">
        <v>404</v>
      </c>
      <c r="B759" t="inlineStr">
        <is>
          <t>Casos presentados y solucionados</t>
        </is>
      </c>
      <c r="C759" t="inlineStr">
        <is>
          <t>LEI</t>
        </is>
      </c>
      <c r="D759" t="inlineStr">
        <is>
          <t>Semestral</t>
        </is>
      </c>
      <c r="E759" t="inlineStr">
        <is>
          <t>Negativo</t>
        </is>
      </c>
      <c r="F759" s="113" t="n">
        <v>45657</v>
      </c>
      <c r="G759" t="n">
        <v>2024</v>
      </c>
      <c r="H759" t="inlineStr">
        <is>
          <t>Diciembre</t>
        </is>
      </c>
      <c r="I759" t="inlineStr">
        <is>
          <t>2024-2</t>
        </is>
      </c>
      <c r="J759" t="n">
        <v>10</v>
      </c>
      <c r="K759" t="n">
        <v>6.02</v>
      </c>
      <c r="L759" s="39" t="n">
        <v>1.3</v>
      </c>
      <c r="M759" s="39" t="n">
        <v>1.661129568106313</v>
      </c>
      <c r="N759" t="inlineStr">
        <is>
          <t>%</t>
        </is>
      </c>
      <c r="O759" t="inlineStr">
        <is>
          <t>%</t>
        </is>
      </c>
      <c r="P759" t="n">
        <v>0</v>
      </c>
      <c r="Q759" t="n">
        <v>0</v>
      </c>
      <c r="R759" t="inlineStr">
        <is>
          <t>404-2024-12-31</t>
        </is>
      </c>
    </row>
    <row r="760">
      <c r="A760" t="n">
        <v>405</v>
      </c>
      <c r="B760" t="inlineStr">
        <is>
          <t>Proyecto de reingenieria y arquitectura de software LEI</t>
        </is>
      </c>
      <c r="C760" t="inlineStr">
        <is>
          <t>LEI</t>
        </is>
      </c>
      <c r="D760" t="inlineStr">
        <is>
          <t>Semestral</t>
        </is>
      </c>
      <c r="E760" t="inlineStr">
        <is>
          <t>Positivo</t>
        </is>
      </c>
      <c r="F760" s="113" t="n">
        <v>45291</v>
      </c>
      <c r="G760" t="n">
        <v>2023</v>
      </c>
      <c r="H760" t="inlineStr">
        <is>
          <t>Diciembre</t>
        </is>
      </c>
      <c r="I760" t="inlineStr">
        <is>
          <t>2023-2</t>
        </is>
      </c>
      <c r="J760" t="n">
        <v>50</v>
      </c>
      <c r="K760" t="n">
        <v>62</v>
      </c>
      <c r="L760" s="39" t="n">
        <v>1.24</v>
      </c>
      <c r="M760" s="39" t="n">
        <v>1.24</v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405-2023-12-31</t>
        </is>
      </c>
    </row>
    <row r="761">
      <c r="A761" t="n">
        <v>405</v>
      </c>
      <c r="B761" t="inlineStr">
        <is>
          <t>Proyecto de reingenieria y arquitectura de software LEI</t>
        </is>
      </c>
      <c r="C761" t="inlineStr">
        <is>
          <t>LEI</t>
        </is>
      </c>
      <c r="D761" t="inlineStr">
        <is>
          <t>Semestral</t>
        </is>
      </c>
      <c r="E761" t="inlineStr">
        <is>
          <t>Positivo</t>
        </is>
      </c>
      <c r="F761" s="113" t="n">
        <v>45657</v>
      </c>
      <c r="G761" t="n">
        <v>2024</v>
      </c>
      <c r="H761" t="inlineStr">
        <is>
          <t>Diciembre</t>
        </is>
      </c>
      <c r="I761" t="inlineStr">
        <is>
          <t>2024-2</t>
        </is>
      </c>
      <c r="J761" t="n">
        <v>100</v>
      </c>
      <c r="K761" t="n">
        <v>98</v>
      </c>
      <c r="L761" s="39" t="n">
        <v>0.98</v>
      </c>
      <c r="M761" s="39" t="n">
        <v>0.98</v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405-2024-12-31</t>
        </is>
      </c>
    </row>
    <row r="762">
      <c r="A762" t="n">
        <v>406</v>
      </c>
      <c r="B762" t="inlineStr">
        <is>
          <t>Programas con condiciones iniciales aprobadas por facultad</t>
        </is>
      </c>
      <c r="C762" t="inlineStr">
        <is>
          <t>Creación, modificación y cierre de programas académicos</t>
        </is>
      </c>
      <c r="D762" t="inlineStr">
        <is>
          <t>Semestral</t>
        </is>
      </c>
      <c r="E762" t="inlineStr">
        <is>
          <t>Positivo</t>
        </is>
      </c>
      <c r="F762" s="113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5</v>
      </c>
      <c r="K762" t="n">
        <v>5</v>
      </c>
      <c r="L762" s="39" t="n">
        <v>1</v>
      </c>
      <c r="M762" s="39" t="n">
        <v>1</v>
      </c>
      <c r="N762" t="inlineStr">
        <is>
          <t>ENT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406-2023-12-31</t>
        </is>
      </c>
    </row>
    <row r="763">
      <c r="A763" t="n">
        <v>406</v>
      </c>
      <c r="B763" t="inlineStr">
        <is>
          <t>Programas con condiciones iniciales aprobadas por facultad</t>
        </is>
      </c>
      <c r="C763" t="inlineStr">
        <is>
          <t>Autoevaluación de programas académicos</t>
        </is>
      </c>
      <c r="D763" t="inlineStr">
        <is>
          <t>Semestral</t>
        </is>
      </c>
      <c r="E763" t="inlineStr">
        <is>
          <t>Positivo</t>
        </is>
      </c>
      <c r="F763" s="113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3</v>
      </c>
      <c r="K763" t="n">
        <v>3</v>
      </c>
      <c r="L763" s="39" t="n">
        <v>1</v>
      </c>
      <c r="M763" s="39" t="n">
        <v>1</v>
      </c>
      <c r="N763" t="inlineStr">
        <is>
          <t>ENT</t>
        </is>
      </c>
      <c r="O763" t="inlineStr">
        <is>
          <t>ENT</t>
        </is>
      </c>
      <c r="P763" t="n">
        <v>0</v>
      </c>
      <c r="Q763" t="n">
        <v>0</v>
      </c>
      <c r="R763" t="inlineStr">
        <is>
          <t>406-2024-12-31</t>
        </is>
      </c>
    </row>
    <row r="764">
      <c r="A764" t="n">
        <v>407</v>
      </c>
      <c r="B764" t="inlineStr">
        <is>
          <t>Programas 1ra fase de condiciones iniciales radicadas por facultad</t>
        </is>
      </c>
      <c r="C764" t="inlineStr">
        <is>
          <t>Creación, modificación y cierre de programas académicos</t>
        </is>
      </c>
      <c r="D764" t="inlineStr">
        <is>
          <t>Semestral</t>
        </is>
      </c>
      <c r="E764" t="inlineStr">
        <is>
          <t>Positivo</t>
        </is>
      </c>
      <c r="F764" s="113" t="n">
        <v>45291</v>
      </c>
      <c r="G764" t="n">
        <v>2023</v>
      </c>
      <c r="H764" t="inlineStr">
        <is>
          <t>Diciembre</t>
        </is>
      </c>
      <c r="I764" t="inlineStr">
        <is>
          <t>2023-2</t>
        </is>
      </c>
      <c r="J764" t="n">
        <v>3</v>
      </c>
      <c r="K764" t="n">
        <v>3</v>
      </c>
      <c r="L764" s="39" t="n">
        <v>1</v>
      </c>
      <c r="M764" s="39" t="n">
        <v>1</v>
      </c>
      <c r="N764" t="inlineStr">
        <is>
          <t>ENT</t>
        </is>
      </c>
      <c r="O764" t="inlineStr">
        <is>
          <t>ENT</t>
        </is>
      </c>
      <c r="P764" t="n">
        <v>0</v>
      </c>
      <c r="Q764" t="n">
        <v>0</v>
      </c>
      <c r="R764" t="inlineStr">
        <is>
          <t>407-2023-12-31</t>
        </is>
      </c>
    </row>
    <row r="765">
      <c r="A765" t="n">
        <v>407</v>
      </c>
      <c r="B765" t="inlineStr">
        <is>
          <t>Programas 1ra fase de condiciones iniciales radicadas por facultad</t>
        </is>
      </c>
      <c r="C765" t="inlineStr">
        <is>
          <t>Creación, modificación y cierre de programas académicos</t>
        </is>
      </c>
      <c r="D765" t="inlineStr">
        <is>
          <t>Semestral</t>
        </is>
      </c>
      <c r="E765" t="inlineStr">
        <is>
          <t>Positivo</t>
        </is>
      </c>
      <c r="F765" s="113" t="n">
        <v>45657</v>
      </c>
      <c r="G765" t="n">
        <v>2024</v>
      </c>
      <c r="H765" t="inlineStr">
        <is>
          <t>Diciembre</t>
        </is>
      </c>
      <c r="I765" t="inlineStr">
        <is>
          <t>2024-2</t>
        </is>
      </c>
      <c r="L765" s="39" t="n"/>
      <c r="M765" s="39" t="n"/>
      <c r="N765" t="inlineStr">
        <is>
          <t>No Aplica</t>
        </is>
      </c>
      <c r="O765" t="inlineStr">
        <is>
          <t>No Aplica</t>
        </is>
      </c>
      <c r="P765" t="n">
        <v>0</v>
      </c>
      <c r="Q765" t="n">
        <v>0</v>
      </c>
      <c r="R765" t="inlineStr">
        <is>
          <t>407-2024-12-31</t>
        </is>
      </c>
    </row>
    <row r="766">
      <c r="A766" t="n">
        <v>408</v>
      </c>
      <c r="B766" t="inlineStr">
        <is>
          <t>Programas nuevos radicados por facultad</t>
        </is>
      </c>
      <c r="C766" t="inlineStr">
        <is>
          <t>Creación, modificación y cierre de programas académicos</t>
        </is>
      </c>
      <c r="D766" t="inlineStr">
        <is>
          <t>Semestral</t>
        </is>
      </c>
      <c r="E766" t="inlineStr">
        <is>
          <t>Positivo</t>
        </is>
      </c>
      <c r="F766" s="113" t="n">
        <v>45291</v>
      </c>
      <c r="G766" t="n">
        <v>2023</v>
      </c>
      <c r="H766" t="inlineStr">
        <is>
          <t>Diciembre</t>
        </is>
      </c>
      <c r="I766" t="inlineStr">
        <is>
          <t>2023-2</t>
        </is>
      </c>
      <c r="J766" t="n">
        <v>200</v>
      </c>
      <c r="K766" t="n">
        <v>100</v>
      </c>
      <c r="L766" s="39" t="n">
        <v>0.5</v>
      </c>
      <c r="M766" s="39" t="n">
        <v>0.5</v>
      </c>
      <c r="N766" t="inlineStr">
        <is>
          <t>ENT</t>
        </is>
      </c>
      <c r="O766" t="inlineStr">
        <is>
          <t>ENT</t>
        </is>
      </c>
      <c r="P766" t="n">
        <v>0</v>
      </c>
      <c r="Q766" t="n">
        <v>0</v>
      </c>
      <c r="R766" t="inlineStr">
        <is>
          <t>408-2023-12-31</t>
        </is>
      </c>
    </row>
    <row r="767">
      <c r="A767" t="n">
        <v>408</v>
      </c>
      <c r="B767" t="inlineStr">
        <is>
          <t>Programas nuevos radicados por facultad</t>
        </is>
      </c>
      <c r="C767" t="inlineStr">
        <is>
          <t>Creación, modificación y cierre de programas académicos</t>
        </is>
      </c>
      <c r="D767" t="inlineStr">
        <is>
          <t>Semestral</t>
        </is>
      </c>
      <c r="E767" t="inlineStr">
        <is>
          <t>Positivo</t>
        </is>
      </c>
      <c r="F767" s="113" t="n">
        <v>45657</v>
      </c>
      <c r="G767" t="n">
        <v>2024</v>
      </c>
      <c r="H767" t="inlineStr">
        <is>
          <t>Diciembre</t>
        </is>
      </c>
      <c r="I767" t="inlineStr">
        <is>
          <t>2024-2</t>
        </is>
      </c>
      <c r="J767" t="n">
        <v>200</v>
      </c>
      <c r="K767" t="n">
        <v>100</v>
      </c>
      <c r="L767" s="39" t="n">
        <v>0.5</v>
      </c>
      <c r="M767" s="39" t="n">
        <v>0.5</v>
      </c>
      <c r="N767" t="inlineStr">
        <is>
          <t>ENT</t>
        </is>
      </c>
      <c r="O767" t="inlineStr">
        <is>
          <t>ENT</t>
        </is>
      </c>
      <c r="P767" t="n">
        <v>0</v>
      </c>
      <c r="Q767" t="n">
        <v>0</v>
      </c>
      <c r="R767" t="inlineStr">
        <is>
          <t>408-2024-12-31</t>
        </is>
      </c>
    </row>
    <row r="768">
      <c r="A768" t="n">
        <v>408</v>
      </c>
      <c r="B768" t="inlineStr">
        <is>
          <t>Programas nuevos radicados por facultad</t>
        </is>
      </c>
      <c r="C768" t="inlineStr">
        <is>
          <t>Creación, modificación y cierre de programas académicos</t>
        </is>
      </c>
      <c r="D768" t="inlineStr">
        <is>
          <t>Trimestral</t>
        </is>
      </c>
      <c r="E768" t="inlineStr">
        <is>
          <t>Positivo</t>
        </is>
      </c>
      <c r="F768" s="113" t="n">
        <v>46022</v>
      </c>
      <c r="G768" t="n">
        <v>2025</v>
      </c>
      <c r="H768" t="inlineStr">
        <is>
          <t>Diciembre</t>
        </is>
      </c>
      <c r="I768" t="inlineStr">
        <is>
          <t>2025-2</t>
        </is>
      </c>
      <c r="J768" t="n">
        <v>200</v>
      </c>
      <c r="K768" t="n">
        <v>200</v>
      </c>
      <c r="L768" s="39" t="n">
        <v>1</v>
      </c>
      <c r="M768" s="39" t="n">
        <v>1</v>
      </c>
      <c r="N768" t="inlineStr">
        <is>
          <t>ENT</t>
        </is>
      </c>
      <c r="O768" t="inlineStr">
        <is>
          <t>ENT</t>
        </is>
      </c>
      <c r="P768" t="n">
        <v>0</v>
      </c>
      <c r="Q768" t="n">
        <v>0</v>
      </c>
      <c r="R768" t="inlineStr">
        <is>
          <t>408-2025-12-31</t>
        </is>
      </c>
    </row>
    <row r="769">
      <c r="A769" t="n">
        <v>409</v>
      </c>
      <c r="B769" t="inlineStr">
        <is>
          <t>Oportunidad en tiempo de envios</t>
        </is>
      </c>
      <c r="C769" t="inlineStr">
        <is>
          <t>GESTIÓN JURÍDICA Y NORMATIVA</t>
        </is>
      </c>
      <c r="D769" t="inlineStr">
        <is>
          <t>Trimestral</t>
        </is>
      </c>
      <c r="E769" t="inlineStr">
        <is>
          <t>Positivo</t>
        </is>
      </c>
      <c r="F769" s="113" t="n">
        <v>45291</v>
      </c>
      <c r="G769" t="n">
        <v>2023</v>
      </c>
      <c r="H769" t="inlineStr">
        <is>
          <t>Diciembre</t>
        </is>
      </c>
      <c r="I769" t="inlineStr">
        <is>
          <t>2023-2</t>
        </is>
      </c>
      <c r="J769" t="n">
        <v>160</v>
      </c>
      <c r="K769" t="n">
        <v>203.7188545927854</v>
      </c>
      <c r="L769" s="39" t="n">
        <v>1.273242841204909</v>
      </c>
      <c r="M769" s="39" t="n">
        <v>1.273242841204909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409-2023-12-31</t>
        </is>
      </c>
    </row>
    <row r="770">
      <c r="A770" t="n">
        <v>409</v>
      </c>
      <c r="B770" t="inlineStr">
        <is>
          <t>Oportunidad en tiempo de envios</t>
        </is>
      </c>
      <c r="C770" t="inlineStr">
        <is>
          <t>GESTIÓN JURÍDICA Y NORMATIVA</t>
        </is>
      </c>
      <c r="D770" t="inlineStr">
        <is>
          <t>Trimestral</t>
        </is>
      </c>
      <c r="E770" t="inlineStr">
        <is>
          <t>Positivo</t>
        </is>
      </c>
      <c r="F770" s="113" t="n">
        <v>45657</v>
      </c>
      <c r="G770" t="n">
        <v>2024</v>
      </c>
      <c r="H770" t="inlineStr">
        <is>
          <t>Diciembre</t>
        </is>
      </c>
      <c r="I770" t="inlineStr">
        <is>
          <t>2024-2</t>
        </is>
      </c>
      <c r="J770" t="n">
        <v>380</v>
      </c>
      <c r="K770" t="n">
        <v>390.0984685219431</v>
      </c>
      <c r="L770" s="39" t="n">
        <v>1.026574917163008</v>
      </c>
      <c r="M770" s="39" t="n">
        <v>1.026574917163008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409-2024-12-31</t>
        </is>
      </c>
    </row>
    <row r="771">
      <c r="A771" t="n">
        <v>409</v>
      </c>
      <c r="B771" t="inlineStr">
        <is>
          <t>Oportunidad en tiempo de envios</t>
        </is>
      </c>
      <c r="C771" t="inlineStr">
        <is>
          <t>GESTIÓN JURÍDICA Y NORMATIVA</t>
        </is>
      </c>
      <c r="D771" t="inlineStr">
        <is>
          <t>Semestral</t>
        </is>
      </c>
      <c r="E771" t="inlineStr">
        <is>
          <t>Positivo</t>
        </is>
      </c>
      <c r="F771" s="113" t="n">
        <v>45838</v>
      </c>
      <c r="G771" t="n">
        <v>2025</v>
      </c>
      <c r="H771" t="inlineStr">
        <is>
          <t>Junio</t>
        </is>
      </c>
      <c r="I771" t="inlineStr">
        <is>
          <t>2025-1</t>
        </is>
      </c>
      <c r="J771" t="n">
        <v>95</v>
      </c>
      <c r="K771" t="n">
        <v>100</v>
      </c>
      <c r="L771" s="39" t="n">
        <v>1.052631578947368</v>
      </c>
      <c r="M771" s="39" t="n">
        <v>1.052631578947368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409-2025-06-30</t>
        </is>
      </c>
    </row>
    <row r="772">
      <c r="A772" t="n">
        <v>410</v>
      </c>
      <c r="B772" t="inlineStr">
        <is>
          <t>Solicitudes de gestión documental</t>
        </is>
      </c>
      <c r="C772" t="inlineStr">
        <is>
          <t>GESTIÓN JURÍDICA Y NORMATIVA</t>
        </is>
      </c>
      <c r="D772" t="inlineStr">
        <is>
          <t>Trimestral</t>
        </is>
      </c>
      <c r="E772" t="inlineStr">
        <is>
          <t>Positivo</t>
        </is>
      </c>
      <c r="F772" s="113" t="n">
        <v>45291</v>
      </c>
      <c r="G772" t="n">
        <v>2023</v>
      </c>
      <c r="H772" t="inlineStr">
        <is>
          <t>Diciembre</t>
        </is>
      </c>
      <c r="I772" t="inlineStr">
        <is>
          <t>2023-2</t>
        </is>
      </c>
      <c r="J772" t="n">
        <v>90</v>
      </c>
      <c r="K772" t="n">
        <v>100</v>
      </c>
      <c r="L772" s="39" t="n">
        <v>1.111111111111111</v>
      </c>
      <c r="M772" s="39" t="n">
        <v>1.111111111111111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410-2023-12-31</t>
        </is>
      </c>
    </row>
    <row r="773">
      <c r="A773" t="n">
        <v>411</v>
      </c>
      <c r="B773" t="inlineStr">
        <is>
          <t>Cumplimiento Planes De Relacionamiento</t>
        </is>
      </c>
      <c r="C773" t="inlineStr">
        <is>
          <t>Comunicaciones Externas</t>
        </is>
      </c>
      <c r="D773" t="inlineStr">
        <is>
          <t>Semestral</t>
        </is>
      </c>
      <c r="E773" t="inlineStr">
        <is>
          <t>Positivo</t>
        </is>
      </c>
      <c r="F773" s="113" t="n">
        <v>45291</v>
      </c>
      <c r="G773" t="n">
        <v>2023</v>
      </c>
      <c r="H773" t="inlineStr">
        <is>
          <t>Diciembre</t>
        </is>
      </c>
      <c r="I773" t="inlineStr">
        <is>
          <t>2023-2</t>
        </is>
      </c>
      <c r="J773" t="n">
        <v>100</v>
      </c>
      <c r="K773" t="n">
        <v>100</v>
      </c>
      <c r="L773" s="39" t="n">
        <v>1</v>
      </c>
      <c r="M773" s="39" t="n">
        <v>1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411-2023-12-31</t>
        </is>
      </c>
    </row>
    <row r="774">
      <c r="A774" t="n">
        <v>412</v>
      </c>
      <c r="B774" t="inlineStr">
        <is>
          <t>Participaciones en 2 eventos externos de impacto</t>
        </is>
      </c>
      <c r="C774" t="inlineStr">
        <is>
          <t>Comunicaciones Externas</t>
        </is>
      </c>
      <c r="D774" t="inlineStr">
        <is>
          <t>Anual</t>
        </is>
      </c>
      <c r="E774" t="inlineStr">
        <is>
          <t>Positivo</t>
        </is>
      </c>
      <c r="F774" s="113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100</v>
      </c>
      <c r="L774" s="39" t="n">
        <v>1</v>
      </c>
      <c r="M774" s="39" t="n">
        <v>1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412-2023-12-31</t>
        </is>
      </c>
    </row>
    <row r="775">
      <c r="A775" t="n">
        <v>412</v>
      </c>
      <c r="B775" t="inlineStr">
        <is>
          <t>Participación en eventos externos de impacto</t>
        </is>
      </c>
      <c r="C775" t="inlineStr">
        <is>
          <t>Comunicaciones Externas</t>
        </is>
      </c>
      <c r="D775" t="inlineStr">
        <is>
          <t>Anual</t>
        </is>
      </c>
      <c r="E775" t="inlineStr">
        <is>
          <t>Positivo</t>
        </is>
      </c>
      <c r="F775" s="113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100</v>
      </c>
      <c r="L775" s="39" t="n">
        <v>1</v>
      </c>
      <c r="M775" s="39" t="n">
        <v>1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412-2024-12-31</t>
        </is>
      </c>
    </row>
    <row r="776">
      <c r="A776" t="n">
        <v>413</v>
      </c>
      <c r="B776" t="inlineStr">
        <is>
          <t>Participaciones del Poli como sede o patrocinador</t>
        </is>
      </c>
      <c r="C776" t="inlineStr">
        <is>
          <t>Comunicaciones Externas</t>
        </is>
      </c>
      <c r="D776" t="inlineStr">
        <is>
          <t>Anual</t>
        </is>
      </c>
      <c r="E776" t="inlineStr">
        <is>
          <t>Positivo</t>
        </is>
      </c>
      <c r="F776" s="113" t="n">
        <v>45291</v>
      </c>
      <c r="G776" t="n">
        <v>2023</v>
      </c>
      <c r="H776" t="inlineStr">
        <is>
          <t>Diciembre</t>
        </is>
      </c>
      <c r="I776" t="inlineStr">
        <is>
          <t>2023-2</t>
        </is>
      </c>
      <c r="K776" t="n">
        <v>100</v>
      </c>
      <c r="L776" s="39" t="n"/>
      <c r="M776" s="39" t="n"/>
      <c r="N776" t="inlineStr">
        <is>
          <t>Linea Base</t>
        </is>
      </c>
      <c r="O776" t="inlineStr">
        <is>
          <t>ENT</t>
        </is>
      </c>
      <c r="P776" t="n">
        <v>0</v>
      </c>
      <c r="Q776" t="n">
        <v>0</v>
      </c>
      <c r="R776" t="inlineStr">
        <is>
          <t>413-2023-12-31</t>
        </is>
      </c>
    </row>
    <row r="777">
      <c r="A777" t="n">
        <v>413</v>
      </c>
      <c r="B777" t="inlineStr">
        <is>
          <t>Participación del Poli como sede o patrocinador</t>
        </is>
      </c>
      <c r="C777" t="inlineStr">
        <is>
          <t>Comunicaciones Externas</t>
        </is>
      </c>
      <c r="D777" t="inlineStr">
        <is>
          <t>Anual</t>
        </is>
      </c>
      <c r="E777" t="inlineStr">
        <is>
          <t>Positivo</t>
        </is>
      </c>
      <c r="F777" s="113" t="n">
        <v>45657</v>
      </c>
      <c r="G777" t="n">
        <v>2024</v>
      </c>
      <c r="H777" t="inlineStr">
        <is>
          <t>Diciembre</t>
        </is>
      </c>
      <c r="I777" t="inlineStr">
        <is>
          <t>2024-2</t>
        </is>
      </c>
      <c r="J777" t="n">
        <v>100</v>
      </c>
      <c r="K777" t="n">
        <v>100</v>
      </c>
      <c r="L777" s="39" t="n">
        <v>1</v>
      </c>
      <c r="M777" s="39" t="n">
        <v>1</v>
      </c>
      <c r="N777" t="inlineStr">
        <is>
          <t>Linea Base</t>
        </is>
      </c>
      <c r="O777" t="inlineStr">
        <is>
          <t>ENT</t>
        </is>
      </c>
      <c r="P777" t="n">
        <v>0</v>
      </c>
      <c r="Q777" t="n">
        <v>0</v>
      </c>
      <c r="R777" t="inlineStr">
        <is>
          <t>413-2024-12-31</t>
        </is>
      </c>
    </row>
    <row r="778">
      <c r="A778" t="n">
        <v>413</v>
      </c>
      <c r="B778" t="inlineStr">
        <is>
          <t>Participación del Poli como sede o patrocinador</t>
        </is>
      </c>
      <c r="C778" t="inlineStr">
        <is>
          <t>Comunicaciones Externas</t>
        </is>
      </c>
      <c r="D778" t="inlineStr">
        <is>
          <t>Anual</t>
        </is>
      </c>
      <c r="E778" t="inlineStr">
        <is>
          <t>Positivo</t>
        </is>
      </c>
      <c r="F778" s="113" t="n">
        <v>46022</v>
      </c>
      <c r="G778" t="n">
        <v>2025</v>
      </c>
      <c r="H778" t="inlineStr">
        <is>
          <t>Diciembre</t>
        </is>
      </c>
      <c r="I778" t="inlineStr">
        <is>
          <t>2025-2</t>
        </is>
      </c>
      <c r="J778" t="n">
        <v>100</v>
      </c>
      <c r="K778" t="n">
        <v>100</v>
      </c>
      <c r="L778" s="39" t="n">
        <v>1</v>
      </c>
      <c r="M778" s="39" t="n">
        <v>1</v>
      </c>
      <c r="N778" t="inlineStr">
        <is>
          <t>Linea Base</t>
        </is>
      </c>
      <c r="O778" t="inlineStr">
        <is>
          <t>ENT</t>
        </is>
      </c>
      <c r="P778" t="n">
        <v>0</v>
      </c>
      <c r="Q778" t="n">
        <v>0</v>
      </c>
      <c r="R778" t="inlineStr">
        <is>
          <t>413-2025-12-31</t>
        </is>
      </c>
    </row>
    <row r="779">
      <c r="A779" t="n">
        <v>414</v>
      </c>
      <c r="B779" t="inlineStr">
        <is>
          <t>Cumplimiento Plan Anual Rectoría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13" t="n">
        <v>45291</v>
      </c>
      <c r="G779" t="n">
        <v>2023</v>
      </c>
      <c r="H779" t="inlineStr">
        <is>
          <t>Diciembre</t>
        </is>
      </c>
      <c r="I779" t="inlineStr">
        <is>
          <t>2023-2</t>
        </is>
      </c>
      <c r="J779" t="n">
        <v>100</v>
      </c>
      <c r="K779" t="n">
        <v>96.28</v>
      </c>
      <c r="L779" s="39" t="n">
        <v>0.9628</v>
      </c>
      <c r="M779" s="39" t="n">
        <v>0.9628</v>
      </c>
      <c r="N779" t="inlineStr">
        <is>
          <t>Linea Base</t>
        </is>
      </c>
      <c r="O779" t="inlineStr">
        <is>
          <t>ENT</t>
        </is>
      </c>
      <c r="P779" t="n">
        <v>0</v>
      </c>
      <c r="Q779" t="n">
        <v>0</v>
      </c>
      <c r="R779" t="inlineStr">
        <is>
          <t>414-2023-12-31</t>
        </is>
      </c>
    </row>
    <row r="780">
      <c r="A780" t="n">
        <v>414</v>
      </c>
      <c r="B780" t="inlineStr">
        <is>
          <t>Cumplimiento Plan Anual Rectoría</t>
        </is>
      </c>
      <c r="C780" t="inlineStr">
        <is>
          <t>Planeación Estratégica</t>
        </is>
      </c>
      <c r="D780" t="inlineStr">
        <is>
          <t>Trimestral</t>
        </is>
      </c>
      <c r="E780" t="inlineStr">
        <is>
          <t>Positivo</t>
        </is>
      </c>
      <c r="F780" s="113" t="n">
        <v>45657</v>
      </c>
      <c r="G780" t="n">
        <v>2024</v>
      </c>
      <c r="H780" t="inlineStr">
        <is>
          <t>Diciembre</t>
        </is>
      </c>
      <c r="I780" t="inlineStr">
        <is>
          <t>2024-2</t>
        </is>
      </c>
      <c r="J780" t="n">
        <v>100</v>
      </c>
      <c r="K780" t="n">
        <v>98.78</v>
      </c>
      <c r="L780" s="39" t="n">
        <v>0.9878</v>
      </c>
      <c r="M780" s="39" t="n">
        <v>0.9878</v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414-2024-12-31</t>
        </is>
      </c>
    </row>
    <row r="781">
      <c r="A781" t="n">
        <v>414</v>
      </c>
      <c r="B781" t="inlineStr">
        <is>
          <t>Cumplimiento Plan Anual Rectoría</t>
        </is>
      </c>
      <c r="C781" t="inlineStr">
        <is>
          <t>Planeación Estratégica</t>
        </is>
      </c>
      <c r="D781" t="inlineStr">
        <is>
          <t>Semestral</t>
        </is>
      </c>
      <c r="E781" t="inlineStr">
        <is>
          <t>Positivo</t>
        </is>
      </c>
      <c r="F781" s="113" t="n">
        <v>46022</v>
      </c>
      <c r="G781" t="n">
        <v>2025</v>
      </c>
      <c r="H781" t="inlineStr">
        <is>
          <t>Diciembre</t>
        </is>
      </c>
      <c r="I781" t="inlineStr">
        <is>
          <t>2025-2</t>
        </is>
      </c>
      <c r="J781" t="n">
        <v>100</v>
      </c>
      <c r="K781" t="n">
        <v>98.87</v>
      </c>
      <c r="L781" s="39" t="n">
        <v>0.9887</v>
      </c>
      <c r="M781" s="39" t="n">
        <v>0.9887</v>
      </c>
      <c r="N781" t="inlineStr">
        <is>
          <t>%</t>
        </is>
      </c>
      <c r="O781" t="inlineStr">
        <is>
          <t>%</t>
        </is>
      </c>
      <c r="P781" t="n">
        <v>0</v>
      </c>
      <c r="Q781" t="n">
        <v>0</v>
      </c>
      <c r="R781" t="inlineStr">
        <is>
          <t>414-2025-12-31</t>
        </is>
      </c>
    </row>
    <row r="782">
      <c r="A782" t="n">
        <v>415</v>
      </c>
      <c r="B782" t="inlineStr">
        <is>
          <t>Cumplimiento Plan Anual Vicerrectoría del estudiante</t>
        </is>
      </c>
      <c r="C782" t="inlineStr">
        <is>
          <t>Planeación Estratégica</t>
        </is>
      </c>
      <c r="D782" t="inlineStr">
        <is>
          <t>Trimestral</t>
        </is>
      </c>
      <c r="E782" t="inlineStr">
        <is>
          <t>Positivo</t>
        </is>
      </c>
      <c r="F782" s="113" t="n">
        <v>45291</v>
      </c>
      <c r="G782" t="n">
        <v>2023</v>
      </c>
      <c r="H782" t="inlineStr">
        <is>
          <t>Diciembre</t>
        </is>
      </c>
      <c r="I782" t="inlineStr">
        <is>
          <t>2023-2</t>
        </is>
      </c>
      <c r="J782" t="n">
        <v>100</v>
      </c>
      <c r="K782" t="n">
        <v>96</v>
      </c>
      <c r="L782" s="39" t="n">
        <v>0.96</v>
      </c>
      <c r="M782" s="39" t="n">
        <v>0.96</v>
      </c>
      <c r="N782" t="inlineStr">
        <is>
          <t>%</t>
        </is>
      </c>
      <c r="O782" t="inlineStr">
        <is>
          <t>%</t>
        </is>
      </c>
      <c r="P782" t="n">
        <v>0</v>
      </c>
      <c r="Q782" t="n">
        <v>0</v>
      </c>
      <c r="R782" t="inlineStr">
        <is>
          <t>415-2023-12-31</t>
        </is>
      </c>
    </row>
    <row r="783">
      <c r="A783" t="n">
        <v>415</v>
      </c>
      <c r="B783" t="inlineStr">
        <is>
          <t>Cumplimiento Plan Anual Vicerrectoría del estudiante</t>
        </is>
      </c>
      <c r="C783" t="inlineStr">
        <is>
          <t>Planeación Estratégica</t>
        </is>
      </c>
      <c r="D783" t="inlineStr">
        <is>
          <t>Trimestral</t>
        </is>
      </c>
      <c r="E783" t="inlineStr">
        <is>
          <t>Positivo</t>
        </is>
      </c>
      <c r="F783" s="113" t="n">
        <v>45657</v>
      </c>
      <c r="G783" t="n">
        <v>2024</v>
      </c>
      <c r="H783" t="inlineStr">
        <is>
          <t>Diciembre</t>
        </is>
      </c>
      <c r="I783" t="inlineStr">
        <is>
          <t>2024-2</t>
        </is>
      </c>
      <c r="J783" t="n">
        <v>100</v>
      </c>
      <c r="K783" t="n">
        <v>98.36</v>
      </c>
      <c r="L783" s="39" t="n">
        <v>0.9836</v>
      </c>
      <c r="M783" s="39" t="n">
        <v>0.9836</v>
      </c>
      <c r="N783" t="inlineStr">
        <is>
          <t>%</t>
        </is>
      </c>
      <c r="O783" t="inlineStr">
        <is>
          <t>%</t>
        </is>
      </c>
      <c r="P783" t="n">
        <v>0</v>
      </c>
      <c r="Q783" t="n">
        <v>0</v>
      </c>
      <c r="R783" t="inlineStr">
        <is>
          <t>415-2024-12-31</t>
        </is>
      </c>
    </row>
    <row r="784">
      <c r="A784" t="n">
        <v>415</v>
      </c>
      <c r="B784" t="inlineStr">
        <is>
          <t>Cumplimiento Plan Anual Vicerrectoría del estudiante</t>
        </is>
      </c>
      <c r="C784" t="inlineStr">
        <is>
          <t>Planeación Estratégica</t>
        </is>
      </c>
      <c r="D784" t="inlineStr">
        <is>
          <t>Semestral</t>
        </is>
      </c>
      <c r="E784" t="inlineStr">
        <is>
          <t>Positivo</t>
        </is>
      </c>
      <c r="F784" s="113" t="n">
        <v>46022</v>
      </c>
      <c r="G784" t="n">
        <v>2025</v>
      </c>
      <c r="H784" t="inlineStr">
        <is>
          <t>Diciembre</t>
        </is>
      </c>
      <c r="I784" t="inlineStr">
        <is>
          <t>2025-2</t>
        </is>
      </c>
      <c r="J784" t="n">
        <v>100</v>
      </c>
      <c r="K784" t="n">
        <v>99.3</v>
      </c>
      <c r="L784" s="39" t="n">
        <v>0.993</v>
      </c>
      <c r="M784" s="39" t="n">
        <v>0.993</v>
      </c>
      <c r="N784" t="inlineStr">
        <is>
          <t>%</t>
        </is>
      </c>
      <c r="O784" t="inlineStr">
        <is>
          <t>%</t>
        </is>
      </c>
      <c r="P784" t="n">
        <v>0</v>
      </c>
      <c r="Q784" t="n">
        <v>0</v>
      </c>
      <c r="R784" t="inlineStr">
        <is>
          <t>415-2025-12-31</t>
        </is>
      </c>
    </row>
    <row r="785">
      <c r="A785" t="n">
        <v>416</v>
      </c>
      <c r="B785" t="inlineStr">
        <is>
          <t>Cumplimiento Plan Anual Vicerrectoría de crecimiento</t>
        </is>
      </c>
      <c r="C785" t="inlineStr">
        <is>
          <t>Planeación Estratégica</t>
        </is>
      </c>
      <c r="D785" t="inlineStr">
        <is>
          <t>Trimestral</t>
        </is>
      </c>
      <c r="E785" t="inlineStr">
        <is>
          <t>Positivo</t>
        </is>
      </c>
      <c r="F785" s="113" t="n">
        <v>45291</v>
      </c>
      <c r="G785" t="n">
        <v>2023</v>
      </c>
      <c r="H785" t="inlineStr">
        <is>
          <t>Diciembre</t>
        </is>
      </c>
      <c r="I785" t="inlineStr">
        <is>
          <t>2023-2</t>
        </is>
      </c>
      <c r="J785" t="n">
        <v>100</v>
      </c>
      <c r="K785" t="n">
        <v>98</v>
      </c>
      <c r="L785" s="39" t="n">
        <v>0.98</v>
      </c>
      <c r="M785" s="39" t="n">
        <v>0.98</v>
      </c>
      <c r="N785" t="inlineStr">
        <is>
          <t>%</t>
        </is>
      </c>
      <c r="O785" t="inlineStr">
        <is>
          <t>%</t>
        </is>
      </c>
      <c r="P785" t="n">
        <v>0</v>
      </c>
      <c r="Q785" t="n">
        <v>0</v>
      </c>
      <c r="R785" t="inlineStr">
        <is>
          <t>416-2023-12-31</t>
        </is>
      </c>
    </row>
    <row r="786">
      <c r="A786" t="n">
        <v>416</v>
      </c>
      <c r="B786" t="inlineStr">
        <is>
          <t>Cumplimiento Plan Anual Vicerrectoría de crecimiento</t>
        </is>
      </c>
      <c r="C786" t="inlineStr">
        <is>
          <t>Planeación Estratégica</t>
        </is>
      </c>
      <c r="D786" t="inlineStr">
        <is>
          <t>Trimestral</t>
        </is>
      </c>
      <c r="E786" t="inlineStr">
        <is>
          <t>Positivo</t>
        </is>
      </c>
      <c r="F786" s="113" t="n">
        <v>45657</v>
      </c>
      <c r="G786" t="n">
        <v>2024</v>
      </c>
      <c r="H786" t="inlineStr">
        <is>
          <t>Diciembre</t>
        </is>
      </c>
      <c r="I786" t="inlineStr">
        <is>
          <t>2024-2</t>
        </is>
      </c>
      <c r="J786" t="n">
        <v>100</v>
      </c>
      <c r="K786" t="n">
        <v>100</v>
      </c>
      <c r="L786" s="39" t="n">
        <v>1</v>
      </c>
      <c r="M786" s="39" t="n">
        <v>1</v>
      </c>
      <c r="N786" t="inlineStr">
        <is>
          <t>%</t>
        </is>
      </c>
      <c r="O786" t="inlineStr">
        <is>
          <t>%</t>
        </is>
      </c>
      <c r="P786" t="n">
        <v>0</v>
      </c>
      <c r="Q786" t="n">
        <v>0</v>
      </c>
      <c r="R786" t="inlineStr">
        <is>
          <t>416-2024-12-31</t>
        </is>
      </c>
    </row>
    <row r="787">
      <c r="A787" t="n">
        <v>416</v>
      </c>
      <c r="B787" t="inlineStr">
        <is>
          <t>Cumplimiento Plan Anual Vicerrectoría de crecimiento</t>
        </is>
      </c>
      <c r="C787" t="inlineStr">
        <is>
          <t>Planeación Estratégica</t>
        </is>
      </c>
      <c r="D787" t="inlineStr">
        <is>
          <t>Semestral</t>
        </is>
      </c>
      <c r="E787" t="inlineStr">
        <is>
          <t>Positivo</t>
        </is>
      </c>
      <c r="F787" s="113" t="n">
        <v>46022</v>
      </c>
      <c r="G787" t="n">
        <v>2025</v>
      </c>
      <c r="H787" t="inlineStr">
        <is>
          <t>Diciembre</t>
        </is>
      </c>
      <c r="I787" t="inlineStr">
        <is>
          <t>2025-2</t>
        </is>
      </c>
      <c r="J787" t="n">
        <v>100</v>
      </c>
      <c r="K787" t="n">
        <v>100</v>
      </c>
      <c r="L787" s="39" t="n">
        <v>1</v>
      </c>
      <c r="M787" s="39" t="n">
        <v>1</v>
      </c>
      <c r="N787" t="inlineStr">
        <is>
          <t>%</t>
        </is>
      </c>
      <c r="O787" t="inlineStr">
        <is>
          <t>%</t>
        </is>
      </c>
      <c r="P787" t="n">
        <v>0</v>
      </c>
      <c r="Q787" t="n">
        <v>0</v>
      </c>
      <c r="R787" t="inlineStr">
        <is>
          <t>416-2025-12-31</t>
        </is>
      </c>
    </row>
    <row r="788">
      <c r="A788" t="n">
        <v>417</v>
      </c>
      <c r="B788" t="inlineStr">
        <is>
          <t>Cumplimiento Plan Anual Vicerrectoría Financiera</t>
        </is>
      </c>
      <c r="C788" t="inlineStr">
        <is>
          <t>Planeación Estratégica</t>
        </is>
      </c>
      <c r="D788" t="inlineStr">
        <is>
          <t>Trimestral</t>
        </is>
      </c>
      <c r="E788" t="inlineStr">
        <is>
          <t>Positivo</t>
        </is>
      </c>
      <c r="F788" s="113" t="n">
        <v>45291</v>
      </c>
      <c r="G788" t="n">
        <v>2023</v>
      </c>
      <c r="H788" t="inlineStr">
        <is>
          <t>Diciembre</t>
        </is>
      </c>
      <c r="I788" t="inlineStr">
        <is>
          <t>2023-2</t>
        </is>
      </c>
      <c r="J788" t="n">
        <v>100</v>
      </c>
      <c r="K788" t="n">
        <v>94.39</v>
      </c>
      <c r="L788" s="39" t="n">
        <v>0.9439</v>
      </c>
      <c r="M788" s="39" t="n">
        <v>0.9439</v>
      </c>
      <c r="N788" t="inlineStr">
        <is>
          <t>%</t>
        </is>
      </c>
      <c r="O788" t="inlineStr">
        <is>
          <t>%</t>
        </is>
      </c>
      <c r="P788" t="n">
        <v>0</v>
      </c>
      <c r="Q788" t="n">
        <v>0</v>
      </c>
      <c r="R788" t="inlineStr">
        <is>
          <t>417-2023-12-31</t>
        </is>
      </c>
    </row>
    <row r="789">
      <c r="A789" t="n">
        <v>417</v>
      </c>
      <c r="B789" t="inlineStr">
        <is>
          <t>Cumplimiento Plan Anual Vicerrectoría Financiera</t>
        </is>
      </c>
      <c r="C789" t="inlineStr">
        <is>
          <t>Planeación Estratégica</t>
        </is>
      </c>
      <c r="D789" t="inlineStr">
        <is>
          <t>Trimestral</t>
        </is>
      </c>
      <c r="E789" t="inlineStr">
        <is>
          <t>Positivo</t>
        </is>
      </c>
      <c r="F789" s="113" t="n">
        <v>45657</v>
      </c>
      <c r="G789" t="n">
        <v>2024</v>
      </c>
      <c r="H789" t="inlineStr">
        <is>
          <t>Diciembre</t>
        </is>
      </c>
      <c r="I789" t="inlineStr">
        <is>
          <t>2024-2</t>
        </is>
      </c>
      <c r="J789" t="n">
        <v>100</v>
      </c>
      <c r="K789" t="n">
        <v>98.83</v>
      </c>
      <c r="L789" s="39" t="n">
        <v>0.9883</v>
      </c>
      <c r="M789" s="39" t="n">
        <v>0.9883</v>
      </c>
      <c r="N789" t="inlineStr">
        <is>
          <t>%</t>
        </is>
      </c>
      <c r="O789" t="inlineStr">
        <is>
          <t>%</t>
        </is>
      </c>
      <c r="P789" t="n">
        <v>0</v>
      </c>
      <c r="Q789" t="n">
        <v>0</v>
      </c>
      <c r="R789" t="inlineStr">
        <is>
          <t>417-2024-12-31</t>
        </is>
      </c>
    </row>
    <row r="790">
      <c r="A790" t="n">
        <v>417</v>
      </c>
      <c r="B790" t="inlineStr">
        <is>
          <t>Cumplimiento Plan Anual Vicerrectoría Financiera</t>
        </is>
      </c>
      <c r="C790" t="inlineStr">
        <is>
          <t>Planeación Estratégica</t>
        </is>
      </c>
      <c r="D790" t="inlineStr">
        <is>
          <t>Semestral</t>
        </is>
      </c>
      <c r="E790" t="inlineStr">
        <is>
          <t>Positivo</t>
        </is>
      </c>
      <c r="F790" s="113" t="n">
        <v>46022</v>
      </c>
      <c r="G790" t="n">
        <v>2025</v>
      </c>
      <c r="H790" t="inlineStr">
        <is>
          <t>Diciembre</t>
        </is>
      </c>
      <c r="I790" t="inlineStr">
        <is>
          <t>2025-2</t>
        </is>
      </c>
      <c r="J790" t="n">
        <v>100</v>
      </c>
      <c r="K790" t="n">
        <v>97.98999999999999</v>
      </c>
      <c r="L790" s="39" t="n">
        <v>0.9799</v>
      </c>
      <c r="M790" s="39" t="n">
        <v>0.9799</v>
      </c>
      <c r="N790" t="inlineStr">
        <is>
          <t>%</t>
        </is>
      </c>
      <c r="O790" t="inlineStr">
        <is>
          <t>%</t>
        </is>
      </c>
      <c r="P790" t="n">
        <v>0</v>
      </c>
      <c r="Q790" t="n">
        <v>0</v>
      </c>
      <c r="R790" t="inlineStr">
        <is>
          <t>417-2025-12-31</t>
        </is>
      </c>
    </row>
    <row r="791">
      <c r="A791" t="n">
        <v>418</v>
      </c>
      <c r="B791" t="inlineStr">
        <is>
          <t>Cumplimiento Plan Anual Vicerrectoría Académica</t>
        </is>
      </c>
      <c r="C791" t="inlineStr">
        <is>
          <t>Planeación Estratégica</t>
        </is>
      </c>
      <c r="D791" t="inlineStr">
        <is>
          <t>Trimestral</t>
        </is>
      </c>
      <c r="E791" t="inlineStr">
        <is>
          <t>Positivo</t>
        </is>
      </c>
      <c r="F791" s="113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J791" t="n">
        <v>100</v>
      </c>
      <c r="K791" t="n">
        <v>95.802222222222</v>
      </c>
      <c r="L791" s="39" t="n">
        <v>0.95802222222222</v>
      </c>
      <c r="M791" s="39" t="n">
        <v>0.95802222222222</v>
      </c>
      <c r="N791" t="inlineStr">
        <is>
          <t>%</t>
        </is>
      </c>
      <c r="O791" t="inlineStr">
        <is>
          <t>%</t>
        </is>
      </c>
      <c r="P791" t="n">
        <v>0</v>
      </c>
      <c r="Q791" t="n">
        <v>0</v>
      </c>
      <c r="R791" t="inlineStr">
        <is>
          <t>418-2023-12-31</t>
        </is>
      </c>
    </row>
    <row r="792">
      <c r="A792" t="n">
        <v>418</v>
      </c>
      <c r="B792" t="inlineStr">
        <is>
          <t>Cumplimiento Plan Anual Vicerrectoría Académica</t>
        </is>
      </c>
      <c r="C792" t="inlineStr">
        <is>
          <t>Planeación Estratégica</t>
        </is>
      </c>
      <c r="D792" t="inlineStr">
        <is>
          <t>Trimestral</t>
        </is>
      </c>
      <c r="E792" t="inlineStr">
        <is>
          <t>Positivo</t>
        </is>
      </c>
      <c r="F792" s="113" t="n">
        <v>45657</v>
      </c>
      <c r="G792" t="n">
        <v>2024</v>
      </c>
      <c r="H792" t="inlineStr">
        <is>
          <t>Diciembre</t>
        </is>
      </c>
      <c r="I792" t="inlineStr">
        <is>
          <t>2024-2</t>
        </is>
      </c>
      <c r="J792" t="n">
        <v>100</v>
      </c>
      <c r="K792" t="n">
        <v>97.78</v>
      </c>
      <c r="L792" s="39" t="n">
        <v>0.9778</v>
      </c>
      <c r="M792" s="39" t="n">
        <v>0.9778</v>
      </c>
      <c r="N792" t="inlineStr">
        <is>
          <t>%</t>
        </is>
      </c>
      <c r="O792" t="inlineStr">
        <is>
          <t>%</t>
        </is>
      </c>
      <c r="P792" t="n">
        <v>0</v>
      </c>
      <c r="Q792" t="n">
        <v>0</v>
      </c>
      <c r="R792" t="inlineStr">
        <is>
          <t>418-2024-12-31</t>
        </is>
      </c>
    </row>
    <row r="793">
      <c r="A793" t="n">
        <v>418</v>
      </c>
      <c r="B793" t="inlineStr">
        <is>
          <t>Cumplimiento Plan Anual Vicerrectoría Académica</t>
        </is>
      </c>
      <c r="C793" t="inlineStr">
        <is>
          <t>Planeación Estratégica</t>
        </is>
      </c>
      <c r="D793" t="inlineStr">
        <is>
          <t>Semestral</t>
        </is>
      </c>
      <c r="E793" t="inlineStr">
        <is>
          <t>Positivo</t>
        </is>
      </c>
      <c r="F793" s="113" t="n">
        <v>46022</v>
      </c>
      <c r="G793" t="n">
        <v>2025</v>
      </c>
      <c r="H793" t="inlineStr">
        <is>
          <t>Diciembre</t>
        </is>
      </c>
      <c r="I793" t="inlineStr">
        <is>
          <t>2025-2</t>
        </is>
      </c>
      <c r="J793" t="n">
        <v>100</v>
      </c>
      <c r="K793" t="n">
        <v>99.61</v>
      </c>
      <c r="L793" s="39" t="n">
        <v>0.9961</v>
      </c>
      <c r="M793" s="39" t="n">
        <v>0.9961</v>
      </c>
      <c r="N793" t="inlineStr">
        <is>
          <t>%</t>
        </is>
      </c>
      <c r="O793" t="inlineStr">
        <is>
          <t>%</t>
        </is>
      </c>
      <c r="P793" t="n">
        <v>0</v>
      </c>
      <c r="Q793" t="n">
        <v>0</v>
      </c>
      <c r="R793" t="inlineStr">
        <is>
          <t>418-2025-12-31</t>
        </is>
      </c>
    </row>
    <row r="794">
      <c r="A794" t="n">
        <v>419</v>
      </c>
      <c r="B794" t="inlineStr">
        <is>
          <t>Cumplimiento Plan Anual Áreas sede Medellín</t>
        </is>
      </c>
      <c r="C794" t="inlineStr">
        <is>
          <t>Planeación Estratégica</t>
        </is>
      </c>
      <c r="D794" t="inlineStr">
        <is>
          <t>Trimestral</t>
        </is>
      </c>
      <c r="E794" t="inlineStr">
        <is>
          <t>Positivo</t>
        </is>
      </c>
      <c r="F794" s="113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J794" t="n">
        <v>100</v>
      </c>
      <c r="K794" t="n">
        <v>93.56</v>
      </c>
      <c r="L794" s="39" t="n">
        <v>0.9356</v>
      </c>
      <c r="M794" s="39" t="n">
        <v>0.9356</v>
      </c>
      <c r="N794" t="inlineStr">
        <is>
          <t>%</t>
        </is>
      </c>
      <c r="O794" t="inlineStr">
        <is>
          <t>%</t>
        </is>
      </c>
      <c r="P794" t="n">
        <v>0</v>
      </c>
      <c r="Q794" t="n">
        <v>0</v>
      </c>
      <c r="R794" t="inlineStr">
        <is>
          <t>419-2023-12-31</t>
        </is>
      </c>
    </row>
    <row r="795">
      <c r="A795" t="n">
        <v>420</v>
      </c>
      <c r="B795" t="inlineStr">
        <is>
          <t>Cumplimiento Plan Anual Gerencia de estrategia</t>
        </is>
      </c>
      <c r="C795" t="inlineStr">
        <is>
          <t>Planeación Estratégica</t>
        </is>
      </c>
      <c r="D795" t="inlineStr">
        <is>
          <t>Trimestral</t>
        </is>
      </c>
      <c r="E795" t="inlineStr">
        <is>
          <t>Positivo</t>
        </is>
      </c>
      <c r="F795" s="113" t="n">
        <v>45291</v>
      </c>
      <c r="G795" t="n">
        <v>2023</v>
      </c>
      <c r="H795" t="inlineStr">
        <is>
          <t>Diciembre</t>
        </is>
      </c>
      <c r="I795" t="inlineStr">
        <is>
          <t>2023-2</t>
        </is>
      </c>
      <c r="J795" t="n">
        <v>100</v>
      </c>
      <c r="K795" t="n">
        <v>100</v>
      </c>
      <c r="L795" s="39" t="n">
        <v>1</v>
      </c>
      <c r="M795" s="39" t="n">
        <v>1</v>
      </c>
      <c r="N795" t="inlineStr">
        <is>
          <t>%</t>
        </is>
      </c>
      <c r="O795" t="inlineStr">
        <is>
          <t>%</t>
        </is>
      </c>
      <c r="P795" t="n">
        <v>0</v>
      </c>
      <c r="Q795" t="n">
        <v>0</v>
      </c>
      <c r="R795" t="inlineStr">
        <is>
          <t>420-2023-12-31</t>
        </is>
      </c>
    </row>
    <row r="796">
      <c r="A796" t="n">
        <v>420</v>
      </c>
      <c r="B796" t="inlineStr">
        <is>
          <t>Cumplimiento Plan Anual Gerencia de estrategia</t>
        </is>
      </c>
      <c r="C796" t="inlineStr">
        <is>
          <t>Planeación Estratégica</t>
        </is>
      </c>
      <c r="D796" t="inlineStr">
        <is>
          <t>Trimestral</t>
        </is>
      </c>
      <c r="E796" t="inlineStr">
        <is>
          <t>Positivo</t>
        </is>
      </c>
      <c r="F796" s="113" t="n">
        <v>45657</v>
      </c>
      <c r="G796" t="n">
        <v>2024</v>
      </c>
      <c r="H796" t="inlineStr">
        <is>
          <t>Diciembre</t>
        </is>
      </c>
      <c r="I796" t="inlineStr">
        <is>
          <t>2024-2</t>
        </is>
      </c>
      <c r="J796" t="n">
        <v>100</v>
      </c>
      <c r="K796" t="n">
        <v>96.67</v>
      </c>
      <c r="L796" s="39" t="n">
        <v>0.9667</v>
      </c>
      <c r="M796" s="39" t="n">
        <v>0.9667</v>
      </c>
      <c r="N796" t="inlineStr">
        <is>
          <t>%</t>
        </is>
      </c>
      <c r="O796" t="inlineStr">
        <is>
          <t>%</t>
        </is>
      </c>
      <c r="P796" t="n">
        <v>0</v>
      </c>
      <c r="Q796" t="n">
        <v>0</v>
      </c>
      <c r="R796" t="inlineStr">
        <is>
          <t>420-2024-12-31</t>
        </is>
      </c>
    </row>
    <row r="797">
      <c r="A797" t="n">
        <v>420</v>
      </c>
      <c r="B797" t="inlineStr">
        <is>
          <t>Cumplimiento Plan Anual Gerencia de estrategia</t>
        </is>
      </c>
      <c r="C797" t="inlineStr">
        <is>
          <t>Planeación Estratégica</t>
        </is>
      </c>
      <c r="D797" t="inlineStr">
        <is>
          <t>Semestral</t>
        </is>
      </c>
      <c r="E797" t="inlineStr">
        <is>
          <t>Positivo</t>
        </is>
      </c>
      <c r="F797" s="113" t="n">
        <v>46022</v>
      </c>
      <c r="G797" t="n">
        <v>2025</v>
      </c>
      <c r="H797" t="inlineStr">
        <is>
          <t>Diciembre</t>
        </is>
      </c>
      <c r="I797" t="inlineStr">
        <is>
          <t>2025-2</t>
        </is>
      </c>
      <c r="J797" t="n">
        <v>100</v>
      </c>
      <c r="K797" t="n">
        <v>100</v>
      </c>
      <c r="L797" s="39" t="n">
        <v>1</v>
      </c>
      <c r="M797" s="39" t="n">
        <v>1</v>
      </c>
      <c r="N797" t="inlineStr">
        <is>
          <t>%</t>
        </is>
      </c>
      <c r="O797" t="inlineStr">
        <is>
          <t>%</t>
        </is>
      </c>
      <c r="P797" t="n">
        <v>0</v>
      </c>
      <c r="Q797" t="n">
        <v>0</v>
      </c>
      <c r="R797" t="inlineStr">
        <is>
          <t>420-2025-12-31</t>
        </is>
      </c>
    </row>
    <row r="798">
      <c r="A798" t="n">
        <v>421</v>
      </c>
      <c r="B798" t="inlineStr">
        <is>
          <t>Total Leads por canales de captación</t>
        </is>
      </c>
      <c r="C798" t="inlineStr">
        <is>
          <t>Mercadeo de programas académicos</t>
        </is>
      </c>
      <c r="D798" t="inlineStr">
        <is>
          <t>Semestral</t>
        </is>
      </c>
      <c r="E798" t="inlineStr">
        <is>
          <t>Positivo</t>
        </is>
      </c>
      <c r="F798" s="113" t="n">
        <v>45291</v>
      </c>
      <c r="G798" t="n">
        <v>2023</v>
      </c>
      <c r="H798" t="inlineStr">
        <is>
          <t>Diciembre</t>
        </is>
      </c>
      <c r="I798" t="inlineStr">
        <is>
          <t>2023-2</t>
        </is>
      </c>
      <c r="J798" t="n">
        <v>201272</v>
      </c>
      <c r="K798" t="n">
        <v>276201</v>
      </c>
      <c r="L798" s="39" t="n">
        <v>1.3</v>
      </c>
      <c r="M798" s="39" t="n">
        <v>1.372277316268532</v>
      </c>
      <c r="N798" t="inlineStr">
        <is>
          <t>ENT</t>
        </is>
      </c>
      <c r="O798" t="inlineStr">
        <is>
          <t>ENT</t>
        </is>
      </c>
      <c r="P798" t="n">
        <v>0</v>
      </c>
      <c r="Q798" t="n">
        <v>0</v>
      </c>
      <c r="R798" t="inlineStr">
        <is>
          <t>421-2023-12-31</t>
        </is>
      </c>
    </row>
    <row r="799">
      <c r="A799" t="n">
        <v>421</v>
      </c>
      <c r="B799" t="inlineStr">
        <is>
          <t>Total Leads por canales de captación</t>
        </is>
      </c>
      <c r="C799" t="inlineStr">
        <is>
          <t>Mercadeo de programas académicos</t>
        </is>
      </c>
      <c r="D799" t="inlineStr">
        <is>
          <t>Semestral</t>
        </is>
      </c>
      <c r="E799" t="inlineStr">
        <is>
          <t>Positivo</t>
        </is>
      </c>
      <c r="F799" s="113" t="n">
        <v>45657</v>
      </c>
      <c r="G799" t="n">
        <v>2024</v>
      </c>
      <c r="H799" t="inlineStr">
        <is>
          <t>Diciembre</t>
        </is>
      </c>
      <c r="I799" t="inlineStr">
        <is>
          <t>2024-2</t>
        </is>
      </c>
      <c r="J799" t="n">
        <v>100</v>
      </c>
      <c r="K799" t="n">
        <v>121.44</v>
      </c>
      <c r="L799" s="39" t="n">
        <v>1.2144</v>
      </c>
      <c r="M799" s="39" t="n">
        <v>1.2144</v>
      </c>
      <c r="N799" t="inlineStr">
        <is>
          <t>ENT</t>
        </is>
      </c>
      <c r="O799" t="inlineStr">
        <is>
          <t>ENT</t>
        </is>
      </c>
      <c r="P799" t="n">
        <v>0</v>
      </c>
      <c r="Q799" t="n">
        <v>0</v>
      </c>
      <c r="R799" t="inlineStr">
        <is>
          <t>421-2024-12-31</t>
        </is>
      </c>
    </row>
    <row r="800">
      <c r="A800" t="n">
        <v>422</v>
      </c>
      <c r="B800" t="inlineStr">
        <is>
          <t>Total conversión</t>
        </is>
      </c>
      <c r="C800" t="inlineStr">
        <is>
          <t>Mercadeo de programas académicos</t>
        </is>
      </c>
      <c r="D800" t="inlineStr">
        <is>
          <t>Semestral</t>
        </is>
      </c>
      <c r="E800" t="inlineStr">
        <is>
          <t>Positivo</t>
        </is>
      </c>
      <c r="F800" s="113" t="n">
        <v>45291</v>
      </c>
      <c r="G800" t="n">
        <v>2023</v>
      </c>
      <c r="H800" t="inlineStr">
        <is>
          <t>Diciembre</t>
        </is>
      </c>
      <c r="I800" t="inlineStr">
        <is>
          <t>2023-2</t>
        </is>
      </c>
      <c r="J800" t="n">
        <v>10.5</v>
      </c>
      <c r="K800" t="n">
        <v>11.04</v>
      </c>
      <c r="L800" s="39" t="n">
        <v>1.051428571428571</v>
      </c>
      <c r="M800" s="39" t="n">
        <v>1.051428571428571</v>
      </c>
      <c r="N800" t="inlineStr">
        <is>
          <t>%</t>
        </is>
      </c>
      <c r="O800" t="inlineStr">
        <is>
          <t>%</t>
        </is>
      </c>
      <c r="P800" t="n">
        <v>2</v>
      </c>
      <c r="Q800" t="n">
        <v>2</v>
      </c>
      <c r="R800" t="inlineStr">
        <is>
          <t>422-2023-12-31</t>
        </is>
      </c>
    </row>
    <row r="801">
      <c r="A801" t="n">
        <v>422</v>
      </c>
      <c r="B801" t="inlineStr">
        <is>
          <t>Total conversión</t>
        </is>
      </c>
      <c r="C801" t="inlineStr">
        <is>
          <t>Mercadeo de programas académicos</t>
        </is>
      </c>
      <c r="D801" t="inlineStr">
        <is>
          <t>Semestral</t>
        </is>
      </c>
      <c r="E801" t="inlineStr">
        <is>
          <t>Positivo</t>
        </is>
      </c>
      <c r="F801" s="113" t="n">
        <v>45657</v>
      </c>
      <c r="G801" t="n">
        <v>2024</v>
      </c>
      <c r="H801" t="inlineStr">
        <is>
          <t>Diciembre</t>
        </is>
      </c>
      <c r="I801" t="inlineStr">
        <is>
          <t>2024-2</t>
        </is>
      </c>
      <c r="J801" t="n">
        <v>8.01</v>
      </c>
      <c r="K801" t="n">
        <v>7.91</v>
      </c>
      <c r="L801" s="39" t="n">
        <v>0.9875156054931337</v>
      </c>
      <c r="M801" s="39" t="n">
        <v>0.9875156054931337</v>
      </c>
      <c r="N801" t="inlineStr">
        <is>
          <t>%</t>
        </is>
      </c>
      <c r="O801" t="inlineStr">
        <is>
          <t>%</t>
        </is>
      </c>
      <c r="P801" t="n">
        <v>2</v>
      </c>
      <c r="Q801" t="n">
        <v>2</v>
      </c>
      <c r="R801" t="inlineStr">
        <is>
          <t>422-2024-12-31</t>
        </is>
      </c>
    </row>
    <row r="802">
      <c r="A802" t="n">
        <v>422</v>
      </c>
      <c r="B802" t="inlineStr">
        <is>
          <t>Total conversión</t>
        </is>
      </c>
      <c r="C802" t="inlineStr">
        <is>
          <t>Mercadeo de programas académicos</t>
        </is>
      </c>
      <c r="D802" t="inlineStr">
        <is>
          <t>Trimestral</t>
        </is>
      </c>
      <c r="E802" t="inlineStr">
        <is>
          <t>Positivo</t>
        </is>
      </c>
      <c r="F802" s="113" t="n">
        <v>46022</v>
      </c>
      <c r="G802" t="n">
        <v>2025</v>
      </c>
      <c r="H802" t="inlineStr">
        <is>
          <t>Diciembre</t>
        </is>
      </c>
      <c r="I802" t="inlineStr">
        <is>
          <t>2025-2</t>
        </is>
      </c>
      <c r="J802" t="n">
        <v>7.68</v>
      </c>
      <c r="K802" t="n">
        <v>7.87</v>
      </c>
      <c r="L802" s="39" t="n">
        <v>1.024739583333333</v>
      </c>
      <c r="M802" s="39" t="n">
        <v>1.024739583333333</v>
      </c>
      <c r="N802" t="inlineStr">
        <is>
          <t>%</t>
        </is>
      </c>
      <c r="O802" t="inlineStr">
        <is>
          <t>%</t>
        </is>
      </c>
      <c r="P802" t="n">
        <v>2</v>
      </c>
      <c r="Q802" t="n">
        <v>2</v>
      </c>
      <c r="R802" t="inlineStr">
        <is>
          <t>422-2025-12-31</t>
        </is>
      </c>
    </row>
    <row r="803">
      <c r="A803" t="n">
        <v>423</v>
      </c>
      <c r="B803" t="inlineStr">
        <is>
          <t>Brand equity</t>
        </is>
      </c>
      <c r="C803" t="inlineStr">
        <is>
          <t>Mercadeo de programas académicos</t>
        </is>
      </c>
      <c r="D803" t="inlineStr">
        <is>
          <t>Anual</t>
        </is>
      </c>
      <c r="E803" t="inlineStr">
        <is>
          <t>Positivo</t>
        </is>
      </c>
      <c r="F803" s="113" t="n">
        <v>45291</v>
      </c>
      <c r="G803" t="n">
        <v>2023</v>
      </c>
      <c r="H803" t="inlineStr">
        <is>
          <t>Diciembre</t>
        </is>
      </c>
      <c r="I803" t="inlineStr">
        <is>
          <t>2023-2</t>
        </is>
      </c>
      <c r="J803" t="n">
        <v>8.4</v>
      </c>
      <c r="K803" t="n">
        <v>7.9</v>
      </c>
      <c r="L803" s="39" t="n">
        <v>0.9404761904761905</v>
      </c>
      <c r="M803" s="39" t="n">
        <v>0.9404761904761905</v>
      </c>
      <c r="N803" t="inlineStr">
        <is>
          <t>DEC</t>
        </is>
      </c>
      <c r="O803" t="inlineStr">
        <is>
          <t>DEC</t>
        </is>
      </c>
      <c r="P803" t="n">
        <v>1</v>
      </c>
      <c r="Q803" t="n">
        <v>1</v>
      </c>
      <c r="R803" t="inlineStr">
        <is>
          <t>423-2023-12-31</t>
        </is>
      </c>
    </row>
    <row r="804">
      <c r="A804" t="n">
        <v>423</v>
      </c>
      <c r="B804" t="inlineStr">
        <is>
          <t>Brand equity</t>
        </is>
      </c>
      <c r="C804" t="inlineStr">
        <is>
          <t>Mercadeo de programas académicos</t>
        </is>
      </c>
      <c r="D804" t="inlineStr">
        <is>
          <t>Anual</t>
        </is>
      </c>
      <c r="E804" t="inlineStr">
        <is>
          <t>Positivo</t>
        </is>
      </c>
      <c r="F804" s="113" t="n">
        <v>45657</v>
      </c>
      <c r="G804" t="n">
        <v>2024</v>
      </c>
      <c r="H804" t="inlineStr">
        <is>
          <t>Diciembre</t>
        </is>
      </c>
      <c r="I804" t="inlineStr">
        <is>
          <t>2024-2</t>
        </is>
      </c>
      <c r="J804" t="n">
        <v>8.300000000000001</v>
      </c>
      <c r="K804" t="n">
        <v>12.3</v>
      </c>
      <c r="L804" s="39" t="n">
        <v>1.3</v>
      </c>
      <c r="M804" s="39" t="n">
        <v>1.481927710843373</v>
      </c>
      <c r="N804" t="inlineStr">
        <is>
          <t>DEC</t>
        </is>
      </c>
      <c r="O804" t="inlineStr">
        <is>
          <t>DEC</t>
        </is>
      </c>
      <c r="P804" t="n">
        <v>1</v>
      </c>
      <c r="Q804" t="n">
        <v>1</v>
      </c>
      <c r="R804" t="inlineStr">
        <is>
          <t>423-2024-12-31</t>
        </is>
      </c>
    </row>
    <row r="805">
      <c r="A805" t="n">
        <v>423</v>
      </c>
      <c r="B805" t="inlineStr">
        <is>
          <t>Brand equity</t>
        </is>
      </c>
      <c r="C805" t="inlineStr">
        <is>
          <t>Mercadeo de programas académicos</t>
        </is>
      </c>
      <c r="D805" t="inlineStr">
        <is>
          <t>Anual</t>
        </is>
      </c>
      <c r="E805" t="inlineStr">
        <is>
          <t>Positivo</t>
        </is>
      </c>
      <c r="F805" s="113" t="n">
        <v>46022</v>
      </c>
      <c r="G805" t="n">
        <v>2025</v>
      </c>
      <c r="H805" t="inlineStr">
        <is>
          <t>Diciembre</t>
        </is>
      </c>
      <c r="I805" t="inlineStr">
        <is>
          <t>2025-2</t>
        </is>
      </c>
      <c r="J805" t="n">
        <v>12.3</v>
      </c>
      <c r="K805" t="n">
        <v>15.1</v>
      </c>
      <c r="L805" s="39" t="n">
        <v>1.227642276422764</v>
      </c>
      <c r="M805" s="39" t="n">
        <v>1.227642276422764</v>
      </c>
      <c r="N805" t="inlineStr">
        <is>
          <t>DEC</t>
        </is>
      </c>
      <c r="O805" t="inlineStr">
        <is>
          <t>DEC</t>
        </is>
      </c>
      <c r="P805" t="n">
        <v>1</v>
      </c>
      <c r="Q805" t="n">
        <v>1</v>
      </c>
      <c r="R805" t="inlineStr">
        <is>
          <t>423-2025-12-31</t>
        </is>
      </c>
    </row>
    <row r="806">
      <c r="A806" t="n">
        <v>424</v>
      </c>
      <c r="B806" t="inlineStr">
        <is>
          <t>Conocimiento espontaneo</t>
        </is>
      </c>
      <c r="C806" t="inlineStr">
        <is>
          <t>Mercadeo de programas académicos</t>
        </is>
      </c>
      <c r="D806" t="inlineStr">
        <is>
          <t>Anual</t>
        </is>
      </c>
      <c r="E806" t="inlineStr">
        <is>
          <t>Positivo</t>
        </is>
      </c>
      <c r="F806" s="113" t="n">
        <v>45291</v>
      </c>
      <c r="G806" t="n">
        <v>2023</v>
      </c>
      <c r="H806" t="inlineStr">
        <is>
          <t>Diciembre</t>
        </is>
      </c>
      <c r="I806" t="inlineStr">
        <is>
          <t>2023-2</t>
        </is>
      </c>
      <c r="J806" t="n">
        <v>92</v>
      </c>
      <c r="K806" t="n">
        <v>6</v>
      </c>
      <c r="L806" s="39" t="n">
        <v>0.06521739130434782</v>
      </c>
      <c r="M806" s="39" t="n">
        <v>0.06521739130434782</v>
      </c>
      <c r="N806" t="inlineStr">
        <is>
          <t>ENT</t>
        </is>
      </c>
      <c r="O806" t="inlineStr">
        <is>
          <t>ENT</t>
        </is>
      </c>
      <c r="P806" t="n">
        <v>0</v>
      </c>
      <c r="Q806" t="n">
        <v>0</v>
      </c>
      <c r="R806" t="inlineStr">
        <is>
          <t>424-2023-12-31</t>
        </is>
      </c>
    </row>
    <row r="807">
      <c r="A807" t="n">
        <v>424</v>
      </c>
      <c r="B807" t="inlineStr">
        <is>
          <t>Conocimiento espontaneo</t>
        </is>
      </c>
      <c r="C807" t="inlineStr">
        <is>
          <t>Mercadeo de programas académicos</t>
        </is>
      </c>
      <c r="D807" t="inlineStr">
        <is>
          <t>Anual</t>
        </is>
      </c>
      <c r="E807" t="inlineStr">
        <is>
          <t>Positivo</t>
        </is>
      </c>
      <c r="F807" s="113" t="n">
        <v>45657</v>
      </c>
      <c r="G807" t="n">
        <v>2024</v>
      </c>
      <c r="H807" t="inlineStr">
        <is>
          <t>Diciembre</t>
        </is>
      </c>
      <c r="I807" t="inlineStr">
        <is>
          <t>2024-2</t>
        </is>
      </c>
      <c r="J807" t="n">
        <v>7</v>
      </c>
      <c r="K807" t="n">
        <v>9</v>
      </c>
      <c r="L807" s="39" t="n">
        <v>1.285714285714286</v>
      </c>
      <c r="M807" s="39" t="n">
        <v>1.285714285714286</v>
      </c>
      <c r="N807" t="inlineStr">
        <is>
          <t>ENT</t>
        </is>
      </c>
      <c r="O807" t="inlineStr">
        <is>
          <t>ENT</t>
        </is>
      </c>
      <c r="P807" t="n">
        <v>0</v>
      </c>
      <c r="Q807" t="n">
        <v>0</v>
      </c>
      <c r="R807" t="inlineStr">
        <is>
          <t>424-2024-12-31</t>
        </is>
      </c>
    </row>
    <row r="808">
      <c r="A808" t="n">
        <v>424</v>
      </c>
      <c r="B808" t="inlineStr">
        <is>
          <t>Conocimiento espontaneo</t>
        </is>
      </c>
      <c r="C808" t="inlineStr">
        <is>
          <t>Mercadeo de programas académicos</t>
        </is>
      </c>
      <c r="D808" t="inlineStr">
        <is>
          <t>Anual</t>
        </is>
      </c>
      <c r="E808" t="inlineStr">
        <is>
          <t>Positivo</t>
        </is>
      </c>
      <c r="F808" s="113" t="n">
        <v>46022</v>
      </c>
      <c r="G808" t="n">
        <v>2025</v>
      </c>
      <c r="H808" t="inlineStr">
        <is>
          <t>Diciembre</t>
        </is>
      </c>
      <c r="I808" t="inlineStr">
        <is>
          <t>2025-2</t>
        </is>
      </c>
      <c r="J808" t="n">
        <v>9</v>
      </c>
      <c r="K808" t="n">
        <v>11</v>
      </c>
      <c r="L808" s="39" t="n">
        <v>1.222222222222222</v>
      </c>
      <c r="M808" s="39" t="n">
        <v>1.222222222222222</v>
      </c>
      <c r="N808" t="inlineStr">
        <is>
          <t>ENT</t>
        </is>
      </c>
      <c r="O808" t="inlineStr">
        <is>
          <t>ENT</t>
        </is>
      </c>
      <c r="P808" t="n">
        <v>0</v>
      </c>
      <c r="Q808" t="n">
        <v>0</v>
      </c>
      <c r="R808" t="inlineStr">
        <is>
          <t>424-2025-12-31</t>
        </is>
      </c>
    </row>
    <row r="809">
      <c r="A809" t="n">
        <v>425</v>
      </c>
      <c r="B809" t="inlineStr">
        <is>
          <t>Cumplimiento Leads Educación para la vida</t>
        </is>
      </c>
      <c r="C809" t="inlineStr">
        <is>
          <t>Mercadeo y venta de educación para la vida</t>
        </is>
      </c>
      <c r="D809" t="inlineStr">
        <is>
          <t>Anual</t>
        </is>
      </c>
      <c r="E809" t="inlineStr">
        <is>
          <t>Positivo</t>
        </is>
      </c>
      <c r="F809" s="113" t="n">
        <v>45291</v>
      </c>
      <c r="G809" t="n">
        <v>2023</v>
      </c>
      <c r="H809" t="inlineStr">
        <is>
          <t>Diciembre</t>
        </is>
      </c>
      <c r="I809" t="inlineStr">
        <is>
          <t>2023-2</t>
        </is>
      </c>
      <c r="J809" t="n">
        <v>5500</v>
      </c>
      <c r="K809" t="n">
        <v>5785</v>
      </c>
      <c r="L809" s="39" t="n">
        <v>1.051818181818182</v>
      </c>
      <c r="M809" s="39" t="n">
        <v>1.051818181818182</v>
      </c>
      <c r="N809" t="inlineStr">
        <is>
          <t>ENT</t>
        </is>
      </c>
      <c r="O809" t="inlineStr">
        <is>
          <t>ENT</t>
        </is>
      </c>
      <c r="P809" t="n">
        <v>0</v>
      </c>
      <c r="Q809" t="n">
        <v>0</v>
      </c>
      <c r="R809" t="inlineStr">
        <is>
          <t>425-2023-12-31</t>
        </is>
      </c>
    </row>
    <row r="810">
      <c r="A810" t="n">
        <v>425</v>
      </c>
      <c r="B810" t="inlineStr">
        <is>
          <t>Cumplimiento Leads Educación para la vida</t>
        </is>
      </c>
      <c r="C810" t="inlineStr">
        <is>
          <t>Mercadeo y venta de educación para la vida</t>
        </is>
      </c>
      <c r="D810" t="inlineStr">
        <is>
          <t>Semestral</t>
        </is>
      </c>
      <c r="E810" t="inlineStr">
        <is>
          <t>Positivo</t>
        </is>
      </c>
      <c r="F810" s="113" t="n">
        <v>45657</v>
      </c>
      <c r="G810" t="n">
        <v>2024</v>
      </c>
      <c r="H810" t="inlineStr">
        <is>
          <t>Diciembre</t>
        </is>
      </c>
      <c r="I810" t="inlineStr">
        <is>
          <t>2024-2</t>
        </is>
      </c>
      <c r="J810" t="n">
        <v>100</v>
      </c>
      <c r="K810" t="n">
        <v>164.69</v>
      </c>
      <c r="L810" s="39" t="n">
        <v>1.3</v>
      </c>
      <c r="M810" s="39" t="n">
        <v>1.6469</v>
      </c>
      <c r="N810" t="inlineStr">
        <is>
          <t>ENT</t>
        </is>
      </c>
      <c r="O810" t="inlineStr">
        <is>
          <t>ENT</t>
        </is>
      </c>
      <c r="P810" t="n">
        <v>0</v>
      </c>
      <c r="Q810" t="n">
        <v>0</v>
      </c>
      <c r="R810" t="inlineStr">
        <is>
          <t>425-2024-12-31</t>
        </is>
      </c>
    </row>
    <row r="811">
      <c r="A811" t="n">
        <v>426</v>
      </c>
      <c r="B811" t="inlineStr">
        <is>
          <t>Cumplimiento en la respuesta a solicitudes de comunicaciones internas</t>
        </is>
      </c>
      <c r="C811" t="inlineStr">
        <is>
          <t>Comunicaciones Internas</t>
        </is>
      </c>
      <c r="D811" t="inlineStr">
        <is>
          <t>Semestral</t>
        </is>
      </c>
      <c r="E811" t="inlineStr">
        <is>
          <t>Positivo</t>
        </is>
      </c>
      <c r="F811" s="113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K811" t="n">
        <v>89.64500000000001</v>
      </c>
      <c r="L811" s="39" t="n"/>
      <c r="M811" s="39" t="n"/>
      <c r="N811" t="inlineStr">
        <is>
          <t>Linea Base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426-2023-12-31</t>
        </is>
      </c>
    </row>
    <row r="812">
      <c r="A812" t="n">
        <v>426</v>
      </c>
      <c r="B812" t="inlineStr">
        <is>
          <t>Cumplimiento en la respuesta a solicitudes de comunicaciones internas</t>
        </is>
      </c>
      <c r="C812" t="inlineStr">
        <is>
          <t>Comunicaciones Internas</t>
        </is>
      </c>
      <c r="D812" t="inlineStr">
        <is>
          <t>Semestral</t>
        </is>
      </c>
      <c r="E812" t="inlineStr">
        <is>
          <t>Positivo</t>
        </is>
      </c>
      <c r="F812" s="113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80</v>
      </c>
      <c r="K812" t="n">
        <v>73.495</v>
      </c>
      <c r="L812" s="39" t="n">
        <v>0.9186875000000001</v>
      </c>
      <c r="M812" s="39" t="n">
        <v>0.9186875000000001</v>
      </c>
      <c r="N812" t="inlineStr">
        <is>
          <t>Linea Base</t>
        </is>
      </c>
      <c r="O812" t="inlineStr">
        <is>
          <t>%</t>
        </is>
      </c>
      <c r="P812" t="n">
        <v>0</v>
      </c>
      <c r="Q812" t="n">
        <v>1</v>
      </c>
      <c r="R812" t="inlineStr">
        <is>
          <t>426-2024-12-31</t>
        </is>
      </c>
    </row>
    <row r="813">
      <c r="A813" t="n">
        <v>427</v>
      </c>
      <c r="B813" t="inlineStr">
        <is>
          <t>Consumo de Agua per Cápita Semestral</t>
        </is>
      </c>
      <c r="C813" t="inlineStr">
        <is>
          <t>GESTIÓN AMBIENTAL</t>
        </is>
      </c>
      <c r="D813" t="inlineStr">
        <is>
          <t>Semestral</t>
        </is>
      </c>
      <c r="E813" t="inlineStr">
        <is>
          <t>Negativo</t>
        </is>
      </c>
      <c r="F813" s="113" t="n">
        <v>45291</v>
      </c>
      <c r="G813" t="n">
        <v>2023</v>
      </c>
      <c r="H813" t="inlineStr">
        <is>
          <t>Diciembre</t>
        </is>
      </c>
      <c r="I813" t="inlineStr">
        <is>
          <t>2023-2</t>
        </is>
      </c>
      <c r="J813" t="n">
        <v>0.2</v>
      </c>
      <c r="K813" t="n">
        <v>0.168333333333335</v>
      </c>
      <c r="L813" s="39" t="n">
        <v>1.188118811881177</v>
      </c>
      <c r="M813" s="39" t="n">
        <v>1.188118811881177</v>
      </c>
      <c r="N813" t="inlineStr">
        <is>
          <t>DEC</t>
        </is>
      </c>
      <c r="O813" t="inlineStr">
        <is>
          <t>DEC</t>
        </is>
      </c>
      <c r="P813" t="n">
        <v>1</v>
      </c>
      <c r="Q813" t="n">
        <v>2</v>
      </c>
      <c r="R813" t="inlineStr">
        <is>
          <t>427-2023-12-31</t>
        </is>
      </c>
    </row>
    <row r="814">
      <c r="A814" t="n">
        <v>427</v>
      </c>
      <c r="B814" t="inlineStr">
        <is>
          <t>Consumo de Agua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13" t="n">
        <v>45657</v>
      </c>
      <c r="G814" t="n">
        <v>2024</v>
      </c>
      <c r="H814" t="inlineStr">
        <is>
          <t>Diciembre</t>
        </is>
      </c>
      <c r="I814" t="inlineStr">
        <is>
          <t>2024-2</t>
        </is>
      </c>
      <c r="J814" t="n">
        <v>0.2</v>
      </c>
      <c r="K814" t="n">
        <v>0.17</v>
      </c>
      <c r="L814" s="39" t="n">
        <v>1.176470588235294</v>
      </c>
      <c r="M814" s="39" t="n">
        <v>1.176470588235294</v>
      </c>
      <c r="N814" t="inlineStr">
        <is>
          <t>DEC</t>
        </is>
      </c>
      <c r="O814" t="inlineStr">
        <is>
          <t>DEC</t>
        </is>
      </c>
      <c r="P814" t="n">
        <v>1</v>
      </c>
      <c r="Q814" t="n">
        <v>2</v>
      </c>
      <c r="R814" t="inlineStr">
        <is>
          <t>427-2024-12-31</t>
        </is>
      </c>
    </row>
    <row r="815">
      <c r="A815" t="n">
        <v>427</v>
      </c>
      <c r="B815" t="inlineStr">
        <is>
          <t>Consumo de Agua per Cápita Semestral</t>
        </is>
      </c>
      <c r="C815" t="inlineStr">
        <is>
          <t>GESTIÓN AMBIENTAL</t>
        </is>
      </c>
      <c r="D815" t="inlineStr">
        <is>
          <t>Trimestral</t>
        </is>
      </c>
      <c r="E815" t="inlineStr">
        <is>
          <t>Negativo</t>
        </is>
      </c>
      <c r="F815" s="113" t="n">
        <v>46022</v>
      </c>
      <c r="G815" t="n">
        <v>2025</v>
      </c>
      <c r="H815" t="inlineStr">
        <is>
          <t>Diciembre</t>
        </is>
      </c>
      <c r="I815" t="inlineStr">
        <is>
          <t>2025-2</t>
        </is>
      </c>
      <c r="J815" t="n">
        <v>0.2</v>
      </c>
      <c r="K815" t="n">
        <v>0.145</v>
      </c>
      <c r="L815" s="39" t="n">
        <v>1.3</v>
      </c>
      <c r="M815" s="39" t="n">
        <v>1.379310344827586</v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427-2025-12-31</t>
        </is>
      </c>
    </row>
    <row r="816">
      <c r="A816" t="n">
        <v>428</v>
      </c>
      <c r="B816" t="inlineStr">
        <is>
          <t>Consumo de Energía Eléctrica per Cápita Semestral</t>
        </is>
      </c>
      <c r="C816" t="inlineStr">
        <is>
          <t>GESTIÓN AMBIENTAL</t>
        </is>
      </c>
      <c r="D816" t="inlineStr">
        <is>
          <t>Semestral</t>
        </is>
      </c>
      <c r="E816" t="inlineStr">
        <is>
          <t>Negativo</t>
        </is>
      </c>
      <c r="F816" s="113" t="n">
        <v>45291</v>
      </c>
      <c r="G816" t="n">
        <v>2023</v>
      </c>
      <c r="H816" t="inlineStr">
        <is>
          <t>Diciembre</t>
        </is>
      </c>
      <c r="I816" t="inlineStr">
        <is>
          <t>2023-2</t>
        </is>
      </c>
      <c r="J816" t="n">
        <v>1</v>
      </c>
      <c r="K816" t="n">
        <v>18.11</v>
      </c>
      <c r="L816" s="39" t="n">
        <v>0.05521811154058531</v>
      </c>
      <c r="M816" s="39" t="n">
        <v>0.05521811154058531</v>
      </c>
      <c r="N816" t="inlineStr">
        <is>
          <t>kWh</t>
        </is>
      </c>
      <c r="O816" t="inlineStr">
        <is>
          <t>kWh</t>
        </is>
      </c>
      <c r="P816" t="n">
        <v>0</v>
      </c>
      <c r="Q816" t="n">
        <v>1</v>
      </c>
      <c r="R816" t="inlineStr">
        <is>
          <t>428-2023-12-31</t>
        </is>
      </c>
    </row>
    <row r="817">
      <c r="A817" t="n">
        <v>428</v>
      </c>
      <c r="B817" t="inlineStr">
        <is>
          <t>Consumo de Energía Eléctrica per Cápita Semestral</t>
        </is>
      </c>
      <c r="C817" t="inlineStr">
        <is>
          <t>GESTIÓN AMBIENTAL</t>
        </is>
      </c>
      <c r="D817" t="inlineStr">
        <is>
          <t>Semestral</t>
        </is>
      </c>
      <c r="E817" t="inlineStr">
        <is>
          <t>Negativo</t>
        </is>
      </c>
      <c r="F817" s="113" t="n">
        <v>45657</v>
      </c>
      <c r="G817" t="n">
        <v>2024</v>
      </c>
      <c r="H817" t="inlineStr">
        <is>
          <t>Diciembre</t>
        </is>
      </c>
      <c r="I817" t="inlineStr">
        <is>
          <t>2024-2</t>
        </is>
      </c>
      <c r="J817" t="n">
        <v>1</v>
      </c>
      <c r="K817" t="n">
        <v>17.555</v>
      </c>
      <c r="L817" s="39" t="n">
        <v>0.05696382796923953</v>
      </c>
      <c r="M817" s="39" t="n">
        <v>0.05696382796923953</v>
      </c>
      <c r="N817" t="inlineStr">
        <is>
          <t>kWh</t>
        </is>
      </c>
      <c r="O817" t="inlineStr">
        <is>
          <t>kWh</t>
        </is>
      </c>
      <c r="P817" t="n">
        <v>0</v>
      </c>
      <c r="Q817" t="n">
        <v>1</v>
      </c>
      <c r="R817" t="inlineStr">
        <is>
          <t>428-2024-12-31</t>
        </is>
      </c>
    </row>
    <row r="818">
      <c r="A818" t="n">
        <v>428</v>
      </c>
      <c r="B818" t="inlineStr">
        <is>
          <t>Consumo de Energía Eléctrica per Cápita Semestral</t>
        </is>
      </c>
      <c r="C818" t="inlineStr">
        <is>
          <t>GESTIÓN AMBIENTAL</t>
        </is>
      </c>
      <c r="D818" t="inlineStr">
        <is>
          <t>Trimestral</t>
        </is>
      </c>
      <c r="E818" t="inlineStr">
        <is>
          <t>Negativo</t>
        </is>
      </c>
      <c r="F818" s="113" t="n">
        <v>46022</v>
      </c>
      <c r="G818" t="n">
        <v>2025</v>
      </c>
      <c r="H818" t="inlineStr">
        <is>
          <t>Diciembre</t>
        </is>
      </c>
      <c r="I818" t="inlineStr">
        <is>
          <t>2025-2</t>
        </is>
      </c>
      <c r="J818" t="n">
        <v>1</v>
      </c>
      <c r="K818" t="n">
        <v>16.5</v>
      </c>
      <c r="L818" s="39" t="n">
        <v>0.06060606060606061</v>
      </c>
      <c r="M818" s="39" t="n">
        <v>0.06060606060606061</v>
      </c>
      <c r="N818" t="inlineStr">
        <is>
          <t>kWh</t>
        </is>
      </c>
      <c r="O818" t="inlineStr">
        <is>
          <t>kWh</t>
        </is>
      </c>
      <c r="P818" t="n">
        <v>0</v>
      </c>
      <c r="Q818" t="n">
        <v>1</v>
      </c>
      <c r="R818" t="inlineStr">
        <is>
          <t>428-2025-12-31</t>
        </is>
      </c>
    </row>
    <row r="819">
      <c r="A819" t="n">
        <v>429</v>
      </c>
      <c r="B819" t="inlineStr">
        <is>
          <t>Generación de Residuos Sólidos per Cápita Semestral</t>
        </is>
      </c>
      <c r="C819" t="inlineStr">
        <is>
          <t>GESTIÓN AMBIENTAL</t>
        </is>
      </c>
      <c r="D819" t="inlineStr">
        <is>
          <t>Semestral</t>
        </is>
      </c>
      <c r="E819" t="inlineStr">
        <is>
          <t>Negativo</t>
        </is>
      </c>
      <c r="F819" s="113" t="n">
        <v>45291</v>
      </c>
      <c r="G819" t="n">
        <v>2023</v>
      </c>
      <c r="H819" t="inlineStr">
        <is>
          <t>Diciembre</t>
        </is>
      </c>
      <c r="I819" t="inlineStr">
        <is>
          <t>2023-2</t>
        </is>
      </c>
      <c r="J819" t="n">
        <v>0.76</v>
      </c>
      <c r="K819" t="n">
        <v>0.53</v>
      </c>
      <c r="L819" s="39" t="n">
        <v>1.3</v>
      </c>
      <c r="M819" s="39" t="n">
        <v>1.433962264150943</v>
      </c>
      <c r="N819" t="inlineStr">
        <is>
          <t>DEC</t>
        </is>
      </c>
      <c r="O819" t="inlineStr">
        <is>
          <t>DEC</t>
        </is>
      </c>
      <c r="P819" t="n">
        <v>2</v>
      </c>
      <c r="Q819" t="n">
        <v>2</v>
      </c>
      <c r="R819" t="inlineStr">
        <is>
          <t>429-2023-12-31</t>
        </is>
      </c>
    </row>
    <row r="820">
      <c r="A820" t="n">
        <v>429</v>
      </c>
      <c r="B820" t="inlineStr">
        <is>
          <t>Generación de Residuos Sólidos per Cápita Semestral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Negativo</t>
        </is>
      </c>
      <c r="F820" s="113" t="n">
        <v>45657</v>
      </c>
      <c r="G820" t="n">
        <v>2024</v>
      </c>
      <c r="H820" t="inlineStr">
        <is>
          <t>Diciembre</t>
        </is>
      </c>
      <c r="I820" t="inlineStr">
        <is>
          <t>2024-2</t>
        </is>
      </c>
      <c r="J820" t="n">
        <v>0.76</v>
      </c>
      <c r="K820" t="n">
        <v>0.665</v>
      </c>
      <c r="L820" s="39" t="n">
        <v>1.142857142857143</v>
      </c>
      <c r="M820" s="39" t="n">
        <v>1.142857142857143</v>
      </c>
      <c r="N820" t="inlineStr">
        <is>
          <t>DEC</t>
        </is>
      </c>
      <c r="O820" t="inlineStr">
        <is>
          <t>DEC</t>
        </is>
      </c>
      <c r="P820" t="n">
        <v>2</v>
      </c>
      <c r="Q820" t="n">
        <v>2</v>
      </c>
      <c r="R820" t="inlineStr">
        <is>
          <t>429-2024-12-31</t>
        </is>
      </c>
    </row>
    <row r="821">
      <c r="A821" t="n">
        <v>429</v>
      </c>
      <c r="B821" t="inlineStr">
        <is>
          <t>Generación de Residuos Sólidos per Cápita Semestral</t>
        </is>
      </c>
      <c r="C821" t="inlineStr">
        <is>
          <t>GESTIÓN AMBIENTAL</t>
        </is>
      </c>
      <c r="D821" t="inlineStr">
        <is>
          <t>Trimestral</t>
        </is>
      </c>
      <c r="E821" t="inlineStr">
        <is>
          <t>Negativo</t>
        </is>
      </c>
      <c r="F821" s="113" t="n">
        <v>46022</v>
      </c>
      <c r="G821" t="n">
        <v>2025</v>
      </c>
      <c r="H821" t="inlineStr">
        <is>
          <t>Diciembre</t>
        </is>
      </c>
      <c r="I821" t="inlineStr">
        <is>
          <t>2025-2</t>
        </is>
      </c>
      <c r="J821" t="n">
        <v>0.76</v>
      </c>
      <c r="K821" t="n">
        <v>0.5549999999999999</v>
      </c>
      <c r="L821" s="39" t="n">
        <v>1.3</v>
      </c>
      <c r="M821" s="39" t="n">
        <v>1.36936936936937</v>
      </c>
      <c r="N821" t="inlineStr">
        <is>
          <t>DEC</t>
        </is>
      </c>
      <c r="O821" t="inlineStr">
        <is>
          <t>DEC</t>
        </is>
      </c>
      <c r="P821" t="n">
        <v>2</v>
      </c>
      <c r="Q821" t="n">
        <v>2</v>
      </c>
      <c r="R821" t="inlineStr">
        <is>
          <t>429-2025-12-31</t>
        </is>
      </c>
    </row>
    <row r="822">
      <c r="A822" t="n">
        <v>430</v>
      </c>
      <c r="B822" t="inlineStr">
        <is>
          <t>Cumplimiento ingresos por matriculas</t>
        </is>
      </c>
      <c r="C822" t="inlineStr">
        <is>
          <t>Planeación Financiera</t>
        </is>
      </c>
      <c r="D822" t="inlineStr">
        <is>
          <t>Semestral</t>
        </is>
      </c>
      <c r="E822" t="inlineStr">
        <is>
          <t>Positivo</t>
        </is>
      </c>
      <c r="F822" s="113" t="n">
        <v>45291</v>
      </c>
      <c r="G822" t="n">
        <v>2023</v>
      </c>
      <c r="H822" t="inlineStr">
        <is>
          <t>Diciembre</t>
        </is>
      </c>
      <c r="I822" t="inlineStr">
        <is>
          <t>2023-2</t>
        </is>
      </c>
      <c r="J822" t="n">
        <v>95</v>
      </c>
      <c r="K822" t="n">
        <v>101.39526345983</v>
      </c>
      <c r="L822" s="39" t="n">
        <v>1.067318562735053</v>
      </c>
      <c r="M822" s="39" t="n">
        <v>1.067318562735053</v>
      </c>
      <c r="N822" t="inlineStr">
        <is>
          <t>%</t>
        </is>
      </c>
      <c r="O822" t="inlineStr">
        <is>
          <t>%</t>
        </is>
      </c>
      <c r="P822" t="n">
        <v>0</v>
      </c>
      <c r="Q822" t="n">
        <v>0</v>
      </c>
      <c r="R822" t="inlineStr">
        <is>
          <t>430-2023-12-31</t>
        </is>
      </c>
    </row>
    <row r="823">
      <c r="A823" t="n">
        <v>430</v>
      </c>
      <c r="B823" t="inlineStr">
        <is>
          <t>Cumplimiento ingresos por matriculas</t>
        </is>
      </c>
      <c r="C823" t="inlineStr">
        <is>
          <t>Planeación Financiera</t>
        </is>
      </c>
      <c r="D823" t="inlineStr">
        <is>
          <t>Semestral</t>
        </is>
      </c>
      <c r="E823" t="inlineStr">
        <is>
          <t>Positivo</t>
        </is>
      </c>
      <c r="F823" s="113" t="n">
        <v>45657</v>
      </c>
      <c r="G823" t="n">
        <v>2024</v>
      </c>
      <c r="H823" t="inlineStr">
        <is>
          <t>Diciembre</t>
        </is>
      </c>
      <c r="I823" t="inlineStr">
        <is>
          <t>2024-2</t>
        </is>
      </c>
      <c r="J823" t="n">
        <v>95</v>
      </c>
      <c r="K823" t="n">
        <v>102.9374919710379</v>
      </c>
      <c r="L823" s="39" t="n">
        <v>1.083552547063557</v>
      </c>
      <c r="M823" s="39" t="n">
        <v>1.083552547063557</v>
      </c>
      <c r="N823" t="inlineStr">
        <is>
          <t>%</t>
        </is>
      </c>
      <c r="O823" t="inlineStr">
        <is>
          <t>%</t>
        </is>
      </c>
      <c r="P823" t="n">
        <v>0</v>
      </c>
      <c r="Q823" t="n">
        <v>0</v>
      </c>
      <c r="R823" t="inlineStr">
        <is>
          <t>430-2024-12-31</t>
        </is>
      </c>
    </row>
    <row r="824">
      <c r="A824" t="n">
        <v>430</v>
      </c>
      <c r="B824" t="inlineStr">
        <is>
          <t>Cumplimiento ingresos por matriculas</t>
        </is>
      </c>
      <c r="C824" t="inlineStr">
        <is>
          <t>Planeación Financiera</t>
        </is>
      </c>
      <c r="D824" t="inlineStr">
        <is>
          <t>Semestral</t>
        </is>
      </c>
      <c r="E824" t="inlineStr">
        <is>
          <t>Positivo</t>
        </is>
      </c>
      <c r="F824" s="113" t="n">
        <v>46022</v>
      </c>
      <c r="G824" t="n">
        <v>2025</v>
      </c>
      <c r="H824" t="inlineStr">
        <is>
          <t>Diciembre</t>
        </is>
      </c>
      <c r="I824" t="inlineStr">
        <is>
          <t>2025-2</t>
        </is>
      </c>
      <c r="J824" t="n">
        <v>95</v>
      </c>
      <c r="K824" t="n">
        <v>111.76</v>
      </c>
      <c r="L824" s="39" t="n">
        <v>1.176421052631579</v>
      </c>
      <c r="M824" s="39" t="n">
        <v>1.176421052631579</v>
      </c>
      <c r="N824" t="inlineStr">
        <is>
          <t>%</t>
        </is>
      </c>
      <c r="O824" t="inlineStr">
        <is>
          <t>%</t>
        </is>
      </c>
      <c r="P824" t="n">
        <v>0</v>
      </c>
      <c r="Q824" t="n">
        <v>0</v>
      </c>
      <c r="R824" t="inlineStr">
        <is>
          <t>430-2025-12-31</t>
        </is>
      </c>
    </row>
    <row r="825">
      <c r="A825" t="n">
        <v>431</v>
      </c>
      <c r="B825" t="inlineStr">
        <is>
          <t>Gestión de casos de salud que impactan a los colaboradores</t>
        </is>
      </c>
      <c r="C825" t="inlineStr">
        <is>
          <t>GESTIÓN DE SEGURIDAD Y SALUD EN EL TRABAJO</t>
        </is>
      </c>
      <c r="D825" t="inlineStr">
        <is>
          <t>Trimestral</t>
        </is>
      </c>
      <c r="E825" t="inlineStr">
        <is>
          <t>Positivo</t>
        </is>
      </c>
      <c r="F825" s="113" t="n">
        <v>45291</v>
      </c>
      <c r="G825" t="n">
        <v>2023</v>
      </c>
      <c r="H825" t="inlineStr">
        <is>
          <t>Diciembre</t>
        </is>
      </c>
      <c r="I825" t="inlineStr">
        <is>
          <t>2023-2</t>
        </is>
      </c>
      <c r="J825" t="n">
        <v>100</v>
      </c>
      <c r="K825" t="n">
        <v>100</v>
      </c>
      <c r="L825" s="39" t="n">
        <v>1</v>
      </c>
      <c r="M825" s="39" t="n">
        <v>1</v>
      </c>
      <c r="N825" t="inlineStr">
        <is>
          <t>%</t>
        </is>
      </c>
      <c r="O825" t="inlineStr">
        <is>
          <t>%</t>
        </is>
      </c>
      <c r="P825" t="n">
        <v>0</v>
      </c>
      <c r="Q825" t="n">
        <v>0</v>
      </c>
      <c r="R825" t="inlineStr">
        <is>
          <t>431-2023-12-31</t>
        </is>
      </c>
    </row>
    <row r="826">
      <c r="A826" t="n">
        <v>431</v>
      </c>
      <c r="B826" t="inlineStr">
        <is>
          <t>Gestión de casos de salud que impactan a los colaboradores</t>
        </is>
      </c>
      <c r="C826" t="inlineStr">
        <is>
          <t>GESTIÓN DE SEGURIDAD Y SALUD EN EL TRABAJO</t>
        </is>
      </c>
      <c r="D826" t="inlineStr">
        <is>
          <t>Trimestral</t>
        </is>
      </c>
      <c r="E826" t="inlineStr">
        <is>
          <t>Positivo</t>
        </is>
      </c>
      <c r="F826" s="113" t="n">
        <v>45657</v>
      </c>
      <c r="G826" t="n">
        <v>2024</v>
      </c>
      <c r="H826" t="inlineStr">
        <is>
          <t>Diciembre</t>
        </is>
      </c>
      <c r="I826" t="inlineStr">
        <is>
          <t>2024-2</t>
        </is>
      </c>
      <c r="J826" t="n">
        <v>100</v>
      </c>
      <c r="K826" t="n">
        <v>100</v>
      </c>
      <c r="L826" s="39" t="n">
        <v>1</v>
      </c>
      <c r="M826" s="39" t="n">
        <v>1</v>
      </c>
      <c r="N826" t="inlineStr">
        <is>
          <t>%</t>
        </is>
      </c>
      <c r="O826" t="inlineStr">
        <is>
          <t>%</t>
        </is>
      </c>
      <c r="P826" t="n">
        <v>0</v>
      </c>
      <c r="Q826" t="n">
        <v>0</v>
      </c>
      <c r="R826" t="inlineStr">
        <is>
          <t>431-2024-12-31</t>
        </is>
      </c>
    </row>
    <row r="827">
      <c r="A827" t="n">
        <v>431</v>
      </c>
      <c r="B827" t="inlineStr">
        <is>
          <t>Gestión de casos de salud que impactan a los colaboradores</t>
        </is>
      </c>
      <c r="C827" t="inlineStr">
        <is>
          <t>GESTIÓN DE SEGURIDAD Y SALUD EN EL TRABAJO</t>
        </is>
      </c>
      <c r="D827" t="inlineStr">
        <is>
          <t>Semestral</t>
        </is>
      </c>
      <c r="E827" t="inlineStr">
        <is>
          <t>Positivo</t>
        </is>
      </c>
      <c r="F827" s="113" t="n">
        <v>46022</v>
      </c>
      <c r="G827" t="n">
        <v>2025</v>
      </c>
      <c r="H827" t="inlineStr">
        <is>
          <t>Diciembre</t>
        </is>
      </c>
      <c r="I827" t="inlineStr">
        <is>
          <t>2025-2</t>
        </is>
      </c>
      <c r="J827" t="n">
        <v>100</v>
      </c>
      <c r="K827" t="n">
        <v>100</v>
      </c>
      <c r="L827" s="39" t="n">
        <v>1</v>
      </c>
      <c r="M827" s="39" t="n">
        <v>1</v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431-2025-12-31</t>
        </is>
      </c>
    </row>
    <row r="828">
      <c r="A828" t="n">
        <v>431</v>
      </c>
      <c r="B828" t="inlineStr">
        <is>
          <t>Gestión de casos de salud que impactan a los colaboradores</t>
        </is>
      </c>
      <c r="C828" t="inlineStr">
        <is>
          <t>GESTIÓN DE SEGURIDAD Y SALUD EN EL TRABAJO</t>
        </is>
      </c>
      <c r="D828" t="inlineStr">
        <is>
          <t>Semestral</t>
        </is>
      </c>
      <c r="E828" t="inlineStr">
        <is>
          <t>Positivo</t>
        </is>
      </c>
      <c r="F828" s="113" t="n">
        <v>46112</v>
      </c>
      <c r="G828" t="n">
        <v>2026</v>
      </c>
      <c r="H828" t="inlineStr">
        <is>
          <t>Marzo</t>
        </is>
      </c>
      <c r="I828" t="inlineStr">
        <is>
          <t>2026-1</t>
        </is>
      </c>
      <c r="J828" t="n">
        <v>100</v>
      </c>
      <c r="K828" t="n">
        <v>100</v>
      </c>
      <c r="L828" s="39" t="n">
        <v>1</v>
      </c>
      <c r="M828" s="39" t="n">
        <v>1</v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431-2026-03-31</t>
        </is>
      </c>
    </row>
    <row r="829">
      <c r="A829" t="n">
        <v>432</v>
      </c>
      <c r="B829" t="inlineStr">
        <is>
          <t>Intervención a la gestión del riesgo de los colaboradores</t>
        </is>
      </c>
      <c r="C829" t="inlineStr">
        <is>
          <t>GESTIÓN DE SEGURIDAD Y SALUD EN EL TRABAJO</t>
        </is>
      </c>
      <c r="D829" t="inlineStr">
        <is>
          <t>Trimestral</t>
        </is>
      </c>
      <c r="E829" t="inlineStr">
        <is>
          <t>Positivo</t>
        </is>
      </c>
      <c r="F829" s="113" t="n">
        <v>45291</v>
      </c>
      <c r="G829" t="n">
        <v>2023</v>
      </c>
      <c r="H829" t="inlineStr">
        <is>
          <t>Diciembre</t>
        </is>
      </c>
      <c r="I829" t="inlineStr">
        <is>
          <t>2023-2</t>
        </is>
      </c>
      <c r="J829" t="n">
        <v>90</v>
      </c>
      <c r="K829" t="n">
        <v>99.382777777778</v>
      </c>
      <c r="L829" s="39" t="n">
        <v>1.104253086419756</v>
      </c>
      <c r="M829" s="39" t="n">
        <v>1.104253086419756</v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1</v>
      </c>
      <c r="R829" t="inlineStr">
        <is>
          <t>432-2023-12-31</t>
        </is>
      </c>
    </row>
    <row r="830">
      <c r="A830" t="n">
        <v>432</v>
      </c>
      <c r="B830" t="inlineStr">
        <is>
          <t>Intervención a la gestión del riesgo de los colaboradores</t>
        </is>
      </c>
      <c r="C830" t="inlineStr">
        <is>
          <t>GESTIÓN DE SEGURIDAD Y SALUD EN EL TRABAJO</t>
        </is>
      </c>
      <c r="D830" t="inlineStr">
        <is>
          <t>Trimestral</t>
        </is>
      </c>
      <c r="E830" t="inlineStr">
        <is>
          <t>Positivo</t>
        </is>
      </c>
      <c r="F830" s="113" t="n">
        <v>45657</v>
      </c>
      <c r="G830" t="n">
        <v>2024</v>
      </c>
      <c r="H830" t="inlineStr">
        <is>
          <t>Diciembre</t>
        </is>
      </c>
      <c r="I830" t="inlineStr">
        <is>
          <t>2024-2</t>
        </is>
      </c>
      <c r="J830" t="n">
        <v>90</v>
      </c>
      <c r="K830" t="n">
        <v>75</v>
      </c>
      <c r="L830" s="39" t="n">
        <v>0.8333333333333334</v>
      </c>
      <c r="M830" s="39" t="n">
        <v>0.8333333333333334</v>
      </c>
      <c r="N830" t="inlineStr">
        <is>
          <t>%</t>
        </is>
      </c>
      <c r="O830" t="inlineStr">
        <is>
          <t>%</t>
        </is>
      </c>
      <c r="P830" t="n">
        <v>0</v>
      </c>
      <c r="Q830" t="n">
        <v>0</v>
      </c>
      <c r="R830" t="inlineStr">
        <is>
          <t>432-2024-12-31</t>
        </is>
      </c>
    </row>
    <row r="831">
      <c r="A831" t="n">
        <v>432</v>
      </c>
      <c r="B831" t="inlineStr">
        <is>
          <t>Intervención a la gestión del riesgo de los colaboradores</t>
        </is>
      </c>
      <c r="C831" t="inlineStr">
        <is>
          <t>GESTIÓN DE SEGURIDAD Y SALUD EN EL TRABAJO</t>
        </is>
      </c>
      <c r="D831" t="inlineStr">
        <is>
          <t>Semestral</t>
        </is>
      </c>
      <c r="E831" t="inlineStr">
        <is>
          <t>Positivo</t>
        </is>
      </c>
      <c r="F831" s="113" t="n">
        <v>46022</v>
      </c>
      <c r="G831" t="n">
        <v>2025</v>
      </c>
      <c r="H831" t="inlineStr">
        <is>
          <t>Diciembre</t>
        </is>
      </c>
      <c r="I831" t="inlineStr">
        <is>
          <t>2025-2</t>
        </is>
      </c>
      <c r="J831" t="n">
        <v>90</v>
      </c>
      <c r="K831" t="n">
        <v>100</v>
      </c>
      <c r="L831" s="39" t="n">
        <v>1.111111111111111</v>
      </c>
      <c r="M831" s="39" t="n">
        <v>1.111111111111111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432-2025-12-31</t>
        </is>
      </c>
    </row>
    <row r="832">
      <c r="A832" t="n">
        <v>432</v>
      </c>
      <c r="B832" t="inlineStr">
        <is>
          <t>Intervención a la gestión del riesgo de los colaboradores</t>
        </is>
      </c>
      <c r="C832" t="inlineStr">
        <is>
          <t>GESTIÓN DE SEGURIDAD Y SALUD EN EL TRABAJO</t>
        </is>
      </c>
      <c r="D832" t="inlineStr">
        <is>
          <t>Semestral</t>
        </is>
      </c>
      <c r="E832" t="inlineStr">
        <is>
          <t>Positivo</t>
        </is>
      </c>
      <c r="F832" s="113" t="n">
        <v>46112</v>
      </c>
      <c r="G832" t="n">
        <v>2026</v>
      </c>
      <c r="H832" t="inlineStr">
        <is>
          <t>Marzo</t>
        </is>
      </c>
      <c r="I832" t="inlineStr">
        <is>
          <t>2026-1</t>
        </is>
      </c>
      <c r="K832" t="n">
        <v>100</v>
      </c>
      <c r="L832" s="39" t="n"/>
      <c r="M832" s="39" t="n"/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432-2026-03-31</t>
        </is>
      </c>
    </row>
    <row r="833">
      <c r="A833" t="n">
        <v>433</v>
      </c>
      <c r="B833" t="inlineStr">
        <is>
          <t>Generación de Residuos Peligrosos per Cápita Semestral</t>
        </is>
      </c>
      <c r="C833" t="inlineStr">
        <is>
          <t>GESTIÓN AMBIENTAL</t>
        </is>
      </c>
      <c r="D833" t="inlineStr">
        <is>
          <t>Semestral</t>
        </is>
      </c>
      <c r="E833" t="inlineStr">
        <is>
          <t>Negativo</t>
        </is>
      </c>
      <c r="F833" s="113" t="n">
        <v>45291</v>
      </c>
      <c r="G833" t="n">
        <v>2023</v>
      </c>
      <c r="H833" t="inlineStr">
        <is>
          <t>Diciembre</t>
        </is>
      </c>
      <c r="I833" t="inlineStr">
        <is>
          <t>2023-2</t>
        </is>
      </c>
      <c r="J833" t="n">
        <v>0.05</v>
      </c>
      <c r="K833" t="n">
        <v>0.035</v>
      </c>
      <c r="L833" s="39" t="n">
        <v>1.3</v>
      </c>
      <c r="M833" s="39" t="n">
        <v>1.428571428571429</v>
      </c>
      <c r="N833" t="inlineStr">
        <is>
          <t>DEC</t>
        </is>
      </c>
      <c r="O833" t="inlineStr">
        <is>
          <t>DEC</t>
        </is>
      </c>
      <c r="P833" t="n">
        <v>2</v>
      </c>
      <c r="Q833" t="n">
        <v>2</v>
      </c>
      <c r="R833" t="inlineStr">
        <is>
          <t>433-2023-12-31</t>
        </is>
      </c>
    </row>
    <row r="834">
      <c r="A834" t="n">
        <v>433</v>
      </c>
      <c r="B834" t="inlineStr">
        <is>
          <t>Generación de Residuos Peligrosos per Cápita Semestral</t>
        </is>
      </c>
      <c r="C834" t="inlineStr">
        <is>
          <t>GESTIÓN AMBIENTAL</t>
        </is>
      </c>
      <c r="D834" t="inlineStr">
        <is>
          <t>Semestral</t>
        </is>
      </c>
      <c r="E834" t="inlineStr">
        <is>
          <t>Negativo</t>
        </is>
      </c>
      <c r="F834" s="113" t="n">
        <v>45657</v>
      </c>
      <c r="G834" t="n">
        <v>2024</v>
      </c>
      <c r="H834" t="inlineStr">
        <is>
          <t>Diciembre</t>
        </is>
      </c>
      <c r="I834" t="inlineStr">
        <is>
          <t>2024-2</t>
        </is>
      </c>
      <c r="J834" t="n">
        <v>0.05</v>
      </c>
      <c r="K834" t="n">
        <v>0.105</v>
      </c>
      <c r="L834" s="39" t="n">
        <v>0.4761904761904762</v>
      </c>
      <c r="M834" s="39" t="n">
        <v>0.4761904761904762</v>
      </c>
      <c r="N834" t="inlineStr">
        <is>
          <t>DEC</t>
        </is>
      </c>
      <c r="O834" t="inlineStr">
        <is>
          <t>DEC</t>
        </is>
      </c>
      <c r="P834" t="n">
        <v>2</v>
      </c>
      <c r="Q834" t="n">
        <v>2</v>
      </c>
      <c r="R834" t="inlineStr">
        <is>
          <t>433-2024-12-31</t>
        </is>
      </c>
    </row>
    <row r="835">
      <c r="A835" t="n">
        <v>433</v>
      </c>
      <c r="B835" t="inlineStr">
        <is>
          <t>Generación de Residuos Peligrosos per Cápita Semestral</t>
        </is>
      </c>
      <c r="C835" t="inlineStr">
        <is>
          <t>GESTIÓN AMBIENTAL</t>
        </is>
      </c>
      <c r="D835" t="inlineStr">
        <is>
          <t>Trimestral</t>
        </is>
      </c>
      <c r="E835" t="inlineStr">
        <is>
          <t>Negativo</t>
        </is>
      </c>
      <c r="F835" s="113" t="n">
        <v>46022</v>
      </c>
      <c r="G835" t="n">
        <v>2025</v>
      </c>
      <c r="H835" t="inlineStr">
        <is>
          <t>Diciembre</t>
        </is>
      </c>
      <c r="I835" t="inlineStr">
        <is>
          <t>2025-2</t>
        </is>
      </c>
      <c r="J835" t="n">
        <v>0.05</v>
      </c>
      <c r="K835" t="n">
        <v>0.095</v>
      </c>
      <c r="L835" s="39" t="n">
        <v>0.5263157894736842</v>
      </c>
      <c r="M835" s="39" t="n">
        <v>0.5263157894736842</v>
      </c>
      <c r="N835" t="inlineStr">
        <is>
          <t>DEC</t>
        </is>
      </c>
      <c r="O835" t="inlineStr">
        <is>
          <t>DEC</t>
        </is>
      </c>
      <c r="P835" t="n">
        <v>2</v>
      </c>
      <c r="Q835" t="n">
        <v>2</v>
      </c>
      <c r="R835" t="inlineStr">
        <is>
          <t>433-2025-12-31</t>
        </is>
      </c>
    </row>
    <row r="836">
      <c r="A836" t="n">
        <v>434</v>
      </c>
      <c r="B836" t="inlineStr">
        <is>
          <t>Generación de Residuos Peligroso Mensual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Negativo</t>
        </is>
      </c>
      <c r="F836" s="113" t="n">
        <v>45291</v>
      </c>
      <c r="G836" t="n">
        <v>2023</v>
      </c>
      <c r="H836" t="inlineStr">
        <is>
          <t>Diciembre</t>
        </is>
      </c>
      <c r="I836" t="inlineStr">
        <is>
          <t>2023-2</t>
        </is>
      </c>
      <c r="J836" t="n">
        <v>2400</v>
      </c>
      <c r="K836" t="n">
        <v>2294.13</v>
      </c>
      <c r="L836" s="39" t="n">
        <v>1.046148213048083</v>
      </c>
      <c r="M836" s="39" t="n">
        <v>1.046148213048083</v>
      </c>
      <c r="N836" t="inlineStr">
        <is>
          <t>Linea Base</t>
        </is>
      </c>
      <c r="O836" t="inlineStr">
        <is>
          <t>Kg</t>
        </is>
      </c>
      <c r="P836" t="n">
        <v>0</v>
      </c>
      <c r="Q836" t="n">
        <v>0</v>
      </c>
      <c r="R836" t="inlineStr">
        <is>
          <t>434-2023-12-31</t>
        </is>
      </c>
    </row>
    <row r="837">
      <c r="A837" t="n">
        <v>434</v>
      </c>
      <c r="B837" t="inlineStr">
        <is>
          <t>Generación de Residuos Peligrosos Mensual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Negativo</t>
        </is>
      </c>
      <c r="F837" s="113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2400</v>
      </c>
      <c r="K837" t="n">
        <v>5427.24</v>
      </c>
      <c r="L837" s="39" t="n">
        <v>0.4422137218917903</v>
      </c>
      <c r="M837" s="39" t="n">
        <v>0.4422137218917903</v>
      </c>
      <c r="N837" t="inlineStr">
        <is>
          <t>Kg</t>
        </is>
      </c>
      <c r="O837" t="inlineStr">
        <is>
          <t>Kg</t>
        </is>
      </c>
      <c r="P837" t="n">
        <v>0</v>
      </c>
      <c r="Q837" t="n">
        <v>0</v>
      </c>
      <c r="R837" t="inlineStr">
        <is>
          <t>434-2024-12-31</t>
        </is>
      </c>
    </row>
    <row r="838">
      <c r="A838" t="n">
        <v>434</v>
      </c>
      <c r="B838" t="inlineStr">
        <is>
          <t>Generación de Residuos Peligrosos Mensual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Negativo</t>
        </is>
      </c>
      <c r="F838" s="113" t="n">
        <v>46022</v>
      </c>
      <c r="G838" t="n">
        <v>2025</v>
      </c>
      <c r="H838" t="inlineStr">
        <is>
          <t>Diciembre</t>
        </is>
      </c>
      <c r="I838" t="inlineStr">
        <is>
          <t>2025-2</t>
        </is>
      </c>
      <c r="J838" t="n">
        <v>2400</v>
      </c>
      <c r="K838" t="n">
        <v>7783.559999999999</v>
      </c>
      <c r="L838" s="39" t="n">
        <v>0.3083421981715308</v>
      </c>
      <c r="M838" s="39" t="n">
        <v>0.3083421981715308</v>
      </c>
      <c r="N838" t="inlineStr">
        <is>
          <t>Kg</t>
        </is>
      </c>
      <c r="O838" t="inlineStr">
        <is>
          <t>Kg</t>
        </is>
      </c>
      <c r="P838" t="n">
        <v>0</v>
      </c>
      <c r="Q838" t="n">
        <v>0</v>
      </c>
      <c r="R838" t="inlineStr">
        <is>
          <t>434-2025-12-31</t>
        </is>
      </c>
    </row>
    <row r="839">
      <c r="A839" t="n">
        <v>435</v>
      </c>
      <c r="B839" t="inlineStr">
        <is>
          <t>Disminución de la Generación de Residuos Peligrosos per Cápita</t>
        </is>
      </c>
      <c r="C839" t="inlineStr">
        <is>
          <t>GESTIÓN AMBIENTAL</t>
        </is>
      </c>
      <c r="D839" t="inlineStr">
        <is>
          <t>Semestral</t>
        </is>
      </c>
      <c r="E839" t="inlineStr">
        <is>
          <t>Positivo</t>
        </is>
      </c>
      <c r="F839" s="113" t="n">
        <v>45291</v>
      </c>
      <c r="G839" t="n">
        <v>2023</v>
      </c>
      <c r="H839" t="inlineStr">
        <is>
          <t>Diciembre</t>
        </is>
      </c>
      <c r="I839" t="inlineStr">
        <is>
          <t>2023-2</t>
        </is>
      </c>
      <c r="J839" t="n">
        <v>100</v>
      </c>
      <c r="K839" t="n">
        <v>-111.57</v>
      </c>
      <c r="L839" s="39" t="n">
        <v>0</v>
      </c>
      <c r="M839" s="39" t="n">
        <v>0</v>
      </c>
      <c r="N839" t="inlineStr">
        <is>
          <t>%</t>
        </is>
      </c>
      <c r="O839" t="inlineStr">
        <is>
          <t>%</t>
        </is>
      </c>
      <c r="P839" t="n">
        <v>2</v>
      </c>
      <c r="Q839" t="n">
        <v>2</v>
      </c>
      <c r="R839" t="inlineStr">
        <is>
          <t>435-2023-12-31</t>
        </is>
      </c>
    </row>
    <row r="840">
      <c r="A840" t="n">
        <v>435</v>
      </c>
      <c r="B840" t="inlineStr">
        <is>
          <t>Disminución de la Generación de Residuos Peligrosos per Cápita</t>
        </is>
      </c>
      <c r="C840" t="inlineStr">
        <is>
          <t>GESTIÓN AMBIENTAL</t>
        </is>
      </c>
      <c r="D840" t="inlineStr">
        <is>
          <t>Semestral</t>
        </is>
      </c>
      <c r="E840" t="inlineStr">
        <is>
          <t>Positivo</t>
        </is>
      </c>
      <c r="F840" s="113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J840" t="n">
        <v>100</v>
      </c>
      <c r="K840" t="n">
        <v>25.21</v>
      </c>
      <c r="L840" s="39" t="n">
        <v>0.2521</v>
      </c>
      <c r="M840" s="39" t="n">
        <v>0.2521</v>
      </c>
      <c r="N840" t="inlineStr">
        <is>
          <t>%</t>
        </is>
      </c>
      <c r="O840" t="inlineStr">
        <is>
          <t>%</t>
        </is>
      </c>
      <c r="P840" t="n">
        <v>2</v>
      </c>
      <c r="Q840" t="n">
        <v>2</v>
      </c>
      <c r="R840" t="inlineStr">
        <is>
          <t>435-2024-12-31</t>
        </is>
      </c>
    </row>
    <row r="841">
      <c r="A841" t="n">
        <v>435</v>
      </c>
      <c r="B841" t="inlineStr">
        <is>
          <t>Disminución de la Generación de Residuos Peligrosos per Cápita</t>
        </is>
      </c>
      <c r="C841" t="inlineStr">
        <is>
          <t>GESTIÓN AMBIENTAL</t>
        </is>
      </c>
      <c r="D841" t="inlineStr">
        <is>
          <t>Trimestral</t>
        </is>
      </c>
      <c r="E841" t="inlineStr">
        <is>
          <t>Positivo</t>
        </is>
      </c>
      <c r="F841" s="113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1</v>
      </c>
      <c r="K841" t="n">
        <v>-317.995</v>
      </c>
      <c r="L841" s="39" t="n">
        <v>0</v>
      </c>
      <c r="M841" s="39" t="n">
        <v>0</v>
      </c>
      <c r="N841" t="inlineStr">
        <is>
          <t>%</t>
        </is>
      </c>
      <c r="O841" t="inlineStr">
        <is>
          <t>%</t>
        </is>
      </c>
      <c r="P841" t="n">
        <v>2</v>
      </c>
      <c r="Q841" t="n">
        <v>2</v>
      </c>
      <c r="R841" t="inlineStr">
        <is>
          <t>435-2025-12-31</t>
        </is>
      </c>
    </row>
    <row r="842">
      <c r="A842" t="n">
        <v>436</v>
      </c>
      <c r="B842" t="inlineStr">
        <is>
          <t>ANS documentos operativos</t>
        </is>
      </c>
      <c r="C842" t="inlineStr">
        <is>
          <t>Gestión de calidad</t>
        </is>
      </c>
      <c r="D842" t="inlineStr">
        <is>
          <t>Mensual</t>
        </is>
      </c>
      <c r="E842" t="inlineStr">
        <is>
          <t>Negativo</t>
        </is>
      </c>
      <c r="F842" s="113" t="n">
        <v>45291</v>
      </c>
      <c r="G842" t="n">
        <v>2023</v>
      </c>
      <c r="H842" t="inlineStr">
        <is>
          <t>Diciembre</t>
        </is>
      </c>
      <c r="I842" t="inlineStr">
        <is>
          <t>2023-2</t>
        </is>
      </c>
      <c r="J842" t="n">
        <v>21</v>
      </c>
      <c r="K842" t="n">
        <v>11.06833333333333</v>
      </c>
      <c r="L842" s="39" t="n">
        <v>1.3</v>
      </c>
      <c r="M842" s="39" t="n">
        <v>1.897304622797772</v>
      </c>
      <c r="N842" t="inlineStr">
        <is>
          <t>Días</t>
        </is>
      </c>
      <c r="O842" t="inlineStr">
        <is>
          <t>Días</t>
        </is>
      </c>
      <c r="P842" t="n">
        <v>0</v>
      </c>
      <c r="Q842" t="n">
        <v>1</v>
      </c>
      <c r="R842" t="inlineStr">
        <is>
          <t>436-2023-12-31</t>
        </is>
      </c>
    </row>
    <row r="843">
      <c r="A843" t="n">
        <v>436</v>
      </c>
      <c r="B843" t="inlineStr">
        <is>
          <t>ANS documentos operativos</t>
        </is>
      </c>
      <c r="C843" t="inlineStr">
        <is>
          <t>Gestión de calidad</t>
        </is>
      </c>
      <c r="D843" t="inlineStr">
        <is>
          <t>Mensual</t>
        </is>
      </c>
      <c r="E843" t="inlineStr">
        <is>
          <t>Negativo</t>
        </is>
      </c>
      <c r="F843" s="113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14</v>
      </c>
      <c r="K843" t="n">
        <v>11.06416666666667</v>
      </c>
      <c r="L843" s="39" t="n">
        <v>1.265346087218498</v>
      </c>
      <c r="M843" s="39" t="n">
        <v>1.265346087218498</v>
      </c>
      <c r="N843" t="inlineStr">
        <is>
          <t>Días</t>
        </is>
      </c>
      <c r="O843" t="inlineStr">
        <is>
          <t>Días</t>
        </is>
      </c>
      <c r="P843" t="n">
        <v>0</v>
      </c>
      <c r="Q843" t="n">
        <v>1</v>
      </c>
      <c r="R843" t="inlineStr">
        <is>
          <t>436-2024-12-31</t>
        </is>
      </c>
    </row>
    <row r="844">
      <c r="A844" t="n">
        <v>436</v>
      </c>
      <c r="B844" t="inlineStr">
        <is>
          <t>ANS documentos operativos</t>
        </is>
      </c>
      <c r="C844" t="inlineStr">
        <is>
          <t>Gestión de calidad</t>
        </is>
      </c>
      <c r="D844" t="inlineStr">
        <is>
          <t>Mensual</t>
        </is>
      </c>
      <c r="E844" t="inlineStr">
        <is>
          <t>Negativo</t>
        </is>
      </c>
      <c r="F844" s="113" t="n">
        <v>46022</v>
      </c>
      <c r="G844" t="n">
        <v>2025</v>
      </c>
      <c r="H844" t="inlineStr">
        <is>
          <t>Diciembre</t>
        </is>
      </c>
      <c r="I844" t="inlineStr">
        <is>
          <t>2025-2</t>
        </is>
      </c>
      <c r="J844" t="n">
        <v>14</v>
      </c>
      <c r="K844" t="n">
        <v>10.14</v>
      </c>
      <c r="L844" s="39" t="n">
        <v>1.3</v>
      </c>
      <c r="M844" s="39" t="n">
        <v>1.380670611439842</v>
      </c>
      <c r="N844" t="inlineStr">
        <is>
          <t>Días</t>
        </is>
      </c>
      <c r="O844" t="inlineStr">
        <is>
          <t>Días</t>
        </is>
      </c>
      <c r="P844" t="n">
        <v>0</v>
      </c>
      <c r="Q844" t="n">
        <v>1</v>
      </c>
      <c r="R844" t="inlineStr">
        <is>
          <t>436-2025-12-31</t>
        </is>
      </c>
    </row>
    <row r="845">
      <c r="A845" t="n">
        <v>436</v>
      </c>
      <c r="B845" t="inlineStr">
        <is>
          <t>ANS documentos operativos</t>
        </is>
      </c>
      <c r="C845" t="inlineStr">
        <is>
          <t>Gestión de calidad</t>
        </is>
      </c>
      <c r="D845" t="inlineStr">
        <is>
          <t>Mensual</t>
        </is>
      </c>
      <c r="E845" t="inlineStr">
        <is>
          <t>Negativo</t>
        </is>
      </c>
      <c r="F845" s="113" t="n">
        <v>46142</v>
      </c>
      <c r="G845" t="n">
        <v>2026</v>
      </c>
      <c r="H845" t="inlineStr">
        <is>
          <t>Abril</t>
        </is>
      </c>
      <c r="I845" t="inlineStr">
        <is>
          <t>2026-1</t>
        </is>
      </c>
      <c r="J845" t="n">
        <v>14</v>
      </c>
      <c r="K845" t="n">
        <v>10.82</v>
      </c>
      <c r="L845" s="39" t="n">
        <v>1.293900184842883</v>
      </c>
      <c r="M845" s="39" t="n">
        <v>1.293900184842883</v>
      </c>
      <c r="N845" t="inlineStr">
        <is>
          <t>Días</t>
        </is>
      </c>
      <c r="O845" t="inlineStr">
        <is>
          <t>Días</t>
        </is>
      </c>
      <c r="P845" t="n">
        <v>0</v>
      </c>
      <c r="Q845" t="n">
        <v>1</v>
      </c>
      <c r="R845" t="inlineStr">
        <is>
          <t>436-2026-04-30</t>
        </is>
      </c>
    </row>
    <row r="846">
      <c r="A846" t="n">
        <v>437</v>
      </c>
      <c r="B846" t="inlineStr">
        <is>
          <t>Nivel de Satisfacción Servicios Prestados - Riesgos</t>
        </is>
      </c>
      <c r="C846" t="inlineStr">
        <is>
          <t>GESTIÓN DE RIESGOS</t>
        </is>
      </c>
      <c r="D846" t="inlineStr">
        <is>
          <t>Anual</t>
        </is>
      </c>
      <c r="E846" t="inlineStr">
        <is>
          <t>Positivo</t>
        </is>
      </c>
      <c r="F846" s="113" t="n">
        <v>45291</v>
      </c>
      <c r="G846" t="n">
        <v>2023</v>
      </c>
      <c r="H846" t="inlineStr">
        <is>
          <t>Diciembre</t>
        </is>
      </c>
      <c r="I846" t="inlineStr">
        <is>
          <t>2023-2</t>
        </is>
      </c>
      <c r="J846" t="n">
        <v>80</v>
      </c>
      <c r="K846" t="n">
        <v>96</v>
      </c>
      <c r="L846" s="39" t="n">
        <v>1.2</v>
      </c>
      <c r="M846" s="39" t="n">
        <v>1.2</v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437-2023-12-31</t>
        </is>
      </c>
    </row>
    <row r="847">
      <c r="A847" t="n">
        <v>437</v>
      </c>
      <c r="B847" t="inlineStr">
        <is>
          <t>Nivel de Satisfacción Servicios Prestados - Riesgos</t>
        </is>
      </c>
      <c r="C847" t="inlineStr">
        <is>
          <t>GESTIÓN DE RIESGOS</t>
        </is>
      </c>
      <c r="D847" t="inlineStr">
        <is>
          <t>Anual</t>
        </is>
      </c>
      <c r="E847" t="inlineStr">
        <is>
          <t>Positivo</t>
        </is>
      </c>
      <c r="F847" s="113" t="n">
        <v>45657</v>
      </c>
      <c r="G847" t="n">
        <v>2024</v>
      </c>
      <c r="H847" t="inlineStr">
        <is>
          <t>Diciembre</t>
        </is>
      </c>
      <c r="I847" t="inlineStr">
        <is>
          <t>2024-2</t>
        </is>
      </c>
      <c r="J847" t="n">
        <v>80</v>
      </c>
      <c r="K847" t="n">
        <v>84</v>
      </c>
      <c r="L847" s="39" t="n">
        <v>1.05</v>
      </c>
      <c r="M847" s="39" t="n">
        <v>1.05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437-2024-12-31</t>
        </is>
      </c>
    </row>
    <row r="848">
      <c r="A848" t="n">
        <v>437</v>
      </c>
      <c r="B848" t="inlineStr">
        <is>
          <t>Nivel de Satisfacción Servicios Prestados - Riesgos</t>
        </is>
      </c>
      <c r="C848" t="inlineStr">
        <is>
          <t>GESTIÓN DE RIESGOS</t>
        </is>
      </c>
      <c r="D848" t="inlineStr">
        <is>
          <t>Anual</t>
        </is>
      </c>
      <c r="E848" t="inlineStr">
        <is>
          <t>Positivo</t>
        </is>
      </c>
      <c r="F848" s="113" t="n">
        <v>46022</v>
      </c>
      <c r="G848" t="n">
        <v>2025</v>
      </c>
      <c r="H848" t="inlineStr">
        <is>
          <t>Diciembre</t>
        </is>
      </c>
      <c r="I848" t="inlineStr">
        <is>
          <t>2025-2</t>
        </is>
      </c>
      <c r="J848" t="n">
        <v>80</v>
      </c>
      <c r="K848" t="n">
        <v>99</v>
      </c>
      <c r="L848" s="39" t="n">
        <v>1.2375</v>
      </c>
      <c r="M848" s="39" t="n">
        <v>1.2375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437-2025-12-31</t>
        </is>
      </c>
    </row>
    <row r="849">
      <c r="A849" t="n">
        <v>438</v>
      </c>
      <c r="B849" t="inlineStr">
        <is>
          <t>Seguimiento de asignación docente a NRC Pregrado-Posgrado Virtual</t>
        </is>
      </c>
      <c r="C849" t="inlineStr">
        <is>
          <t>Operaciones Académicas</t>
        </is>
      </c>
      <c r="D849" t="inlineStr">
        <is>
          <t>Semestral</t>
        </is>
      </c>
      <c r="E849" t="inlineStr">
        <is>
          <t>Positivo</t>
        </is>
      </c>
      <c r="F849" s="113" t="n">
        <v>45291</v>
      </c>
      <c r="G849" t="n">
        <v>2023</v>
      </c>
      <c r="H849" t="inlineStr">
        <is>
          <t>Diciembre</t>
        </is>
      </c>
      <c r="I849" t="inlineStr">
        <is>
          <t>2023-2</t>
        </is>
      </c>
      <c r="J849" t="n">
        <v>100</v>
      </c>
      <c r="K849" t="n">
        <v>100</v>
      </c>
      <c r="L849" s="39" t="n">
        <v>1</v>
      </c>
      <c r="M849" s="39" t="n">
        <v>1</v>
      </c>
      <c r="N849" t="inlineStr">
        <is>
          <t>ENT</t>
        </is>
      </c>
      <c r="O849" t="inlineStr">
        <is>
          <t>ENT</t>
        </is>
      </c>
      <c r="P849" t="n">
        <v>0</v>
      </c>
      <c r="Q849" t="n">
        <v>0</v>
      </c>
      <c r="R849" t="inlineStr">
        <is>
          <t>438-2023-12-31</t>
        </is>
      </c>
    </row>
    <row r="850">
      <c r="A850" t="n">
        <v>439</v>
      </c>
      <c r="B850" t="inlineStr">
        <is>
          <t>Disponibilidad de catálogo de asignaturas pregrado y posgrado virtual</t>
        </is>
      </c>
      <c r="C850" t="inlineStr">
        <is>
          <t>Operaciones Académicas</t>
        </is>
      </c>
      <c r="D850" t="inlineStr">
        <is>
          <t>Semestral</t>
        </is>
      </c>
      <c r="E850" t="inlineStr">
        <is>
          <t>Positivo</t>
        </is>
      </c>
      <c r="F850" s="113" t="n">
        <v>45291</v>
      </c>
      <c r="G850" t="n">
        <v>2023</v>
      </c>
      <c r="H850" t="inlineStr">
        <is>
          <t>Diciembre</t>
        </is>
      </c>
      <c r="I850" t="inlineStr">
        <is>
          <t>2023-2</t>
        </is>
      </c>
      <c r="J850" t="n">
        <v>100</v>
      </c>
      <c r="K850" t="n">
        <v>100</v>
      </c>
      <c r="L850" s="39" t="n">
        <v>1</v>
      </c>
      <c r="M850" s="39" t="n">
        <v>1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439-2023-12-31</t>
        </is>
      </c>
    </row>
    <row r="851">
      <c r="A851" t="n">
        <v>439</v>
      </c>
      <c r="B851" t="inlineStr">
        <is>
          <t>Disponibilidad de catálogo de asignaturas pregrado y posgrado virtual</t>
        </is>
      </c>
      <c r="C851" t="inlineStr">
        <is>
          <t>Operaciones Académicas</t>
        </is>
      </c>
      <c r="D851" t="inlineStr">
        <is>
          <t>Semestral</t>
        </is>
      </c>
      <c r="E851" t="inlineStr">
        <is>
          <t>Positivo</t>
        </is>
      </c>
      <c r="F851" s="113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100</v>
      </c>
      <c r="L851" s="39" t="n">
        <v>1</v>
      </c>
      <c r="M851" s="39" t="n">
        <v>1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439-2024-12-31</t>
        </is>
      </c>
    </row>
    <row r="852">
      <c r="A852" t="n">
        <v>439</v>
      </c>
      <c r="B852" t="inlineStr">
        <is>
          <t>Disponibilidad de catálogo de asignaturas pregrado y posgrado virtual</t>
        </is>
      </c>
      <c r="C852" t="inlineStr">
        <is>
          <t>Operaciones Académicas</t>
        </is>
      </c>
      <c r="D852" t="inlineStr">
        <is>
          <t>Trimestral</t>
        </is>
      </c>
      <c r="E852" t="inlineStr">
        <is>
          <t>Positivo</t>
        </is>
      </c>
      <c r="F852" s="113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100</v>
      </c>
      <c r="L852" s="39" t="n">
        <v>1</v>
      </c>
      <c r="M852" s="39" t="n">
        <v>1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439-2025-12-31</t>
        </is>
      </c>
    </row>
    <row r="853">
      <c r="A853" t="n">
        <v>440</v>
      </c>
      <c r="B853" t="inlineStr">
        <is>
          <t>Aseguramiento de matricula académica virtual</t>
        </is>
      </c>
      <c r="C853" t="inlineStr">
        <is>
          <t>Operaciones Académicas</t>
        </is>
      </c>
      <c r="D853" t="inlineStr">
        <is>
          <t>Semestral</t>
        </is>
      </c>
      <c r="E853" t="inlineStr">
        <is>
          <t>Positivo</t>
        </is>
      </c>
      <c r="F853" s="113" t="n">
        <v>45291</v>
      </c>
      <c r="G853" t="n">
        <v>2023</v>
      </c>
      <c r="H853" t="inlineStr">
        <is>
          <t>Diciembre</t>
        </is>
      </c>
      <c r="I853" t="inlineStr">
        <is>
          <t>2023-2</t>
        </is>
      </c>
      <c r="J853" t="n">
        <v>98</v>
      </c>
      <c r="K853" t="n">
        <v>97.746062537527</v>
      </c>
      <c r="L853" s="39" t="n">
        <v>0.9974088014033367</v>
      </c>
      <c r="M853" s="39" t="n">
        <v>0.9974088014033367</v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1</v>
      </c>
      <c r="R853" t="inlineStr">
        <is>
          <t>440-2023-12-31</t>
        </is>
      </c>
    </row>
    <row r="854">
      <c r="A854" t="n">
        <v>440</v>
      </c>
      <c r="B854" t="inlineStr">
        <is>
          <t>Aseguramiento de matricula académica virtual</t>
        </is>
      </c>
      <c r="C854" t="inlineStr">
        <is>
          <t>Operaciones Académicas</t>
        </is>
      </c>
      <c r="D854" t="inlineStr">
        <is>
          <t>Semestral</t>
        </is>
      </c>
      <c r="E854" t="inlineStr">
        <is>
          <t>Positivo</t>
        </is>
      </c>
      <c r="F854" s="113" t="n">
        <v>45657</v>
      </c>
      <c r="G854" t="n">
        <v>2024</v>
      </c>
      <c r="H854" t="inlineStr">
        <is>
          <t>Diciembre</t>
        </is>
      </c>
      <c r="I854" t="inlineStr">
        <is>
          <t>2024-2</t>
        </is>
      </c>
      <c r="J854" t="n">
        <v>196</v>
      </c>
      <c r="K854" t="n">
        <v>198.97</v>
      </c>
      <c r="L854" s="39" t="n">
        <v>1.01515306122449</v>
      </c>
      <c r="M854" s="39" t="n">
        <v>1.01515306122449</v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1</v>
      </c>
      <c r="R854" t="inlineStr">
        <is>
          <t>440-2024-12-31</t>
        </is>
      </c>
    </row>
    <row r="855">
      <c r="A855" t="n">
        <v>440</v>
      </c>
      <c r="B855" t="inlineStr">
        <is>
          <t>Aseguramiento de matricula académica virtual</t>
        </is>
      </c>
      <c r="C855" t="inlineStr">
        <is>
          <t>Operaciones Académicas</t>
        </is>
      </c>
      <c r="D855" t="inlineStr">
        <is>
          <t>Trimestral</t>
        </is>
      </c>
      <c r="E855" t="inlineStr">
        <is>
          <t>Positivo</t>
        </is>
      </c>
      <c r="F855" s="113" t="n">
        <v>46022</v>
      </c>
      <c r="G855" t="n">
        <v>2025</v>
      </c>
      <c r="H855" t="inlineStr">
        <is>
          <t>Diciembre</t>
        </is>
      </c>
      <c r="I855" t="inlineStr">
        <is>
          <t>2025-2</t>
        </is>
      </c>
      <c r="J855" t="n">
        <v>196</v>
      </c>
      <c r="K855" t="n">
        <v>199.51</v>
      </c>
      <c r="L855" s="39" t="n">
        <v>1.017908163265306</v>
      </c>
      <c r="M855" s="39" t="n">
        <v>1.017908163265306</v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1</v>
      </c>
      <c r="R855" t="inlineStr">
        <is>
          <t>440-2025-12-31</t>
        </is>
      </c>
    </row>
    <row r="856">
      <c r="A856" t="n">
        <v>441</v>
      </c>
      <c r="B856" t="inlineStr">
        <is>
          <t>Cumplimiento a cronograma de proyectos 2024</t>
        </is>
      </c>
      <c r="C856" t="inlineStr">
        <is>
          <t>Gestión de Proyectos</t>
        </is>
      </c>
      <c r="D856" t="inlineStr">
        <is>
          <t>Mensual</t>
        </is>
      </c>
      <c r="E856" t="inlineStr">
        <is>
          <t>Positivo</t>
        </is>
      </c>
      <c r="F856" s="113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99.919935948759</v>
      </c>
      <c r="L856" s="39" t="n">
        <v>1.110221510541767</v>
      </c>
      <c r="M856" s="39" t="n">
        <v>1.110221510541767</v>
      </c>
      <c r="P856" t="n">
        <v>0</v>
      </c>
      <c r="Q856" t="n">
        <v>0</v>
      </c>
      <c r="R856" t="inlineStr">
        <is>
          <t>441-2024-12-31</t>
        </is>
      </c>
    </row>
    <row r="857">
      <c r="A857" t="n">
        <v>442</v>
      </c>
      <c r="B857" t="inlineStr">
        <is>
          <t>Participación de docentes invitados en eventos académicos virtuales en Poli</t>
        </is>
      </c>
      <c r="C857" t="inlineStr">
        <is>
          <t>VISIBILIDAD NACIONAL E INTERNACIONAL</t>
        </is>
      </c>
      <c r="D857" t="inlineStr">
        <is>
          <t>Semestral</t>
        </is>
      </c>
      <c r="E857" t="inlineStr">
        <is>
          <t>Positivo</t>
        </is>
      </c>
      <c r="F857" s="113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145</v>
      </c>
      <c r="L857" s="39" t="n">
        <v>1.3</v>
      </c>
      <c r="M857" s="39" t="n">
        <v>1.45</v>
      </c>
      <c r="P857" t="n">
        <v>0</v>
      </c>
      <c r="Q857" t="n">
        <v>0</v>
      </c>
      <c r="R857" t="inlineStr">
        <is>
          <t>442-2024-12-31</t>
        </is>
      </c>
    </row>
    <row r="858">
      <c r="A858" t="n">
        <v>443</v>
      </c>
      <c r="B858" t="inlineStr">
        <is>
          <t>Participación de estudiantes invitados en eventos académicos virtuales en Poli</t>
        </is>
      </c>
      <c r="C858" t="inlineStr">
        <is>
          <t>VISIBILIDAD NACIONAL E INTERNACIONAL</t>
        </is>
      </c>
      <c r="D858" t="inlineStr">
        <is>
          <t>Semestral</t>
        </is>
      </c>
      <c r="E858" t="inlineStr">
        <is>
          <t>Positivo</t>
        </is>
      </c>
      <c r="F858" s="113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209</v>
      </c>
      <c r="L858" s="39" t="n">
        <v>1.3</v>
      </c>
      <c r="M858" s="39" t="n">
        <v>2.09</v>
      </c>
      <c r="P858" t="n">
        <v>0</v>
      </c>
      <c r="Q858" t="n">
        <v>0</v>
      </c>
      <c r="R858" t="inlineStr">
        <is>
          <t>443-2024-12-31</t>
        </is>
      </c>
    </row>
    <row r="859">
      <c r="A859" t="n">
        <v>444</v>
      </c>
      <c r="B859" t="inlineStr">
        <is>
          <t>CES Proceso de grados</t>
        </is>
      </c>
      <c r="C859" t="inlineStr">
        <is>
          <t>Registro y Control</t>
        </is>
      </c>
      <c r="D859" t="inlineStr">
        <is>
          <t>Semestral</t>
        </is>
      </c>
      <c r="E859" t="inlineStr">
        <is>
          <t>Negativo</t>
        </is>
      </c>
      <c r="F859" s="113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K859" t="n">
        <v>2.1</v>
      </c>
      <c r="L859" s="39" t="n"/>
      <c r="M859" s="39" t="n"/>
      <c r="N859" t="inlineStr">
        <is>
          <t>Linea Base</t>
        </is>
      </c>
      <c r="O859" t="inlineStr">
        <is>
          <t>DEC</t>
        </is>
      </c>
      <c r="P859" t="n">
        <v>0</v>
      </c>
      <c r="Q859" t="n">
        <v>1</v>
      </c>
      <c r="R859" t="inlineStr">
        <is>
          <t>444-2024-12-31</t>
        </is>
      </c>
    </row>
    <row r="860">
      <c r="A860" t="n">
        <v>444</v>
      </c>
      <c r="B860" t="inlineStr">
        <is>
          <t>CES Proceso de grados</t>
        </is>
      </c>
      <c r="C860" t="inlineStr">
        <is>
          <t>Registro y Control</t>
        </is>
      </c>
      <c r="D860" t="inlineStr">
        <is>
          <t>Trimestral</t>
        </is>
      </c>
      <c r="E860" t="inlineStr">
        <is>
          <t>Negativo</t>
        </is>
      </c>
      <c r="F860" s="113" t="n">
        <v>46022</v>
      </c>
      <c r="G860" t="n">
        <v>2025</v>
      </c>
      <c r="H860" t="inlineStr">
        <is>
          <t>Diciembre</t>
        </is>
      </c>
      <c r="I860" t="inlineStr">
        <is>
          <t>2025-2</t>
        </is>
      </c>
      <c r="J860" t="n">
        <v>3</v>
      </c>
      <c r="K860" t="n">
        <v>1.65</v>
      </c>
      <c r="L860" s="39" t="n">
        <v>1.3</v>
      </c>
      <c r="M860" s="39" t="n">
        <v>1.818181818181818</v>
      </c>
      <c r="N860" t="inlineStr">
        <is>
          <t>ENT</t>
        </is>
      </c>
      <c r="O860" t="inlineStr">
        <is>
          <t>DEC</t>
        </is>
      </c>
      <c r="P860" t="n">
        <v>0</v>
      </c>
      <c r="Q860" t="n">
        <v>1</v>
      </c>
      <c r="R860" t="inlineStr">
        <is>
          <t>444-2025-12-31</t>
        </is>
      </c>
    </row>
    <row r="861">
      <c r="A861" t="n">
        <v>445</v>
      </c>
      <c r="B861" t="inlineStr">
        <is>
          <t>Satisfacción del proceso de grados virtual</t>
        </is>
      </c>
      <c r="C861" t="inlineStr">
        <is>
          <t>Registro y Control</t>
        </is>
      </c>
      <c r="D861" t="inlineStr">
        <is>
          <t>Semestral</t>
        </is>
      </c>
      <c r="E861" t="inlineStr">
        <is>
          <t>Positivo</t>
        </is>
      </c>
      <c r="F861" s="113" t="n">
        <v>45657</v>
      </c>
      <c r="G861" t="n">
        <v>2024</v>
      </c>
      <c r="H861" t="inlineStr">
        <is>
          <t>Diciembre</t>
        </is>
      </c>
      <c r="I861" t="inlineStr">
        <is>
          <t>2024-2</t>
        </is>
      </c>
      <c r="J861" t="n">
        <v>67.5</v>
      </c>
      <c r="K861" t="n">
        <v>70.84999999999999</v>
      </c>
      <c r="L861" s="39" t="n">
        <v>1.049629629629629</v>
      </c>
      <c r="M861" s="39" t="n">
        <v>1.049629629629629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445-2024-12-31</t>
        </is>
      </c>
    </row>
    <row r="862">
      <c r="A862" t="n">
        <v>445</v>
      </c>
      <c r="B862" t="inlineStr">
        <is>
          <t>Satisfacción del proceso de grados virtual</t>
        </is>
      </c>
      <c r="C862" t="inlineStr">
        <is>
          <t>Registro y Control</t>
        </is>
      </c>
      <c r="D862" t="inlineStr">
        <is>
          <t>Trimestral</t>
        </is>
      </c>
      <c r="E862" t="inlineStr">
        <is>
          <t>Positivo</t>
        </is>
      </c>
      <c r="F862" s="113" t="n">
        <v>46022</v>
      </c>
      <c r="G862" t="n">
        <v>2025</v>
      </c>
      <c r="H862" t="inlineStr">
        <is>
          <t>Diciembre</t>
        </is>
      </c>
      <c r="I862" t="inlineStr">
        <is>
          <t>2025-2</t>
        </is>
      </c>
      <c r="J862" t="n">
        <v>70</v>
      </c>
      <c r="K862" t="n">
        <v>80.5</v>
      </c>
      <c r="L862" s="39" t="n">
        <v>1.15</v>
      </c>
      <c r="M862" s="39" t="n">
        <v>1.15</v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445-2025-12-31</t>
        </is>
      </c>
    </row>
    <row r="863">
      <c r="A863" t="n">
        <v>447</v>
      </c>
      <c r="B863" t="inlineStr">
        <is>
          <t>Participación en actividades culturales</t>
        </is>
      </c>
      <c r="C863" t="inlineStr">
        <is>
          <t>Biblioteca Institucional</t>
        </is>
      </c>
      <c r="D863" t="inlineStr">
        <is>
          <t>Semestral</t>
        </is>
      </c>
      <c r="E863" t="inlineStr">
        <is>
          <t>Positivo</t>
        </is>
      </c>
      <c r="F863" s="113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15</v>
      </c>
      <c r="K863" t="n">
        <v>16.16</v>
      </c>
      <c r="L863" s="39" t="n">
        <v>1.077333333333333</v>
      </c>
      <c r="M863" s="39" t="n">
        <v>1.077333333333333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447-2024-12-31</t>
        </is>
      </c>
    </row>
    <row r="864">
      <c r="A864" t="n">
        <v>447</v>
      </c>
      <c r="B864" t="inlineStr">
        <is>
          <t>Participación en actividades culturales</t>
        </is>
      </c>
      <c r="C864" t="inlineStr">
        <is>
          <t>Biblioteca Institucional</t>
        </is>
      </c>
      <c r="D864" t="inlineStr">
        <is>
          <t>Trimestral</t>
        </is>
      </c>
      <c r="E864" t="inlineStr">
        <is>
          <t>Positivo</t>
        </is>
      </c>
      <c r="F864" s="113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15</v>
      </c>
      <c r="K864" t="n">
        <v>15.01</v>
      </c>
      <c r="L864" s="39" t="n">
        <v>1.000666666666667</v>
      </c>
      <c r="M864" s="39" t="n">
        <v>1.000666666666667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447-2025-12-31</t>
        </is>
      </c>
    </row>
    <row r="865">
      <c r="A865" t="n">
        <v>448</v>
      </c>
      <c r="B865" t="inlineStr">
        <is>
          <t>Participación en actividades de formación</t>
        </is>
      </c>
      <c r="C865" t="inlineStr">
        <is>
          <t>Biblioteca Institucional</t>
        </is>
      </c>
      <c r="D865" t="inlineStr">
        <is>
          <t>Semestral</t>
        </is>
      </c>
      <c r="E865" t="inlineStr">
        <is>
          <t>Positivo</t>
        </is>
      </c>
      <c r="F865" s="113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9</v>
      </c>
      <c r="K865" t="n">
        <v>9.32</v>
      </c>
      <c r="L865" s="39" t="n">
        <v>1.035555555555556</v>
      </c>
      <c r="M865" s="39" t="n">
        <v>1.035555555555556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1</v>
      </c>
      <c r="R865" t="inlineStr">
        <is>
          <t>448-2024-12-31</t>
        </is>
      </c>
    </row>
    <row r="866">
      <c r="A866" t="n">
        <v>448</v>
      </c>
      <c r="B866" t="inlineStr">
        <is>
          <t>Participación en actividades de formación</t>
        </is>
      </c>
      <c r="C866" t="inlineStr">
        <is>
          <t>Biblioteca Institucional</t>
        </is>
      </c>
      <c r="D866" t="inlineStr">
        <is>
          <t>Trimestral</t>
        </is>
      </c>
      <c r="E866" t="inlineStr">
        <is>
          <t>Positivo</t>
        </is>
      </c>
      <c r="F866" s="113" t="n">
        <v>46022</v>
      </c>
      <c r="G866" t="n">
        <v>2025</v>
      </c>
      <c r="H866" t="inlineStr">
        <is>
          <t>Diciembre</t>
        </is>
      </c>
      <c r="I866" t="inlineStr">
        <is>
          <t>2025-2</t>
        </is>
      </c>
      <c r="J866" t="n">
        <v>17</v>
      </c>
      <c r="K866" t="n">
        <v>59.36</v>
      </c>
      <c r="L866" s="39" t="n">
        <v>1.3</v>
      </c>
      <c r="M866" s="39" t="n">
        <v>3.491764705882353</v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1</v>
      </c>
      <c r="R866" t="inlineStr">
        <is>
          <t>448-2025-12-31</t>
        </is>
      </c>
    </row>
    <row r="867">
      <c r="A867" t="n">
        <v>449</v>
      </c>
      <c r="B867" t="inlineStr">
        <is>
          <t>Cumplimiento en la supervisión y monitoreo a los planes de tratamiento de los riesgos institucionales en nivel alto y extremo</t>
        </is>
      </c>
      <c r="C867" t="inlineStr">
        <is>
          <t>GESTIÓN DE RIESGOS</t>
        </is>
      </c>
      <c r="D867" t="inlineStr">
        <is>
          <t>Trimestral</t>
        </is>
      </c>
      <c r="E867" t="inlineStr">
        <is>
          <t>Positivo</t>
        </is>
      </c>
      <c r="F867" s="113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100</v>
      </c>
      <c r="L867" s="39" t="n">
        <v>1</v>
      </c>
      <c r="M867" s="39" t="n">
        <v>1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449-2024-12-31</t>
        </is>
      </c>
    </row>
    <row r="868">
      <c r="A868" t="n">
        <v>451</v>
      </c>
      <c r="B868" t="inlineStr">
        <is>
          <t>% Participación de publicaciones positiva</t>
        </is>
      </c>
      <c r="C868" t="inlineStr">
        <is>
          <t>Comunicaciones Externas</t>
        </is>
      </c>
      <c r="D868" t="inlineStr">
        <is>
          <t>Semestral</t>
        </is>
      </c>
      <c r="E868" t="inlineStr">
        <is>
          <t>Positivo</t>
        </is>
      </c>
      <c r="F868" s="113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K868" t="n">
        <v>38.8</v>
      </c>
      <c r="L868" s="39" t="n"/>
      <c r="M868" s="39" t="n"/>
      <c r="N868" t="inlineStr">
        <is>
          <t>Linea Base</t>
        </is>
      </c>
      <c r="O868" t="inlineStr">
        <is>
          <t>%</t>
        </is>
      </c>
      <c r="P868" t="n">
        <v>0</v>
      </c>
      <c r="Q868" t="n">
        <v>0</v>
      </c>
      <c r="R868" t="inlineStr">
        <is>
          <t>451-2024-12-31</t>
        </is>
      </c>
    </row>
    <row r="869">
      <c r="A869" t="n">
        <v>451</v>
      </c>
      <c r="B869" t="inlineStr">
        <is>
          <t>% de publicaciones con sentimiento positivo</t>
        </is>
      </c>
      <c r="C869" t="inlineStr">
        <is>
          <t>Comunicaciones Externas</t>
        </is>
      </c>
      <c r="D869" t="inlineStr">
        <is>
          <t>Trimestral</t>
        </is>
      </c>
      <c r="E869" t="inlineStr">
        <is>
          <t>Positivo</t>
        </is>
      </c>
      <c r="F869" s="113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125.15</v>
      </c>
      <c r="L869" s="39" t="n">
        <v>1.2515</v>
      </c>
      <c r="M869" s="39" t="n">
        <v>1.2515</v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451-2025-12-31</t>
        </is>
      </c>
    </row>
    <row r="870">
      <c r="A870" t="n">
        <v>452</v>
      </c>
      <c r="B870" t="inlineStr">
        <is>
          <t>Seguimiento a eventos internos y externos institucionales</t>
        </is>
      </c>
      <c r="C870" t="inlineStr">
        <is>
          <t>Comunicaciones Externas</t>
        </is>
      </c>
      <c r="D870" t="inlineStr">
        <is>
          <t>Semestral</t>
        </is>
      </c>
      <c r="E870" t="inlineStr">
        <is>
          <t>Positivo</t>
        </is>
      </c>
      <c r="F870" s="113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130</v>
      </c>
      <c r="L870" s="39" t="n">
        <v>1.3</v>
      </c>
      <c r="M870" s="39" t="n">
        <v>1.3</v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452-2024-12-31</t>
        </is>
      </c>
    </row>
    <row r="871">
      <c r="A871" t="n">
        <v>452</v>
      </c>
      <c r="B871" t="inlineStr">
        <is>
          <t>Seguimiento a eventos internos y externos institucionales</t>
        </is>
      </c>
      <c r="C871" t="inlineStr">
        <is>
          <t>Comunicaciones Externas</t>
        </is>
      </c>
      <c r="D871" t="inlineStr">
        <is>
          <t>Trimestral</t>
        </is>
      </c>
      <c r="E871" t="inlineStr">
        <is>
          <t>Positivo</t>
        </is>
      </c>
      <c r="F871" s="113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151.135</v>
      </c>
      <c r="L871" s="39" t="n">
        <v>1.3</v>
      </c>
      <c r="M871" s="39" t="n">
        <v>1.51135</v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452-2025-12-31</t>
        </is>
      </c>
    </row>
    <row r="872">
      <c r="A872" t="n">
        <v>453</v>
      </c>
      <c r="B872" t="inlineStr">
        <is>
          <t>Número de cursos diseñados</t>
        </is>
      </c>
      <c r="C872" t="inlineStr">
        <is>
          <t>Diseño de Contenido Virtual</t>
        </is>
      </c>
      <c r="D872" t="inlineStr">
        <is>
          <t>Trimestral</t>
        </is>
      </c>
      <c r="E872" t="inlineStr">
        <is>
          <t>Positivo</t>
        </is>
      </c>
      <c r="F872" s="113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300</v>
      </c>
      <c r="K872" t="n">
        <v>640</v>
      </c>
      <c r="L872" s="39" t="n">
        <v>1.3</v>
      </c>
      <c r="M872" s="39" t="n">
        <v>2.133333333333333</v>
      </c>
      <c r="P872" t="n">
        <v>0</v>
      </c>
      <c r="Q872" t="n">
        <v>0</v>
      </c>
      <c r="R872" t="inlineStr">
        <is>
          <t>453-2024-12-31</t>
        </is>
      </c>
    </row>
    <row r="873">
      <c r="A873" t="n">
        <v>453</v>
      </c>
      <c r="B873" t="inlineStr">
        <is>
          <t>Número de cursos diseñados</t>
        </is>
      </c>
      <c r="C873" t="inlineStr">
        <is>
          <t>Diseño de Contenido Virtual</t>
        </is>
      </c>
      <c r="D873" t="inlineStr">
        <is>
          <t>Semestral</t>
        </is>
      </c>
      <c r="E873" t="inlineStr">
        <is>
          <t>Positivo</t>
        </is>
      </c>
      <c r="F873" s="113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400</v>
      </c>
      <c r="K873" t="n">
        <v>348</v>
      </c>
      <c r="L873" s="39" t="n">
        <v>0.87</v>
      </c>
      <c r="M873" s="39" t="n">
        <v>0.87</v>
      </c>
      <c r="P873" t="n">
        <v>0</v>
      </c>
      <c r="Q873" t="n">
        <v>0</v>
      </c>
      <c r="R873" t="inlineStr">
        <is>
          <t>453-2025-12-31</t>
        </is>
      </c>
    </row>
    <row r="874">
      <c r="A874" t="n">
        <v>454</v>
      </c>
      <c r="B874" t="inlineStr">
        <is>
          <t>Satisfacción de la calidad del contenido</t>
        </is>
      </c>
      <c r="C874" t="inlineStr">
        <is>
          <t>Diseño de Contenido Virtual</t>
        </is>
      </c>
      <c r="D874" t="inlineStr">
        <is>
          <t>Trimestral</t>
        </is>
      </c>
      <c r="E874" t="inlineStr">
        <is>
          <t>Positivo</t>
        </is>
      </c>
      <c r="F874" s="113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0</v>
      </c>
      <c r="K874" t="n">
        <v>88</v>
      </c>
      <c r="L874" s="39" t="n"/>
      <c r="M874" s="39" t="n"/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454-2024-12-31</t>
        </is>
      </c>
    </row>
    <row r="875">
      <c r="A875" t="n">
        <v>455</v>
      </c>
      <c r="B875" t="inlineStr">
        <is>
          <t>ANS Diseño de contenidos virtuales</t>
        </is>
      </c>
      <c r="C875" t="inlineStr">
        <is>
          <t>Diseño de Contenido Virtual</t>
        </is>
      </c>
      <c r="D875" t="inlineStr">
        <is>
          <t>Trimestral</t>
        </is>
      </c>
      <c r="E875" t="inlineStr">
        <is>
          <t>Positivo</t>
        </is>
      </c>
      <c r="F875" s="113" t="n">
        <v>45657</v>
      </c>
      <c r="G875" t="n">
        <v>2024</v>
      </c>
      <c r="H875" t="inlineStr">
        <is>
          <t>Diciembre</t>
        </is>
      </c>
      <c r="I875" t="inlineStr">
        <is>
          <t>2024-2</t>
        </is>
      </c>
      <c r="J875" t="n">
        <v>90</v>
      </c>
      <c r="K875" t="n">
        <v>100</v>
      </c>
      <c r="L875" s="39" t="n">
        <v>1.111111111111111</v>
      </c>
      <c r="M875" s="39" t="n">
        <v>1.111111111111111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455-2024-12-31</t>
        </is>
      </c>
    </row>
    <row r="876">
      <c r="A876" t="n">
        <v>455</v>
      </c>
      <c r="B876" t="inlineStr">
        <is>
          <t>ANS Diseño de contenidos virtuales</t>
        </is>
      </c>
      <c r="C876" t="inlineStr">
        <is>
          <t>Diseño de Contenido Virtual</t>
        </is>
      </c>
      <c r="D876" t="inlineStr">
        <is>
          <t>Semestral</t>
        </is>
      </c>
      <c r="E876" t="inlineStr">
        <is>
          <t>Positivo</t>
        </is>
      </c>
      <c r="F876" s="113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100</v>
      </c>
      <c r="L876" s="39" t="n">
        <v>1</v>
      </c>
      <c r="M876" s="39" t="n">
        <v>1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455-2025-12-31</t>
        </is>
      </c>
    </row>
    <row r="877">
      <c r="A877" t="n">
        <v>456</v>
      </c>
      <c r="B877" t="inlineStr">
        <is>
          <t>Impacto de campañas de Mailing</t>
        </is>
      </c>
      <c r="C877" t="inlineStr">
        <is>
          <t>Comunicaciones Internas</t>
        </is>
      </c>
      <c r="D877" t="inlineStr">
        <is>
          <t>Semestral</t>
        </is>
      </c>
      <c r="E877" t="inlineStr">
        <is>
          <t>Positivo</t>
        </is>
      </c>
      <c r="F877" s="113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97.345</v>
      </c>
      <c r="L877" s="39" t="n">
        <v>0.97345</v>
      </c>
      <c r="M877" s="39" t="n">
        <v>0.97345</v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456-2024-12-31</t>
        </is>
      </c>
    </row>
    <row r="878">
      <c r="A878" t="n">
        <v>456</v>
      </c>
      <c r="B878" t="inlineStr">
        <is>
          <t>Impacto de campañas de Mailing</t>
        </is>
      </c>
      <c r="C878" t="inlineStr">
        <is>
          <t>Comunicaciones Internas</t>
        </is>
      </c>
      <c r="D878" t="inlineStr">
        <is>
          <t>Semestral</t>
        </is>
      </c>
      <c r="E878" t="inlineStr">
        <is>
          <t>Positivo</t>
        </is>
      </c>
      <c r="F878" s="113" t="n">
        <v>46022</v>
      </c>
      <c r="G878" t="n">
        <v>2025</v>
      </c>
      <c r="H878" t="inlineStr">
        <is>
          <t>Diciembre</t>
        </is>
      </c>
      <c r="I878" t="inlineStr">
        <is>
          <t>2025-2</t>
        </is>
      </c>
      <c r="J878" t="n">
        <v>100</v>
      </c>
      <c r="K878" t="n">
        <v>111.5925</v>
      </c>
      <c r="L878" s="39" t="n">
        <v>1.115925</v>
      </c>
      <c r="M878" s="39" t="n">
        <v>1.115925</v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456-2025-12-31</t>
        </is>
      </c>
    </row>
    <row r="879">
      <c r="A879" t="n">
        <v>457</v>
      </c>
      <c r="B879" t="inlineStr">
        <is>
          <t>Apertura de enlaces en mensajes de texto</t>
        </is>
      </c>
      <c r="C879" t="inlineStr">
        <is>
          <t>Comunicaciones Internas</t>
        </is>
      </c>
      <c r="D879" t="inlineStr">
        <is>
          <t>Semestral</t>
        </is>
      </c>
      <c r="E879" t="inlineStr">
        <is>
          <t>Positivo</t>
        </is>
      </c>
      <c r="F879" s="113" t="n">
        <v>45657</v>
      </c>
      <c r="G879" t="n">
        <v>2024</v>
      </c>
      <c r="H879" t="inlineStr">
        <is>
          <t>Diciembre</t>
        </is>
      </c>
      <c r="I879" t="inlineStr">
        <is>
          <t>2024-2</t>
        </is>
      </c>
      <c r="J879" t="n">
        <v>100</v>
      </c>
      <c r="K879" t="n">
        <v>80</v>
      </c>
      <c r="L879" s="39" t="n">
        <v>0.8</v>
      </c>
      <c r="M879" s="39" t="n">
        <v>0.8</v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457-2024-12-31</t>
        </is>
      </c>
    </row>
    <row r="880">
      <c r="A880" t="n">
        <v>457</v>
      </c>
      <c r="B880" t="inlineStr">
        <is>
          <t>Apertura de enlaces en mensajes de texto</t>
        </is>
      </c>
      <c r="C880" t="inlineStr">
        <is>
          <t>Comunicaciones Internas</t>
        </is>
      </c>
      <c r="D880" t="inlineStr">
        <is>
          <t>Semestral</t>
        </is>
      </c>
      <c r="E880" t="inlineStr">
        <is>
          <t>Positivo</t>
        </is>
      </c>
      <c r="F880" s="113" t="n">
        <v>46022</v>
      </c>
      <c r="G880" t="n">
        <v>2025</v>
      </c>
      <c r="H880" t="inlineStr">
        <is>
          <t>Diciembre</t>
        </is>
      </c>
      <c r="I880" t="inlineStr">
        <is>
          <t>2025-2</t>
        </is>
      </c>
      <c r="J880" t="n">
        <v>100</v>
      </c>
      <c r="K880" t="n">
        <v>113.0925</v>
      </c>
      <c r="L880" s="39" t="n">
        <v>1.130925</v>
      </c>
      <c r="M880" s="39" t="n">
        <v>1.130925</v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457-2025-12-31</t>
        </is>
      </c>
    </row>
    <row r="881">
      <c r="A881" t="n">
        <v>459</v>
      </c>
      <c r="B881" t="inlineStr">
        <is>
          <t>Número de publicaciones e historias</t>
        </is>
      </c>
      <c r="C881" t="inlineStr">
        <is>
          <t>Comunicaciones Externas</t>
        </is>
      </c>
      <c r="D881" t="inlineStr">
        <is>
          <t>Trimestral</t>
        </is>
      </c>
      <c r="E881" t="inlineStr">
        <is>
          <t>Positivo</t>
        </is>
      </c>
      <c r="F881" s="113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L881" s="39" t="n"/>
      <c r="M881" s="39" t="n"/>
      <c r="N881" t="inlineStr">
        <is>
          <t>%</t>
        </is>
      </c>
      <c r="O881" t="inlineStr">
        <is>
          <t>%</t>
        </is>
      </c>
      <c r="P881" t="n">
        <v>0</v>
      </c>
      <c r="Q881" t="n">
        <v>0</v>
      </c>
      <c r="R881" t="inlineStr">
        <is>
          <t>459-2024-12-31</t>
        </is>
      </c>
    </row>
    <row r="882">
      <c r="A882" t="n">
        <v>460</v>
      </c>
      <c r="B882" t="inlineStr">
        <is>
          <t>% de profesores (Contrato Indefinido- Fijo) impactados plan de desarrollo docente</t>
        </is>
      </c>
      <c r="C882" t="inlineStr">
        <is>
          <t>GESTIÓN Y DESARROLLO DEL TALENTO HUMANO</t>
        </is>
      </c>
      <c r="D882" t="inlineStr">
        <is>
          <t>Anual</t>
        </is>
      </c>
      <c r="E882" t="inlineStr">
        <is>
          <t>Positivo</t>
        </is>
      </c>
      <c r="F882" s="113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80</v>
      </c>
      <c r="K882" t="n">
        <v>91.43968871595332</v>
      </c>
      <c r="L882" s="39" t="n">
        <v>1.142996108949417</v>
      </c>
      <c r="M882" s="39" t="n">
        <v>1.142996108949417</v>
      </c>
      <c r="N882" t="inlineStr">
        <is>
          <t>%</t>
        </is>
      </c>
      <c r="O882" t="inlineStr">
        <is>
          <t>%</t>
        </is>
      </c>
      <c r="P882" t="n">
        <v>0</v>
      </c>
      <c r="Q882" t="n">
        <v>1</v>
      </c>
      <c r="R882" t="inlineStr">
        <is>
          <t>460-2024-12-31</t>
        </is>
      </c>
    </row>
    <row r="883">
      <c r="A883" t="n">
        <v>460</v>
      </c>
      <c r="B883" t="inlineStr">
        <is>
          <t>% de profesores (Contrato Indefinido- Fijo) impactados plan de desarrollo docente *</t>
        </is>
      </c>
      <c r="C883" t="inlineStr">
        <is>
          <t>GESTIÓN Y DESARROLLO DEL TALENTO HUMANO</t>
        </is>
      </c>
      <c r="D883" t="inlineStr">
        <is>
          <t>Anual</t>
        </is>
      </c>
      <c r="E883" t="inlineStr">
        <is>
          <t>Positivo</t>
        </is>
      </c>
      <c r="F883" s="113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80</v>
      </c>
      <c r="K883" t="n">
        <v>84.18000000000001</v>
      </c>
      <c r="L883" s="39" t="n">
        <v>1.05225</v>
      </c>
      <c r="M883" s="39" t="n">
        <v>1.05225</v>
      </c>
      <c r="N883" t="inlineStr">
        <is>
          <t>%</t>
        </is>
      </c>
      <c r="O883" t="inlineStr">
        <is>
          <t>%</t>
        </is>
      </c>
      <c r="P883" t="n">
        <v>0</v>
      </c>
      <c r="Q883" t="n">
        <v>1</v>
      </c>
      <c r="R883" t="inlineStr">
        <is>
          <t>460-2025-12-31</t>
        </is>
      </c>
    </row>
    <row r="884">
      <c r="A884" t="n">
        <v>462</v>
      </c>
      <c r="B884" t="inlineStr">
        <is>
          <t>Nivel Esfuerzo Editorial</t>
        </is>
      </c>
      <c r="C884" t="inlineStr">
        <is>
          <t>Editorial y Publicaciones</t>
        </is>
      </c>
      <c r="D884" t="inlineStr">
        <is>
          <t>Semestral</t>
        </is>
      </c>
      <c r="E884" t="inlineStr">
        <is>
          <t>Positivo</t>
        </is>
      </c>
      <c r="F884" s="113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85</v>
      </c>
      <c r="K884" t="n">
        <v>100</v>
      </c>
      <c r="L884" s="39" t="n">
        <v>1.176470588235294</v>
      </c>
      <c r="M884" s="39" t="n">
        <v>1.176470588235294</v>
      </c>
      <c r="N884" t="inlineStr">
        <is>
          <t>%</t>
        </is>
      </c>
      <c r="O884" t="inlineStr">
        <is>
          <t>%</t>
        </is>
      </c>
      <c r="P884" t="n">
        <v>0</v>
      </c>
      <c r="Q884" t="n">
        <v>0</v>
      </c>
      <c r="R884" t="inlineStr">
        <is>
          <t>462-2024-12-31</t>
        </is>
      </c>
    </row>
    <row r="885">
      <c r="A885" t="n">
        <v>463</v>
      </c>
      <c r="B885" t="inlineStr">
        <is>
          <t>Cumplimiento de las acciones del Plan de mejoramiento GPW</t>
        </is>
      </c>
      <c r="C885" t="inlineStr">
        <is>
          <t>GESTIÓN Y DESARROLLO DEL TALENTO HUMANO</t>
        </is>
      </c>
      <c r="D885" t="inlineStr">
        <is>
          <t>Semestral</t>
        </is>
      </c>
      <c r="E885" t="inlineStr">
        <is>
          <t>Positivo</t>
        </is>
      </c>
      <c r="F885" s="113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100</v>
      </c>
      <c r="K885" t="n">
        <v>100</v>
      </c>
      <c r="L885" s="39" t="n">
        <v>1</v>
      </c>
      <c r="M885" s="39" t="n">
        <v>1</v>
      </c>
      <c r="N885" t="inlineStr">
        <is>
          <t>%</t>
        </is>
      </c>
      <c r="O885" t="inlineStr">
        <is>
          <t>%</t>
        </is>
      </c>
      <c r="P885" t="n">
        <v>0</v>
      </c>
      <c r="Q885" t="n">
        <v>0</v>
      </c>
      <c r="R885" t="inlineStr">
        <is>
          <t>463-2024-12-31</t>
        </is>
      </c>
    </row>
    <row r="886">
      <c r="A886" t="n">
        <v>465</v>
      </c>
      <c r="B886" t="inlineStr">
        <is>
          <t>% de depuración histórico  SNIES</t>
        </is>
      </c>
      <c r="C886" t="inlineStr">
        <is>
          <t>DATOS Y ANALÍTICA</t>
        </is>
      </c>
      <c r="D886" t="inlineStr">
        <is>
          <t>Semestral</t>
        </is>
      </c>
      <c r="E886" t="inlineStr">
        <is>
          <t>Positivo</t>
        </is>
      </c>
      <c r="F886" s="113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100</v>
      </c>
      <c r="K886" t="n">
        <v>56.83</v>
      </c>
      <c r="L886" s="39" t="n">
        <v>0.5683</v>
      </c>
      <c r="M886" s="39" t="n">
        <v>0.5683</v>
      </c>
      <c r="N886" t="inlineStr">
        <is>
          <t>%</t>
        </is>
      </c>
      <c r="O886" t="inlineStr">
        <is>
          <t>%</t>
        </is>
      </c>
      <c r="P886" t="n">
        <v>0</v>
      </c>
      <c r="Q886" t="n">
        <v>0</v>
      </c>
      <c r="R886" t="inlineStr">
        <is>
          <t>465-2024-12-31</t>
        </is>
      </c>
    </row>
    <row r="887">
      <c r="A887" t="n">
        <v>466</v>
      </c>
      <c r="B887" t="inlineStr">
        <is>
          <t>NPS Estudiantes</t>
        </is>
      </c>
      <c r="C887" t="inlineStr">
        <is>
          <t>Servicio</t>
        </is>
      </c>
      <c r="D887" t="inlineStr">
        <is>
          <t>Semestral</t>
        </is>
      </c>
      <c r="E887" t="inlineStr">
        <is>
          <t>Positivo</t>
        </is>
      </c>
      <c r="F887" s="113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113.4</v>
      </c>
      <c r="L887" s="39" t="n">
        <v>1.134</v>
      </c>
      <c r="M887" s="39" t="n">
        <v>1.134</v>
      </c>
      <c r="N887" t="inlineStr">
        <is>
          <t>ENT</t>
        </is>
      </c>
      <c r="O887" t="inlineStr">
        <is>
          <t>DEC</t>
        </is>
      </c>
      <c r="P887" t="n">
        <v>1</v>
      </c>
      <c r="Q887" t="n">
        <v>1</v>
      </c>
      <c r="R887" t="inlineStr">
        <is>
          <t>466-2024-12-31</t>
        </is>
      </c>
    </row>
    <row r="888">
      <c r="A888" t="n">
        <v>466</v>
      </c>
      <c r="B888" t="inlineStr">
        <is>
          <t>NPS Estudiantes</t>
        </is>
      </c>
      <c r="C888" t="inlineStr">
        <is>
          <t>Servicio</t>
        </is>
      </c>
      <c r="D888" t="inlineStr">
        <is>
          <t>Semestral</t>
        </is>
      </c>
      <c r="E888" t="inlineStr">
        <is>
          <t>Positivo</t>
        </is>
      </c>
      <c r="F888" s="113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106.55</v>
      </c>
      <c r="L888" s="39" t="n">
        <v>1.0655</v>
      </c>
      <c r="M888" s="39" t="n">
        <v>1.0655</v>
      </c>
      <c r="N888" t="inlineStr">
        <is>
          <t>ENT</t>
        </is>
      </c>
      <c r="O888" t="inlineStr">
        <is>
          <t>DEC</t>
        </is>
      </c>
      <c r="P888" t="n">
        <v>1</v>
      </c>
      <c r="Q888" t="n">
        <v>1</v>
      </c>
      <c r="R888" t="inlineStr">
        <is>
          <t>466-2025-12-31</t>
        </is>
      </c>
    </row>
    <row r="889">
      <c r="A889" t="n">
        <v>467</v>
      </c>
      <c r="B889" t="inlineStr">
        <is>
          <t>NPS Graduados</t>
        </is>
      </c>
      <c r="C889" t="inlineStr">
        <is>
          <t>EXPERIENCIA INSTITUCIONAL</t>
        </is>
      </c>
      <c r="D889" t="inlineStr">
        <is>
          <t>Semestral</t>
        </is>
      </c>
      <c r="E889" t="inlineStr">
        <is>
          <t>Positivo</t>
        </is>
      </c>
      <c r="F889" s="113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100</v>
      </c>
      <c r="K889" t="n">
        <v>121.54</v>
      </c>
      <c r="L889" s="39" t="n">
        <v>1.2154</v>
      </c>
      <c r="M889" s="39" t="n">
        <v>1.2154</v>
      </c>
      <c r="N889" t="inlineStr">
        <is>
          <t>ENT</t>
        </is>
      </c>
      <c r="O889" t="inlineStr">
        <is>
          <t>DEC</t>
        </is>
      </c>
      <c r="P889" t="n">
        <v>0</v>
      </c>
      <c r="Q889" t="n">
        <v>1</v>
      </c>
      <c r="R889" t="inlineStr">
        <is>
          <t>467-2024-12-31</t>
        </is>
      </c>
    </row>
    <row r="890">
      <c r="A890" t="n">
        <v>467</v>
      </c>
      <c r="B890" t="inlineStr">
        <is>
          <t>NPS Graduados</t>
        </is>
      </c>
      <c r="C890" t="inlineStr">
        <is>
          <t>EXPERIENCIA INSTITUCIONAL</t>
        </is>
      </c>
      <c r="D890" t="inlineStr">
        <is>
          <t>Trimestral</t>
        </is>
      </c>
      <c r="E890" t="inlineStr">
        <is>
          <t>Positivo</t>
        </is>
      </c>
      <c r="F890" s="113" t="n">
        <v>46022</v>
      </c>
      <c r="G890" t="n">
        <v>2025</v>
      </c>
      <c r="H890" t="inlineStr">
        <is>
          <t>Diciembre</t>
        </is>
      </c>
      <c r="I890" t="inlineStr">
        <is>
          <t>2025-2</t>
        </is>
      </c>
      <c r="J890" t="n">
        <v>100</v>
      </c>
      <c r="K890" t="n">
        <v>108.75</v>
      </c>
      <c r="L890" s="39" t="n">
        <v>1.0875</v>
      </c>
      <c r="M890" s="39" t="n">
        <v>1.0875</v>
      </c>
      <c r="N890" t="inlineStr">
        <is>
          <t>ENT</t>
        </is>
      </c>
      <c r="O890" t="inlineStr">
        <is>
          <t>DEC</t>
        </is>
      </c>
      <c r="P890" t="n">
        <v>0</v>
      </c>
      <c r="Q890" t="n">
        <v>1</v>
      </c>
      <c r="R890" t="inlineStr">
        <is>
          <t>467-2025-12-31</t>
        </is>
      </c>
    </row>
    <row r="891">
      <c r="A891" t="n">
        <v>468</v>
      </c>
      <c r="B891" t="inlineStr">
        <is>
          <t>CES General</t>
        </is>
      </c>
      <c r="C891" t="inlineStr">
        <is>
          <t>EXPERIENCIA INSTITUCIONAL</t>
        </is>
      </c>
      <c r="D891" t="inlineStr">
        <is>
          <t>Semestral</t>
        </is>
      </c>
      <c r="E891" t="inlineStr">
        <is>
          <t>Negativo</t>
        </is>
      </c>
      <c r="F891" s="113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3</v>
      </c>
      <c r="K891" t="n">
        <v>2.725</v>
      </c>
      <c r="L891" s="39" t="n">
        <v>1.100917431192661</v>
      </c>
      <c r="M891" s="39" t="n">
        <v>1.100917431192661</v>
      </c>
      <c r="N891" t="inlineStr">
        <is>
          <t>ENT</t>
        </is>
      </c>
      <c r="O891" t="inlineStr">
        <is>
          <t>DEC</t>
        </is>
      </c>
      <c r="P891" t="n">
        <v>0</v>
      </c>
      <c r="Q891" t="n">
        <v>1</v>
      </c>
      <c r="R891" t="inlineStr">
        <is>
          <t>468-2024-12-31</t>
        </is>
      </c>
    </row>
    <row r="892">
      <c r="A892" t="n">
        <v>468</v>
      </c>
      <c r="B892" t="inlineStr">
        <is>
          <t>CES General</t>
        </is>
      </c>
      <c r="C892" t="inlineStr">
        <is>
          <t>EXPERIENCIA INSTITUCIONAL</t>
        </is>
      </c>
      <c r="D892" t="inlineStr">
        <is>
          <t>Trimestral</t>
        </is>
      </c>
      <c r="E892" t="inlineStr">
        <is>
          <t>Negativo</t>
        </is>
      </c>
      <c r="F892" s="113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2.5</v>
      </c>
      <c r="K892" t="n">
        <v>2.25</v>
      </c>
      <c r="L892" s="39" t="n">
        <v>1.111111111111111</v>
      </c>
      <c r="M892" s="39" t="n">
        <v>1.111111111111111</v>
      </c>
      <c r="N892" t="inlineStr">
        <is>
          <t>DEC</t>
        </is>
      </c>
      <c r="O892" t="inlineStr">
        <is>
          <t>DEC</t>
        </is>
      </c>
      <c r="P892" t="n">
        <v>1</v>
      </c>
      <c r="Q892" t="n">
        <v>1</v>
      </c>
      <c r="R892" t="inlineStr">
        <is>
          <t>468-2025-12-31</t>
        </is>
      </c>
    </row>
    <row r="893">
      <c r="A893" t="n">
        <v>469</v>
      </c>
      <c r="B893" t="inlineStr">
        <is>
          <t>Cumplimiento Plan Anual Áreas sede Medellín</t>
        </is>
      </c>
      <c r="C893" t="inlineStr">
        <is>
          <t>Planeación Estratégica</t>
        </is>
      </c>
      <c r="D893" t="inlineStr">
        <is>
          <t>Trimestral</t>
        </is>
      </c>
      <c r="E893" t="inlineStr">
        <is>
          <t>Positivo</t>
        </is>
      </c>
      <c r="F893" s="113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100</v>
      </c>
      <c r="K893" t="n">
        <v>99.7</v>
      </c>
      <c r="L893" s="39" t="n">
        <v>0.997</v>
      </c>
      <c r="M893" s="39" t="n">
        <v>0.997</v>
      </c>
      <c r="N893" t="inlineStr">
        <is>
          <t>%</t>
        </is>
      </c>
      <c r="O893" t="inlineStr">
        <is>
          <t>%</t>
        </is>
      </c>
      <c r="P893" t="n">
        <v>1</v>
      </c>
      <c r="Q893" t="n">
        <v>1</v>
      </c>
      <c r="R893" t="inlineStr">
        <is>
          <t>469-2024-12-31</t>
        </is>
      </c>
    </row>
    <row r="894">
      <c r="A894" t="n">
        <v>469</v>
      </c>
      <c r="B894" t="inlineStr">
        <is>
          <t>Cumplimiento Plan Anual Áreas sede Medellín</t>
        </is>
      </c>
      <c r="C894" t="inlineStr">
        <is>
          <t>Planeación Estratégica</t>
        </is>
      </c>
      <c r="D894" t="inlineStr">
        <is>
          <t>Semestral</t>
        </is>
      </c>
      <c r="E894" t="inlineStr">
        <is>
          <t>Positivo</t>
        </is>
      </c>
      <c r="F894" s="113" t="n">
        <v>46022</v>
      </c>
      <c r="G894" t="n">
        <v>2025</v>
      </c>
      <c r="H894" t="inlineStr">
        <is>
          <t>Diciembre</t>
        </is>
      </c>
      <c r="I894" t="inlineStr">
        <is>
          <t>2025-2</t>
        </is>
      </c>
      <c r="J894" t="n">
        <v>100</v>
      </c>
      <c r="K894" t="n">
        <v>99.13</v>
      </c>
      <c r="L894" s="39" t="n">
        <v>0.9913</v>
      </c>
      <c r="M894" s="39" t="n">
        <v>0.9913</v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469-2025-12-31</t>
        </is>
      </c>
    </row>
    <row r="895">
      <c r="A895" t="n">
        <v>470</v>
      </c>
      <c r="B895" t="inlineStr">
        <is>
          <t>Cumplimiento plan anual Secretaria académica y de extensión</t>
        </is>
      </c>
      <c r="C895" t="inlineStr">
        <is>
          <t>Planeación Estratégica</t>
        </is>
      </c>
      <c r="D895" t="inlineStr">
        <is>
          <t>Trimestral</t>
        </is>
      </c>
      <c r="E895" t="inlineStr">
        <is>
          <t>Positivo</t>
        </is>
      </c>
      <c r="F895" s="113" t="n">
        <v>45657</v>
      </c>
      <c r="G895" t="n">
        <v>2024</v>
      </c>
      <c r="H895" t="inlineStr">
        <is>
          <t>Diciembre</t>
        </is>
      </c>
      <c r="I895" t="inlineStr">
        <is>
          <t>2024-2</t>
        </is>
      </c>
      <c r="J895" t="n">
        <v>100</v>
      </c>
      <c r="K895" t="n">
        <v>100</v>
      </c>
      <c r="L895" s="39" t="n">
        <v>1</v>
      </c>
      <c r="M895" s="39" t="n">
        <v>1</v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470-2024-12-31</t>
        </is>
      </c>
    </row>
    <row r="896">
      <c r="A896" t="n">
        <v>470</v>
      </c>
      <c r="B896" t="inlineStr">
        <is>
          <t>Cumplimiento plan anual Secretaria académica y de extensión</t>
        </is>
      </c>
      <c r="C896" t="inlineStr">
        <is>
          <t>Planeación Estratégica</t>
        </is>
      </c>
      <c r="D896" t="inlineStr">
        <is>
          <t>Semestral</t>
        </is>
      </c>
      <c r="E896" t="inlineStr">
        <is>
          <t>Positivo</t>
        </is>
      </c>
      <c r="F896" s="113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J896" t="n">
        <v>100</v>
      </c>
      <c r="K896" t="n">
        <v>100</v>
      </c>
      <c r="L896" s="39" t="n">
        <v>1</v>
      </c>
      <c r="M896" s="39" t="n">
        <v>1</v>
      </c>
      <c r="N896" t="inlineStr">
        <is>
          <t>%</t>
        </is>
      </c>
      <c r="O896" t="inlineStr">
        <is>
          <t>%</t>
        </is>
      </c>
      <c r="P896" t="n">
        <v>0</v>
      </c>
      <c r="Q896" t="n">
        <v>0</v>
      </c>
      <c r="R896" t="inlineStr">
        <is>
          <t>470-2025-12-31</t>
        </is>
      </c>
    </row>
    <row r="897">
      <c r="A897" t="n">
        <v>471</v>
      </c>
      <c r="B897" t="inlineStr">
        <is>
          <t>Cumplimiento plan anual Gerencia de Talento Humano</t>
        </is>
      </c>
      <c r="C897" t="inlineStr">
        <is>
          <t>Planeación Estratégica</t>
        </is>
      </c>
      <c r="D897" t="inlineStr">
        <is>
          <t>Trimestral</t>
        </is>
      </c>
      <c r="E897" t="inlineStr">
        <is>
          <t>Positivo</t>
        </is>
      </c>
      <c r="F897" s="113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100</v>
      </c>
      <c r="K897" t="n">
        <v>99</v>
      </c>
      <c r="L897" s="39" t="n">
        <v>0.99</v>
      </c>
      <c r="M897" s="39" t="n">
        <v>0.99</v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471-2024-12-31</t>
        </is>
      </c>
    </row>
    <row r="898">
      <c r="A898" t="n">
        <v>471</v>
      </c>
      <c r="B898" t="inlineStr">
        <is>
          <t>Cumplimiento plan anual Gerencia de Talento Humano</t>
        </is>
      </c>
      <c r="C898" t="inlineStr">
        <is>
          <t>Planeación Estratégica</t>
        </is>
      </c>
      <c r="D898" t="inlineStr">
        <is>
          <t>Semestral</t>
        </is>
      </c>
      <c r="E898" t="inlineStr">
        <is>
          <t>Positivo</t>
        </is>
      </c>
      <c r="F898" s="113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100</v>
      </c>
      <c r="K898" t="n">
        <v>99.86</v>
      </c>
      <c r="L898" s="39" t="n">
        <v>0.9986</v>
      </c>
      <c r="M898" s="39" t="n">
        <v>0.9986</v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471-2025-12-31</t>
        </is>
      </c>
    </row>
    <row r="899">
      <c r="A899" t="n">
        <v>472</v>
      </c>
      <c r="B899" t="inlineStr">
        <is>
          <t>Cobertura de Recolección de Variables ADA (Arquitectura de datos para la analitica)</t>
        </is>
      </c>
      <c r="C899" t="inlineStr">
        <is>
          <t>DATOS Y ANALÍTICA</t>
        </is>
      </c>
      <c r="D899" t="inlineStr">
        <is>
          <t>Semestral</t>
        </is>
      </c>
      <c r="E899" t="inlineStr">
        <is>
          <t>Positivo</t>
        </is>
      </c>
      <c r="F899" s="113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100</v>
      </c>
      <c r="K899" t="n">
        <v>100</v>
      </c>
      <c r="L899" s="39" t="n">
        <v>1</v>
      </c>
      <c r="M899" s="39" t="n">
        <v>1</v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472-2024-12-31</t>
        </is>
      </c>
    </row>
    <row r="900">
      <c r="A900" t="n">
        <v>473</v>
      </c>
      <c r="B900" t="inlineStr">
        <is>
          <t>Programas con planes de estudios definidos</t>
        </is>
      </c>
      <c r="C900" t="inlineStr">
        <is>
          <t>Gestión, Evaluación e Innovación Curricular</t>
        </is>
      </c>
      <c r="D900" t="inlineStr">
        <is>
          <t>Semestral</t>
        </is>
      </c>
      <c r="E900" t="inlineStr">
        <is>
          <t>Positivo</t>
        </is>
      </c>
      <c r="F900" s="113" t="n">
        <v>45657</v>
      </c>
      <c r="G900" t="n">
        <v>2024</v>
      </c>
      <c r="H900" t="inlineStr">
        <is>
          <t>Diciembre</t>
        </is>
      </c>
      <c r="I900" t="inlineStr">
        <is>
          <t>2024-2</t>
        </is>
      </c>
      <c r="J900" t="n">
        <v>100</v>
      </c>
      <c r="K900" t="n">
        <v>100</v>
      </c>
      <c r="L900" s="39" t="n">
        <v>1</v>
      </c>
      <c r="M900" s="39" t="n">
        <v>1</v>
      </c>
      <c r="N900" t="inlineStr">
        <is>
          <t>ENT</t>
        </is>
      </c>
      <c r="O900" t="inlineStr">
        <is>
          <t>ENT</t>
        </is>
      </c>
      <c r="P900" t="n">
        <v>0</v>
      </c>
      <c r="Q900" t="n">
        <v>0</v>
      </c>
      <c r="R900" t="inlineStr">
        <is>
          <t>473-2024-12-31</t>
        </is>
      </c>
    </row>
    <row r="901">
      <c r="A901" t="n">
        <v>473</v>
      </c>
      <c r="B901" t="inlineStr">
        <is>
          <t>Programas con planes de estudios definidos</t>
        </is>
      </c>
      <c r="C901" t="inlineStr">
        <is>
          <t>Gestión, Evaluación e Innovación Curricular</t>
        </is>
      </c>
      <c r="D901" t="inlineStr">
        <is>
          <t>Semestral</t>
        </is>
      </c>
      <c r="E901" t="inlineStr">
        <is>
          <t>Positivo</t>
        </is>
      </c>
      <c r="F901" s="113" t="n">
        <v>45838</v>
      </c>
      <c r="G901" t="n">
        <v>2025</v>
      </c>
      <c r="H901" t="inlineStr">
        <is>
          <t>Junio</t>
        </is>
      </c>
      <c r="I901" t="inlineStr">
        <is>
          <t>2025-1</t>
        </is>
      </c>
      <c r="J901" t="n">
        <v>100</v>
      </c>
      <c r="K901" t="n">
        <v>100</v>
      </c>
      <c r="L901" s="39" t="n">
        <v>1</v>
      </c>
      <c r="M901" s="39" t="n">
        <v>1</v>
      </c>
      <c r="N901" t="inlineStr">
        <is>
          <t>ENT</t>
        </is>
      </c>
      <c r="O901" t="inlineStr">
        <is>
          <t>ENT</t>
        </is>
      </c>
      <c r="P901" t="n">
        <v>0</v>
      </c>
      <c r="Q901" t="n">
        <v>0</v>
      </c>
      <c r="R901" t="inlineStr">
        <is>
          <t>473-2025-06-30</t>
        </is>
      </c>
    </row>
    <row r="902">
      <c r="A902" t="n">
        <v>474</v>
      </c>
      <c r="B902" t="inlineStr">
        <is>
          <t>Programas con planes de estudios definidos por escuela (Nuevos Programas)</t>
        </is>
      </c>
      <c r="C902" t="inlineStr">
        <is>
          <t>Gestión de Unidades Académicas</t>
        </is>
      </c>
      <c r="D902" t="inlineStr">
        <is>
          <t>Semestral</t>
        </is>
      </c>
      <c r="E902" t="inlineStr">
        <is>
          <t>Positivo</t>
        </is>
      </c>
      <c r="F902" s="113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100</v>
      </c>
      <c r="K902" t="n">
        <v>100</v>
      </c>
      <c r="L902" s="39" t="n">
        <v>1</v>
      </c>
      <c r="M902" s="39" t="n">
        <v>1</v>
      </c>
      <c r="N902" t="inlineStr">
        <is>
          <t>ENT</t>
        </is>
      </c>
      <c r="O902" t="inlineStr">
        <is>
          <t>ENT</t>
        </is>
      </c>
      <c r="P902" t="n">
        <v>0</v>
      </c>
      <c r="Q902" t="n">
        <v>0</v>
      </c>
      <c r="R902" t="inlineStr">
        <is>
          <t>474-2024-12-31</t>
        </is>
      </c>
    </row>
    <row r="903">
      <c r="A903" s="5" t="n">
        <v>474</v>
      </c>
      <c r="B903" s="5" t="inlineStr">
        <is>
          <t>Programas con planes de estudios definidos por escuela (Nuevos Programas)</t>
        </is>
      </c>
      <c r="C903" s="5" t="inlineStr">
        <is>
          <t>Gestión de Unidades Académicas</t>
        </is>
      </c>
      <c r="D903" s="5" t="inlineStr">
        <is>
          <t>Trimestral</t>
        </is>
      </c>
      <c r="E903" s="5" t="inlineStr">
        <is>
          <t>Positivo</t>
        </is>
      </c>
      <c r="F903" s="109" t="n">
        <v>46022</v>
      </c>
      <c r="G903" s="5" t="n">
        <v>2025</v>
      </c>
      <c r="H903" s="5" t="inlineStr">
        <is>
          <t>Diciembre</t>
        </is>
      </c>
      <c r="I903" s="6" t="inlineStr">
        <is>
          <t>2025-2</t>
        </is>
      </c>
      <c r="J903" s="73" t="n"/>
      <c r="K903" s="9" t="n">
        <v>0</v>
      </c>
      <c r="L903" s="14" t="n"/>
      <c r="M903" s="14" t="n"/>
      <c r="N903" s="5" t="inlineStr">
        <is>
          <t>ENT</t>
        </is>
      </c>
      <c r="O903" s="5" t="inlineStr">
        <is>
          <t>ENT</t>
        </is>
      </c>
      <c r="P903" s="5" t="n">
        <v>0</v>
      </c>
      <c r="Q903" s="5" t="n">
        <v>0</v>
      </c>
      <c r="R903" s="5" t="inlineStr">
        <is>
          <t>474-2025-12-31</t>
        </is>
      </c>
    </row>
    <row r="904">
      <c r="A904" s="5" t="n">
        <v>475</v>
      </c>
      <c r="B904" s="5" t="inlineStr">
        <is>
          <t>Número de renovaciones de registro calificado radicadas al MEN</t>
        </is>
      </c>
      <c r="C904" s="5" t="inlineStr">
        <is>
          <t>Creación, modificación y cierre de programas académicos</t>
        </is>
      </c>
      <c r="D904" s="5" t="inlineStr">
        <is>
          <t>Semestral</t>
        </is>
      </c>
      <c r="E904" s="5" t="inlineStr">
        <is>
          <t>Positivo</t>
        </is>
      </c>
      <c r="F904" s="109" t="n">
        <v>45657</v>
      </c>
      <c r="G904" s="5" t="n">
        <v>2024</v>
      </c>
      <c r="H904" s="5" t="inlineStr">
        <is>
          <t>Diciembre</t>
        </is>
      </c>
      <c r="I904" s="6" t="inlineStr">
        <is>
          <t>2024-2</t>
        </is>
      </c>
      <c r="J904" s="5" t="n">
        <v>200</v>
      </c>
      <c r="K904" s="5" t="n">
        <v>140</v>
      </c>
      <c r="L904" s="14" t="n">
        <v>0.7</v>
      </c>
      <c r="M904" s="14" t="n">
        <v>0.7</v>
      </c>
      <c r="N904" s="5" t="inlineStr">
        <is>
          <t>ENT</t>
        </is>
      </c>
      <c r="O904" s="5" t="inlineStr">
        <is>
          <t>ENT</t>
        </is>
      </c>
      <c r="P904" s="5" t="n">
        <v>0</v>
      </c>
      <c r="Q904" s="5" t="n">
        <v>0</v>
      </c>
      <c r="R904" s="5" t="inlineStr">
        <is>
          <t>475-2024-12-31</t>
        </is>
      </c>
    </row>
    <row r="905">
      <c r="A905" t="n">
        <v>475</v>
      </c>
      <c r="B905" t="inlineStr">
        <is>
          <t>Número de renovaciones de registro calificado radicadas al MEN</t>
        </is>
      </c>
      <c r="C905" t="inlineStr">
        <is>
          <t>Creación, modificación y cierre de programas académicos</t>
        </is>
      </c>
      <c r="D905" t="inlineStr">
        <is>
          <t>Trimestral</t>
        </is>
      </c>
      <c r="E905" t="inlineStr">
        <is>
          <t>Positivo</t>
        </is>
      </c>
      <c r="F905" s="113" t="n">
        <v>46022</v>
      </c>
      <c r="G905" t="n">
        <v>2025</v>
      </c>
      <c r="H905" t="inlineStr">
        <is>
          <t>Diciembre</t>
        </is>
      </c>
      <c r="I905" t="inlineStr">
        <is>
          <t>2025-2</t>
        </is>
      </c>
      <c r="J905" t="n">
        <v>200</v>
      </c>
      <c r="K905" t="n">
        <v>100</v>
      </c>
      <c r="L905" s="39" t="n">
        <v>0.5</v>
      </c>
      <c r="M905" s="39" t="n">
        <v>0.5</v>
      </c>
      <c r="N905" t="inlineStr">
        <is>
          <t>ENT</t>
        </is>
      </c>
      <c r="O905" t="inlineStr">
        <is>
          <t>ENT</t>
        </is>
      </c>
      <c r="P905" t="n">
        <v>0</v>
      </c>
      <c r="Q905" t="n">
        <v>0</v>
      </c>
      <c r="R905" t="inlineStr">
        <is>
          <t>475-2025-12-31</t>
        </is>
      </c>
    </row>
    <row r="906">
      <c r="A906" t="n">
        <v>476</v>
      </c>
      <c r="B906" t="inlineStr">
        <is>
          <t>Programas con resultados de aprendizaje definidos</t>
        </is>
      </c>
      <c r="C906" t="inlineStr">
        <is>
          <t>Gestión, Evaluación e Innovación Curricular</t>
        </is>
      </c>
      <c r="D906" t="inlineStr">
        <is>
          <t>Semestral</t>
        </is>
      </c>
      <c r="E906" t="inlineStr">
        <is>
          <t>Positivo</t>
        </is>
      </c>
      <c r="F906" s="113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100</v>
      </c>
      <c r="K906" t="n">
        <v>100</v>
      </c>
      <c r="L906" s="39" t="n">
        <v>1</v>
      </c>
      <c r="M906" s="39" t="n">
        <v>1</v>
      </c>
      <c r="N906" t="inlineStr">
        <is>
          <t>ENT</t>
        </is>
      </c>
      <c r="O906" t="inlineStr">
        <is>
          <t>ENT</t>
        </is>
      </c>
      <c r="P906" t="n">
        <v>0</v>
      </c>
      <c r="Q906" t="n">
        <v>0</v>
      </c>
      <c r="R906" t="inlineStr">
        <is>
          <t>476-2024-12-31</t>
        </is>
      </c>
    </row>
    <row r="907">
      <c r="A907" t="n">
        <v>476</v>
      </c>
      <c r="B907" t="inlineStr">
        <is>
          <t>Programas con resultados de aprendizaje definidos</t>
        </is>
      </c>
      <c r="C907" t="inlineStr">
        <is>
          <t>Gestión, Evaluación e Innovación Curricular</t>
        </is>
      </c>
      <c r="D907" t="inlineStr">
        <is>
          <t>Semestral</t>
        </is>
      </c>
      <c r="E907" t="inlineStr">
        <is>
          <t>Positivo</t>
        </is>
      </c>
      <c r="F907" s="113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100</v>
      </c>
      <c r="K907" t="n">
        <v>100</v>
      </c>
      <c r="L907" s="39" t="n">
        <v>1</v>
      </c>
      <c r="M907" s="39" t="n">
        <v>1</v>
      </c>
      <c r="N907" t="inlineStr">
        <is>
          <t>ENT</t>
        </is>
      </c>
      <c r="O907" t="inlineStr">
        <is>
          <t>ENT</t>
        </is>
      </c>
      <c r="P907" t="n">
        <v>0</v>
      </c>
      <c r="Q907" t="n">
        <v>0</v>
      </c>
      <c r="R907" t="inlineStr">
        <is>
          <t>476-2025-12-31</t>
        </is>
      </c>
    </row>
    <row r="908">
      <c r="A908" t="n">
        <v>477</v>
      </c>
      <c r="B908" t="inlineStr">
        <is>
          <t>Programas con planes de estudios definidos por escuela (Programas Renovación, modificación y acreditación)</t>
        </is>
      </c>
      <c r="C908" t="inlineStr">
        <is>
          <t>Gestión de Unidades Académicas</t>
        </is>
      </c>
      <c r="D908" t="inlineStr">
        <is>
          <t>Semestral</t>
        </is>
      </c>
      <c r="E908" t="inlineStr">
        <is>
          <t>Positivo</t>
        </is>
      </c>
      <c r="F908" s="113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200</v>
      </c>
      <c r="K908" t="n">
        <v>200</v>
      </c>
      <c r="L908" s="39" t="n">
        <v>1</v>
      </c>
      <c r="M908" s="39" t="n">
        <v>1</v>
      </c>
      <c r="N908" t="inlineStr">
        <is>
          <t>ENT</t>
        </is>
      </c>
      <c r="O908" t="inlineStr">
        <is>
          <t>ENT</t>
        </is>
      </c>
      <c r="P908" t="n">
        <v>0</v>
      </c>
      <c r="Q908" t="n">
        <v>0</v>
      </c>
      <c r="R908" t="inlineStr">
        <is>
          <t>477-2024-12-31</t>
        </is>
      </c>
    </row>
    <row r="909">
      <c r="A909" t="n">
        <v>478</v>
      </c>
      <c r="B909" t="inlineStr">
        <is>
          <t>Programas con planes de estudios definidos por escuela (Mantenimiento de programas)</t>
        </is>
      </c>
      <c r="C909" t="inlineStr">
        <is>
          <t>Gestión de Unidades Académicas</t>
        </is>
      </c>
      <c r="D909" t="inlineStr">
        <is>
          <t>Semestral</t>
        </is>
      </c>
      <c r="E909" t="inlineStr">
        <is>
          <t>Positivo</t>
        </is>
      </c>
      <c r="F909" s="113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200</v>
      </c>
      <c r="K909" t="n">
        <v>100</v>
      </c>
      <c r="L909" s="39" t="n">
        <v>0.5</v>
      </c>
      <c r="M909" s="39" t="n">
        <v>0.5</v>
      </c>
      <c r="N909" t="inlineStr">
        <is>
          <t>ENT</t>
        </is>
      </c>
      <c r="O909" t="inlineStr">
        <is>
          <t>ENT</t>
        </is>
      </c>
      <c r="P909" t="n">
        <v>0</v>
      </c>
      <c r="Q909" t="n">
        <v>0</v>
      </c>
      <c r="R909" t="inlineStr">
        <is>
          <t>478-2024-12-31</t>
        </is>
      </c>
    </row>
    <row r="910">
      <c r="A910" t="n">
        <v>478</v>
      </c>
      <c r="B910" t="inlineStr">
        <is>
          <t>Programas con planes de estudios definidos por escuela (Mantenimiento de programas)</t>
        </is>
      </c>
      <c r="C910" t="inlineStr">
        <is>
          <t>Gestión de Unidades Académicas</t>
        </is>
      </c>
      <c r="D910" t="inlineStr">
        <is>
          <t>Trimestral</t>
        </is>
      </c>
      <c r="E910" t="inlineStr">
        <is>
          <t>Positivo</t>
        </is>
      </c>
      <c r="F910" s="113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K910" t="n">
        <v>0</v>
      </c>
      <c r="L910" s="39" t="n"/>
      <c r="M910" s="39" t="n"/>
      <c r="N910" t="inlineStr">
        <is>
          <t>ENT</t>
        </is>
      </c>
      <c r="O910" t="inlineStr">
        <is>
          <t>ENT</t>
        </is>
      </c>
      <c r="P910" t="n">
        <v>0</v>
      </c>
      <c r="Q910" t="n">
        <v>0</v>
      </c>
      <c r="R910" t="inlineStr">
        <is>
          <t>478-2025-12-31</t>
        </is>
      </c>
    </row>
    <row r="911">
      <c r="A911" t="n">
        <v>479</v>
      </c>
      <c r="B911" t="inlineStr">
        <is>
          <t>Programas con resultados de aprendizaje definidos por escuela (Nuevos Programas)</t>
        </is>
      </c>
      <c r="C911" t="inlineStr">
        <is>
          <t>Gestión de Unidades Académicas</t>
        </is>
      </c>
      <c r="D911" t="inlineStr">
        <is>
          <t>Semestral</t>
        </is>
      </c>
      <c r="E911" t="inlineStr">
        <is>
          <t>Positivo</t>
        </is>
      </c>
      <c r="F911" s="113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200</v>
      </c>
      <c r="K911" t="n">
        <v>200</v>
      </c>
      <c r="L911" s="39" t="n">
        <v>1</v>
      </c>
      <c r="M911" s="39" t="n">
        <v>1</v>
      </c>
      <c r="N911" t="inlineStr">
        <is>
          <t>ENT</t>
        </is>
      </c>
      <c r="O911" t="inlineStr">
        <is>
          <t>ENT</t>
        </is>
      </c>
      <c r="P911" t="n">
        <v>0</v>
      </c>
      <c r="Q911" t="n">
        <v>0</v>
      </c>
      <c r="R911" t="inlineStr">
        <is>
          <t>479-2024-12-31</t>
        </is>
      </c>
    </row>
    <row r="912">
      <c r="A912" t="n">
        <v>480</v>
      </c>
      <c r="B912" t="inlineStr">
        <is>
          <t>Programas con resultados de aprendizaje definidos por escuela (Programas Renovación, modificación y acreditación)</t>
        </is>
      </c>
      <c r="C912" t="inlineStr">
        <is>
          <t>Gestión de Unidades Académicas</t>
        </is>
      </c>
      <c r="D912" t="inlineStr">
        <is>
          <t>Semestral</t>
        </is>
      </c>
      <c r="E912" t="inlineStr">
        <is>
          <t>Positivo</t>
        </is>
      </c>
      <c r="F912" s="113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200</v>
      </c>
      <c r="K912" t="n">
        <v>200</v>
      </c>
      <c r="L912" s="39" t="n">
        <v>1</v>
      </c>
      <c r="M912" s="39" t="n">
        <v>1</v>
      </c>
      <c r="N912" t="inlineStr">
        <is>
          <t>ENT</t>
        </is>
      </c>
      <c r="O912" t="inlineStr">
        <is>
          <t>ENT</t>
        </is>
      </c>
      <c r="P912" t="n">
        <v>0</v>
      </c>
      <c r="Q912" t="n">
        <v>0</v>
      </c>
      <c r="R912" t="inlineStr">
        <is>
          <t>480-2024-12-31</t>
        </is>
      </c>
    </row>
    <row r="913">
      <c r="A913" t="n">
        <v>481</v>
      </c>
      <c r="B913" t="inlineStr">
        <is>
          <t>Solicitudes de documentación completadas</t>
        </is>
      </c>
      <c r="C913" t="inlineStr">
        <is>
          <t>Gestión, Evaluación e Innovación Curricular</t>
        </is>
      </c>
      <c r="D913" t="inlineStr">
        <is>
          <t>Semestral</t>
        </is>
      </c>
      <c r="E913" t="inlineStr">
        <is>
          <t>Positivo</t>
        </is>
      </c>
      <c r="F913" s="113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100</v>
      </c>
      <c r="K913" t="n">
        <v>100</v>
      </c>
      <c r="L913" s="39" t="n">
        <v>1</v>
      </c>
      <c r="M913" s="39" t="n">
        <v>1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481-2024-12-31</t>
        </is>
      </c>
    </row>
    <row r="914">
      <c r="A914" t="n">
        <v>481</v>
      </c>
      <c r="B914" t="inlineStr">
        <is>
          <t>Solicitudes de documentación completadas</t>
        </is>
      </c>
      <c r="C914" t="inlineStr">
        <is>
          <t>Gestión, Evaluación e Innovación Curricular</t>
        </is>
      </c>
      <c r="D914" t="inlineStr">
        <is>
          <t>Trimestral</t>
        </is>
      </c>
      <c r="E914" t="inlineStr">
        <is>
          <t>Positivo</t>
        </is>
      </c>
      <c r="F914" s="113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100</v>
      </c>
      <c r="K914" t="n">
        <v>100</v>
      </c>
      <c r="L914" s="39" t="n">
        <v>1</v>
      </c>
      <c r="M914" s="39" t="n">
        <v>1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481-2025-12-31</t>
        </is>
      </c>
    </row>
    <row r="915">
      <c r="A915" t="n">
        <v>483</v>
      </c>
      <c r="B915" t="inlineStr">
        <is>
          <t>Tasa de incremento en la resolución de solicitudes de la vicerrectoría de crecimiento</t>
        </is>
      </c>
      <c r="C915" t="inlineStr">
        <is>
          <t>Gestión de campañas integradas de marketing</t>
        </is>
      </c>
      <c r="D915" t="inlineStr">
        <is>
          <t>Anual</t>
        </is>
      </c>
      <c r="E915" t="inlineStr">
        <is>
          <t>Positivo</t>
        </is>
      </c>
      <c r="F915" s="113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10</v>
      </c>
      <c r="K915" t="n">
        <v>91.65000000000001</v>
      </c>
      <c r="L915" s="39" t="n">
        <v>1.3</v>
      </c>
      <c r="M915" s="39" t="n">
        <v>9.165000000000001</v>
      </c>
      <c r="N915" t="inlineStr">
        <is>
          <t>ENT</t>
        </is>
      </c>
      <c r="O915" t="inlineStr">
        <is>
          <t>ENT</t>
        </is>
      </c>
      <c r="P915" t="n">
        <v>0</v>
      </c>
      <c r="Q915" t="n">
        <v>0</v>
      </c>
      <c r="R915" t="inlineStr">
        <is>
          <t>483-2024-12-31</t>
        </is>
      </c>
    </row>
    <row r="916">
      <c r="A916" t="n">
        <v>484</v>
      </c>
      <c r="B916" t="inlineStr">
        <is>
          <t>Cumplimiento del Programa de la Cultura del Autocuidado</t>
        </is>
      </c>
      <c r="C916" t="inlineStr">
        <is>
          <t>GESTIÓN DE SEGURIDAD Y SALUD EN EL TRABAJO</t>
        </is>
      </c>
      <c r="D916" t="inlineStr">
        <is>
          <t>Trimestral</t>
        </is>
      </c>
      <c r="E916" t="inlineStr">
        <is>
          <t>Positivo</t>
        </is>
      </c>
      <c r="F916" s="113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90</v>
      </c>
      <c r="K916" t="n">
        <v>100</v>
      </c>
      <c r="L916" s="39" t="n">
        <v>1.111111111111111</v>
      </c>
      <c r="M916" s="39" t="n">
        <v>1.111111111111111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484-2024-12-31</t>
        </is>
      </c>
    </row>
    <row r="917">
      <c r="A917" t="n">
        <v>484</v>
      </c>
      <c r="B917" t="inlineStr">
        <is>
          <t>Cumplimiento del Programa de la Cultura del Autocuidado</t>
        </is>
      </c>
      <c r="C917" t="inlineStr">
        <is>
          <t>GESTIÓN DE SEGURIDAD Y SALUD EN EL TRABAJO</t>
        </is>
      </c>
      <c r="D917" t="inlineStr">
        <is>
          <t>Semestral</t>
        </is>
      </c>
      <c r="E917" t="inlineStr">
        <is>
          <t>Positivo</t>
        </is>
      </c>
      <c r="F917" s="113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90</v>
      </c>
      <c r="K917" t="n">
        <v>100</v>
      </c>
      <c r="L917" s="39" t="n">
        <v>1.111111111111111</v>
      </c>
      <c r="M917" s="39" t="n">
        <v>1.111111111111111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484-2025-12-31</t>
        </is>
      </c>
    </row>
    <row r="918">
      <c r="A918" t="n">
        <v>484</v>
      </c>
      <c r="B918" t="inlineStr">
        <is>
          <t>Cumplimiento del Programa de la Cultura del Autocuidado</t>
        </is>
      </c>
      <c r="C918" t="inlineStr">
        <is>
          <t>GESTIÓN DE SEGURIDAD Y SALUD EN EL TRABAJO</t>
        </is>
      </c>
      <c r="D918" t="inlineStr">
        <is>
          <t>Semestral</t>
        </is>
      </c>
      <c r="E918" t="inlineStr">
        <is>
          <t>Positivo</t>
        </is>
      </c>
      <c r="F918" s="113" t="n">
        <v>46112</v>
      </c>
      <c r="G918" t="n">
        <v>2026</v>
      </c>
      <c r="H918" t="inlineStr">
        <is>
          <t>Marzo</t>
        </is>
      </c>
      <c r="I918" t="inlineStr">
        <is>
          <t>2026-1</t>
        </is>
      </c>
      <c r="K918" t="n">
        <v>100</v>
      </c>
      <c r="L918" s="39" t="n"/>
      <c r="M918" s="39" t="n"/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484-2026-03-31</t>
        </is>
      </c>
    </row>
    <row r="919">
      <c r="A919" t="n">
        <v>485</v>
      </c>
      <c r="B919" t="inlineStr">
        <is>
          <t>Oportunidad en el cierre de acciones</t>
        </is>
      </c>
      <c r="C919" t="inlineStr">
        <is>
          <t>Gestión de calidad</t>
        </is>
      </c>
      <c r="D919" t="inlineStr">
        <is>
          <t>Mensual</t>
        </is>
      </c>
      <c r="E919" t="inlineStr">
        <is>
          <t>Positivo</t>
        </is>
      </c>
      <c r="F919" s="113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91.66666666666666</v>
      </c>
      <c r="L919" s="39" t="n">
        <v>1.145833333333333</v>
      </c>
      <c r="M919" s="39" t="n">
        <v>1.145833333333333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485-2024-12-31</t>
        </is>
      </c>
    </row>
    <row r="920">
      <c r="A920" t="n">
        <v>485</v>
      </c>
      <c r="B920" t="inlineStr">
        <is>
          <t>Oportunidad en el cierre de acciones</t>
        </is>
      </c>
      <c r="C920" t="inlineStr">
        <is>
          <t>Gestión de calidad</t>
        </is>
      </c>
      <c r="D920" t="inlineStr">
        <is>
          <t>Mensual</t>
        </is>
      </c>
      <c r="E920" t="inlineStr">
        <is>
          <t>Positivo</t>
        </is>
      </c>
      <c r="F920" s="113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80.14090909090909</v>
      </c>
      <c r="L920" s="39" t="n">
        <v>1.001761363636364</v>
      </c>
      <c r="M920" s="39" t="n">
        <v>1.001761363636364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485-2025-12-31</t>
        </is>
      </c>
    </row>
    <row r="921">
      <c r="A921" t="n">
        <v>486</v>
      </c>
      <c r="B921" t="inlineStr">
        <is>
          <t>Número de visitas a la página web</t>
        </is>
      </c>
      <c r="C921" t="inlineStr">
        <is>
          <t>Comunicaciones Internas</t>
        </is>
      </c>
      <c r="D921" t="inlineStr">
        <is>
          <t>Semestral</t>
        </is>
      </c>
      <c r="E921" t="inlineStr">
        <is>
          <t>Positivo</t>
        </is>
      </c>
      <c r="F921" s="113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0</v>
      </c>
      <c r="K921" t="n">
        <v>7600000</v>
      </c>
      <c r="L921" s="39" t="n"/>
      <c r="M921" s="39" t="n"/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486-2024-12-31</t>
        </is>
      </c>
    </row>
    <row r="922">
      <c r="A922" t="n">
        <v>486</v>
      </c>
      <c r="B922" t="inlineStr">
        <is>
          <t>Número de visitas a la página web</t>
        </is>
      </c>
      <c r="C922" t="inlineStr">
        <is>
          <t>Comunicaciones Internas</t>
        </is>
      </c>
      <c r="D922" t="inlineStr">
        <is>
          <t>Trimestral</t>
        </is>
      </c>
      <c r="E922" t="inlineStr">
        <is>
          <t>Positivo</t>
        </is>
      </c>
      <c r="F922" s="113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K922" t="n">
        <v>5594551</v>
      </c>
      <c r="L922" s="39" t="n"/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486-2025-12-31</t>
        </is>
      </c>
    </row>
    <row r="923">
      <c r="A923" t="n">
        <v>487</v>
      </c>
      <c r="B923" t="inlineStr">
        <is>
          <t>Impactados Talleres de formación</t>
        </is>
      </c>
      <c r="C923" t="inlineStr">
        <is>
          <t>Centro de Medios Audiovisuales</t>
        </is>
      </c>
      <c r="D923" t="inlineStr">
        <is>
          <t>Anual</t>
        </is>
      </c>
      <c r="E923" t="inlineStr">
        <is>
          <t>Positivo</t>
        </is>
      </c>
      <c r="F923" s="113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20</v>
      </c>
      <c r="K923" t="n">
        <v>6.06</v>
      </c>
      <c r="L923" s="39" t="n">
        <v>0.303</v>
      </c>
      <c r="M923" s="39" t="n">
        <v>0.303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487-2024-12-31</t>
        </is>
      </c>
    </row>
    <row r="924">
      <c r="A924" t="n">
        <v>487</v>
      </c>
      <c r="B924" t="inlineStr">
        <is>
          <t>Impactados Talleres de formación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13" t="n">
        <v>46022</v>
      </c>
      <c r="G924" t="n">
        <v>2025</v>
      </c>
      <c r="H924" t="inlineStr">
        <is>
          <t>Diciembre</t>
        </is>
      </c>
      <c r="I924" t="inlineStr">
        <is>
          <t>2025-2</t>
        </is>
      </c>
      <c r="J924" t="n">
        <v>20</v>
      </c>
      <c r="K924" t="n">
        <v>58.86</v>
      </c>
      <c r="L924" s="39" t="n">
        <v>1.3</v>
      </c>
      <c r="M924" s="39" t="n">
        <v>2.943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487-2025-12-31</t>
        </is>
      </c>
    </row>
    <row r="925">
      <c r="A925" t="n">
        <v>488</v>
      </c>
      <c r="B925" t="inlineStr">
        <is>
          <t>Oportunidad en el cierre de actividades de los planes de mejora</t>
        </is>
      </c>
      <c r="C925" t="inlineStr">
        <is>
          <t>Gestión de calidad</t>
        </is>
      </c>
      <c r="D925" t="inlineStr">
        <is>
          <t>Mensual</t>
        </is>
      </c>
      <c r="E925" t="inlineStr">
        <is>
          <t>Positivo</t>
        </is>
      </c>
      <c r="F925" s="113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85</v>
      </c>
      <c r="K925" t="n">
        <v>92.96128846079502</v>
      </c>
      <c r="L925" s="39" t="n">
        <v>1.093662217185824</v>
      </c>
      <c r="M925" s="39" t="n">
        <v>1.093662217185824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488-2024-12-31</t>
        </is>
      </c>
    </row>
    <row r="926">
      <c r="A926" t="n">
        <v>488</v>
      </c>
      <c r="B926" t="inlineStr">
        <is>
          <t>Oportunidad en el cierre de actividades de los planes de mejora</t>
        </is>
      </c>
      <c r="C926" t="inlineStr">
        <is>
          <t>Gestión de calidad</t>
        </is>
      </c>
      <c r="D926" t="inlineStr">
        <is>
          <t>Mensual</t>
        </is>
      </c>
      <c r="E926" t="inlineStr">
        <is>
          <t>Positivo</t>
        </is>
      </c>
      <c r="F926" s="113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85</v>
      </c>
      <c r="K926" t="n">
        <v>77.20042389461328</v>
      </c>
      <c r="L926" s="39" t="n">
        <v>0.9082402811130974</v>
      </c>
      <c r="M926" s="39" t="n">
        <v>0.9082402811130974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488-2025-12-31</t>
        </is>
      </c>
    </row>
    <row r="927">
      <c r="A927" t="n">
        <v>488</v>
      </c>
      <c r="B927" t="inlineStr">
        <is>
          <t>Oportunidad en el cierre de actividades de los planes de mejora</t>
        </is>
      </c>
      <c r="C927" t="inlineStr">
        <is>
          <t>Gestión de calidad</t>
        </is>
      </c>
      <c r="D927" t="inlineStr">
        <is>
          <t>Mensual</t>
        </is>
      </c>
      <c r="E927" t="inlineStr">
        <is>
          <t>Positivo</t>
        </is>
      </c>
      <c r="F927" s="113" t="n">
        <v>46112</v>
      </c>
      <c r="G927" t="n">
        <v>2026</v>
      </c>
      <c r="H927" t="inlineStr">
        <is>
          <t>Marzo</t>
        </is>
      </c>
      <c r="I927" t="inlineStr">
        <is>
          <t>2026-1</t>
        </is>
      </c>
      <c r="J927" t="n">
        <v>85</v>
      </c>
      <c r="K927" t="n">
        <v>82.78999999999999</v>
      </c>
      <c r="L927" s="39" t="n">
        <v>0.9739999999999999</v>
      </c>
      <c r="M927" s="39" t="n">
        <v>0.9739999999999999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488-2026-03-31</t>
        </is>
      </c>
    </row>
    <row r="928">
      <c r="A928" t="n">
        <v>489</v>
      </c>
      <c r="B928" t="inlineStr">
        <is>
          <t>Cumplimiento en la evaluación de las oportunidades de mejora (OM)</t>
        </is>
      </c>
      <c r="C928" t="inlineStr">
        <is>
          <t>Gestión de calidad</t>
        </is>
      </c>
      <c r="D928" t="inlineStr">
        <is>
          <t>Mensual</t>
        </is>
      </c>
      <c r="E928" t="inlineStr">
        <is>
          <t>Positivo</t>
        </is>
      </c>
      <c r="F928" s="113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100</v>
      </c>
      <c r="L928" s="39" t="n">
        <v>1.25</v>
      </c>
      <c r="M928" s="39" t="n">
        <v>1.25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489-2024-12-31</t>
        </is>
      </c>
    </row>
    <row r="929">
      <c r="A929" t="n">
        <v>490</v>
      </c>
      <c r="B929" t="inlineStr">
        <is>
          <t>Nivel de Satisfacción Servicios Prestados - Planeación Estratégica</t>
        </is>
      </c>
      <c r="C929" t="inlineStr">
        <is>
          <t>Planeación Estratégica</t>
        </is>
      </c>
      <c r="D929" t="inlineStr">
        <is>
          <t>Anual</t>
        </is>
      </c>
      <c r="E929" t="inlineStr">
        <is>
          <t>Positivo</t>
        </is>
      </c>
      <c r="F929" s="113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80</v>
      </c>
      <c r="K929" t="n">
        <v>88</v>
      </c>
      <c r="L929" s="39" t="n">
        <v>1.1</v>
      </c>
      <c r="M929" s="39" t="n">
        <v>1.1</v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490-2024-12-31</t>
        </is>
      </c>
    </row>
    <row r="930">
      <c r="A930" t="n">
        <v>490</v>
      </c>
      <c r="B930" t="inlineStr">
        <is>
          <t>Nivel de Satisfacción Servicios Prestados - Planeación Estratégica</t>
        </is>
      </c>
      <c r="C930" t="inlineStr">
        <is>
          <t>Planeación Estratégica</t>
        </is>
      </c>
      <c r="D930" t="inlineStr">
        <is>
          <t>Anual</t>
        </is>
      </c>
      <c r="E930" t="inlineStr">
        <is>
          <t>Positivo</t>
        </is>
      </c>
      <c r="F930" s="113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80</v>
      </c>
      <c r="K930" t="n">
        <v>100</v>
      </c>
      <c r="L930" s="39" t="n">
        <v>1.25</v>
      </c>
      <c r="M930" s="39" t="n">
        <v>1.25</v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490-2025-12-31</t>
        </is>
      </c>
    </row>
    <row r="931">
      <c r="A931" t="n">
        <v>491</v>
      </c>
      <c r="B931" t="inlineStr">
        <is>
          <t>Nivel de Satisfacción Servicios Prestados - Gestión de proyectos</t>
        </is>
      </c>
      <c r="C931" t="inlineStr">
        <is>
          <t>Gestión de Proyectos</t>
        </is>
      </c>
      <c r="D931" t="inlineStr">
        <is>
          <t>Anual</t>
        </is>
      </c>
      <c r="E931" t="inlineStr">
        <is>
          <t>Positivo</t>
        </is>
      </c>
      <c r="F931" s="113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88</v>
      </c>
      <c r="L931" s="39" t="n">
        <v>1.1</v>
      </c>
      <c r="M931" s="39" t="n">
        <v>1.1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491-2024-12-31</t>
        </is>
      </c>
    </row>
    <row r="932">
      <c r="A932" t="n">
        <v>491</v>
      </c>
      <c r="B932" t="inlineStr">
        <is>
          <t>Nivel de Satisfacción Servicios Prestados - Gestión de proyectos</t>
        </is>
      </c>
      <c r="C932" t="inlineStr">
        <is>
          <t>Gestión de Proyectos</t>
        </is>
      </c>
      <c r="D932" t="inlineStr">
        <is>
          <t>Anual</t>
        </is>
      </c>
      <c r="E932" t="inlineStr">
        <is>
          <t>Positivo</t>
        </is>
      </c>
      <c r="F932" s="113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100</v>
      </c>
      <c r="L932" s="39" t="n">
        <v>1.25</v>
      </c>
      <c r="M932" s="39" t="n">
        <v>1.25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491-2025-12-31</t>
        </is>
      </c>
    </row>
    <row r="933">
      <c r="A933" t="n">
        <v>492</v>
      </c>
      <c r="B933" t="inlineStr">
        <is>
          <t>Nivel de Satisfacción Servicios Prestados - Desempeño Institucional</t>
        </is>
      </c>
      <c r="C933" t="inlineStr">
        <is>
          <t>Desempeño Institucional</t>
        </is>
      </c>
      <c r="D933" t="inlineStr">
        <is>
          <t>Anual</t>
        </is>
      </c>
      <c r="E933" t="inlineStr">
        <is>
          <t>Positivo</t>
        </is>
      </c>
      <c r="F933" s="113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83</v>
      </c>
      <c r="L933" s="39" t="n">
        <v>1.0375</v>
      </c>
      <c r="M933" s="39" t="n">
        <v>1.0375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492-2024-12-31</t>
        </is>
      </c>
    </row>
    <row r="934">
      <c r="A934" t="n">
        <v>492</v>
      </c>
      <c r="B934" t="inlineStr">
        <is>
          <t>Nivel de Satisfacción Servicios Prestados - Desempeño Institucional</t>
        </is>
      </c>
      <c r="C934" t="inlineStr">
        <is>
          <t>Desempeño Institucional</t>
        </is>
      </c>
      <c r="D934" t="inlineStr">
        <is>
          <t>Anual</t>
        </is>
      </c>
      <c r="E934" t="inlineStr">
        <is>
          <t>Positivo</t>
        </is>
      </c>
      <c r="F934" s="113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95</v>
      </c>
      <c r="L934" s="39" t="n">
        <v>1.1875</v>
      </c>
      <c r="M934" s="39" t="n">
        <v>1.1875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492-2025-12-31</t>
        </is>
      </c>
    </row>
    <row r="935">
      <c r="A935" t="n">
        <v>493</v>
      </c>
      <c r="B935" t="inlineStr">
        <is>
          <t>Nivel de Satisfacción Servicios Prestados - Gestión Jurídica Y Normativa</t>
        </is>
      </c>
      <c r="C935" t="inlineStr">
        <is>
          <t>GESTIÓN JURÍDICA Y NORMATIVA</t>
        </is>
      </c>
      <c r="D935" t="inlineStr">
        <is>
          <t>Anual</t>
        </is>
      </c>
      <c r="E935" t="inlineStr">
        <is>
          <t>Positivo</t>
        </is>
      </c>
      <c r="F935" s="113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81</v>
      </c>
      <c r="L935" s="39" t="n">
        <v>1.0125</v>
      </c>
      <c r="M935" s="39" t="n">
        <v>1.0125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493-2024-12-31</t>
        </is>
      </c>
    </row>
    <row r="936">
      <c r="A936" t="n">
        <v>493</v>
      </c>
      <c r="B936" t="inlineStr">
        <is>
          <t>Nivel de Satisfacción Servicios Prestados - Gestión Jurídica Y Normativa</t>
        </is>
      </c>
      <c r="C936" t="inlineStr">
        <is>
          <t>GESTIÓN JURÍDICA Y NORMATIVA</t>
        </is>
      </c>
      <c r="D936" t="inlineStr">
        <is>
          <t>Anual</t>
        </is>
      </c>
      <c r="E936" t="inlineStr">
        <is>
          <t>Positivo</t>
        </is>
      </c>
      <c r="F936" s="113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77</v>
      </c>
      <c r="L936" s="39" t="n">
        <v>0.9625</v>
      </c>
      <c r="M936" s="39" t="n">
        <v>0.9625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493-2025-12-31</t>
        </is>
      </c>
    </row>
    <row r="937">
      <c r="A937" t="n">
        <v>494</v>
      </c>
      <c r="B937" t="inlineStr">
        <is>
          <t>Nivel de Satisfacción Servicios Prestados - Administración De Servicios Generales</t>
        </is>
      </c>
      <c r="C937" t="inlineStr">
        <is>
          <t>Administración de Servicios Generales</t>
        </is>
      </c>
      <c r="D937" t="inlineStr">
        <is>
          <t>Anual</t>
        </is>
      </c>
      <c r="E937" t="inlineStr">
        <is>
          <t>Positivo</t>
        </is>
      </c>
      <c r="F937" s="113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89</v>
      </c>
      <c r="L937" s="39" t="n">
        <v>1.1125</v>
      </c>
      <c r="M937" s="39" t="n">
        <v>1.1125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494-2024-12-31</t>
        </is>
      </c>
    </row>
    <row r="938">
      <c r="A938" t="n">
        <v>494</v>
      </c>
      <c r="B938" t="inlineStr">
        <is>
          <t>Nivel de Satisfacción Servicios Prestados - Administración De Servicios Generales</t>
        </is>
      </c>
      <c r="C938" t="inlineStr">
        <is>
          <t>Administración de Servicios Generales</t>
        </is>
      </c>
      <c r="D938" t="inlineStr">
        <is>
          <t>Anual</t>
        </is>
      </c>
      <c r="E938" t="inlineStr">
        <is>
          <t>Positivo</t>
        </is>
      </c>
      <c r="F938" s="113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93</v>
      </c>
      <c r="L938" s="39" t="n">
        <v>1.1625</v>
      </c>
      <c r="M938" s="39" t="n">
        <v>1.1625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494-2025-12-31</t>
        </is>
      </c>
    </row>
    <row r="939">
      <c r="A939" t="n">
        <v>495</v>
      </c>
      <c r="B939" t="inlineStr">
        <is>
          <t>Nivel de Satisfacción Servicios Prestados - Contabilidad</t>
        </is>
      </c>
      <c r="C939" t="inlineStr">
        <is>
          <t>Contabilidad</t>
        </is>
      </c>
      <c r="D939" t="inlineStr">
        <is>
          <t>Anual</t>
        </is>
      </c>
      <c r="E939" t="inlineStr">
        <is>
          <t>Positivo</t>
        </is>
      </c>
      <c r="F939" s="113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92</v>
      </c>
      <c r="L939" s="39" t="n">
        <v>1.15</v>
      </c>
      <c r="M939" s="39" t="n">
        <v>1.15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495-2024-12-31</t>
        </is>
      </c>
    </row>
    <row r="940">
      <c r="A940" t="n">
        <v>495</v>
      </c>
      <c r="B940" t="inlineStr">
        <is>
          <t>Nivel de Satisfacción Servicios Prestados - Contabilidad</t>
        </is>
      </c>
      <c r="C940" t="inlineStr">
        <is>
          <t>Contabilidad</t>
        </is>
      </c>
      <c r="D940" t="inlineStr">
        <is>
          <t>Anual</t>
        </is>
      </c>
      <c r="E940" t="inlineStr">
        <is>
          <t>Positivo</t>
        </is>
      </c>
      <c r="F940" s="113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63</v>
      </c>
      <c r="L940" s="39" t="n">
        <v>0.7875</v>
      </c>
      <c r="M940" s="39" t="n">
        <v>0.7875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495-2025-12-31</t>
        </is>
      </c>
    </row>
    <row r="941">
      <c r="A941" t="n">
        <v>496</v>
      </c>
      <c r="B941" t="inlineStr">
        <is>
          <t>Nivel de Satisfacción Servicios Prestados - Planeación Financiera</t>
        </is>
      </c>
      <c r="C941" t="inlineStr">
        <is>
          <t>Planeación Financiera</t>
        </is>
      </c>
      <c r="D941" t="inlineStr">
        <is>
          <t>Anual</t>
        </is>
      </c>
      <c r="E941" t="inlineStr">
        <is>
          <t>Positivo</t>
        </is>
      </c>
      <c r="F941" s="113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88</v>
      </c>
      <c r="L941" s="39" t="n">
        <v>1.1</v>
      </c>
      <c r="M941" s="39" t="n">
        <v>1.1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496-2024-12-31</t>
        </is>
      </c>
    </row>
    <row r="942">
      <c r="A942" t="n">
        <v>496</v>
      </c>
      <c r="B942" t="inlineStr">
        <is>
          <t>Nivel de Satisfacción Servicios Prestados - Planeación Financiera</t>
        </is>
      </c>
      <c r="C942" t="inlineStr">
        <is>
          <t>Planeación Financiera</t>
        </is>
      </c>
      <c r="D942" t="inlineStr">
        <is>
          <t>Anual</t>
        </is>
      </c>
      <c r="E942" t="inlineStr">
        <is>
          <t>Positivo</t>
        </is>
      </c>
      <c r="F942" s="113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100</v>
      </c>
      <c r="L942" s="39" t="n">
        <v>1.25</v>
      </c>
      <c r="M942" s="39" t="n">
        <v>1.25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496-2025-12-31</t>
        </is>
      </c>
    </row>
    <row r="943">
      <c r="A943" t="n">
        <v>497</v>
      </c>
      <c r="B943" t="inlineStr">
        <is>
          <t>Nivel de Satisfacción Servicios Prestados - Tesorería</t>
        </is>
      </c>
      <c r="C943" t="inlineStr">
        <is>
          <t>Tesorería</t>
        </is>
      </c>
      <c r="D943" t="inlineStr">
        <is>
          <t>Anual</t>
        </is>
      </c>
      <c r="E943" t="inlineStr">
        <is>
          <t>Positivo</t>
        </is>
      </c>
      <c r="F943" s="113" t="n">
        <v>45657</v>
      </c>
      <c r="G943" t="n">
        <v>2024</v>
      </c>
      <c r="H943" t="inlineStr">
        <is>
          <t>Diciembre</t>
        </is>
      </c>
      <c r="I943" t="inlineStr">
        <is>
          <t>2024-2</t>
        </is>
      </c>
      <c r="J943" t="n">
        <v>80</v>
      </c>
      <c r="K943" t="n">
        <v>83</v>
      </c>
      <c r="L943" s="39" t="n">
        <v>1.0375</v>
      </c>
      <c r="M943" s="39" t="n">
        <v>1.0375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497-2024-12-31</t>
        </is>
      </c>
    </row>
    <row r="944">
      <c r="A944" t="n">
        <v>498</v>
      </c>
      <c r="B944" t="inlineStr">
        <is>
          <t>Nivel de Satisfacción Servicios Prestados - Centro de Medios Audiovisuales</t>
        </is>
      </c>
      <c r="C944" t="inlineStr">
        <is>
          <t>Centro de Medios Audiovisuales</t>
        </is>
      </c>
      <c r="D944" t="inlineStr">
        <is>
          <t>Anual</t>
        </is>
      </c>
      <c r="E944" t="inlineStr">
        <is>
          <t>Positivo</t>
        </is>
      </c>
      <c r="F944" s="113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92</v>
      </c>
      <c r="L944" s="39" t="n">
        <v>1.15</v>
      </c>
      <c r="M944" s="39" t="n">
        <v>1.15</v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498-2024-12-31</t>
        </is>
      </c>
    </row>
    <row r="945">
      <c r="A945" t="n">
        <v>498</v>
      </c>
      <c r="B945" t="inlineStr">
        <is>
          <t>Nivel de Satisfacción Servicios Prestados - Centro de Medios Audiovisuales</t>
        </is>
      </c>
      <c r="C945" t="inlineStr">
        <is>
          <t>Centro de Medios Audiovisuales</t>
        </is>
      </c>
      <c r="D945" t="inlineStr">
        <is>
          <t>Anual</t>
        </is>
      </c>
      <c r="E945" t="inlineStr">
        <is>
          <t>Positivo</t>
        </is>
      </c>
      <c r="F945" s="113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95</v>
      </c>
      <c r="L945" s="39" t="n">
        <v>1.1875</v>
      </c>
      <c r="M945" s="39" t="n">
        <v>1.1875</v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498-2025-12-31</t>
        </is>
      </c>
    </row>
    <row r="946">
      <c r="A946" t="n">
        <v>499</v>
      </c>
      <c r="B946" t="inlineStr">
        <is>
          <t>Nivel de Satisfacción Servicios Prestados - Datos y analítica</t>
        </is>
      </c>
      <c r="C946" t="inlineStr">
        <is>
          <t>DATOS Y ANALÍTICA</t>
        </is>
      </c>
      <c r="D946" t="inlineStr">
        <is>
          <t>Anual</t>
        </is>
      </c>
      <c r="E946" t="inlineStr">
        <is>
          <t>Positivo</t>
        </is>
      </c>
      <c r="F946" s="113" t="n">
        <v>45657</v>
      </c>
      <c r="G946" t="n">
        <v>2024</v>
      </c>
      <c r="H946" t="inlineStr">
        <is>
          <t>Diciembre</t>
        </is>
      </c>
      <c r="I946" t="inlineStr">
        <is>
          <t>2024-2</t>
        </is>
      </c>
      <c r="J946" t="n">
        <v>80</v>
      </c>
      <c r="K946" t="n">
        <v>87</v>
      </c>
      <c r="L946" s="39" t="n">
        <v>1.0875</v>
      </c>
      <c r="M946" s="39" t="n">
        <v>1.0875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499-2024-12-31</t>
        </is>
      </c>
    </row>
    <row r="947">
      <c r="A947" t="n">
        <v>499</v>
      </c>
      <c r="B947" t="inlineStr">
        <is>
          <t>Nivel de Satisfacción Servicios Prestados - Datos y analítica</t>
        </is>
      </c>
      <c r="C947" t="inlineStr">
        <is>
          <t>DATOS Y ANALÍTICA</t>
        </is>
      </c>
      <c r="D947" t="inlineStr">
        <is>
          <t>Anual</t>
        </is>
      </c>
      <c r="E947" t="inlineStr">
        <is>
          <t>Positivo</t>
        </is>
      </c>
      <c r="F947" s="113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J947" t="n">
        <v>80</v>
      </c>
      <c r="K947" t="n">
        <v>0</v>
      </c>
      <c r="L947" s="39" t="n">
        <v>0</v>
      </c>
      <c r="M947" s="39" t="n">
        <v>0</v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499-2025-12-31</t>
        </is>
      </c>
    </row>
    <row r="948">
      <c r="A948" t="n">
        <v>500</v>
      </c>
      <c r="B948" t="inlineStr">
        <is>
          <t>Nivel de Satisfacción Servicios Prestados -Servicio de Salud</t>
        </is>
      </c>
      <c r="C948" t="inlineStr">
        <is>
          <t>Servicio de Salud</t>
        </is>
      </c>
      <c r="D948" t="inlineStr">
        <is>
          <t>Anual</t>
        </is>
      </c>
      <c r="E948" t="inlineStr">
        <is>
          <t>Positivo</t>
        </is>
      </c>
      <c r="F948" s="113" t="n">
        <v>45657</v>
      </c>
      <c r="G948" t="n">
        <v>2024</v>
      </c>
      <c r="H948" t="inlineStr">
        <is>
          <t>Diciembre</t>
        </is>
      </c>
      <c r="I948" t="inlineStr">
        <is>
          <t>2024-2</t>
        </is>
      </c>
      <c r="J948" t="n">
        <v>80</v>
      </c>
      <c r="K948" t="n">
        <v>89</v>
      </c>
      <c r="L948" s="39" t="n">
        <v>1.1125</v>
      </c>
      <c r="M948" s="39" t="n">
        <v>1.1125</v>
      </c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500-2024-12-31</t>
        </is>
      </c>
    </row>
    <row r="949">
      <c r="A949" t="n">
        <v>500</v>
      </c>
      <c r="B949" t="inlineStr">
        <is>
          <t>Nivel de Satisfacción Servicios Prestados -Servicio de Salud</t>
        </is>
      </c>
      <c r="C949" t="inlineStr">
        <is>
          <t>Servicio de Salud</t>
        </is>
      </c>
      <c r="D949" t="inlineStr">
        <is>
          <t>Anual</t>
        </is>
      </c>
      <c r="E949" t="inlineStr">
        <is>
          <t>Positivo</t>
        </is>
      </c>
      <c r="F949" s="113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80</v>
      </c>
      <c r="K949" t="n">
        <v>100</v>
      </c>
      <c r="L949" s="39" t="n">
        <v>1.25</v>
      </c>
      <c r="M949" s="39" t="n">
        <v>1.25</v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500-2025-12-31</t>
        </is>
      </c>
    </row>
    <row r="950">
      <c r="A950" t="n">
        <v>501</v>
      </c>
      <c r="B950" t="inlineStr">
        <is>
          <t>Nivel de Satisfacción Servicios Prestados -Gestión, evaluación e innovación curricular</t>
        </is>
      </c>
      <c r="C950" t="inlineStr">
        <is>
          <t>Gestión, Evaluación e Innovación Curricular</t>
        </is>
      </c>
      <c r="D950" t="inlineStr">
        <is>
          <t>Anual</t>
        </is>
      </c>
      <c r="E950" t="inlineStr">
        <is>
          <t>Positivo</t>
        </is>
      </c>
      <c r="F950" s="113" t="n">
        <v>45657</v>
      </c>
      <c r="G950" t="n">
        <v>2024</v>
      </c>
      <c r="H950" t="inlineStr">
        <is>
          <t>Diciembre</t>
        </is>
      </c>
      <c r="I950" t="inlineStr">
        <is>
          <t>2024-2</t>
        </is>
      </c>
      <c r="J950" t="n">
        <v>80</v>
      </c>
      <c r="K950" t="n">
        <v>88</v>
      </c>
      <c r="L950" s="39" t="n">
        <v>1.1</v>
      </c>
      <c r="M950" s="39" t="n">
        <v>1.1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501-2024-12-31</t>
        </is>
      </c>
    </row>
    <row r="951">
      <c r="A951" t="n">
        <v>501</v>
      </c>
      <c r="B951" t="inlineStr">
        <is>
          <t>Nivel de Satisfacción Servicios Prestados -Gestión, evaluación e innovación curricular</t>
        </is>
      </c>
      <c r="C951" t="inlineStr">
        <is>
          <t>Gestión, Evaluación e Innovación Curricular</t>
        </is>
      </c>
      <c r="D951" t="inlineStr">
        <is>
          <t>Anual</t>
        </is>
      </c>
      <c r="E951" t="inlineStr">
        <is>
          <t>Positivo</t>
        </is>
      </c>
      <c r="F951" s="113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J951" t="n">
        <v>80</v>
      </c>
      <c r="K951" t="n">
        <v>100</v>
      </c>
      <c r="L951" s="39" t="n">
        <v>1.25</v>
      </c>
      <c r="M951" s="39" t="n">
        <v>1.25</v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501-2025-12-31</t>
        </is>
      </c>
    </row>
    <row r="952">
      <c r="A952" t="n">
        <v>502</v>
      </c>
      <c r="B952" t="inlineStr">
        <is>
          <t>Nivel de Satisfacción Servicios Prestados -Formación para la investigación, creación e innovación</t>
        </is>
      </c>
      <c r="C952" t="inlineStr">
        <is>
          <t>Formación para la investigación, creación e innovación</t>
        </is>
      </c>
      <c r="D952" t="inlineStr">
        <is>
          <t>Anual</t>
        </is>
      </c>
      <c r="E952" t="inlineStr">
        <is>
          <t>Positivo</t>
        </is>
      </c>
      <c r="F952" s="113" t="n">
        <v>45657</v>
      </c>
      <c r="G952" t="n">
        <v>2024</v>
      </c>
      <c r="H952" t="inlineStr">
        <is>
          <t>Diciembre</t>
        </is>
      </c>
      <c r="I952" t="inlineStr">
        <is>
          <t>2024-2</t>
        </is>
      </c>
      <c r="J952" t="n">
        <v>80</v>
      </c>
      <c r="K952" t="n">
        <v>90</v>
      </c>
      <c r="L952" s="39" t="n">
        <v>1.125</v>
      </c>
      <c r="M952" s="39" t="n">
        <v>1.125</v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502-2024-12-31</t>
        </is>
      </c>
    </row>
    <row r="953">
      <c r="A953" t="n">
        <v>502</v>
      </c>
      <c r="B953" t="inlineStr">
        <is>
          <t>Nivel de Satisfacción Servicios Prestados -Formación para la investigación, creación e innovación</t>
        </is>
      </c>
      <c r="C953" t="inlineStr">
        <is>
          <t>Formación para la investigación, creación e innovación</t>
        </is>
      </c>
      <c r="D953" t="inlineStr">
        <is>
          <t>Anual</t>
        </is>
      </c>
      <c r="E953" t="inlineStr">
        <is>
          <t>Positivo</t>
        </is>
      </c>
      <c r="F953" s="113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80</v>
      </c>
      <c r="K953" t="n">
        <v>97</v>
      </c>
      <c r="L953" s="39" t="n">
        <v>1.2125</v>
      </c>
      <c r="M953" s="39" t="n">
        <v>1.2125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502-2025-12-31</t>
        </is>
      </c>
    </row>
    <row r="954">
      <c r="A954" t="n">
        <v>503</v>
      </c>
      <c r="B954" t="inlineStr">
        <is>
          <t>Nivel de Satisfacción Servicios Prestados -Gestión de Unidades Académicas</t>
        </is>
      </c>
      <c r="C954" t="inlineStr">
        <is>
          <t>Gestión de Unidades Académicas</t>
        </is>
      </c>
      <c r="D954" t="inlineStr">
        <is>
          <t>Anual</t>
        </is>
      </c>
      <c r="E954" t="inlineStr">
        <is>
          <t>Positivo</t>
        </is>
      </c>
      <c r="F954" s="113" t="n">
        <v>45657</v>
      </c>
      <c r="G954" t="n">
        <v>2024</v>
      </c>
      <c r="H954" t="inlineStr">
        <is>
          <t>Diciembre</t>
        </is>
      </c>
      <c r="I954" t="inlineStr">
        <is>
          <t>2024-2</t>
        </is>
      </c>
      <c r="J954" t="n">
        <v>80</v>
      </c>
      <c r="K954" t="n">
        <v>86</v>
      </c>
      <c r="L954" s="39" t="n">
        <v>1.075</v>
      </c>
      <c r="M954" s="39" t="n">
        <v>1.075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503-2024-12-31</t>
        </is>
      </c>
    </row>
    <row r="955">
      <c r="A955" t="n">
        <v>503</v>
      </c>
      <c r="B955" t="inlineStr">
        <is>
          <t>Nivel de Satisfacción Servicios Prestados -Gestión de Unidades Académicas</t>
        </is>
      </c>
      <c r="C955" t="inlineStr">
        <is>
          <t>Gestión de Unidades Académicas</t>
        </is>
      </c>
      <c r="D955" t="inlineStr">
        <is>
          <t>Anual</t>
        </is>
      </c>
      <c r="E955" t="inlineStr">
        <is>
          <t>Positivo</t>
        </is>
      </c>
      <c r="F955" s="113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80</v>
      </c>
      <c r="K955" t="n">
        <v>94</v>
      </c>
      <c r="L955" s="39" t="n">
        <v>1.175</v>
      </c>
      <c r="M955" s="39" t="n">
        <v>1.175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503-2025-12-31</t>
        </is>
      </c>
    </row>
    <row r="956">
      <c r="A956" t="n">
        <v>504</v>
      </c>
      <c r="B956" t="inlineStr">
        <is>
          <t>Nivel de Satisfacción Servicios Prestados - LEI</t>
        </is>
      </c>
      <c r="C956" t="inlineStr">
        <is>
          <t>LEI</t>
        </is>
      </c>
      <c r="D956" t="inlineStr">
        <is>
          <t>Anual</t>
        </is>
      </c>
      <c r="E956" t="inlineStr">
        <is>
          <t>Positivo</t>
        </is>
      </c>
      <c r="F956" s="113" t="n">
        <v>45657</v>
      </c>
      <c r="G956" t="n">
        <v>2024</v>
      </c>
      <c r="H956" t="inlineStr">
        <is>
          <t>Diciembre</t>
        </is>
      </c>
      <c r="I956" t="inlineStr">
        <is>
          <t>2024-2</t>
        </is>
      </c>
      <c r="J956" t="n">
        <v>80</v>
      </c>
      <c r="K956" t="n">
        <v>88</v>
      </c>
      <c r="L956" s="39" t="n">
        <v>1.1</v>
      </c>
      <c r="M956" s="39" t="n">
        <v>1.1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504-2024-12-31</t>
        </is>
      </c>
    </row>
    <row r="957">
      <c r="A957" t="n">
        <v>504</v>
      </c>
      <c r="B957" t="inlineStr">
        <is>
          <t>Nivel de Satisfacción Servicios Prestados - LEI</t>
        </is>
      </c>
      <c r="C957" t="inlineStr">
        <is>
          <t>LEI</t>
        </is>
      </c>
      <c r="D957" t="inlineStr">
        <is>
          <t>Anual</t>
        </is>
      </c>
      <c r="E957" t="inlineStr">
        <is>
          <t>Positivo</t>
        </is>
      </c>
      <c r="F957" s="113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80</v>
      </c>
      <c r="K957" t="n">
        <v>88</v>
      </c>
      <c r="L957" s="39" t="n">
        <v>1.1</v>
      </c>
      <c r="M957" s="39" t="n">
        <v>1.1</v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504-2025-12-31</t>
        </is>
      </c>
    </row>
    <row r="958">
      <c r="A958" t="n">
        <v>505</v>
      </c>
      <c r="B958" t="inlineStr">
        <is>
          <t>Nivel de Satisfacción Servicios Prestados - Mercadeo de programas académicos</t>
        </is>
      </c>
      <c r="C958" t="inlineStr">
        <is>
          <t>Mercadeo de programas académicos</t>
        </is>
      </c>
      <c r="D958" t="inlineStr">
        <is>
          <t>Anual</t>
        </is>
      </c>
      <c r="E958" t="inlineStr">
        <is>
          <t>Positivo</t>
        </is>
      </c>
      <c r="F958" s="113" t="n">
        <v>45657</v>
      </c>
      <c r="G958" t="n">
        <v>2024</v>
      </c>
      <c r="H958" t="inlineStr">
        <is>
          <t>Diciembre</t>
        </is>
      </c>
      <c r="I958" t="inlineStr">
        <is>
          <t>2024-2</t>
        </is>
      </c>
      <c r="J958" t="n">
        <v>80</v>
      </c>
      <c r="K958" t="n">
        <v>85</v>
      </c>
      <c r="L958" s="39" t="n">
        <v>1.0625</v>
      </c>
      <c r="M958" s="39" t="n">
        <v>1.0625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505-2024-12-31</t>
        </is>
      </c>
    </row>
    <row r="959">
      <c r="A959" t="n">
        <v>505</v>
      </c>
      <c r="B959" t="inlineStr">
        <is>
          <t>Nivel de Satisfacción Servicios Prestados - Mercadeo de programas académicos</t>
        </is>
      </c>
      <c r="C959" t="inlineStr">
        <is>
          <t>Mercadeo de programas académicos</t>
        </is>
      </c>
      <c r="D959" t="inlineStr">
        <is>
          <t>Anual</t>
        </is>
      </c>
      <c r="E959" t="inlineStr">
        <is>
          <t>Positivo</t>
        </is>
      </c>
      <c r="F959" s="113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80</v>
      </c>
      <c r="K959" t="n">
        <v>86</v>
      </c>
      <c r="L959" s="39" t="n">
        <v>1.075</v>
      </c>
      <c r="M959" s="39" t="n">
        <v>1.075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505-2025-12-31</t>
        </is>
      </c>
    </row>
    <row r="960">
      <c r="A960" t="n">
        <v>506</v>
      </c>
      <c r="B960" t="inlineStr">
        <is>
          <t>Nivel de Satisfacción Servicios Prestados - Prácticas</t>
        </is>
      </c>
      <c r="C960" t="inlineStr">
        <is>
          <t>Prácticas</t>
        </is>
      </c>
      <c r="D960" t="inlineStr">
        <is>
          <t>Anual</t>
        </is>
      </c>
      <c r="E960" t="inlineStr">
        <is>
          <t>Positivo</t>
        </is>
      </c>
      <c r="F960" s="113" t="n">
        <v>45657</v>
      </c>
      <c r="G960" t="n">
        <v>2024</v>
      </c>
      <c r="H960" t="inlineStr">
        <is>
          <t>Diciembre</t>
        </is>
      </c>
      <c r="I960" t="inlineStr">
        <is>
          <t>2024-2</t>
        </is>
      </c>
      <c r="J960" t="n">
        <v>80</v>
      </c>
      <c r="K960" t="n">
        <v>67</v>
      </c>
      <c r="L960" s="39" t="n">
        <v>0.8375</v>
      </c>
      <c r="M960" s="39" t="n">
        <v>0.8375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506-2024-12-31</t>
        </is>
      </c>
    </row>
    <row r="961">
      <c r="A961" t="n">
        <v>506</v>
      </c>
      <c r="B961" t="inlineStr">
        <is>
          <t>Nivel de Satisfacción Servicios Prestados - Prácticas</t>
        </is>
      </c>
      <c r="C961" t="inlineStr">
        <is>
          <t>Prácticas</t>
        </is>
      </c>
      <c r="D961" t="inlineStr">
        <is>
          <t>Trimestral</t>
        </is>
      </c>
      <c r="E961" t="inlineStr">
        <is>
          <t>Positivo</t>
        </is>
      </c>
      <c r="F961" s="113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80</v>
      </c>
      <c r="K961" t="n">
        <v>92.5</v>
      </c>
      <c r="L961" s="39" t="n">
        <v>1.15625</v>
      </c>
      <c r="M961" s="39" t="n">
        <v>1.15625</v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506-2025-12-31</t>
        </is>
      </c>
    </row>
    <row r="962">
      <c r="A962" t="n">
        <v>507</v>
      </c>
      <c r="B962" t="inlineStr">
        <is>
          <t>Nivel de Satisfacción Servicios Prestados -Cultura y Deporte</t>
        </is>
      </c>
      <c r="C962" t="inlineStr">
        <is>
          <t>Cultura y Deporte</t>
        </is>
      </c>
      <c r="D962" t="inlineStr">
        <is>
          <t>Anual</t>
        </is>
      </c>
      <c r="E962" t="inlineStr">
        <is>
          <t>Positivo</t>
        </is>
      </c>
      <c r="F962" s="113" t="n">
        <v>45657</v>
      </c>
      <c r="G962" t="n">
        <v>2024</v>
      </c>
      <c r="H962" t="inlineStr">
        <is>
          <t>Diciembre</t>
        </is>
      </c>
      <c r="I962" t="inlineStr">
        <is>
          <t>2024-2</t>
        </is>
      </c>
      <c r="J962" t="n">
        <v>80</v>
      </c>
      <c r="K962" t="n">
        <v>77</v>
      </c>
      <c r="L962" s="39" t="n">
        <v>0.9625</v>
      </c>
      <c r="M962" s="39" t="n">
        <v>0.9625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507-2024-12-31</t>
        </is>
      </c>
    </row>
    <row r="963">
      <c r="A963" t="n">
        <v>507</v>
      </c>
      <c r="B963" t="inlineStr">
        <is>
          <t>Nivel de Satisfacción Servicios Prestados -Cultura y Deporte</t>
        </is>
      </c>
      <c r="C963" t="inlineStr">
        <is>
          <t>Cultura y Deporte</t>
        </is>
      </c>
      <c r="D963" t="inlineStr">
        <is>
          <t>Trimestral</t>
        </is>
      </c>
      <c r="E963" t="inlineStr">
        <is>
          <t>Positivo</t>
        </is>
      </c>
      <c r="F963" s="113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80</v>
      </c>
      <c r="K963" t="n">
        <v>99</v>
      </c>
      <c r="L963" s="39" t="n">
        <v>1.2375</v>
      </c>
      <c r="M963" s="39" t="n">
        <v>1.2375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507-2025-12-31</t>
        </is>
      </c>
    </row>
    <row r="964">
      <c r="A964" t="n">
        <v>508</v>
      </c>
      <c r="B964" t="inlineStr">
        <is>
          <t>Nivel de Satisfacción Servicios Prestados - Diseño y contenido virtual</t>
        </is>
      </c>
      <c r="C964" t="inlineStr">
        <is>
          <t>Diseño de Contenido Virtual</t>
        </is>
      </c>
      <c r="D964" t="inlineStr">
        <is>
          <t>Anual</t>
        </is>
      </c>
      <c r="E964" t="inlineStr">
        <is>
          <t>Positivo</t>
        </is>
      </c>
      <c r="F964" s="113" t="n">
        <v>45657</v>
      </c>
      <c r="G964" t="n">
        <v>2024</v>
      </c>
      <c r="H964" t="inlineStr">
        <is>
          <t>Diciembre</t>
        </is>
      </c>
      <c r="I964" t="inlineStr">
        <is>
          <t>2024-2</t>
        </is>
      </c>
      <c r="J964" t="n">
        <v>80</v>
      </c>
      <c r="K964" t="n">
        <v>88</v>
      </c>
      <c r="L964" s="39" t="n">
        <v>1.1</v>
      </c>
      <c r="M964" s="39" t="n">
        <v>1.1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508-2024-12-31</t>
        </is>
      </c>
    </row>
    <row r="965">
      <c r="A965" t="n">
        <v>508</v>
      </c>
      <c r="B965" t="inlineStr">
        <is>
          <t>Nivel de Satisfacción Servicios Prestados - Diseño y contenido virtual</t>
        </is>
      </c>
      <c r="C965" t="inlineStr">
        <is>
          <t>Diseño de Contenido Virtual</t>
        </is>
      </c>
      <c r="D965" t="inlineStr">
        <is>
          <t>Anual</t>
        </is>
      </c>
      <c r="E965" t="inlineStr">
        <is>
          <t>Positivo</t>
        </is>
      </c>
      <c r="F965" s="113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80</v>
      </c>
      <c r="K965" t="n">
        <v>89</v>
      </c>
      <c r="L965" s="39" t="n">
        <v>1.1125</v>
      </c>
      <c r="M965" s="39" t="n">
        <v>1.1125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508-2025-12-31</t>
        </is>
      </c>
    </row>
    <row r="966">
      <c r="A966" t="n">
        <v>509</v>
      </c>
      <c r="B966" t="inlineStr">
        <is>
          <t>Cumplimiento a cronograma de proyectos 2025</t>
        </is>
      </c>
      <c r="C966" t="inlineStr">
        <is>
          <t>Gestión de Proyectos</t>
        </is>
      </c>
      <c r="D966" t="inlineStr">
        <is>
          <t>Mensual</t>
        </is>
      </c>
      <c r="E966" t="inlineStr">
        <is>
          <t>Positivo</t>
        </is>
      </c>
      <c r="F966" s="113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90</v>
      </c>
      <c r="K966" t="n">
        <v>97.33</v>
      </c>
      <c r="L966" s="39" t="n">
        <v>1.081444444444444</v>
      </c>
      <c r="M966" s="39" t="n">
        <v>1.081444444444444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509-2025-12-31</t>
        </is>
      </c>
    </row>
    <row r="967">
      <c r="A967" t="n">
        <v>510</v>
      </c>
      <c r="B967" t="inlineStr">
        <is>
          <t>Frecuencia de incidentes de riesgos</t>
        </is>
      </c>
      <c r="C967" t="inlineStr">
        <is>
          <t>GESTIÓN DE RIESGOS</t>
        </is>
      </c>
      <c r="D967" t="inlineStr">
        <is>
          <t>Semestral</t>
        </is>
      </c>
      <c r="E967" t="inlineStr">
        <is>
          <t>Positivo</t>
        </is>
      </c>
      <c r="F967" s="113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K967" t="n">
        <v>0</v>
      </c>
      <c r="L967" s="39" t="n"/>
      <c r="M967" s="39" t="n"/>
      <c r="N967" t="inlineStr">
        <is>
          <t>Linea Base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510-2025-12-31</t>
        </is>
      </c>
    </row>
    <row r="968">
      <c r="A968" t="n">
        <v>511</v>
      </c>
      <c r="B968" t="inlineStr">
        <is>
          <t>Eficacia de controles</t>
        </is>
      </c>
      <c r="C968" t="inlineStr">
        <is>
          <t>GESTIÓN DE RIESGOS</t>
        </is>
      </c>
      <c r="D968" t="inlineStr">
        <is>
          <t>Semestral</t>
        </is>
      </c>
      <c r="E968" t="inlineStr">
        <is>
          <t>Positivo</t>
        </is>
      </c>
      <c r="F968" s="113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K968" t="n">
        <v>257.48</v>
      </c>
      <c r="L968" s="39" t="n"/>
      <c r="M968" s="39" t="n"/>
      <c r="N968" t="inlineStr">
        <is>
          <t>Linea Base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511-2025-12-31</t>
        </is>
      </c>
    </row>
    <row r="969">
      <c r="A969" t="n">
        <v>513</v>
      </c>
      <c r="B969" t="inlineStr">
        <is>
          <t>Nivel de cumplimiento del plan de seguimiento a controles</t>
        </is>
      </c>
      <c r="C969" t="inlineStr">
        <is>
          <t>GESTIÓN DE RIESGOS</t>
        </is>
      </c>
      <c r="D969" t="inlineStr">
        <is>
          <t>Semestral</t>
        </is>
      </c>
      <c r="E969" t="inlineStr">
        <is>
          <t>Positivo</t>
        </is>
      </c>
      <c r="F969" s="113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K969" t="n">
        <v>100</v>
      </c>
      <c r="L969" s="39" t="n"/>
      <c r="M969" s="39" t="n"/>
      <c r="N969" t="inlineStr">
        <is>
          <t>Linea Base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513-2025-12-31</t>
        </is>
      </c>
    </row>
    <row r="970">
      <c r="A970" t="n">
        <v>514</v>
      </c>
      <c r="B970" t="inlineStr">
        <is>
          <t>Respuesta ante nuevas necesidades de control</t>
        </is>
      </c>
      <c r="C970" t="inlineStr">
        <is>
          <t>GESTIÓN DE RIESGOS</t>
        </is>
      </c>
      <c r="D970" t="inlineStr">
        <is>
          <t>Trimestral</t>
        </is>
      </c>
      <c r="E970" t="inlineStr">
        <is>
          <t>Positivo</t>
        </is>
      </c>
      <c r="F970" s="113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70</v>
      </c>
      <c r="K970" t="n">
        <v>68.89</v>
      </c>
      <c r="L970" s="39" t="n">
        <v>0.9841428571428571</v>
      </c>
      <c r="M970" s="39" t="n">
        <v>0.9841428571428571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514-2025-12-31</t>
        </is>
      </c>
    </row>
    <row r="971">
      <c r="A971" t="n">
        <v>515</v>
      </c>
      <c r="B971" t="inlineStr">
        <is>
          <t>Porcentaje de procesos de control implementados</t>
        </is>
      </c>
      <c r="C971" t="inlineStr">
        <is>
          <t>GESTIÓN DE LA TECNOLOGÍA E INNOVACIÓN DIGITAL</t>
        </is>
      </c>
      <c r="D971" t="inlineStr">
        <is>
          <t>Trimestral</t>
        </is>
      </c>
      <c r="E971" t="inlineStr">
        <is>
          <t>Positivo</t>
        </is>
      </c>
      <c r="F971" s="113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K971" t="n">
        <v>66.67</v>
      </c>
      <c r="L971" s="39" t="n"/>
      <c r="M971" s="39" t="n"/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515-2025-12-31</t>
        </is>
      </c>
    </row>
    <row r="972">
      <c r="A972" t="n">
        <v>516</v>
      </c>
      <c r="B972" t="inlineStr">
        <is>
          <t>Porcentaje de colaboradores formados en ciberseguridad</t>
        </is>
      </c>
      <c r="C972" t="inlineStr">
        <is>
          <t>GESTIÓN DE LA TECNOLOGÍA E INNOVACIÓN DIGITAL</t>
        </is>
      </c>
      <c r="D972" t="inlineStr">
        <is>
          <t>Trimestral</t>
        </is>
      </c>
      <c r="E972" t="inlineStr">
        <is>
          <t>Positivo</t>
        </is>
      </c>
      <c r="F972" s="113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K972" t="n">
        <v>315.79</v>
      </c>
      <c r="L972" s="39" t="n"/>
      <c r="M972" s="39" t="n"/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516-2025-12-31</t>
        </is>
      </c>
    </row>
    <row r="973">
      <c r="A973" t="n">
        <v>518</v>
      </c>
      <c r="B973" t="inlineStr">
        <is>
          <t>Cumplimiento programa de auditoría</t>
        </is>
      </c>
      <c r="C973" t="inlineStr">
        <is>
          <t>AUDITORÍA INTERNA</t>
        </is>
      </c>
      <c r="D973" t="inlineStr">
        <is>
          <t>Semestral</t>
        </is>
      </c>
      <c r="E973" t="inlineStr">
        <is>
          <t>Positivo</t>
        </is>
      </c>
      <c r="F973" s="113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100</v>
      </c>
      <c r="K973" t="n">
        <v>137.5</v>
      </c>
      <c r="L973" s="39" t="n">
        <v>1.3</v>
      </c>
      <c r="M973" s="39" t="n">
        <v>1.375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518-2025-12-31</t>
        </is>
      </c>
    </row>
    <row r="974">
      <c r="A974" t="n">
        <v>519</v>
      </c>
      <c r="B974" t="inlineStr">
        <is>
          <t>% de publicaciones con sentimiento neutro o negativo</t>
        </is>
      </c>
      <c r="C974" t="inlineStr">
        <is>
          <t>Comunicaciones Externas</t>
        </is>
      </c>
      <c r="D974" t="inlineStr">
        <is>
          <t>Trimestral</t>
        </is>
      </c>
      <c r="E974" t="inlineStr">
        <is>
          <t>Positivo</t>
        </is>
      </c>
      <c r="F974" s="113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281.29</v>
      </c>
      <c r="L974" s="39" t="n">
        <v>1.3</v>
      </c>
      <c r="M974" s="39" t="n">
        <v>2.8129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519-2025-12-31</t>
        </is>
      </c>
    </row>
    <row r="975">
      <c r="A975" t="n">
        <v>522</v>
      </c>
      <c r="B975" t="inlineStr">
        <is>
          <t>Asignaturas o modulos con mecanismos de evaluación implementados</t>
        </is>
      </c>
      <c r="C975" t="inlineStr">
        <is>
          <t>Gestión, Evaluación e Innovación Curricular</t>
        </is>
      </c>
      <c r="D975" t="inlineStr">
        <is>
          <t>Anual</t>
        </is>
      </c>
      <c r="E975" t="inlineStr">
        <is>
          <t>Positivo</t>
        </is>
      </c>
      <c r="F975" s="113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20</v>
      </c>
      <c r="K975" t="n">
        <v>100</v>
      </c>
      <c r="L975" s="39" t="n">
        <v>1.3</v>
      </c>
      <c r="M975" s="39" t="n">
        <v>5</v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522-2025-12-31</t>
        </is>
      </c>
    </row>
    <row r="976">
      <c r="A976" t="n">
        <v>523</v>
      </c>
      <c r="B976" t="inlineStr">
        <is>
          <t>Ingresos totales de educación para la vida</t>
        </is>
      </c>
      <c r="C976" t="inlineStr">
        <is>
          <t>Planeación Financiera</t>
        </is>
      </c>
      <c r="D976" t="inlineStr">
        <is>
          <t>Trimestral</t>
        </is>
      </c>
      <c r="E976" t="inlineStr">
        <is>
          <t>Positivo</t>
        </is>
      </c>
      <c r="F976" s="113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95</v>
      </c>
      <c r="K976" t="n">
        <v>95.76000000000001</v>
      </c>
      <c r="L976" s="39" t="n">
        <v>1.008</v>
      </c>
      <c r="M976" s="39" t="n">
        <v>1.008</v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523-2025-12-31</t>
        </is>
      </c>
    </row>
    <row r="977">
      <c r="A977" t="n">
        <v>524</v>
      </c>
      <c r="B977" t="inlineStr">
        <is>
          <t>Total Leads por canales de captación</t>
        </is>
      </c>
      <c r="C977" t="inlineStr">
        <is>
          <t>Mercadeo de programas académicos</t>
        </is>
      </c>
      <c r="D977" t="inlineStr">
        <is>
          <t>Trimestral</t>
        </is>
      </c>
      <c r="E977" t="inlineStr">
        <is>
          <t>Positivo</t>
        </is>
      </c>
      <c r="F977" s="113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200</v>
      </c>
      <c r="K977" t="n">
        <v>205.45</v>
      </c>
      <c r="L977" s="39" t="n">
        <v>1.02725</v>
      </c>
      <c r="M977" s="39" t="n">
        <v>1.02725</v>
      </c>
      <c r="N977" t="inlineStr">
        <is>
          <t>ENT</t>
        </is>
      </c>
      <c r="O977" t="inlineStr">
        <is>
          <t>ENT</t>
        </is>
      </c>
      <c r="P977" t="n">
        <v>0</v>
      </c>
      <c r="Q977" t="n">
        <v>0</v>
      </c>
      <c r="R977" t="inlineStr">
        <is>
          <t>524-2025-12-31</t>
        </is>
      </c>
    </row>
    <row r="978">
      <c r="A978" t="n">
        <v>526</v>
      </c>
      <c r="B978" t="inlineStr">
        <is>
          <t>Cumplimiento Politica Polisigs</t>
        </is>
      </c>
      <c r="C978" t="inlineStr">
        <is>
          <t>Planificación POLISIGS</t>
        </is>
      </c>
      <c r="D978" t="inlineStr">
        <is>
          <t>Semestral</t>
        </is>
      </c>
      <c r="E978" t="inlineStr">
        <is>
          <t>Positivo</t>
        </is>
      </c>
      <c r="F978" s="113" t="n">
        <v>45930</v>
      </c>
      <c r="G978" t="n">
        <v>2025</v>
      </c>
      <c r="H978" t="inlineStr">
        <is>
          <t>Septiembre</t>
        </is>
      </c>
      <c r="I978" t="inlineStr">
        <is>
          <t>2025-2</t>
        </is>
      </c>
      <c r="J978" t="n">
        <v>95</v>
      </c>
      <c r="K978" t="n">
        <v>96.59999999999999</v>
      </c>
      <c r="L978" s="39" t="n">
        <v>1.016842105263158</v>
      </c>
      <c r="M978" s="39" t="n">
        <v>1.016842105263158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526-2025-09-30</t>
        </is>
      </c>
    </row>
    <row r="979">
      <c r="A979" t="n">
        <v>526</v>
      </c>
      <c r="B979" t="inlineStr">
        <is>
          <t>Cumplimiento Politica Polisigs</t>
        </is>
      </c>
      <c r="C979" t="inlineStr">
        <is>
          <t>Planificación POLISIGS</t>
        </is>
      </c>
      <c r="D979" t="inlineStr">
        <is>
          <t>Semestral</t>
        </is>
      </c>
      <c r="E979" t="inlineStr">
        <is>
          <t>Positivo</t>
        </is>
      </c>
      <c r="F979" s="113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95</v>
      </c>
      <c r="K979" t="n">
        <v>96.59999999999999</v>
      </c>
      <c r="L979" s="39" t="n">
        <v>1.016842105263158</v>
      </c>
      <c r="M979" s="39" t="n">
        <v>1.016842105263158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526-2025-12-31</t>
        </is>
      </c>
      <c r="S979" t="inlineStr">
        <is>
          <t>Sin Reporte</t>
        </is>
      </c>
    </row>
    <row r="980">
      <c r="A980" t="n">
        <v>527</v>
      </c>
      <c r="B980" t="inlineStr">
        <is>
          <t>Participación de Grupos de Interés en la construcción del nuevo plan de desarrollo (PDI)</t>
        </is>
      </c>
      <c r="C980" t="inlineStr">
        <is>
          <t>Planeación Estratégica</t>
        </is>
      </c>
      <c r="D980" t="inlineStr">
        <is>
          <t>Anual</t>
        </is>
      </c>
      <c r="E980" t="inlineStr">
        <is>
          <t>Positivo</t>
        </is>
      </c>
      <c r="F980" s="113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3690</v>
      </c>
      <c r="K980" t="n">
        <v>7304</v>
      </c>
      <c r="L980" s="39" t="n">
        <v>1.3</v>
      </c>
      <c r="M980" s="39" t="n">
        <v>1.97940379403794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527-2025-12-31</t>
        </is>
      </c>
    </row>
    <row r="981">
      <c r="A981" t="n">
        <v>528</v>
      </c>
      <c r="B981" t="inlineStr">
        <is>
          <t>Participación de la comunidad en la Rendición de Cuentas</t>
        </is>
      </c>
      <c r="C981" t="inlineStr">
        <is>
          <t>Planeación Estratégica</t>
        </is>
      </c>
      <c r="D981" t="inlineStr">
        <is>
          <t>Anual</t>
        </is>
      </c>
      <c r="E981" t="inlineStr">
        <is>
          <t>Positivo</t>
        </is>
      </c>
      <c r="F981" s="113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100</v>
      </c>
      <c r="K981" t="n">
        <v>2014</v>
      </c>
      <c r="L981" s="39" t="n">
        <v>1.3</v>
      </c>
      <c r="M981" s="39" t="n">
        <v>20.14</v>
      </c>
      <c r="N981" t="inlineStr">
        <is>
          <t>ENT</t>
        </is>
      </c>
      <c r="O981" t="inlineStr">
        <is>
          <t>ENT</t>
        </is>
      </c>
      <c r="P981" t="n">
        <v>0</v>
      </c>
      <c r="Q981" t="n">
        <v>0</v>
      </c>
      <c r="R981" t="inlineStr">
        <is>
          <t>528-2025-12-31</t>
        </is>
      </c>
    </row>
    <row r="982">
      <c r="A982" t="n">
        <v>529</v>
      </c>
      <c r="B982" t="inlineStr">
        <is>
          <t>Oportunidad en la solución de solicitudes de infraestructura</t>
        </is>
      </c>
      <c r="C982" t="inlineStr">
        <is>
          <t>Gestión Infraestructura Física</t>
        </is>
      </c>
      <c r="D982" t="inlineStr">
        <is>
          <t>Semestral</t>
        </is>
      </c>
      <c r="E982" t="inlineStr">
        <is>
          <t>Positivo</t>
        </is>
      </c>
      <c r="F982" s="113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180</v>
      </c>
      <c r="K982" t="n">
        <v>294.16</v>
      </c>
      <c r="L982" s="39" t="n">
        <v>1.3</v>
      </c>
      <c r="M982" s="39" t="n">
        <v>1.634222222222222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529-2025-12-31</t>
        </is>
      </c>
    </row>
    <row r="983">
      <c r="A983" t="n">
        <v>529</v>
      </c>
      <c r="B983" t="inlineStr">
        <is>
          <t>Oportunidad en la solución de solicitudes de infraestructura</t>
        </is>
      </c>
      <c r="C983" t="inlineStr">
        <is>
          <t>Gestión Infraestructura Física</t>
        </is>
      </c>
      <c r="D983" t="inlineStr">
        <is>
          <t>Semestral</t>
        </is>
      </c>
      <c r="E983" t="inlineStr">
        <is>
          <t>Positivo</t>
        </is>
      </c>
      <c r="F983" s="113" t="n">
        <v>46112</v>
      </c>
      <c r="G983" t="n">
        <v>2026</v>
      </c>
      <c r="H983" t="inlineStr">
        <is>
          <t>Marzo</t>
        </is>
      </c>
      <c r="I983" t="inlineStr">
        <is>
          <t>2026-1</t>
        </is>
      </c>
      <c r="K983" t="n">
        <v>100</v>
      </c>
      <c r="L983" s="39" t="n"/>
      <c r="M983" s="39" t="n"/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529-2026-03-31</t>
        </is>
      </c>
    </row>
    <row r="984">
      <c r="A984" t="n">
        <v>530</v>
      </c>
      <c r="B984" t="inlineStr">
        <is>
          <t>Índice de Cumplimiento del Sprint</t>
        </is>
      </c>
      <c r="C984" t="inlineStr">
        <is>
          <t>GESTIÓN DE LA TECNOLOGÍA E INNOVACIÓN DIGITAL</t>
        </is>
      </c>
      <c r="D984" t="inlineStr">
        <is>
          <t>Trimestral</t>
        </is>
      </c>
      <c r="E984" t="inlineStr">
        <is>
          <t>Positivo</t>
        </is>
      </c>
      <c r="F984" s="113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97</v>
      </c>
      <c r="K984" t="n">
        <v>85.56</v>
      </c>
      <c r="L984" s="39" t="n">
        <v>0.8820618556701031</v>
      </c>
      <c r="M984" s="39" t="n">
        <v>0.8820618556701031</v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530-2025-12-31</t>
        </is>
      </c>
    </row>
    <row r="985">
      <c r="A985" t="n">
        <v>531</v>
      </c>
      <c r="B985" t="inlineStr">
        <is>
          <t>Eficiencia de capacidad instalada</t>
        </is>
      </c>
      <c r="C985" t="inlineStr">
        <is>
          <t>GESTIÓN DE LA TECNOLOGÍA E INNOVACIÓN DIGITAL</t>
        </is>
      </c>
      <c r="D985" t="inlineStr">
        <is>
          <t>Trimestral</t>
        </is>
      </c>
      <c r="E985" t="inlineStr">
        <is>
          <t>Positivo</t>
        </is>
      </c>
      <c r="F985" s="113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90</v>
      </c>
      <c r="K985" t="n">
        <v>93.94</v>
      </c>
      <c r="L985" s="39" t="n">
        <v>1.043777777777778</v>
      </c>
      <c r="M985" s="39" t="n">
        <v>1.043777777777778</v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531-2025-12-31</t>
        </is>
      </c>
    </row>
    <row r="986">
      <c r="A986" t="n">
        <v>532</v>
      </c>
      <c r="B986" t="inlineStr">
        <is>
          <t>Actividades de Cooperación en Internacionalización</t>
        </is>
      </c>
      <c r="C986" t="inlineStr">
        <is>
          <t>VISIBILIDAD NACIONAL E INTERNACIONAL</t>
        </is>
      </c>
      <c r="D986" t="inlineStr">
        <is>
          <t>Trimestral</t>
        </is>
      </c>
      <c r="E986" t="inlineStr">
        <is>
          <t>Positivo</t>
        </is>
      </c>
      <c r="F986" s="113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200</v>
      </c>
      <c r="K986" t="n">
        <v>267.93</v>
      </c>
      <c r="L986" s="39" t="n">
        <v>1.3</v>
      </c>
      <c r="M986" s="39" t="n">
        <v>1.33965</v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532-2025-12-31</t>
        </is>
      </c>
    </row>
    <row r="987">
      <c r="A987" t="n">
        <v>533</v>
      </c>
      <c r="B987" t="inlineStr">
        <is>
          <t>Participación de estudiantes externos invitados a actividades de cooperación nacional e internacional</t>
        </is>
      </c>
      <c r="C987" t="inlineStr">
        <is>
          <t>VISIBILIDAD NACIONAL E INTERNACIONAL</t>
        </is>
      </c>
      <c r="D987" t="inlineStr">
        <is>
          <t>Trimestral</t>
        </is>
      </c>
      <c r="E987" t="inlineStr">
        <is>
          <t>Positivo</t>
        </is>
      </c>
      <c r="F987" s="113" t="n">
        <v>46022</v>
      </c>
      <c r="G987" t="n">
        <v>2025</v>
      </c>
      <c r="H987" t="inlineStr">
        <is>
          <t>Diciembre</t>
        </is>
      </c>
      <c r="I987" t="inlineStr">
        <is>
          <t>2025-2</t>
        </is>
      </c>
      <c r="J987" t="n">
        <v>200</v>
      </c>
      <c r="K987" t="n">
        <v>302.84</v>
      </c>
      <c r="L987" s="39" t="n">
        <v>1.3</v>
      </c>
      <c r="M987" s="39" t="n">
        <v>1.5142</v>
      </c>
      <c r="N987" t="inlineStr">
        <is>
          <t>%</t>
        </is>
      </c>
      <c r="O987" t="inlineStr">
        <is>
          <t>%</t>
        </is>
      </c>
      <c r="P987" t="n">
        <v>0</v>
      </c>
      <c r="Q987" t="n">
        <v>0</v>
      </c>
      <c r="R987" t="inlineStr">
        <is>
          <t>533-2025-12-31</t>
        </is>
      </c>
    </row>
    <row r="988">
      <c r="A988" t="n">
        <v>534</v>
      </c>
      <c r="B988" t="inlineStr">
        <is>
          <t>Participación de estudiantes POLI en actividades de cooperación nacional e internacional</t>
        </is>
      </c>
      <c r="C988" t="inlineStr">
        <is>
          <t>VISIBILIDAD NACIONAL E INTERNACIONAL</t>
        </is>
      </c>
      <c r="D988" t="inlineStr">
        <is>
          <t>Trimestral</t>
        </is>
      </c>
      <c r="E988" t="inlineStr">
        <is>
          <t>Positivo</t>
        </is>
      </c>
      <c r="F988" s="113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200</v>
      </c>
      <c r="K988" t="n">
        <v>268.62</v>
      </c>
      <c r="L988" s="39" t="n">
        <v>1.3</v>
      </c>
      <c r="M988" s="39" t="n">
        <v>1.3431</v>
      </c>
      <c r="N988" t="inlineStr">
        <is>
          <t>%</t>
        </is>
      </c>
      <c r="O988" t="inlineStr">
        <is>
          <t>%</t>
        </is>
      </c>
      <c r="P988" t="n">
        <v>0</v>
      </c>
      <c r="Q988" t="n">
        <v>0</v>
      </c>
      <c r="R988" t="inlineStr">
        <is>
          <t>534-2025-12-31</t>
        </is>
      </c>
    </row>
    <row r="989">
      <c r="A989" t="n">
        <v>535</v>
      </c>
      <c r="B989" t="inlineStr">
        <is>
          <t>Participación de profesores externos invitados a actividades de cooperación nacional e internacional</t>
        </is>
      </c>
      <c r="C989" t="inlineStr">
        <is>
          <t>VISIBILIDAD NACIONAL E INTERNACIONAL</t>
        </is>
      </c>
      <c r="D989" t="inlineStr">
        <is>
          <t>Trimestral</t>
        </is>
      </c>
      <c r="E989" t="inlineStr">
        <is>
          <t>Positivo</t>
        </is>
      </c>
      <c r="F989" s="113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200</v>
      </c>
      <c r="K989" t="n">
        <v>342.3</v>
      </c>
      <c r="L989" s="39" t="n">
        <v>1.3</v>
      </c>
      <c r="M989" s="39" t="n">
        <v>1.7115</v>
      </c>
      <c r="N989" t="inlineStr">
        <is>
          <t>%</t>
        </is>
      </c>
      <c r="O989" t="inlineStr">
        <is>
          <t>%</t>
        </is>
      </c>
      <c r="P989" t="n">
        <v>0</v>
      </c>
      <c r="Q989" t="n">
        <v>0</v>
      </c>
      <c r="R989" t="inlineStr">
        <is>
          <t>535-2025-12-31</t>
        </is>
      </c>
    </row>
    <row r="990">
      <c r="A990" t="n">
        <v>536</v>
      </c>
      <c r="B990" t="inlineStr">
        <is>
          <t>Participación de profesores POLI en actividades de cooperación nacional e internacional</t>
        </is>
      </c>
      <c r="C990" t="inlineStr">
        <is>
          <t>VISIBILIDAD NACIONAL E INTERNACIONAL</t>
        </is>
      </c>
      <c r="D990" t="inlineStr">
        <is>
          <t>Trimestral</t>
        </is>
      </c>
      <c r="E990" t="inlineStr">
        <is>
          <t>Positivo</t>
        </is>
      </c>
      <c r="F990" s="113" t="n">
        <v>46022</v>
      </c>
      <c r="G990" t="n">
        <v>2025</v>
      </c>
      <c r="H990" t="inlineStr">
        <is>
          <t>Diciembre</t>
        </is>
      </c>
      <c r="I990" t="inlineStr">
        <is>
          <t>2025-2</t>
        </is>
      </c>
      <c r="J990" t="n">
        <v>200</v>
      </c>
      <c r="K990" t="n">
        <v>370.08</v>
      </c>
      <c r="L990" s="39" t="n">
        <v>1.3</v>
      </c>
      <c r="M990" s="39" t="n">
        <v>1.8504</v>
      </c>
      <c r="N990" t="inlineStr">
        <is>
          <t>%</t>
        </is>
      </c>
      <c r="O990" t="inlineStr">
        <is>
          <t>%</t>
        </is>
      </c>
      <c r="P990" t="n">
        <v>0</v>
      </c>
      <c r="Q990" t="n">
        <v>0</v>
      </c>
      <c r="R990" t="inlineStr">
        <is>
          <t>536-2025-12-31</t>
        </is>
      </c>
    </row>
    <row r="991">
      <c r="A991" t="n">
        <v>537</v>
      </c>
      <c r="B991" t="inlineStr">
        <is>
          <t>FCR- Resolución en primer contacto</t>
        </is>
      </c>
      <c r="C991" t="inlineStr">
        <is>
          <t>Servicio</t>
        </is>
      </c>
      <c r="D991" t="inlineStr">
        <is>
          <t>Trimestral</t>
        </is>
      </c>
      <c r="E991" t="inlineStr">
        <is>
          <t>Positivo</t>
        </is>
      </c>
      <c r="F991" s="113" t="n">
        <v>46022</v>
      </c>
      <c r="G991" t="n">
        <v>2025</v>
      </c>
      <c r="H991" t="inlineStr">
        <is>
          <t>Diciembre</t>
        </is>
      </c>
      <c r="I991" t="inlineStr">
        <is>
          <t>2025-2</t>
        </is>
      </c>
      <c r="J991" t="n">
        <v>65</v>
      </c>
      <c r="K991" t="n">
        <v>64.3</v>
      </c>
      <c r="L991" s="39" t="n">
        <v>0.9892307692307691</v>
      </c>
      <c r="M991" s="39" t="n">
        <v>0.9892307692307691</v>
      </c>
      <c r="N991" t="inlineStr">
        <is>
          <t>ENT</t>
        </is>
      </c>
      <c r="O991" t="inlineStr">
        <is>
          <t>ENT</t>
        </is>
      </c>
      <c r="P991" t="n">
        <v>0</v>
      </c>
      <c r="Q991" t="n">
        <v>0</v>
      </c>
      <c r="R991" t="inlineStr">
        <is>
          <t>537-2025-12-31</t>
        </is>
      </c>
    </row>
    <row r="992">
      <c r="A992" t="n">
        <v>538</v>
      </c>
      <c r="B992" t="inlineStr">
        <is>
          <t>Cumplimiento de sesiones de socialización de planeación académica</t>
        </is>
      </c>
      <c r="C992" t="inlineStr">
        <is>
          <t>Registro y Control</t>
        </is>
      </c>
      <c r="D992" t="inlineStr">
        <is>
          <t>Trimestral</t>
        </is>
      </c>
      <c r="E992" t="inlineStr">
        <is>
          <t>Positivo</t>
        </is>
      </c>
      <c r="F992" s="113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90</v>
      </c>
      <c r="K992" t="n">
        <v>100</v>
      </c>
      <c r="L992" s="39" t="n">
        <v>1.111111111111111</v>
      </c>
      <c r="M992" s="39" t="n">
        <v>1.111111111111111</v>
      </c>
      <c r="N992" t="inlineStr">
        <is>
          <t>%</t>
        </is>
      </c>
      <c r="O992" t="inlineStr">
        <is>
          <t>%</t>
        </is>
      </c>
      <c r="P992" t="n">
        <v>0</v>
      </c>
      <c r="Q992" t="n">
        <v>0</v>
      </c>
      <c r="R992" t="inlineStr">
        <is>
          <t>538-2025-12-31</t>
        </is>
      </c>
    </row>
    <row r="993">
      <c r="A993" t="n">
        <v>539</v>
      </c>
      <c r="B993" t="inlineStr">
        <is>
          <t>CES emisión de certificados</t>
        </is>
      </c>
      <c r="C993" t="inlineStr">
        <is>
          <t>Registro y Control</t>
        </is>
      </c>
      <c r="D993" t="inlineStr">
        <is>
          <t>Trimestral</t>
        </is>
      </c>
      <c r="E993" t="inlineStr">
        <is>
          <t>Negativo</t>
        </is>
      </c>
      <c r="F993" s="113" t="n">
        <v>46022</v>
      </c>
      <c r="G993" t="n">
        <v>2025</v>
      </c>
      <c r="H993" t="inlineStr">
        <is>
          <t>Diciembre</t>
        </is>
      </c>
      <c r="I993" t="inlineStr">
        <is>
          <t>2025-2</t>
        </is>
      </c>
      <c r="J993" t="n">
        <v>2.5</v>
      </c>
      <c r="K993" t="n">
        <v>2.5</v>
      </c>
      <c r="L993" s="39" t="n">
        <v>1</v>
      </c>
      <c r="M993" s="39" t="n">
        <v>1</v>
      </c>
      <c r="N993" t="inlineStr">
        <is>
          <t>%</t>
        </is>
      </c>
      <c r="O993" t="inlineStr">
        <is>
          <t>%</t>
        </is>
      </c>
      <c r="P993" t="n">
        <v>0</v>
      </c>
      <c r="Q993" t="n">
        <v>0</v>
      </c>
      <c r="R993" t="inlineStr">
        <is>
          <t>539-2025-12-31</t>
        </is>
      </c>
    </row>
    <row r="994">
      <c r="A994" t="n">
        <v>540</v>
      </c>
      <c r="B994" t="inlineStr">
        <is>
          <t>Nivel de Calidad de los Datos Cargados al SNIES</t>
        </is>
      </c>
      <c r="C994" t="inlineStr">
        <is>
          <t>DATOS Y ANALÍTICA</t>
        </is>
      </c>
      <c r="D994" t="inlineStr">
        <is>
          <t>Trimestral</t>
        </is>
      </c>
      <c r="E994" t="inlineStr">
        <is>
          <t>Positivo</t>
        </is>
      </c>
      <c r="F994" s="113" t="n">
        <v>46022</v>
      </c>
      <c r="G994" t="n">
        <v>2025</v>
      </c>
      <c r="H994" t="inlineStr">
        <is>
          <t>Diciembre</t>
        </is>
      </c>
      <c r="I994" t="inlineStr">
        <is>
          <t>2025-2</t>
        </is>
      </c>
      <c r="J994" t="n">
        <v>97</v>
      </c>
      <c r="K994" t="n">
        <v>97.61500000000001</v>
      </c>
      <c r="L994" s="39" t="n">
        <v>1.006340206185567</v>
      </c>
      <c r="M994" s="39" t="n">
        <v>1.006340206185567</v>
      </c>
      <c r="N994" t="inlineStr">
        <is>
          <t>%</t>
        </is>
      </c>
      <c r="O994" t="inlineStr">
        <is>
          <t>%</t>
        </is>
      </c>
      <c r="P994" t="n">
        <v>0</v>
      </c>
      <c r="Q994" t="n">
        <v>0</v>
      </c>
      <c r="R994" t="inlineStr">
        <is>
          <t>540-2025-12-31</t>
        </is>
      </c>
    </row>
    <row r="995">
      <c r="A995" t="n">
        <v>541</v>
      </c>
      <c r="B995" t="inlineStr">
        <is>
          <t>Participación de graduados en actividades de empleabilidad y relacionamiento</t>
        </is>
      </c>
      <c r="C995" t="inlineStr">
        <is>
          <t>Gestión de Graduados</t>
        </is>
      </c>
      <c r="D995" t="inlineStr">
        <is>
          <t>Anual</t>
        </is>
      </c>
      <c r="E995" t="inlineStr">
        <is>
          <t>Positivo</t>
        </is>
      </c>
      <c r="F995" s="113" t="n">
        <v>46022</v>
      </c>
      <c r="G995" t="n">
        <v>2025</v>
      </c>
      <c r="H995" t="inlineStr">
        <is>
          <t>Diciembre</t>
        </is>
      </c>
      <c r="I995" t="inlineStr">
        <is>
          <t>2025-2</t>
        </is>
      </c>
      <c r="J995" t="n">
        <v>4</v>
      </c>
      <c r="K995" t="n">
        <v>6.99</v>
      </c>
      <c r="L995" s="39" t="n">
        <v>1.3</v>
      </c>
      <c r="M995" s="39" t="n">
        <v>1.7475</v>
      </c>
      <c r="N995" t="inlineStr">
        <is>
          <t>%</t>
        </is>
      </c>
      <c r="O995" t="inlineStr">
        <is>
          <t>%</t>
        </is>
      </c>
      <c r="P995" t="n">
        <v>0</v>
      </c>
      <c r="Q995" t="n">
        <v>0</v>
      </c>
      <c r="R995" t="inlineStr">
        <is>
          <t>541-2025-12-31</t>
        </is>
      </c>
    </row>
    <row r="996">
      <c r="A996" t="n">
        <v>542</v>
      </c>
      <c r="B996" t="inlineStr">
        <is>
          <t>Tasa de cotización del graduado - Metrica</t>
        </is>
      </c>
      <c r="C996" t="inlineStr">
        <is>
          <t>Gestión de Graduados</t>
        </is>
      </c>
      <c r="D996" t="inlineStr">
        <is>
          <t>Anual</t>
        </is>
      </c>
      <c r="E996" t="inlineStr">
        <is>
          <t>Positivo</t>
        </is>
      </c>
      <c r="F996" s="113" t="n">
        <v>46022</v>
      </c>
      <c r="G996" t="n">
        <v>2025</v>
      </c>
      <c r="H996" t="inlineStr">
        <is>
          <t>Diciembre</t>
        </is>
      </c>
      <c r="I996" t="inlineStr">
        <is>
          <t>2025-2</t>
        </is>
      </c>
      <c r="K996" t="n">
        <v>81.23999999999999</v>
      </c>
      <c r="L996" s="39" t="n"/>
      <c r="M996" s="39" t="n"/>
      <c r="N996" t="inlineStr">
        <is>
          <t>%</t>
        </is>
      </c>
      <c r="O996" t="inlineStr">
        <is>
          <t>%</t>
        </is>
      </c>
      <c r="P996" t="n">
        <v>0</v>
      </c>
      <c r="Q996" t="n">
        <v>0</v>
      </c>
      <c r="R996" t="inlineStr">
        <is>
          <t>542-2025-12-31</t>
        </is>
      </c>
      <c r="S996" t="inlineStr">
        <is>
          <t>Metrica</t>
        </is>
      </c>
    </row>
    <row r="997">
      <c r="A997" t="n">
        <v>543</v>
      </c>
      <c r="B997" t="inlineStr">
        <is>
          <t>Tasa de interacción por usuario</t>
        </is>
      </c>
      <c r="C997" t="inlineStr">
        <is>
          <t>Editorial y Publicaciones</t>
        </is>
      </c>
      <c r="D997" t="inlineStr">
        <is>
          <t>Trimestral</t>
        </is>
      </c>
      <c r="E997" t="inlineStr">
        <is>
          <t>Positivo</t>
        </is>
      </c>
      <c r="F997" s="113" t="n">
        <v>46022</v>
      </c>
      <c r="G997" t="n">
        <v>2025</v>
      </c>
      <c r="H997" t="inlineStr">
        <is>
          <t>Diciembre</t>
        </is>
      </c>
      <c r="I997" t="inlineStr">
        <is>
          <t>2025-2</t>
        </is>
      </c>
      <c r="K997" t="n">
        <v>14.2</v>
      </c>
      <c r="L997" s="39" t="n"/>
      <c r="M997" s="39" t="n"/>
      <c r="N997" t="inlineStr">
        <is>
          <t>ENT</t>
        </is>
      </c>
      <c r="O997" t="inlineStr">
        <is>
          <t>ENT</t>
        </is>
      </c>
      <c r="P997" t="n">
        <v>0</v>
      </c>
      <c r="Q997" t="n">
        <v>0</v>
      </c>
      <c r="R997" t="inlineStr">
        <is>
          <t>543-2025-12-31</t>
        </is>
      </c>
    </row>
    <row r="998">
      <c r="A998" t="n">
        <v>544</v>
      </c>
      <c r="B998" t="inlineStr">
        <is>
          <t>Producción de ambientes inmersivos LEI</t>
        </is>
      </c>
      <c r="C998" t="inlineStr">
        <is>
          <t>LEI</t>
        </is>
      </c>
      <c r="D998" t="inlineStr">
        <is>
          <t>Trimestral</t>
        </is>
      </c>
      <c r="E998" t="inlineStr">
        <is>
          <t>Positivo</t>
        </is>
      </c>
      <c r="F998" s="113" t="n">
        <v>46022</v>
      </c>
      <c r="G998" t="n">
        <v>2025</v>
      </c>
      <c r="H998" t="inlineStr">
        <is>
          <t>Diciembre</t>
        </is>
      </c>
      <c r="I998" t="inlineStr">
        <is>
          <t>2025-2</t>
        </is>
      </c>
      <c r="J998" t="n">
        <v>100</v>
      </c>
      <c r="K998" t="n">
        <v>206.25</v>
      </c>
      <c r="L998" s="39" t="n">
        <v>1.3</v>
      </c>
      <c r="M998" s="39" t="n">
        <v>2.0625</v>
      </c>
      <c r="N998" t="inlineStr">
        <is>
          <t>ENT</t>
        </is>
      </c>
      <c r="O998" t="inlineStr">
        <is>
          <t>ENT</t>
        </is>
      </c>
      <c r="P998" t="n">
        <v>0</v>
      </c>
      <c r="Q998" t="n">
        <v>0</v>
      </c>
      <c r="R998" t="inlineStr">
        <is>
          <t>544-2025-12-31</t>
        </is>
      </c>
    </row>
    <row r="999">
      <c r="A999" t="n">
        <v>546</v>
      </c>
      <c r="B999" t="inlineStr">
        <is>
          <t>Tasa de participación de graduados en instrumentos de seguimiento (M0, M1, M5)</t>
        </is>
      </c>
      <c r="C999" t="inlineStr">
        <is>
          <t>Gestión de Graduados</t>
        </is>
      </c>
      <c r="D999" t="inlineStr">
        <is>
          <t>Anual</t>
        </is>
      </c>
      <c r="E999" t="inlineStr">
        <is>
          <t>Positivo</t>
        </is>
      </c>
      <c r="F999" s="113" t="n">
        <v>46022</v>
      </c>
      <c r="G999" t="n">
        <v>2025</v>
      </c>
      <c r="H999" t="inlineStr">
        <is>
          <t>Diciembre</t>
        </is>
      </c>
      <c r="I999" t="inlineStr">
        <is>
          <t>2025-2</t>
        </is>
      </c>
      <c r="J999" t="n">
        <v>100</v>
      </c>
      <c r="K999" t="n">
        <v>113.38</v>
      </c>
      <c r="L999" s="39" t="n">
        <v>1.1338</v>
      </c>
      <c r="M999" s="39" t="n">
        <v>1.1338</v>
      </c>
      <c r="N999" t="inlineStr">
        <is>
          <t>%</t>
        </is>
      </c>
      <c r="O999" t="inlineStr">
        <is>
          <t>%</t>
        </is>
      </c>
      <c r="P999" t="n">
        <v>0</v>
      </c>
      <c r="Q999" t="n">
        <v>0</v>
      </c>
      <c r="R999" t="inlineStr">
        <is>
          <t>546-2025-12-31</t>
        </is>
      </c>
    </row>
    <row r="1000">
      <c r="A1000" t="n">
        <v>547</v>
      </c>
      <c r="B1000" t="inlineStr">
        <is>
          <t>Nivel de satisfacción del graduado con la institución</t>
        </is>
      </c>
      <c r="C1000" t="inlineStr">
        <is>
          <t>Gestión de Graduados</t>
        </is>
      </c>
      <c r="D1000" t="inlineStr">
        <is>
          <t>Anual</t>
        </is>
      </c>
      <c r="E1000" t="inlineStr">
        <is>
          <t>Positivo</t>
        </is>
      </c>
      <c r="F1000" s="113" t="n">
        <v>46022</v>
      </c>
      <c r="G1000" t="n">
        <v>2025</v>
      </c>
      <c r="H1000" t="inlineStr">
        <is>
          <t>Diciembre</t>
        </is>
      </c>
      <c r="I1000" t="inlineStr">
        <is>
          <t>2025-2</t>
        </is>
      </c>
      <c r="K1000" t="n">
        <v>92</v>
      </c>
      <c r="L1000" s="39" t="n"/>
      <c r="M1000" s="39" t="n"/>
      <c r="N1000" t="inlineStr">
        <is>
          <t>%</t>
        </is>
      </c>
      <c r="O1000" t="inlineStr">
        <is>
          <t>%</t>
        </is>
      </c>
      <c r="P1000" t="n">
        <v>0</v>
      </c>
      <c r="Q1000" t="n">
        <v>0</v>
      </c>
      <c r="R1000" t="inlineStr">
        <is>
          <t>547-2025-12-31</t>
        </is>
      </c>
    </row>
    <row r="1001">
      <c r="A1001" t="n">
        <v>550</v>
      </c>
      <c r="B1001" t="inlineStr">
        <is>
          <t>Nivel de satisfacción con las actividades de formación</t>
        </is>
      </c>
      <c r="C1001" t="inlineStr">
        <is>
          <t>Emprendimiento</t>
        </is>
      </c>
      <c r="D1001" t="inlineStr">
        <is>
          <t>Trimestral</t>
        </is>
      </c>
      <c r="E1001" t="inlineStr">
        <is>
          <t>Positivo</t>
        </is>
      </c>
      <c r="F1001" s="113" t="n">
        <v>46022</v>
      </c>
      <c r="G1001" t="n">
        <v>2025</v>
      </c>
      <c r="H1001" t="inlineStr">
        <is>
          <t>Diciembre</t>
        </is>
      </c>
      <c r="I1001" t="inlineStr">
        <is>
          <t>2025-2</t>
        </is>
      </c>
      <c r="J1001" t="n">
        <v>80</v>
      </c>
      <c r="K1001" t="n">
        <v>95.5</v>
      </c>
      <c r="L1001" s="39" t="n">
        <v>1.19375</v>
      </c>
      <c r="M1001" s="39" t="n">
        <v>1.19375</v>
      </c>
      <c r="N1001" t="inlineStr">
        <is>
          <t>%</t>
        </is>
      </c>
      <c r="O1001" t="inlineStr">
        <is>
          <t>%</t>
        </is>
      </c>
      <c r="P1001" t="n">
        <v>0</v>
      </c>
      <c r="Q1001" t="n">
        <v>0</v>
      </c>
      <c r="R1001" t="inlineStr">
        <is>
          <t>550-2025-12-31</t>
        </is>
      </c>
    </row>
    <row r="1002">
      <c r="A1002" t="n">
        <v>551</v>
      </c>
      <c r="B1002" t="inlineStr">
        <is>
          <t>Evaluación del desempeño de los mentores</t>
        </is>
      </c>
      <c r="C1002" t="inlineStr">
        <is>
          <t>Emprendimiento</t>
        </is>
      </c>
      <c r="D1002" t="inlineStr">
        <is>
          <t>Trimestral</t>
        </is>
      </c>
      <c r="E1002" t="inlineStr">
        <is>
          <t>Positivo</t>
        </is>
      </c>
      <c r="F1002" s="113" t="n">
        <v>46022</v>
      </c>
      <c r="G1002" t="n">
        <v>2025</v>
      </c>
      <c r="H1002" t="inlineStr">
        <is>
          <t>Diciembre</t>
        </is>
      </c>
      <c r="I1002" t="inlineStr">
        <is>
          <t>2025-2</t>
        </is>
      </c>
      <c r="J1002" t="n">
        <v>4</v>
      </c>
      <c r="K1002" t="n">
        <v>5</v>
      </c>
      <c r="L1002" s="39" t="n">
        <v>1.25</v>
      </c>
      <c r="M1002" s="39" t="n">
        <v>1.25</v>
      </c>
      <c r="N1002" t="inlineStr">
        <is>
          <t>%</t>
        </is>
      </c>
      <c r="O1002" t="inlineStr">
        <is>
          <t>%</t>
        </is>
      </c>
      <c r="P1002" t="n">
        <v>0</v>
      </c>
      <c r="Q1002" t="n">
        <v>0</v>
      </c>
      <c r="R1002" t="inlineStr">
        <is>
          <t>551-2025-12-31</t>
        </is>
      </c>
    </row>
    <row r="1003">
      <c r="A1003" t="n">
        <v>552</v>
      </c>
      <c r="B1003" t="inlineStr">
        <is>
          <t>Nivel de Satisfacción Servicios Prestados -Gestión de la Responsabilidad Social</t>
        </is>
      </c>
      <c r="C1003" t="inlineStr">
        <is>
          <t>Gestión de la Responsabilidad Social</t>
        </is>
      </c>
      <c r="D1003" t="inlineStr">
        <is>
          <t>Anual</t>
        </is>
      </c>
      <c r="E1003" t="inlineStr">
        <is>
          <t>Positivo</t>
        </is>
      </c>
      <c r="F1003" s="113" t="n">
        <v>46022</v>
      </c>
      <c r="G1003" t="n">
        <v>2025</v>
      </c>
      <c r="H1003" t="inlineStr">
        <is>
          <t>Diciembre</t>
        </is>
      </c>
      <c r="I1003" t="inlineStr">
        <is>
          <t>2025-2</t>
        </is>
      </c>
      <c r="J1003" t="n">
        <v>80</v>
      </c>
      <c r="K1003" t="n">
        <v>92</v>
      </c>
      <c r="L1003" s="39" t="n">
        <v>1.15</v>
      </c>
      <c r="M1003" s="39" t="n">
        <v>1.15</v>
      </c>
      <c r="N1003" t="inlineStr">
        <is>
          <t>%</t>
        </is>
      </c>
      <c r="O1003" t="inlineStr">
        <is>
          <t>%</t>
        </is>
      </c>
      <c r="P1003" t="n">
        <v>0</v>
      </c>
      <c r="Q1003" t="n">
        <v>0</v>
      </c>
      <c r="R1003" t="inlineStr">
        <is>
          <t>552-2025-12-31</t>
        </is>
      </c>
    </row>
    <row r="1004">
      <c r="A1004" t="n">
        <v>553</v>
      </c>
      <c r="B1004" t="inlineStr">
        <is>
          <t>Nivel de Satisfacción Servicios Prestados -Inscripción, admisión y matrícula de estudiantes nuevos</t>
        </is>
      </c>
      <c r="C1004" t="inlineStr">
        <is>
          <t>Inscripción, admisión y matrícula de estudiantes nuevos</t>
        </is>
      </c>
      <c r="D1004" t="inlineStr">
        <is>
          <t>Anual</t>
        </is>
      </c>
      <c r="E1004" t="inlineStr">
        <is>
          <t>Positivo</t>
        </is>
      </c>
      <c r="F1004" s="113" t="n">
        <v>46022</v>
      </c>
      <c r="G1004" t="n">
        <v>2025</v>
      </c>
      <c r="H1004" t="inlineStr">
        <is>
          <t>Diciembre</t>
        </is>
      </c>
      <c r="I1004" t="inlineStr">
        <is>
          <t>2025-2</t>
        </is>
      </c>
      <c r="J1004" t="n">
        <v>80</v>
      </c>
      <c r="K1004" t="n">
        <v>83</v>
      </c>
      <c r="L1004" s="39" t="n">
        <v>1.0375</v>
      </c>
      <c r="M1004" s="39" t="n">
        <v>1.0375</v>
      </c>
      <c r="N1004" t="inlineStr">
        <is>
          <t>%</t>
        </is>
      </c>
      <c r="O1004" t="inlineStr">
        <is>
          <t>%</t>
        </is>
      </c>
      <c r="P1004" t="n">
        <v>0</v>
      </c>
      <c r="Q1004" t="n">
        <v>0</v>
      </c>
      <c r="R1004" t="inlineStr">
        <is>
          <t>553-2025-12-31</t>
        </is>
      </c>
    </row>
    <row r="1005">
      <c r="A1005" t="n">
        <v>554</v>
      </c>
      <c r="B1005" t="inlineStr">
        <is>
          <t>Nivel de Satisfacción Servicios Prestados -Permanencia</t>
        </is>
      </c>
      <c r="C1005" t="inlineStr">
        <is>
          <t>Permanencia</t>
        </is>
      </c>
      <c r="D1005" t="inlineStr">
        <is>
          <t>Trimestral</t>
        </is>
      </c>
      <c r="E1005" t="inlineStr">
        <is>
          <t>Positivo</t>
        </is>
      </c>
      <c r="F1005" s="113" t="n">
        <v>46022</v>
      </c>
      <c r="G1005" t="n">
        <v>2025</v>
      </c>
      <c r="H1005" t="inlineStr">
        <is>
          <t>Diciembre</t>
        </is>
      </c>
      <c r="I1005" t="inlineStr">
        <is>
          <t>2025-2</t>
        </is>
      </c>
      <c r="J1005" t="n">
        <v>80</v>
      </c>
      <c r="K1005" t="n">
        <v>95</v>
      </c>
      <c r="L1005" s="39" t="n">
        <v>1.1875</v>
      </c>
      <c r="M1005" s="39" t="n">
        <v>1.1875</v>
      </c>
      <c r="N1005" t="inlineStr">
        <is>
          <t>%</t>
        </is>
      </c>
      <c r="O1005" t="inlineStr">
        <is>
          <t>%</t>
        </is>
      </c>
      <c r="P1005" t="n">
        <v>0</v>
      </c>
      <c r="Q1005" t="n">
        <v>0</v>
      </c>
      <c r="R1005" t="inlineStr">
        <is>
          <t>554-2025-12-31</t>
        </is>
      </c>
    </row>
    <row r="1006">
      <c r="A1006" t="n">
        <v>555</v>
      </c>
      <c r="B1006" t="inlineStr">
        <is>
          <t>Nivel de Satisfacción Servicios Prestados -Mercadeo y venta de educación para la vida</t>
        </is>
      </c>
      <c r="C1006" t="inlineStr">
        <is>
          <t>Mercadeo y venta de educación para la vida</t>
        </is>
      </c>
      <c r="D1006" t="inlineStr">
        <is>
          <t>Trimestral</t>
        </is>
      </c>
      <c r="E1006" t="inlineStr">
        <is>
          <t>Positivo</t>
        </is>
      </c>
      <c r="F1006" s="113" t="n">
        <v>46022</v>
      </c>
      <c r="G1006" t="n">
        <v>2025</v>
      </c>
      <c r="H1006" t="inlineStr">
        <is>
          <t>Diciembre</t>
        </is>
      </c>
      <c r="I1006" t="inlineStr">
        <is>
          <t>2025-2</t>
        </is>
      </c>
      <c r="J1006" t="n">
        <v>80</v>
      </c>
      <c r="K1006" t="n">
        <v>100</v>
      </c>
      <c r="L1006" s="39" t="n">
        <v>1.25</v>
      </c>
      <c r="M1006" s="39" t="n">
        <v>1.25</v>
      </c>
      <c r="N1006" t="inlineStr">
        <is>
          <t>%</t>
        </is>
      </c>
      <c r="O1006" t="inlineStr">
        <is>
          <t>%</t>
        </is>
      </c>
      <c r="P1006" t="n">
        <v>0</v>
      </c>
      <c r="Q1006" t="n">
        <v>0</v>
      </c>
      <c r="R1006" t="inlineStr">
        <is>
          <t>555-2025-12-31</t>
        </is>
      </c>
    </row>
    <row r="1007">
      <c r="A1007" t="n">
        <v>556</v>
      </c>
      <c r="B1007" t="inlineStr">
        <is>
          <t>Cumplimiento Plan de formación Institucional</t>
        </is>
      </c>
      <c r="C1007" t="inlineStr">
        <is>
          <t>GESTIÓN Y DESARROLLO DEL TALENTO HUMANO</t>
        </is>
      </c>
      <c r="D1007" t="inlineStr">
        <is>
          <t>Anual</t>
        </is>
      </c>
      <c r="E1007" t="inlineStr">
        <is>
          <t>Positivo</t>
        </is>
      </c>
      <c r="F1007" s="113" t="n">
        <v>46022</v>
      </c>
      <c r="G1007" t="n">
        <v>2025</v>
      </c>
      <c r="H1007" t="inlineStr">
        <is>
          <t>Diciembre</t>
        </is>
      </c>
      <c r="I1007" t="inlineStr">
        <is>
          <t>2025-2</t>
        </is>
      </c>
      <c r="J1007" t="n">
        <v>70</v>
      </c>
      <c r="K1007" t="n">
        <v>113.75</v>
      </c>
      <c r="L1007" s="39" t="n">
        <v>1.3</v>
      </c>
      <c r="M1007" s="39" t="n">
        <v>1.625</v>
      </c>
      <c r="N1007" t="inlineStr">
        <is>
          <t>%</t>
        </is>
      </c>
      <c r="O1007" t="inlineStr">
        <is>
          <t>%</t>
        </is>
      </c>
      <c r="P1007" t="n">
        <v>0</v>
      </c>
      <c r="Q1007" t="n">
        <v>0</v>
      </c>
      <c r="R1007" t="inlineStr">
        <is>
          <t>556-2025-12-31</t>
        </is>
      </c>
    </row>
    <row r="1008">
      <c r="A1008" t="n">
        <v>561</v>
      </c>
      <c r="B1008" t="inlineStr">
        <is>
          <t>Tasa de Ejecución Presupuestal del Proceso</t>
        </is>
      </c>
      <c r="C1008" t="inlineStr">
        <is>
          <t>Operación de nuevos negocios y CI</t>
        </is>
      </c>
      <c r="D1008" t="inlineStr">
        <is>
          <t>Quincenal</t>
        </is>
      </c>
      <c r="E1008" t="inlineStr">
        <is>
          <t>Negativo</t>
        </is>
      </c>
      <c r="F1008" s="113" t="n">
        <v>46203</v>
      </c>
      <c r="G1008" t="n">
        <v>2026</v>
      </c>
      <c r="H1008" t="inlineStr">
        <is>
          <t>Junio</t>
        </is>
      </c>
      <c r="I1008" t="inlineStr">
        <is>
          <t>2026-1</t>
        </is>
      </c>
      <c r="J1008" t="n">
        <v>1</v>
      </c>
      <c r="L1008" s="39" t="n"/>
      <c r="M1008" s="39" t="n"/>
      <c r="N1008" t="inlineStr">
        <is>
          <t>%</t>
        </is>
      </c>
      <c r="O1008" t="inlineStr">
        <is>
          <t>No Aplica</t>
        </is>
      </c>
      <c r="P1008" t="n">
        <v>0</v>
      </c>
      <c r="Q1008" t="n">
        <v>0</v>
      </c>
      <c r="R1008" t="inlineStr">
        <is>
          <t>561-2026-06-30</t>
        </is>
      </c>
      <c r="S1008" t="inlineStr">
        <is>
          <t>No Aplica</t>
        </is>
      </c>
    </row>
  </sheetData>
  <conditionalFormatting sqref="A22">
    <cfRule type="duplicateValues" priority="311" dxfId="0"/>
    <cfRule type="duplicateValues" priority="310" dxfId="0"/>
    <cfRule type="duplicateValues" priority="312" dxfId="0"/>
  </conditionalFormatting>
  <conditionalFormatting sqref="A23">
    <cfRule type="duplicateValues" priority="314" dxfId="0"/>
  </conditionalFormatting>
  <conditionalFormatting sqref="A606">
    <cfRule type="duplicateValues" priority="285" dxfId="0"/>
    <cfRule type="duplicateValues" priority="286" dxfId="0"/>
    <cfRule type="duplicateValues" priority="288" dxfId="0"/>
    <cfRule type="duplicateValues" priority="287" dxfId="0"/>
  </conditionalFormatting>
  <conditionalFormatting sqref="A907:A915">
    <cfRule type="duplicateValues" priority="284" dxfId="0"/>
  </conditionalFormatting>
  <conditionalFormatting sqref="A955">
    <cfRule type="duplicateValues" priority="270" dxfId="0"/>
    <cfRule type="duplicateValues" priority="271" dxfId="0"/>
  </conditionalFormatting>
  <conditionalFormatting sqref="A1042">
    <cfRule type="duplicateValues" priority="31" dxfId="0"/>
    <cfRule type="duplicateValues" priority="28" dxfId="0"/>
    <cfRule type="duplicateValues" priority="32" dxfId="0"/>
    <cfRule type="duplicateValues" priority="30" dxfId="0"/>
  </conditionalFormatting>
  <conditionalFormatting sqref="A1043">
    <cfRule type="duplicateValues" priority="24" dxfId="0"/>
    <cfRule type="duplicateValues" priority="25" dxfId="0"/>
    <cfRule type="duplicateValues" priority="22" dxfId="0"/>
    <cfRule type="duplicateValues" priority="26" dxfId="0"/>
  </conditionalFormatting>
  <conditionalFormatting sqref="A1044">
    <cfRule type="duplicateValues" priority="16" dxfId="0"/>
    <cfRule type="duplicateValues" priority="18" dxfId="0"/>
    <cfRule type="duplicateValues" priority="19" dxfId="0"/>
    <cfRule type="duplicateValues" priority="20" dxfId="0"/>
  </conditionalFormatting>
  <conditionalFormatting sqref="A1045">
    <cfRule type="duplicateValues" priority="13" dxfId="0"/>
    <cfRule type="duplicateValues" priority="10" dxfId="0"/>
    <cfRule type="duplicateValues" priority="12" dxfId="0"/>
    <cfRule type="duplicateValues" priority="14" dxfId="0"/>
  </conditionalFormatting>
  <conditionalFormatting sqref="A1067">
    <cfRule type="duplicateValues" priority="7" dxfId="0"/>
    <cfRule type="duplicateValues" priority="9" dxfId="0"/>
    <cfRule type="duplicateValues" priority="8" dxfId="0"/>
  </conditionalFormatting>
  <conditionalFormatting sqref="A1087:A1088">
    <cfRule type="duplicateValues" priority="1" dxfId="0"/>
    <cfRule type="duplicateValues" priority="5" dxfId="0"/>
    <cfRule type="duplicateValues" priority="4" dxfId="0"/>
    <cfRule type="duplicateValues" priority="3" dxfId="0"/>
  </conditionalFormatting>
  <conditionalFormatting sqref="A1143">
    <cfRule type="duplicateValues" priority="88" dxfId="0"/>
    <cfRule type="duplicateValues" priority="87" dxfId="0"/>
    <cfRule type="duplicateValues" priority="86" dxfId="0"/>
    <cfRule type="duplicateValues" priority="84" dxfId="0"/>
  </conditionalFormatting>
  <conditionalFormatting sqref="A1144">
    <cfRule type="duplicateValues" priority="76" dxfId="0"/>
    <cfRule type="duplicateValues" priority="75" dxfId="0"/>
    <cfRule type="duplicateValues" priority="74" dxfId="0"/>
    <cfRule type="duplicateValues" priority="72" dxfId="0"/>
  </conditionalFormatting>
  <conditionalFormatting sqref="A1145">
    <cfRule type="duplicateValues" priority="66" dxfId="0"/>
    <cfRule type="duplicateValues" priority="70" dxfId="0"/>
    <cfRule type="duplicateValues" priority="69" dxfId="0"/>
    <cfRule type="duplicateValues" priority="68" dxfId="0"/>
  </conditionalFormatting>
  <conditionalFormatting sqref="A1146">
    <cfRule type="duplicateValues" priority="62" dxfId="0"/>
    <cfRule type="duplicateValues" priority="64" dxfId="0"/>
    <cfRule type="duplicateValues" priority="60" dxfId="0"/>
    <cfRule type="duplicateValues" priority="63" dxfId="0"/>
  </conditionalFormatting>
  <conditionalFormatting sqref="A1147">
    <cfRule type="duplicateValues" priority="57" dxfId="0"/>
    <cfRule type="duplicateValues" priority="58" dxfId="0"/>
    <cfRule type="duplicateValues" priority="54" dxfId="0"/>
    <cfRule type="duplicateValues" priority="56" dxfId="0"/>
  </conditionalFormatting>
  <conditionalFormatting sqref="A1148">
    <cfRule type="duplicateValues" priority="80" dxfId="0"/>
    <cfRule type="duplicateValues" priority="81" dxfId="0"/>
    <cfRule type="duplicateValues" priority="78" dxfId="0"/>
    <cfRule type="duplicateValues" priority="79" dxfId="0"/>
  </conditionalFormatting>
  <conditionalFormatting sqref="A1149">
    <cfRule type="duplicateValues" priority="53" dxfId="0"/>
    <cfRule type="duplicateValues" priority="52" dxfId="0"/>
    <cfRule type="duplicateValues" priority="51" dxfId="0"/>
    <cfRule type="duplicateValues" priority="50" dxfId="0"/>
  </conditionalFormatting>
  <conditionalFormatting sqref="A1165">
    <cfRule type="duplicateValues" priority="42" dxfId="0"/>
    <cfRule type="duplicateValues" priority="44" dxfId="0"/>
    <cfRule type="duplicateValues" priority="45" dxfId="0"/>
    <cfRule type="duplicateValues" priority="46" dxfId="0"/>
  </conditionalFormatting>
  <conditionalFormatting sqref="A1166">
    <cfRule type="duplicateValues" priority="40" dxfId="0"/>
    <cfRule type="duplicateValues" priority="36" dxfId="0"/>
    <cfRule type="duplicateValues" priority="39" dxfId="0"/>
    <cfRule type="duplicateValues" priority="38" dxfId="0"/>
  </conditionalFormatting>
  <conditionalFormatting sqref="A1170">
    <cfRule type="duplicateValues" priority="129" dxfId="0"/>
    <cfRule type="duplicateValues" priority="128" dxfId="0"/>
    <cfRule type="duplicateValues" priority="127" dxfId="0"/>
  </conditionalFormatting>
  <conditionalFormatting sqref="A1377">
    <cfRule type="duplicateValues" priority="126" dxfId="0"/>
    <cfRule type="duplicateValues" priority="125" dxfId="0"/>
  </conditionalFormatting>
  <conditionalFormatting sqref="B15">
    <cfRule type="duplicateValues" priority="202" dxfId="0"/>
    <cfRule type="duplicateValues" priority="203" dxfId="0"/>
  </conditionalFormatting>
  <conditionalFormatting sqref="B16">
    <cfRule type="duplicateValues" priority="200" dxfId="0"/>
    <cfRule type="duplicateValues" priority="201" dxfId="0"/>
  </conditionalFormatting>
  <conditionalFormatting sqref="B19">
    <cfRule type="duplicateValues" priority="155" dxfId="0"/>
    <cfRule type="duplicateValues" priority="154" dxfId="0"/>
  </conditionalFormatting>
  <conditionalFormatting sqref="B20">
    <cfRule type="duplicateValues" priority="153" dxfId="0"/>
    <cfRule type="duplicateValues" priority="152" dxfId="0"/>
  </conditionalFormatting>
  <conditionalFormatting sqref="B21">
    <cfRule type="duplicateValues" priority="160" dxfId="0"/>
    <cfRule type="duplicateValues" priority="161" dxfId="0"/>
  </conditionalFormatting>
  <conditionalFormatting sqref="B22">
    <cfRule type="duplicateValues" priority="158" dxfId="0"/>
    <cfRule type="duplicateValues" priority="159" dxfId="0"/>
  </conditionalFormatting>
  <conditionalFormatting sqref="B988">
    <cfRule type="duplicateValues" priority="34" dxfId="0"/>
    <cfRule type="duplicateValues" priority="35" dxfId="0"/>
  </conditionalFormatting>
  <conditionalFormatting sqref="B1042">
    <cfRule type="duplicateValues" priority="33" dxfId="0"/>
    <cfRule type="duplicateValues" priority="29" dxfId="0"/>
  </conditionalFormatting>
  <conditionalFormatting sqref="B1043">
    <cfRule type="duplicateValues" priority="27" dxfId="0"/>
    <cfRule type="duplicateValues" priority="23" dxfId="0"/>
  </conditionalFormatting>
  <conditionalFormatting sqref="B1044">
    <cfRule type="duplicateValues" priority="17" dxfId="0"/>
    <cfRule type="duplicateValues" priority="21" dxfId="0"/>
  </conditionalFormatting>
  <conditionalFormatting sqref="B1045">
    <cfRule type="duplicateValues" priority="15" dxfId="0"/>
    <cfRule type="duplicateValues" priority="11" dxfId="0"/>
  </conditionalFormatting>
  <conditionalFormatting sqref="B1087:B1088">
    <cfRule type="duplicateValues" priority="2" dxfId="0"/>
    <cfRule type="duplicateValues" priority="6" dxfId="0"/>
  </conditionalFormatting>
  <conditionalFormatting sqref="B1093">
    <cfRule type="duplicateValues" priority="92" dxfId="0"/>
    <cfRule type="duplicateValues" priority="93" dxfId="0"/>
  </conditionalFormatting>
  <conditionalFormatting sqref="B1094">
    <cfRule type="duplicateValues" priority="91" dxfId="0"/>
    <cfRule type="duplicateValues" priority="90" dxfId="0"/>
  </conditionalFormatting>
  <conditionalFormatting sqref="B1143">
    <cfRule type="duplicateValues" priority="85" dxfId="0"/>
    <cfRule type="duplicateValues" priority="89" dxfId="0"/>
  </conditionalFormatting>
  <conditionalFormatting sqref="B1144">
    <cfRule type="duplicateValues" priority="77" dxfId="0"/>
    <cfRule type="duplicateValues" priority="73" dxfId="0"/>
  </conditionalFormatting>
  <conditionalFormatting sqref="B1145">
    <cfRule type="duplicateValues" priority="71" dxfId="0"/>
    <cfRule type="duplicateValues" priority="67" dxfId="0"/>
  </conditionalFormatting>
  <conditionalFormatting sqref="B1146">
    <cfRule type="duplicateValues" priority="65" dxfId="0"/>
    <cfRule type="duplicateValues" priority="61" dxfId="0"/>
  </conditionalFormatting>
  <conditionalFormatting sqref="B1147">
    <cfRule type="duplicateValues" priority="59" dxfId="0"/>
    <cfRule type="duplicateValues" priority="55" dxfId="0"/>
  </conditionalFormatting>
  <conditionalFormatting sqref="B1148">
    <cfRule type="duplicateValues" priority="83" dxfId="0"/>
    <cfRule type="duplicateValues" priority="82" dxfId="0"/>
  </conditionalFormatting>
  <conditionalFormatting sqref="B1165">
    <cfRule type="duplicateValues" priority="43" dxfId="0"/>
    <cfRule type="duplicateValues" priority="47" dxfId="0"/>
  </conditionalFormatting>
  <conditionalFormatting sqref="B1166">
    <cfRule type="duplicateValues" priority="37" dxfId="0"/>
    <cfRule type="duplicateValues" priority="41" dxfId="0"/>
  </conditionalFormatting>
  <conditionalFormatting sqref="B1170">
    <cfRule type="duplicateValues" priority="130" dxfId="0"/>
    <cfRule type="duplicateValues" priority="131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10" defaultRowHeight="14.4"/>
  <cols>
    <col width="20.6640625" customWidth="1" style="89" min="1" max="1"/>
    <col width="19.6640625" bestFit="1" customWidth="1" style="89" min="2" max="2"/>
    <col width="24.88671875" bestFit="1" customWidth="1" style="89" min="3" max="3"/>
    <col width="11.5546875" customWidth="1" style="89" min="4" max="4"/>
    <col width="44.88671875" bestFit="1" customWidth="1" style="89" min="5" max="5"/>
    <col width="49.88671875" customWidth="1" style="89" min="6" max="6"/>
    <col width="2.5546875" customWidth="1" style="89" min="7" max="7"/>
    <col width="24.88671875" bestFit="1" customWidth="1" style="89" min="8" max="8"/>
    <col width="11.5546875" customWidth="1" style="89" min="9" max="9"/>
    <col width="46.109375" customWidth="1" style="89" min="10" max="10"/>
    <col width="35.77734375" customWidth="1" style="89" min="11" max="11"/>
    <col width="11.5546875" customWidth="1" style="89" min="12" max="13"/>
    <col width="11.5546875" customWidth="1" style="89" min="14" max="16384"/>
  </cols>
  <sheetData>
    <row r="1">
      <c r="A1" s="66" t="n"/>
      <c r="B1" s="66" t="n"/>
      <c r="C1" s="88" t="inlineStr">
        <is>
          <t>Serie Unica</t>
        </is>
      </c>
      <c r="H1" s="90" t="inlineStr">
        <is>
          <t>Multiserie</t>
        </is>
      </c>
      <c r="I1" s="91" t="n"/>
      <c r="J1" s="91" t="n"/>
      <c r="K1" s="92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5" t="inlineStr">
        <is>
          <t>Resultados Consolidado</t>
        </is>
      </c>
      <c r="B3" s="85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6" t="n"/>
      <c r="B4" s="86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6" t="n"/>
      <c r="B5" s="87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6" t="n"/>
      <c r="B6" s="85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6" t="n"/>
      <c r="B7" s="87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6" t="n"/>
      <c r="B8" s="85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7" t="n"/>
      <c r="B9" s="87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7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7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7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7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7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7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7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7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7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7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7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7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7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7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7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7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7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7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7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7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7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7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7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7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7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7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7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7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7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7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7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7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7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7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7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7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7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7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7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7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7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7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7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7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7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7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7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7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7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7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7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7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7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7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7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7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7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7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7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7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7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7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7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7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7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7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7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7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7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7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7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7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7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7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7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7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7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7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7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7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7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7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7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7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7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7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7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7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7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7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7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7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7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7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7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7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7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7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7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7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7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7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7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7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7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7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7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7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7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7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7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7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7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7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7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7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7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7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7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7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7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7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7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7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7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7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7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7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7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7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7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7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7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7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7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7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7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7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7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7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7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7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7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7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7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7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7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7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7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7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7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7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7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7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7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7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7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7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7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7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7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7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7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7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7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7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7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7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7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7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7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7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7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7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7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7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7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7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7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7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7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7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7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7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7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7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7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7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7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7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7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7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7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7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7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7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7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7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7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7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7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7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7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7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7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7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7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7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7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7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7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7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7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7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7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7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7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7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7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7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7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7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7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7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7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7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7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7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7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7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7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7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7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7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7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7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7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7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7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7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7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7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7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7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7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7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7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7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7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7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7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7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7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7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7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7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7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7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7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7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7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7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7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7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7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7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7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7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7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7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7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7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7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7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7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7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7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7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7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7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7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7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7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7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7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7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7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7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7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7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7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7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7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7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7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7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7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7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7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7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7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7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7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7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7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7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7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7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7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7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7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7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7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7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7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7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7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7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7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7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7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7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7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7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7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7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7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7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7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7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7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7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7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7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7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7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7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7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7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7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7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7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7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7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7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7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7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7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7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7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7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7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7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7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7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7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7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7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7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7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7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7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7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7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7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7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7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7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7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7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7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7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7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7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7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7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7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7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7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7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7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7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7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7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7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7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7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7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7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7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7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7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7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7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7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7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7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7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7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7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7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7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7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7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7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7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7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7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7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7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7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7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7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7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7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7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7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7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7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7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7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7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7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7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7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7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7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7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7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7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7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7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7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7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7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7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7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7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7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7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7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7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7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7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7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7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7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7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7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7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7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7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7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7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7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7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7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7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7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7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7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7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7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7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7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7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7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7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7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7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7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7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7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7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7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7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7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7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7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7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7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7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7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7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7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7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7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7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7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7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7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7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7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7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7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7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7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7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7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7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7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7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7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7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7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7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7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7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7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7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7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7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7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7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7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7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7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7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7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7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7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7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7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7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7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7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7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7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7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7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7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7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7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7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7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7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7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7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7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7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7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7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7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7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7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7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7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7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7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7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7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7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7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7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7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7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7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7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7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7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7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7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7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7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7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7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7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7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7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7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7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7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7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7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7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7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7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7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7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7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7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7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7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7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7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7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7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7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7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7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7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7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7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7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7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7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7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7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7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7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7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7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7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7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7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7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7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7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7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7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7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7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7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7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7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7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7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7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7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7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7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7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7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7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7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7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7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7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7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7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7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7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7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7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7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7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7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7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7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7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7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7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7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7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7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7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7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7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7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7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7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7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7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7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7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7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7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7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7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7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7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7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7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7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7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7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7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7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7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7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7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7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7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7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7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7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7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7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7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7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7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7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7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7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7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7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7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7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7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7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7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7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7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7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7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7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7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7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7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7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7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7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7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7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7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7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7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7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7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7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7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7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7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7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7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7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7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7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7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7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7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7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7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7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7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7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7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7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7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7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7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7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7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7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7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7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7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7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7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7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7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7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7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7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7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7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7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7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7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7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7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7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7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7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7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7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7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7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7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7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7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7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7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7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7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7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7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7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7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7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7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7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7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7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7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7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7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7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7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7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7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7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7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7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7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7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7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7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7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7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7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7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7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7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7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7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7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7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7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7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7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7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7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7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7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7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7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7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7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7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7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7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7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7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7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7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7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7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7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7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7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7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7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7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7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7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7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7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7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7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7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7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7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7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7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7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7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7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7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7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7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7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7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7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7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7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7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7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7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7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7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7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7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7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7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7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7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7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7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7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7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7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7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7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7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7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7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7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7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7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7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7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7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7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7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7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7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7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7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7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7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7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7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7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7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7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7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7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7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7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7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7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7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7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7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7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7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7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7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7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7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7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7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7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7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7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7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7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7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7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7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7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7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7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7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7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7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7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7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7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7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7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7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7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7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7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7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7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7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7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7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7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7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7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7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7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7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7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7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7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7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7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7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7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7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7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7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7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7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7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7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7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7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7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7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7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7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7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7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7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7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7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7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7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7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7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7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7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7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7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7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7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7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7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7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7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7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7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7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7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7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7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7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7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7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7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7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7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7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7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7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7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7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7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7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7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7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7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7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7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7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7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7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7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7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7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7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7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7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7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7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7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7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7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7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7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7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7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7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7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7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7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7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7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7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7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7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7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7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7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7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7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7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7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7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7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7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7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7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7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7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7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7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7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7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7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7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7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7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7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7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7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7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7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7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7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7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7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7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7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7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7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7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7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7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7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7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7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7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7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7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7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7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7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7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7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7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7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7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7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7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7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7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7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7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7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7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7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7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7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7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7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7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7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7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7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7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7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7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7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7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7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7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7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7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7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7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7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7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7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7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7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7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7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7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7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7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7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7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7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7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7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7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7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7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7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7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7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7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7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7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7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7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7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7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7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7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7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7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7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7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7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7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7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7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7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7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7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7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7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7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7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7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7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7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7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7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7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7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7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7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7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7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7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7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7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7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7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7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7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7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7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7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7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7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7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7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7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7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7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7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7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7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7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7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7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7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7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7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7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7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7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7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7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7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7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7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7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7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7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7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7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7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7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7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7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7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7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7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7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7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7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7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7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7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7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7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7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7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7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7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7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7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7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7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7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7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7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7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7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7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7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7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7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7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7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7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7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7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7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7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7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7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7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7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7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7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7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7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7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7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7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7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7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7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7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7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7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7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7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7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7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7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7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7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7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7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7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7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7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7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7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7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7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7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7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7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7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7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7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7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7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7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7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7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7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7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7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7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7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7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7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7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7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7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7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7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7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7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7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7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7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7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7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7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7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7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7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7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7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7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7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7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7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7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7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7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7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7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7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7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7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7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7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7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7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7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7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7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7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7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7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7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7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7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7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7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7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7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7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7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7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7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7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7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7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7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7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7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7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7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7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7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7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7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7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7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7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7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7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7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7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7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7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7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7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7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7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7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7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7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7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7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7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7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7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7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7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7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7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7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7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7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7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7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7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7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7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7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7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7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7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7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7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7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7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7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7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7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7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7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7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7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7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7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7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7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7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7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7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7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7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7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7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7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7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7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7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7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7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7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7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7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7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7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7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7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7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7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7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7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7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7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7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7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7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7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7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7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7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7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7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7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7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7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7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7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7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7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7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7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7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7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7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7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7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7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7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7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7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7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7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7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7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7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7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7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7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7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7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7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7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7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7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7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7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7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7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7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7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7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7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7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7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7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7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7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7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7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7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7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7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7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7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7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7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7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7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7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7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7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7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7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7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7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7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7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7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7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7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7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7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7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7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7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7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7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7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7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7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7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7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7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7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7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7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7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7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7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7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7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7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7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7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7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7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7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7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7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7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7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7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7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7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7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7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7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7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7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7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7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7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7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7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7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7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7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7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7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7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7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7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7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7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7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7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7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7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7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7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7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7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7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7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7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7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7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7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7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7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7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7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7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7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7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7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7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7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7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7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7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7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7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7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7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7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7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7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7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7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7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7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7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7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7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7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7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7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7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7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7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7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7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7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7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7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7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7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7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7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7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7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7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7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7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7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7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7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7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7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7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7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7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7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7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7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7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7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7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7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7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7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7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7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7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7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7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7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7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7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7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7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7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7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7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7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7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7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7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7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7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7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7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7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7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7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7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7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7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7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7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7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7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7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7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7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7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7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7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7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7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7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7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7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7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7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7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7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7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7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7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7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7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7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7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7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7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7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7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7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7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7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7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7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7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7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7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7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7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7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7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7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7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7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7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7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7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7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7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7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7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7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7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7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7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7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7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7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7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7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7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7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7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7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7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7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7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7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7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7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7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7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7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7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7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7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7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7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7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7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7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7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7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7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7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7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7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7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7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7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7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7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7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7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7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7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7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7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7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7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7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7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7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7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7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7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7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7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7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7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7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7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7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7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7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7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7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7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7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7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7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7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7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7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7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7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7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7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7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7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7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7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7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7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7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7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7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7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7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7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7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7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7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7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7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7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7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7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7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7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7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7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7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7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7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7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7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7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7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7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7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7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7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7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7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7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7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7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7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7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7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7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7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7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7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7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7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7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7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7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7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7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7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7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7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7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7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7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7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7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7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7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7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7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7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7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7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7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7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7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7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7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7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7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7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7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7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7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7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7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7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7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7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7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7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7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7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7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7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7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7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7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7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7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7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7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7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7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7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7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7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7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7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7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7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7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7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7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7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7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7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7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7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7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7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7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7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7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7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7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7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7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7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7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7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7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7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7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7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7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7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7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7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7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7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7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7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7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7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7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7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7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7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7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7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7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7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7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7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7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7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7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7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7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7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7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7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7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7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7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7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7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7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7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7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7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7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7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7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7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7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7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7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7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7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7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7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7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7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7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7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7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7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7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7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7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7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7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7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7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7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7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7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7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7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7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7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7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7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7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7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7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7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7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7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7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7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7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7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7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7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7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7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7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7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7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7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7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7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7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7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7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7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7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7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7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7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7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7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7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7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7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7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7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7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7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7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7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7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7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7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7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7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7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7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7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7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7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7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7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7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7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7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7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7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7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7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7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7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7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7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7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7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7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7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7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7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7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7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7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7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7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7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7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7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7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7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7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7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7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7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7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7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7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7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7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7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7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7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7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7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7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7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7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7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7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7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7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7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7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7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7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7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7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7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7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7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7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7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7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7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7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7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7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7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7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7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7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7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7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7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7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7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7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7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7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7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7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7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7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7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7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7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7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7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7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7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7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7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7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7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7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7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7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7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7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7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7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7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7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7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7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7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7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7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7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7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7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7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7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7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7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7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7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7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7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7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7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7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7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7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7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7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7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7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7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7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7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7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7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7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7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7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7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7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7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7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7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7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7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7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7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7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7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7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7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7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7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7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7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7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7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7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7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7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7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7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7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7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7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7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7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7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7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7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7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7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7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7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7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7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7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7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7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7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7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7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7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7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7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7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7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7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7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7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7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7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7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7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7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7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7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7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7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7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7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7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7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7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7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7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7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7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7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7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7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7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7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7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7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7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7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7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7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7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7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7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7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7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7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7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7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7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7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7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7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7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7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7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7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7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7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7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7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7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7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7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7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7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7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7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7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7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7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7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7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7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7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7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7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7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7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7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7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7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7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7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7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7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7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7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7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7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7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7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7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7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7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7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7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7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7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7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7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7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7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7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7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7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7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7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7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7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7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7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7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7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7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7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7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7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7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7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7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7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7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7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7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7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7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7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7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7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7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7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7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7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7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7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7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7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7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7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7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7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7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7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7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7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7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7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7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7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7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7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7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7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7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7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7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7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7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7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7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7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7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7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7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7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7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7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7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7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7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7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7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7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7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7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7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7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7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7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7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7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7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7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7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7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7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7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7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7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7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7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7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7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7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7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7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7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7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7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7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7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7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7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7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7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7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7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7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7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7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7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7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7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7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7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7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7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7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7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7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7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7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7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7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7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7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7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7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7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7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7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7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7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7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7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7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7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7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7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7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7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7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7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7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7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7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7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7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7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7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7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7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7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7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7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7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7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7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7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7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7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7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7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7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7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7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7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7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7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7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7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7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7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7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7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7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7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7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7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7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7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7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7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7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7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7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7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7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7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7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7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7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7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7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7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7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7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7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7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7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7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7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7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7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7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7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7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7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7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7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7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7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7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7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7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7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7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7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7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7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7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7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7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7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7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7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7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7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7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7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7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7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7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7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7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7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7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7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7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7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7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7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7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7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7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7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7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7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7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7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7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7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7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7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7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7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7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7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7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7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7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7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7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7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7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7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7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7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7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7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7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7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7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7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7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7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7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7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7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7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7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7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7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7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7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7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7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7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7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7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7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7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7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7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7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7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7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7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7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7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7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7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7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7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7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7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7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7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7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7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7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7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7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7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7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7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7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7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7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7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7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7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7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7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7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7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7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7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7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7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7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7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7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7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7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7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7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7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7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7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7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7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7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7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7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7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7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7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7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7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7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7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7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7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7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7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7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7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7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7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7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7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7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7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7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7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7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7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7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7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7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7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7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7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7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7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7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7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7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7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7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7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7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7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7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7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7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7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7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7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7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7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7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7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7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7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7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7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7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7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7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7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7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7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7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7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7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7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7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7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7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7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7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7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7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7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7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7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7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7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7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7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7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7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7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7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7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7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7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7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7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7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7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7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7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7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7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7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7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7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7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7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7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7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7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7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7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7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7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7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7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7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7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7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7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7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7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7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7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7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7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7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7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7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7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7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7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7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7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7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7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7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7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7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7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7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7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7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7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7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7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7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7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7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7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7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7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7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7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7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7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7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7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7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7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7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7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7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7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7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7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7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7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7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7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7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7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7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7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7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7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7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7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7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7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7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7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7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7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7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7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7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7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7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7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7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7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7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7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7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7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7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7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7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7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7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7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7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7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7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7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7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7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7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7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7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7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7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7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7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7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7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7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7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7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7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7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7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7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7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7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7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7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7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7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7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7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7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7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7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7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7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7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7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7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7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7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7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7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7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7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7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7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7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7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7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7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7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7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7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7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7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7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7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7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7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7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7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7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7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7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7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7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7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7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7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7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7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7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7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7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7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7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7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7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7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7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7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7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7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7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7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7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7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7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7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7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7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7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7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7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7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7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7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7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7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7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7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7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7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7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7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7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7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7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7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7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7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7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7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7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7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7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7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7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7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7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7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7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7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7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7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7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7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7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7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7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7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7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7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7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7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7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7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7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7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7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7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7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7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7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7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7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7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7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7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7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7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7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7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7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7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7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7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7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7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7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7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7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7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7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7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7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7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7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7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7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7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7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7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7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7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7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7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7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7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7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7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7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7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7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7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7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7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7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7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7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7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7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7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7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7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7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7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7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7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7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7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7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7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7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7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7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7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7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7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7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7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7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7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7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7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7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7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7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7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7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7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7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7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7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7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7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7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7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7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7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7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7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7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7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7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7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7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7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7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7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7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7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7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7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7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7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7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7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7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7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7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7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7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7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7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7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7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7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7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7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7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7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7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7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7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7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7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7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7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7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7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7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7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7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7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7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7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7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7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7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7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7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7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7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7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7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7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7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7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7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7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7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7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7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7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7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7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7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7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7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7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7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7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7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7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7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7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7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7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7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7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7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7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7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7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7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7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7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7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7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7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7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7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7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7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7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7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7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7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7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7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7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7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7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7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7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7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7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7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7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7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7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7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7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7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7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7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7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7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7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7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7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7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7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7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7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7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7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7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7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7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7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7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7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7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7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7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7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7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7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7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7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7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7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7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7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7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7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7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7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7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7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7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7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7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7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7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7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7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7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7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7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7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7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7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7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7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7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7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7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7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7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7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7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7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7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7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7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7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7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7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7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7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7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7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7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7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7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7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7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7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7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7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7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7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7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7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7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7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7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7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7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7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7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7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7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7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7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7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7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7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7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7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7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7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7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7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7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7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7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7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7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7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7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7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7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7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7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7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7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7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7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7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7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7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7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7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7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7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7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7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7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7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7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7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7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7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7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7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7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7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7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7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7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7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7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7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7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7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7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7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7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7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7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7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7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7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7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7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7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7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7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7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7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7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7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7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7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7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7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7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7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7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7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7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7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7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7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7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7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7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7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7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7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7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7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7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7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7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7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7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7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7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7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7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7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7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7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7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7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7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7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7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7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7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7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7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7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7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7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7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7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7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7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7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7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7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7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7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7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7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7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7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7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7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7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7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7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7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7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7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7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7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7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7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7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7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7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7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7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7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7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7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7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7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7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7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7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7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7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7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7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7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7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7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7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7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7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7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7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7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7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7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7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7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7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7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7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7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7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7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7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7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7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7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7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7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7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7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7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7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7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7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7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7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7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7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7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7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7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7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7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7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7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7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7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7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7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7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7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7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7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7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7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7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7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7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7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7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7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7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7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7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7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7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7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7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7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7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7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7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7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7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7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7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7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7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7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7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7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7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7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7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7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7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7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7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7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7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7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7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7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7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7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7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7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7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7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7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7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7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7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7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7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7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7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7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7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7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7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7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7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7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7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7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7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7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7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7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7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7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7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7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7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7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7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7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7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7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7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7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7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7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7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7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7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7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7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7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7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7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7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7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7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7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7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7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7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7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7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7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7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7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7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7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7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7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7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7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7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7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7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7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7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7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7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7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7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7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7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7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7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7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7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7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7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7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7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7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7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7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7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7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7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7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7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7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7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7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7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7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7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7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7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7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7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7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7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7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7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7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7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7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7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7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7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7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7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7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7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7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7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7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7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7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7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7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7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7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7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7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7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7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7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7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7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7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7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7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7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7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7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7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7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7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7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7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7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7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7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7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7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7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7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7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7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7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7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7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7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7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7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7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7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7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7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7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7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7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7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7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7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7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7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7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7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7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7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7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7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7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7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7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7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7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7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7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7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7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7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7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7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7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7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7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7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7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7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7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7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7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7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7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7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7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7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7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7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7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7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7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7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7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7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7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7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7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7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7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7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7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7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7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7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7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7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7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7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7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7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7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7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7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7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7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7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7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7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7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7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7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7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7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7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7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7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7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7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7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7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7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7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7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7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7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7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7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7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7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7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7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7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7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7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7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7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7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7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7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7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7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7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7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7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7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7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7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7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7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7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7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7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7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7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7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7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7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7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7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7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7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7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7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7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7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7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7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7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7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7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7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7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7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7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7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7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7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7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7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7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7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7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7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7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7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7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7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7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7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7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7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7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7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7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7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7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7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7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7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7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7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7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7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7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7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7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7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7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7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7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7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7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7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7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7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7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7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7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7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7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7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  <row r="389">
      <c r="A389" t="n">
        <v>561</v>
      </c>
      <c r="B389" t="inlineStr">
        <is>
          <t>Tasa de Ejecución Presupuestal del Proceso</t>
        </is>
      </c>
      <c r="C389" t="inlineStr">
        <is>
          <t>Operativo</t>
        </is>
      </c>
      <c r="D389" t="inlineStr">
        <is>
          <t>Operación de nuevos negocios y CI</t>
        </is>
      </c>
      <c r="E389" t="inlineStr">
        <is>
          <t>Bimestral</t>
        </is>
      </c>
      <c r="F389" t="inlineStr">
        <is>
          <t>Negativo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L389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2026-06-05T10:05:05Z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