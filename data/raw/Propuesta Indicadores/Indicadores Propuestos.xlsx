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5f15395a9ed9a48f/Proyectos_DS/Sistema_Indicadores_Poli/data/raw/Propuesta Indicadores/"/>
    </mc:Choice>
  </mc:AlternateContent>
  <xr:revisionPtr revIDLastSave="479" documentId="8_{1EE08A9A-8718-4E10-AA8A-F93130741B11}" xr6:coauthVersionLast="47" xr6:coauthVersionMax="47" xr10:uidLastSave="{4ACC6CE6-ACA8-4B91-8D38-8C118E415600}"/>
  <bookViews>
    <workbookView xWindow="-108" yWindow="-108" windowWidth="23256" windowHeight="12456" xr2:uid="{B9AA2411-AA05-4D1A-A9B2-553D70C050E2}"/>
  </bookViews>
  <sheets>
    <sheet name="Retos" sheetId="4" r:id="rId1"/>
    <sheet name="Proyectos" sheetId="1" r:id="rId2"/>
    <sheet name="Plan de mejoramiento" sheetId="2" r:id="rId3"/>
    <sheet name="Calidad" sheetId="5" r:id="rId4"/>
    <sheet name="Proceso" sheetId="3" r:id="rId5"/>
  </sheets>
  <definedNames>
    <definedName name="_xlnm._FilterDatabase" localSheetId="3" hidden="1">Calidad!$A$1:$Q$28</definedName>
    <definedName name="_xlnm._FilterDatabase" localSheetId="2" hidden="1">'Plan de mejoramiento'!$A$2:$X$82</definedName>
    <definedName name="_xlnm._FilterDatabase" localSheetId="4" hidden="1">Proceso!$A$1:$D$53</definedName>
    <definedName name="_xlnm._FilterDatabase" localSheetId="1" hidden="1">Proyectos!$A$1:$I$48</definedName>
    <definedName name="_xlnm._FilterDatabase" localSheetId="0" hidden="1">Retos!$A$1:$L$290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0" i="2" l="1"/>
  <c r="Q10" i="2"/>
  <c r="R1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Ximena Silva</author>
    <author>tc={8ECD6028-4594-4607-9666-2F05F18678B8}</author>
    <author>tc={34F03692-292D-4727-A639-249ED53EE5B4}</author>
    <author>tc={9E2BC4B0-CE44-436C-8680-F6B08622751A}</author>
    <author>tc={121C87A5-A897-48CA-B03C-CE15645DF468}</author>
  </authors>
  <commentList>
    <comment ref="D5" authorId="0" shapeId="0" xr:uid="{EDE6C296-A3BA-4888-9BB8-5CD8B0FA5B2D}">
      <text>
        <r>
          <rPr>
            <b/>
            <sz val="9"/>
            <color indexed="81"/>
            <rFont val="Tahoma"/>
            <family val="2"/>
          </rPr>
          <t>Ximena Silva:</t>
        </r>
        <r>
          <rPr>
            <sz val="9"/>
            <color indexed="81"/>
            <rFont val="Tahoma"/>
            <family val="2"/>
          </rPr>
          <t xml:space="preserve">
De acuerdo a sesión realizada , no se debe llevar la medición de curricular y extracurricular en el mismo indicador ya que las fuentes de información son distintas</t>
        </r>
      </text>
    </comment>
    <comment ref="D7" authorId="1" shapeId="0" xr:uid="{8ECD6028-4594-4607-9666-2F05F18678B8}">
      <text>
        <t>[Comentario encadenado]
Tu versión de Excel te permite leer este comentario encadenado; sin embargo, las ediciones que se apliquen se quitarán si el archivo se abre en una versión más reciente de Excel. Más información: https://go.microsoft.com/fwlink/?linkid=870924
Comentario:
    Esto es una metrica no indicador</t>
      </text>
    </comment>
    <comment ref="D16" authorId="2" shapeId="0" xr:uid="{34F03692-292D-4727-A639-249ED53EE5B4}">
      <text>
        <t>[Comentario encadenado]
Tu versión de Excel te permite leer este comentario encadenado; sin embargo, las ediciones que se apliquen se quitarán si el archivo se abre en una versión más reciente de Excel. Más información: https://go.microsoft.com/fwlink/?linkid=870924
Comentario:
    Los Leads se centralizan en un solo grupo de interes</t>
      </text>
    </comment>
    <comment ref="D17" authorId="3" shapeId="0" xr:uid="{9E2BC4B0-CE44-436C-8680-F6B08622751A}">
      <text>
        <t>[Comentario encadenado]
Tu versión de Excel te permite leer este comentario encadenado; sin embargo, las ediciones que se apliquen se quitarán si el archivo se abre en una versión más reciente de Excel. Más información: https://go.microsoft.com/fwlink/?linkid=870924
Comentario:
    El CREA no son solo ambientes inmersivos</t>
      </text>
    </comment>
    <comment ref="D19" authorId="4" shapeId="0" xr:uid="{121C87A5-A897-48CA-B03C-CE15645DF468}">
      <text>
        <t>[Comentario encadenado]
Tu versión de Excel te permite leer este comentario encadenado; sin embargo, las ediciones que se apliquen se quitarán si el archivo se abre en una versión más reciente de Excel. Más información: https://go.microsoft.com/fwlink/?linkid=870924
Comentario:
    Este indicador es asociado a los indicadores del modelo de experiencia</t>
      </text>
    </comment>
  </commentList>
</comments>
</file>

<file path=xl/sharedStrings.xml><?xml version="1.0" encoding="utf-8"?>
<sst xmlns="http://schemas.openxmlformats.org/spreadsheetml/2006/main" count="4238" uniqueCount="1529">
  <si>
    <t>Nombre del Proyecto</t>
  </si>
  <si>
    <t>Nombre del Indicador Propuesto</t>
  </si>
  <si>
    <t>Estado</t>
  </si>
  <si>
    <t>Estado Kawak</t>
  </si>
  <si>
    <t>Descripción del Indicador Ajustada</t>
  </si>
  <si>
    <t>Fórmula Propuesta Ajustada</t>
  </si>
  <si>
    <t>Acreditación Institucional</t>
  </si>
  <si>
    <t>Mejora de resultados de autoevaluación</t>
  </si>
  <si>
    <t>Pendiente</t>
  </si>
  <si>
    <t>Mide el avance en los puntajes de factores o características del proceso de autoevaluación.</t>
  </si>
  <si>
    <t>(Puntaje actual - Puntaje anterior) / Puntaje anterior × 100</t>
  </si>
  <si>
    <t>Actualización de TRD y plan de retención documental</t>
  </si>
  <si>
    <t>Disminución de costos de archivo físico y virtual</t>
  </si>
  <si>
    <t>Ok</t>
  </si>
  <si>
    <t>Evalúa la eficiencia lograda en la gestión documental por la reducción de costos de archivo.</t>
  </si>
  <si>
    <t>((Costo inicial - Costo actual) / Costo inicial) × 100</t>
  </si>
  <si>
    <t>ADN Poli</t>
  </si>
  <si>
    <t>Índice Neto de Promotores del Empleado (eNPS)</t>
  </si>
  <si>
    <t>Bianual</t>
  </si>
  <si>
    <t>Mide la probabilidad de que un empleado recomiende a la institución como lugar de trabajo.</t>
  </si>
  <si>
    <t>% de Promotores−% de Detractores</t>
  </si>
  <si>
    <t>Nivel de Apropiación Identitaria</t>
  </si>
  <si>
    <t>Ok Anual</t>
  </si>
  <si>
    <t>Mide el grado de conocimiento y alineación de los colaboradores con los elementos identitarios, evaluado mediante una herramienta de autoevaluación.</t>
  </si>
  <si>
    <t>Puntuación Promedio de Autoevaluación​</t>
  </si>
  <si>
    <t>Tasa de Finalización de Inducción</t>
  </si>
  <si>
    <t>Operativo</t>
  </si>
  <si>
    <t>Mide el porcentaje de nuevos colaboradores que completan exitosamente todos los módulos de la plataforma de inducción.</t>
  </si>
  <si>
    <t>(N° de Colaboradores que Completan la Inducción/ N° Total de Colaboradores convocados​)×100</t>
  </si>
  <si>
    <t>Satisfacción de los usuarios con la Plataforma de Inducción</t>
  </si>
  <si>
    <t>Mide la conformidad de los usuarios con la usabilidad, contenido y experiencia de la plataforma de inducción.</t>
  </si>
  <si>
    <t>Puntuación Promedio de Satisfacción</t>
  </si>
  <si>
    <t>Centro Gastronómico</t>
  </si>
  <si>
    <t>N° de estudiantes pregrado</t>
  </si>
  <si>
    <t>ok Sebastian</t>
  </si>
  <si>
    <t>Mide el total de estudiantes inscritos en programas académicos de pregrado relacionados con el Centro Gastronómico.</t>
  </si>
  <si>
    <t>N° total de estudiantes periodo actual/ N° total de estudiantes periodo anterior</t>
  </si>
  <si>
    <t>N° de estudiantes educación para la vida</t>
  </si>
  <si>
    <t>Cuenta el total de participantes inscritos en los cursos, talleres o diplomados de Educación para la Vida del Centro Gastronómico.</t>
  </si>
  <si>
    <t>N° Total de Participantes en Educación para la Vida</t>
  </si>
  <si>
    <t>Disminución de costos por uso de espacios</t>
  </si>
  <si>
    <t>ok financiera</t>
  </si>
  <si>
    <t>Evalúa la eficiencia económica del uso de los espacios gastronómicos.</t>
  </si>
  <si>
    <t>Retorno de la Inversión (ROI) del Centro Gastronómico</t>
  </si>
  <si>
    <t>Mide la eficiencia económica del centro al comparar los ingresos generados versus los costos de operación.</t>
  </si>
  <si>
    <t>((Ingresos Generados-Costos Operacionales)−Costos Operacionales​)×100</t>
  </si>
  <si>
    <t>CREA</t>
  </si>
  <si>
    <t>Producción de recursos del CREA</t>
  </si>
  <si>
    <t>Cuenta el total de recursos educativos o de creación finalizados y publicados (libros, mi books, recursos simuladores).</t>
  </si>
  <si>
    <t>N° Total de Recursos Digitales Finalizados y Publicados</t>
  </si>
  <si>
    <t>Frecuencia de Uso de Recursos CREA</t>
  </si>
  <si>
    <t>Validar</t>
  </si>
  <si>
    <t>Mide la tasa promedio de interacción (descargas, accesos, visualizaciones) de los productos del CREA por parte de la comunidad.</t>
  </si>
  <si>
    <t>N° Total de Interacciones Registradas​/ N° Total de Usuarios Potenciales</t>
  </si>
  <si>
    <t>Cultura de buena docencia</t>
  </si>
  <si>
    <t>Índice de Experiencia del Aprendizaje Estudiantil</t>
  </si>
  <si>
    <t>Validar con Gerardo Machuca</t>
  </si>
  <si>
    <t>Mide el nivel de satisfacción general del estudiante con la experiencia de aprendizaje, incluyendo la calidad de la interacción docente.</t>
  </si>
  <si>
    <t>Puntuación Promedio de Experiencia del Aprendizaje</t>
  </si>
  <si>
    <t>Datalake</t>
  </si>
  <si>
    <t>Porcentaje de Fuentes de Datos Migradas</t>
  </si>
  <si>
    <t>Mide el avance en la migración de todas las fuentes de datos identificadas hacia el Datalake.</t>
  </si>
  <si>
    <t>(N° de Fuentes de Datos Migradas Exitosamente/N° Total de Fuentes de Datos a Migrar​)×100</t>
  </si>
  <si>
    <t>Ecosistema E3</t>
  </si>
  <si>
    <t>Tasa de graduados que participan en mentorias</t>
  </si>
  <si>
    <t>Mide el porcentaje de emprendedores que aplican los conocimientos adquiridos en mentorías en el desarrollo de sus proyectos.</t>
  </si>
  <si>
    <t>(N° de emprendedores que aplicaron aprendizajes / Total de emprendedores que participaron en mentorías) × 100</t>
  </si>
  <si>
    <t>Tasa de participación activa de graduados en la plataforma</t>
  </si>
  <si>
    <t>Mide el nivel de interacción y uso de la página web de graduados.</t>
  </si>
  <si>
    <t>(N° de graduados activos en la plataforma / Total de graduados registrados) × 100</t>
  </si>
  <si>
    <t>Fortalecimiento de la investigación, innovación y la creación</t>
  </si>
  <si>
    <t>Porcentaje de Estudiantes Vinculados a Investigación</t>
  </si>
  <si>
    <t>Creado</t>
  </si>
  <si>
    <t>Mide la proporción de la población estudiantil que participa formalmente en proyectos o grupos de investigación.</t>
  </si>
  <si>
    <t>(N° de Estudiantes Vinculados a In vestigación/ N° Total de Estudiantes Activos)×100</t>
  </si>
  <si>
    <t>Número de Proyectos de investigación con impacto en las regiones</t>
  </si>
  <si>
    <t>Mide el número de proyectos de investigación que contribuyen al desarrollo regional.</t>
  </si>
  <si>
    <t>N° de proyectos con impacto regional (Meta: 1 por facultad)</t>
  </si>
  <si>
    <t>Número de Proyectos de Cooperación Externa</t>
  </si>
  <si>
    <t>Cuenta el total de proyectos de I+i+C desarrollados en colaboración formal (convenio, contrato) con entidades externas.</t>
  </si>
  <si>
    <t>N° de proyectos con aliados externos  (Meta: 1 por facultad)</t>
  </si>
  <si>
    <t>Indicador de nuevo conocimiento</t>
  </si>
  <si>
    <t>Evalúa la producción de nuevo conocimiento (artículos, patentes, libros, software).</t>
  </si>
  <si>
    <t>N° de productos de nuevo conocimiento / Total de grupos de investigación</t>
  </si>
  <si>
    <t>Fortalecimiento de planta docente</t>
  </si>
  <si>
    <t>Satisfacción Docente y Directores con la Herramienta</t>
  </si>
  <si>
    <t>ok</t>
  </si>
  <si>
    <t>Mide el nivel de conformidad de los docentes con el nuevo software para la gestión de su carga operativa.</t>
  </si>
  <si>
    <t>Relación docente-estudiante</t>
  </si>
  <si>
    <t>Mide la cantidad promedio de estudiantes por docente.</t>
  </si>
  <si>
    <t>Total estudiantes / Total docentes</t>
  </si>
  <si>
    <t>Gobierno de Datos</t>
  </si>
  <si>
    <t>Procesos con lineamientos implementados</t>
  </si>
  <si>
    <t>Mide el grado de adopción de los lineamientos de gobierno de datos.</t>
  </si>
  <si>
    <t>(N° de procesos con lineamientos implementados / Total de procesos institucionales) × 100</t>
  </si>
  <si>
    <t>Innovación curricular</t>
  </si>
  <si>
    <t>Porcentaje de Programas con Reforma Curricular implementada</t>
  </si>
  <si>
    <t>Mide la proporción de la oferta académica que ha sido actualizada o reformada en el período de gestión.</t>
  </si>
  <si>
    <t>(N° Total de Programas Académicos implementados / N° de/ Programas con Reforma Curricular Aprobada​)×100</t>
  </si>
  <si>
    <t>Migración del modelo de transporte rotativo</t>
  </si>
  <si>
    <t>Nivel de Satisfacción del Usuario (Transporte)</t>
  </si>
  <si>
    <t>Mide la percepción de calidad y conformidad de los usuarios con el nuevo modelo de transporte, según la escala del instrumento aplicado.</t>
  </si>
  <si>
    <t>Puntuación Promedio Obtenida en Encuesta de Satisfacción</t>
  </si>
  <si>
    <t>Reducción Neta de Emisiones de Carbono</t>
  </si>
  <si>
    <t>Validar con Camilo</t>
  </si>
  <si>
    <t>Mide la disminución absoluta en las emisiones de CO2 del transporte institucional tras la migración del modelo.</t>
  </si>
  <si>
    <t>Toneladas CO2 Pre-Migración−Toneladas CO2 Post-Migración</t>
  </si>
  <si>
    <t>Nuevo Polisigs</t>
  </si>
  <si>
    <t>Porcentaje de Procesos Documentados</t>
  </si>
  <si>
    <t>Ok- Validar con Camilo</t>
  </si>
  <si>
    <t>Mide la cantidad o porcentaje de procesos documentados en el sistema.</t>
  </si>
  <si>
    <t>(N° de procesos documentados / Total de procesos institucionales) × 100</t>
  </si>
  <si>
    <t>Alcance de procesos ICONTEC</t>
  </si>
  <si>
    <t>Mide el grado de cumplimiento de los requisitos de certificación ICONTEC.</t>
  </si>
  <si>
    <t>(N° de procesos certificados / Total de procesos aplicables) × 100</t>
  </si>
  <si>
    <t>Plan Talento</t>
  </si>
  <si>
    <t>Cobertura evaluación 360°</t>
  </si>
  <si>
    <t>Mide el porcentaje de colaboradores evaluados bajo el modelo 360°.</t>
  </si>
  <si>
    <t>(N° de colaboradores evaluados / Total de colaboradores) × 100</t>
  </si>
  <si>
    <t>Plataforma de gestión de información curricular</t>
  </si>
  <si>
    <t>N° de programas migrados</t>
  </si>
  <si>
    <t>Validar con Maria Isabel</t>
  </si>
  <si>
    <t>Portal Web</t>
  </si>
  <si>
    <t>Experiencia de usuario con la pagina web</t>
  </si>
  <si>
    <t>Evalúa la percepción de los usuarios sobre la navegación y acceso a servicios.</t>
  </si>
  <si>
    <t>Promedio de satisfacción o usabilidad × 100</t>
  </si>
  <si>
    <t>Proyecto de permanencia institucional</t>
  </si>
  <si>
    <t>Número de Estudiantes Impactados por KITU</t>
  </si>
  <si>
    <t>N° de Estudiantes que Recibieron Intervención KITU</t>
  </si>
  <si>
    <t>Permanencia Ingresantes</t>
  </si>
  <si>
    <t>Proyecto Ilumno Self Service</t>
  </si>
  <si>
    <t>Índice de Esfuerzo (CES) en Rematrícula</t>
  </si>
  <si>
    <t>Validar con Andres Correa</t>
  </si>
  <si>
    <t>Mide la facilidad percibida por el estudiante para completar su proceso de rematrícula en la plataforma de autoservicio.</t>
  </si>
  <si>
    <t>Puntuación Promedio Obtenida en Encuesta CES (Escala Invertida)</t>
  </si>
  <si>
    <t>Efectividad de la Comunicación de Riesgo
(Adviser)</t>
  </si>
  <si>
    <t>Mide el éxito de las comunicaciones dirigidas a estudiantes en riesgo al determinar cuántos de los notificados continuaron sus estudios.</t>
  </si>
  <si>
    <t>(N° de Estudiantes en Riesgo Notificados que Continuaron​/ N° Total de Estudiantes en Riesgo Notificados)×100</t>
  </si>
  <si>
    <t>Redefinición del modelo de seguimiento al graduado</t>
  </si>
  <si>
    <t>Porcentaje de Cobertura de Encuestas de Seguimiento</t>
  </si>
  <si>
    <t>Mide la proporción de graduados que responden las encuestas en los diferentes momentos de seguimiento (M0, M1, M5).</t>
  </si>
  <si>
    <t>(N° Total de Encuestas de Seguimiento Recibidas​/ N° Total de Graduados a Encuestar)×100</t>
  </si>
  <si>
    <t>Participación de graduados en actividades</t>
  </si>
  <si>
    <t>Eventos
Actividades de empleabilidad</t>
  </si>
  <si>
    <t>Reingeniería de aplicaciones</t>
  </si>
  <si>
    <t>Número de Aplicaciones en Riesgo Migradas</t>
  </si>
  <si>
    <t>Cuenta el total de aplicaciones que han completado su proceso de migración al nuevo entorno (nube, nuevos servidores).</t>
  </si>
  <si>
    <t>N° Total de Aplicaciones en riesgo Migradas/ Total de aplicaciones en riesgo identificadas</t>
  </si>
  <si>
    <t>Número de Aplicaciones Dadas de Baja</t>
  </si>
  <si>
    <t>Metrica</t>
  </si>
  <si>
    <t>Cuenta el total de aplicaciones obsoletas o redundantes que han sido formalmente desactivadas y retiradas del ambiente de producción.</t>
  </si>
  <si>
    <t>N° Total de Aplicaciones Retiradas y Documentadas</t>
  </si>
  <si>
    <t>Costos de servidores antiguos</t>
  </si>
  <si>
    <t>Validar con Ivan</t>
  </si>
  <si>
    <t>Mide el ahorro obtenido por desmonte de servidores antiguos.</t>
  </si>
  <si>
    <t>((Costo actual- Costo anterior) / Costo anterior) × 100</t>
  </si>
  <si>
    <t>Saber Pro</t>
  </si>
  <si>
    <t>Índice de valor agregado (IVA)</t>
  </si>
  <si>
    <t>Validar con Rafael</t>
  </si>
  <si>
    <t>Mide el valor añadido que la institución aporta al desempeño de sus estudiantes, comparando el resultado final en Saber Pro con el resultado esperado.</t>
  </si>
  <si>
    <t>(Puntaje observado - Puntaje esperado) / Puntaje esperado × 100</t>
  </si>
  <si>
    <t>SOPHIA- Programación academica</t>
  </si>
  <si>
    <t>Validar con Ivonne</t>
  </si>
  <si>
    <t>Mide la precisión de las proyecciones de programación académica al compararlas con la demanda real de matrícula de los estudiantes.</t>
  </si>
  <si>
    <t>(N° de Proyecciones Asertivas (Dentro del Rango Meta/ N° Total de Proyecciones Realizadas)​)×100</t>
  </si>
  <si>
    <t>Disminución de tiempos de producción</t>
  </si>
  <si>
    <t>N° de programas con reforma curricular</t>
  </si>
  <si>
    <t>Desempeño SEO</t>
  </si>
  <si>
    <t>Validar Carolina Lara</t>
  </si>
  <si>
    <t>Captación de nuevos usuarios desde la migración
Crecimiento en tráfico orgánico en medio de una migración
Visibilidad y posición ½ de los contenidos en alza
Aumento de las menciones de las IA sobre el dominio</t>
  </si>
  <si>
    <t>Aplicaciones nuevas desarrolladas en la nueva infraestructura</t>
  </si>
  <si>
    <t>Cobertura en herramientas para mejorar los resultados de pruebas</t>
  </si>
  <si>
    <t>Proceso</t>
  </si>
  <si>
    <t>Subproceso</t>
  </si>
  <si>
    <t>Metas Preliminares</t>
  </si>
  <si>
    <t>FACTOR</t>
  </si>
  <si>
    <t>CARACTERÍSTICA</t>
  </si>
  <si>
    <t xml:space="preserve">ACCIÓN DE MEJORA </t>
  </si>
  <si>
    <t>INDICADOR PROVENIENTE DEL INFORME ACI</t>
  </si>
  <si>
    <t>Comenrarios</t>
  </si>
  <si>
    <t>PERIODICIDAD DE MEDICIÓN</t>
  </si>
  <si>
    <t>INDICADOR DE RESULTADO O IMPACTO</t>
  </si>
  <si>
    <t>Observación Desempeño</t>
  </si>
  <si>
    <t>Estado de aprobación</t>
  </si>
  <si>
    <t>Formula</t>
  </si>
  <si>
    <t>Fuente</t>
  </si>
  <si>
    <t>Responsable de la gestión</t>
  </si>
  <si>
    <t>Línea Base 2024</t>
  </si>
  <si>
    <t>Ejecución 2025-1</t>
  </si>
  <si>
    <t>Factor 1. Identidad institucional</t>
  </si>
  <si>
    <t>Característica 1. Coherencia y pertinencia de la misión</t>
  </si>
  <si>
    <t xml:space="preserve">Fortalecer las estrategias y mecanismos de sensibilización y socialización de los elementos identitarios y misionales,  con los estamentos de la comunidad institucional </t>
  </si>
  <si>
    <t>Índice de Favorabilidad sobre la Misión Institucional.
Objetivo: Medir el nivel de acuerdo de la comunidad académica respecto a la alineación de la Misión con la identidad de la institución y su capacidad de respuesta ante las necesidades del entorno nacional.
Càlculo: 
Numerador: Sumatoria de las frecuencias de las opciones "Totalmente de acuerdo" y "De acuerdo" de las dos preguntas analizadas.
Denominador: Sumatoria de todas las respuestas obtenidas en ambas preguntas (excluyendo valores nulos o "No sabe/No responde" si aplica).</t>
  </si>
  <si>
    <t>Instrumento de percepciòn: C1. La Misión del Politécnico Grancolombiano es coherente con su identidad institucional        
C1. La Misión del Poli responde a las necesidades del país </t>
  </si>
  <si>
    <t>Anual</t>
  </si>
  <si>
    <t>Índice de Favorabilidad sobre la Misión Institucional.</t>
  </si>
  <si>
    <t>Se ajusta nombre del indicador de acuerdo a recomendación</t>
  </si>
  <si>
    <t>Autoevaluación</t>
  </si>
  <si>
    <t>Aprobado</t>
  </si>
  <si>
    <t>Gerente de Planeación y Gestión / Aseguramiento de la calidad</t>
  </si>
  <si>
    <t>Gerente de Planeación y Gestión/ Gerente de talento humano y comunicaciones</t>
  </si>
  <si>
    <t>N/A</t>
  </si>
  <si>
    <t>Característica 2. Orientaciones y estrategias del proyecto educativo institucional o lo que haga sus veces</t>
  </si>
  <si>
    <t>Fortalecer las estrategias y mecanismos de sensibilización y socialización del PEI  con los estamentos de la comunidad institucional</t>
  </si>
  <si>
    <t>Índice de Favorabilidad sobre el PEI  Institucional.
Objetivo: Medir el nivel de acuerdo de la comunidad académica respecto a la alineación del PEI con la identidad de la institución 
Càlculo:
Numerador: Sumatoria de las frecuencias de las opciones "Totalmente de acuerdo" y "De acuerdo" de las dos preguntas analizadas.
Denominador: Sumatoria de todas las respuestas obtenidas en ambas preguntas (excluyendo valores nulos o "No sabe/No responde" si aplica).</t>
  </si>
  <si>
    <t>Instrumento de percepciòn: C2. La Institución cuenta con un Proyecto Educativo Institucional (PEI) que orienta los procesos académicos</t>
  </si>
  <si>
    <t>Índice de Favorabilidad sobre el PEI  Institucional</t>
  </si>
  <si>
    <t>Vicerrectora académica</t>
  </si>
  <si>
    <t>Característica 3. Formación integral y construcción de identidad</t>
  </si>
  <si>
    <t>Fortalecer las estrategias de sensibilización de cara a incrementar la participación de estudiantes en actividades de formación integral curriculares y extracurriculares</t>
  </si>
  <si>
    <t>Participación de estudiantes en acciones de formación integral</t>
  </si>
  <si>
    <t>Fuente: Tabla 23. Resultados de las acciones de formación integral</t>
  </si>
  <si>
    <t>Semestral</t>
  </si>
  <si>
    <t>Participación de estudiantes en Actividades de Formación Integral curricular</t>
  </si>
  <si>
    <t>Ok dividir</t>
  </si>
  <si>
    <t>Investigación</t>
  </si>
  <si>
    <t>Linea Base</t>
  </si>
  <si>
    <t>Participación de estudiantes en Actividades de Formación Integral  extracurricular</t>
  </si>
  <si>
    <t>Centro de Psicologia</t>
  </si>
  <si>
    <t>Director de bienestar y huella Grancolombiana</t>
  </si>
  <si>
    <t>Factor 2. Gobierno institucional y transparencia</t>
  </si>
  <si>
    <t>Característica 4. Buen gobierno y máximo órgano de gobierno</t>
  </si>
  <si>
    <r>
      <t>Fortalecer la</t>
    </r>
    <r>
      <rPr>
        <b/>
        <sz val="12"/>
        <color theme="1"/>
        <rFont val="Calibri Light"/>
        <family val="2"/>
      </rPr>
      <t xml:space="preserve"> comunicación de los representantes a sus representados. Participación en la jornada de rendición de cuentas</t>
    </r>
    <r>
      <rPr>
        <sz val="12"/>
        <color theme="1"/>
        <rFont val="Calibri Light"/>
        <family val="2"/>
      </rPr>
      <t xml:space="preserve"> y demás canales institucionales
Actualizar reglamento de órganos de participación y fortalecer los mecanismos que permitan visibilizar la gestión de los diferentes grupos de interés.</t>
    </r>
  </si>
  <si>
    <t>Nùmero de visibilizaciones del Informe de Sostenibilidad</t>
  </si>
  <si>
    <t>Tabla 29. Visualizaciones del informe de sostenibilidad anual</t>
  </si>
  <si>
    <t>Estrategias de comunicación de representantes con sus representados</t>
  </si>
  <si>
    <t>Reemplazar</t>
  </si>
  <si>
    <t xml:space="preserve">N Estrategias de comunicaciones de representantes con sus representados ejecutadas </t>
  </si>
  <si>
    <t>Secretario general</t>
  </si>
  <si>
    <t>Línea Base</t>
  </si>
  <si>
    <t>Característica 5. Relación con grupos de interés</t>
  </si>
  <si>
    <r>
      <rPr>
        <b/>
        <sz val="12"/>
        <color theme="1"/>
        <rFont val="Calibri Light"/>
        <family val="2"/>
      </rPr>
      <t xml:space="preserve">Promover la participación de los diferentes actores del sistema de aseguramiento de la calidad </t>
    </r>
    <r>
      <rPr>
        <sz val="12"/>
        <color theme="1"/>
        <rFont val="Calibri Light"/>
        <family val="2"/>
      </rPr>
      <t>y el sector externo, que se consideren pertinentes para la construcción del nuevo PDI.</t>
    </r>
  </si>
  <si>
    <t>Participación de Grupos de Interés en la construcción del nuevo plan de desarrollo (PDI)</t>
  </si>
  <si>
    <t>Número de participantes por estamento</t>
  </si>
  <si>
    <t>Estudios Internos</t>
  </si>
  <si>
    <t>Gerente de Planeación y Gestión</t>
  </si>
  <si>
    <r>
      <rPr>
        <b/>
        <sz val="12"/>
        <color theme="1"/>
        <rFont val="Aptos Narrow"/>
        <family val="2"/>
        <scheme val="minor"/>
      </rPr>
      <t>Focus Group</t>
    </r>
    <r>
      <rPr>
        <sz val="12"/>
        <color theme="1"/>
        <rFont val="Aptos Narrow"/>
        <family val="2"/>
        <scheme val="minor"/>
      </rPr>
      <t xml:space="preserve">
Estudiantes: 15
Profesores: 15
Graduados: 15
Empresarios: 15
Administrativos: 15
Proveedores: 15
</t>
    </r>
    <r>
      <rPr>
        <b/>
        <sz val="12"/>
        <color theme="1"/>
        <rFont val="Aptos Narrow"/>
        <family val="2"/>
        <scheme val="minor"/>
      </rPr>
      <t xml:space="preserve">Encuestas
</t>
    </r>
    <r>
      <rPr>
        <sz val="12"/>
        <color theme="1"/>
        <rFont val="Aptos Narrow"/>
        <family val="2"/>
        <scheme val="minor"/>
      </rPr>
      <t>Estudiantes: 1.500
Profesores: 300
Colaboradores: 300
Graduados: 150</t>
    </r>
  </si>
  <si>
    <t>Número de estrategias o espacios de relacionamiento con el sector externo
Alianzas
Convenios</t>
  </si>
  <si>
    <t>pendiente</t>
  </si>
  <si>
    <t>Característica 6. Rendición de cuentas</t>
  </si>
  <si>
    <t>Mantener espacios de socialización y despliegue de la política de Rendición de Cuentas institucional a toda la comunidad Poli.</t>
  </si>
  <si>
    <t>Participación de la comunidad en la Rendición de Cuentas</t>
  </si>
  <si>
    <t>Crear</t>
  </si>
  <si>
    <t>% de aumento de participación en jornada de rendición de cuentas Virtual- Presencial- Offline</t>
  </si>
  <si>
    <t>Nivel de Satisfacción de la Comunidad con la Rendición de Cuentas</t>
  </si>
  <si>
    <t>Promedio de satisfacción de rendición de cuentas</t>
  </si>
  <si>
    <t>Conocimiento de la comunidad del informe de sostenibilidad</t>
  </si>
  <si>
    <t>Nivel de conocimiento de los grupos de interes  del informe de sostenibilidad</t>
  </si>
  <si>
    <t>Factor 3. Desarrollo, gestión y sostenibilidad institucional</t>
  </si>
  <si>
    <t>Característica 7. Administración y gestión</t>
  </si>
  <si>
    <t>Análisis y revisión de la arquitectura institucional  (cargos) alineado con la estrategia</t>
  </si>
  <si>
    <t xml:space="preserve">Sugerimos no utilizar la encuesta de percepciòn, utilizada en esta caracterìstica porque puede no reflejar ràpidamente los cambios que si se realicen en la instituciòn, por ser un instrumento de percepciòn (subjetivo finalmente). </t>
  </si>
  <si>
    <t>Resultado de autoevaluación
Preguntas del factor 3 caracteristica 7</t>
  </si>
  <si>
    <t>Eliminar</t>
  </si>
  <si>
    <t>Aseguramiento de la calidad</t>
  </si>
  <si>
    <t>Característica 8. Procesos de comunicación</t>
  </si>
  <si>
    <t>Fortalecer el proceso de comunicación institucional desde la perspectiva de la gestión y la unidad de las áreas.</t>
  </si>
  <si>
    <t>Resultado de autoevaluación
Preguntas del factor 3 caracteristica 8</t>
  </si>
  <si>
    <r>
      <t>Fortalecer  el uso de los canales y medios de interlocución</t>
    </r>
    <r>
      <rPr>
        <sz val="12"/>
        <color rgb="FF000000"/>
        <rFont val="Calibri Light"/>
        <family val="2"/>
      </rPr>
      <t xml:space="preserve"> para aumentar la participación de los distintos estamentos.</t>
    </r>
  </si>
  <si>
    <t>Número de leads obtenidos año a año por canal en el Poli</t>
  </si>
  <si>
    <t>Tabla 36. Leads obtenidos año a año por canal en el Poli</t>
  </si>
  <si>
    <t>Impacto de campañas de Mailing
(Colaboradores, Graduados, Estudiantes)</t>
  </si>
  <si>
    <t>Agregar</t>
  </si>
  <si>
    <t>Gerente de talento humano y comunicaciones</t>
  </si>
  <si>
    <t>Apertura de enlaces en mensajes de texto
(Colaboradores, Graduados, Estudiantes)</t>
  </si>
  <si>
    <t>Característica 10. Recursos de apoyo académico</t>
  </si>
  <si>
    <t>Dimensionamiento y análisis de los recursos actuales del CREA. Ampliar el portafolio de servicios y/o  productos internos y externos</t>
  </si>
  <si>
    <t>Número de accesos a los ambientes inmersivos por los estudiantes Poli</t>
  </si>
  <si>
    <t>Tabla 47. Uso de los ambientes inmersivos por los estudiantes Poli
Ambiente inmersivo Total</t>
  </si>
  <si>
    <t>Utilización de los estudiantes del CREA</t>
  </si>
  <si>
    <t>Gerente de educación virtual</t>
  </si>
  <si>
    <t>Resultado de autoevaluación
Preguntas del factor 3 caracteristica 10</t>
  </si>
  <si>
    <t>Satisfacción del proceso de comunicaciones</t>
  </si>
  <si>
    <t>Mantener</t>
  </si>
  <si>
    <t>Experiencia</t>
  </si>
  <si>
    <t>Característica 11. Infraestructura física y tecnológica</t>
  </si>
  <si>
    <t xml:space="preserve">Continuar fortaleciendo la infraestructura tecnológica  de acuerdo con las necesidades académicas, e institucionales - Plan anual de Tecnología (PETI) </t>
  </si>
  <si>
    <t>Resultado de autoevaluación / Encuesta de satisfacción
Preguntas del factor 3 caracteristica 11</t>
  </si>
  <si>
    <t>Continuar fortaleciendo la infraestructura física de acuerdo con las necesidades académicas, e institucionales - Plan anual de infraestructura.</t>
  </si>
  <si>
    <t>Característica 12. Recursos y gestión financiera</t>
  </si>
  <si>
    <r>
      <t>Continuar con el</t>
    </r>
    <r>
      <rPr>
        <b/>
        <sz val="12"/>
        <color rgb="FF000000"/>
        <rFont val="Calibri Light"/>
        <family val="2"/>
      </rPr>
      <t xml:space="preserve"> manejo eficiente de los recursos,</t>
    </r>
    <r>
      <rPr>
        <sz val="12"/>
        <color rgb="FF000000"/>
        <rFont val="Calibri Light"/>
        <family val="2"/>
      </rPr>
      <t xml:space="preserve"> garantizando la solvencia,  sostenibilidad financiera de la institución, y la asignación de recursos suficientes para el desarrollo de la misión y los planes de mejoramiento </t>
    </r>
  </si>
  <si>
    <t>Incremento del margen neto</t>
  </si>
  <si>
    <t>Tabla 63. Comportamiento de excedentes operacional y neto</t>
  </si>
  <si>
    <t>Crecimiento de Ingresos de portafolio de Extensión</t>
  </si>
  <si>
    <t>Inversiones entorno al plan de mejoramiento sobre ingresos</t>
  </si>
  <si>
    <t>Grafico 7. Inversión en torno al plan de mejoramiento</t>
  </si>
  <si>
    <t>Inversion al plan de mejoramiento</t>
  </si>
  <si>
    <t>Ajustar para que se mida la proporción sobre los ingresos</t>
  </si>
  <si>
    <t>Infraestructura Fisica
Infra estructura Tecnologica
Contenidos Virtuales
Biblioteca CMA
Fortalecimiento Docencia
Inversiones Misionales
Inversiones en bienestar</t>
  </si>
  <si>
    <t>Factor 4. Mejoramiento continuo y autorregulación</t>
  </si>
  <si>
    <t>Característica 13. Cultura de la autoevaluación</t>
  </si>
  <si>
    <t>Continuar robusteciendo los insumos para la toma de decisiones y la mejora continua a partir de las evaluaciones tanto internas como externas, como parte del Sistema integrado de Gestión.</t>
  </si>
  <si>
    <t>Cumplimiento plan de mejoramiento institucional</t>
  </si>
  <si>
    <t>(N° de oportunidades de mejora cerradas derivadas de los ejercicios de autoevaluación/ N° de oportunidades de mejora defininas en el periodo)</t>
  </si>
  <si>
    <t>Gerencia de Planeación y Gestión institucional</t>
  </si>
  <si>
    <t>Director de sistema integrado</t>
  </si>
  <si>
    <t>Característica 14. Procesos de autorregulación</t>
  </si>
  <si>
    <t xml:space="preserve">Continuar fortaleciendo los procesos de auditoría en el marco del modelo de control interno institucional, para monitorear el cumplimiento de políticas, procesos y procedimientos institucionales </t>
  </si>
  <si>
    <t>Cobertura de procesos auditados POLISIGS</t>
  </si>
  <si>
    <t>N° de procesos auditados</t>
  </si>
  <si>
    <t>Director de auditoria</t>
  </si>
  <si>
    <t>17 Procesos</t>
  </si>
  <si>
    <t>100% de procesos implementados en el Sistema de gestión integrado</t>
  </si>
  <si>
    <t>Característica 15. Sistema interno de aseguramiento de la calidad</t>
  </si>
  <si>
    <t>Continuar con los ejercicios de apropiación del Sistema Interno de Aseguramiento de la Calidad, manteniendo y mejorando los resultados alcanzados hasta la actualidad.</t>
  </si>
  <si>
    <t>Índice de Apropiación del Sistema Interno de Aseguramiento de la Calidad (SIAC)</t>
  </si>
  <si>
    <t>(Número de personas que conocen  el SIAC / Total de encuestados) * 100</t>
  </si>
  <si>
    <t>Director de aseguramiento de la calidad/ Estudios Internos</t>
  </si>
  <si>
    <t>Vicerrectoría Académica</t>
  </si>
  <si>
    <t>96% de los profesores (encuesta de percepción, 2024)</t>
  </si>
  <si>
    <t>Tabla 3. Programas acreditados en alta calidad en la Sede Bogotá</t>
  </si>
  <si>
    <t>Porcentaje de Programas Acreditables Acreditados</t>
  </si>
  <si>
    <t>(Nº de programas acreditados / Total de programas ofertados) * 100</t>
  </si>
  <si>
    <t>Director de aseguramiento de la calidad</t>
  </si>
  <si>
    <t>Nùmero participantes en  Procesos formación permanente desarrollados desde el SIAC</t>
  </si>
  <si>
    <t>Tabla 85. Procesos formación permanente desarrollados desde el SIAC</t>
  </si>
  <si>
    <t>(Nº de miembros del SIAC que participaron / Total de miembros del SIAC) * 100</t>
  </si>
  <si>
    <t>200 personas (año 2024)</t>
  </si>
  <si>
    <t>Nùmero eventos de formación permanente desarrollados desde el SIAC</t>
  </si>
  <si>
    <t>Resultado de autoevaluación Institucional</t>
  </si>
  <si>
    <t>Cambio de indicador</t>
  </si>
  <si>
    <t>Mejorar el resultado de autoevaluación institucional</t>
  </si>
  <si>
    <t>4.4</t>
  </si>
  <si>
    <t>Característica 16. Evaluación de directivas, profesores y personal administrativo</t>
  </si>
  <si>
    <t>Continuar con la implementación de la evaluación 360 para administrativos y su articulación con los planes de desarrollo individual.</t>
  </si>
  <si>
    <t>Resultado global administrativos en evaluación 360°</t>
  </si>
  <si>
    <t>Tabla 87. Resultados de la evaluación de administrativos</t>
  </si>
  <si>
    <t>Cobertura Evaluación del Desempeño 360°</t>
  </si>
  <si>
    <t>Crear los dos</t>
  </si>
  <si>
    <t>Resultados evaluación 360°</t>
  </si>
  <si>
    <t xml:space="preserve">Mantener la articulación de los resultados de la evaluación profesoral con los planes de cualificación. </t>
  </si>
  <si>
    <t>Resultados de la evaluación de profesores</t>
  </si>
  <si>
    <t>Gráfico 9 Resultados de la evaluación de profesores</t>
  </si>
  <si>
    <t>Cobertura de Profesores Evaluados</t>
  </si>
  <si>
    <t>(Nº de profesores evaluados / Total de profesores) * 100</t>
  </si>
  <si>
    <t>Dirección de docencia</t>
  </si>
  <si>
    <t>Resultados de evaluación de desempeño docente 360°</t>
  </si>
  <si>
    <t>((Puntaje actual - Puntaje anterior) / Puntaje anterior) * 100</t>
  </si>
  <si>
    <t>Resultado de autoevaluación
Preguntas del factor 4</t>
  </si>
  <si>
    <t>Resultado de autoevaluación</t>
  </si>
  <si>
    <t>Gerencia de Planeación y Gestión institucional - Aseguramiento de la calidad</t>
  </si>
  <si>
    <t>Factor 5. Estructura y procesos académicos</t>
  </si>
  <si>
    <t>Característica 17. Componentes formativos</t>
  </si>
  <si>
    <t>Aplicar instrumentos orientados al  mantenimiento de la gestión, evaluación e innovación curricular.</t>
  </si>
  <si>
    <t>Resultado de autoevaluación
Preguntas del factor 5 caracteristica 17</t>
  </si>
  <si>
    <t>Por definir- Pendiente Implementación de instrumentos
Modelo de gestión, evaluación e innovación curricular</t>
  </si>
  <si>
    <t>Sesion para identificar medición con Maria Isabel y Maria del Socorro</t>
  </si>
  <si>
    <t>Gestión de unidades académicas</t>
  </si>
  <si>
    <t>Fortalecer el sistema de Saber  Pro y su uso como mecanismo de mejoramiento de la calidad académica.</t>
  </si>
  <si>
    <t>Promedio global Pruebas Saber Pro y T&amp;T</t>
  </si>
  <si>
    <t>Tabla 23. Resultados de las acciones de formación integral</t>
  </si>
  <si>
    <t>Valor agregado en la pruebas Saber Pro Institucional- Modelo PSM</t>
  </si>
  <si>
    <r>
      <t xml:space="preserve">Propuesta de reemplazar con metrica, pero esta no mide resultado o impacto 
</t>
    </r>
    <r>
      <rPr>
        <b/>
        <sz val="12"/>
        <color rgb="FFFF0000"/>
        <rFont val="Aptos Narrow"/>
        <family val="2"/>
        <scheme val="minor"/>
      </rPr>
      <t>Se propone utilizar fuentes oficiales</t>
    </r>
    <r>
      <rPr>
        <b/>
        <sz val="12"/>
        <color rgb="FF000000"/>
        <rFont val="Aptos Narrow"/>
        <family val="2"/>
        <scheme val="minor"/>
      </rPr>
      <t xml:space="preserve"> </t>
    </r>
    <r>
      <rPr>
        <b/>
        <sz val="12"/>
        <color rgb="FFFF0000"/>
        <rFont val="Aptos Narrow"/>
        <family val="2"/>
        <scheme val="minor"/>
      </rPr>
      <t>del Icfes</t>
    </r>
  </si>
  <si>
    <t>(Resultado Saber Pro- Resultado Saber 11)</t>
  </si>
  <si>
    <t xml:space="preserve">Modelo </t>
  </si>
  <si>
    <t>Decano FIDI</t>
  </si>
  <si>
    <t>Característica 18. Componentes pedagógicos y de evaluación</t>
  </si>
  <si>
    <t xml:space="preserve">Definir e implementar un sistema para la medición de los resultados de aprendizaje.
Articulación de resultados de aprendizaje con banco de preguntas </t>
  </si>
  <si>
    <t>Resultado de autoevaluación
Preguntas del factor 5 caracteristica 18</t>
  </si>
  <si>
    <t>Característica 19. Componente de interacción y relevancia social</t>
  </si>
  <si>
    <t>Continuar con la evaluación periódica del estudio de factibilidad y pertinencia de los programas académicos, para responder a los cambios del contexto y las demandas propias local, regional y global.</t>
  </si>
  <si>
    <t>Número de programas con estudio de factibilidad y pertinencia</t>
  </si>
  <si>
    <t>Dirección de Aseguramiento de la Calidad</t>
  </si>
  <si>
    <t>Director de Aseguramiento de la Calidad</t>
  </si>
  <si>
    <t>Característica 20. Procesos de creación, modificación y ampliación de programas académicos</t>
  </si>
  <si>
    <t>Realizar seguimiento y evaluación del portafolio  académico.</t>
  </si>
  <si>
    <t xml:space="preserve">N" de programas con registro calificado aprobado </t>
  </si>
  <si>
    <t>Comité de Portafolio</t>
  </si>
  <si>
    <t>N" programas con renovación de registro calificado</t>
  </si>
  <si>
    <t>Factor 6. Aportes de la investigación, la innovación, el desarrollo tecnológico y la creación</t>
  </si>
  <si>
    <t>Característica 21. Formación para la investigación, creación e innovación</t>
  </si>
  <si>
    <t xml:space="preserve">Continuar fortaleciendo la investigación, innovación y creación, acorde con la naturaleza de la institución </t>
  </si>
  <si>
    <t>Estudiantes en semilleros de investigación</t>
  </si>
  <si>
    <t>Fuente: Tabla 108. Estudiantes en actividades de investigación 2019 a 2025-1
Estrategias</t>
  </si>
  <si>
    <t>Estudiantes vinculados en actividades de investigación</t>
  </si>
  <si>
    <t xml:space="preserve">Notificar a Investigación de que en el reporte a Aseguramiento se deben mostrar todas las actividades </t>
  </si>
  <si>
    <t>(N° estudiantes vinculados a investigación / N° total estudiantes matriculados)*100</t>
  </si>
  <si>
    <t>Dirección de investigación, innovación y creación</t>
  </si>
  <si>
    <t>Característica 22. Investigación, desarrollo tecnológico, innovación y creación</t>
  </si>
  <si>
    <t>% de grupos de investigación  clasificados en A1, A y B</t>
  </si>
  <si>
    <t>Tabla 8. Grupos de investigación categorizados en Ministerio de Ciencias,
Tecnología e Innovación Minciencias</t>
  </si>
  <si>
    <t>Validar con proceso y vicerrectoría ya que el actual no mide el mejoramiento (Numero de grupos categorizados)</t>
  </si>
  <si>
    <t xml:space="preserve">Número de proyectos de investigación de Innovación y Creación con impacto social </t>
  </si>
  <si>
    <t xml:space="preserve">Número de proyectos de investigación de Innovación y Creación con impacto ambiental </t>
  </si>
  <si>
    <t>% de profesores TC clasificados como investigadores en Minciencias</t>
  </si>
  <si>
    <t>Tabla 9. Investigadores categorizados Minciencias</t>
  </si>
  <si>
    <t>Número de productos de Nuevo conocimiento, desarrollo tecnológico, innovación y creación</t>
  </si>
  <si>
    <t>Factor 7. Impacto social</t>
  </si>
  <si>
    <t>Característica 23. Institución y entorno</t>
  </si>
  <si>
    <t xml:space="preserve">Actualizar, implementar y socializar la nueva política de extensión y proyección social. </t>
  </si>
  <si>
    <t>Resultado de autoevaluación
Preguntas del factor 7</t>
  </si>
  <si>
    <t>Director de sistema de aseguramiento de la calidad</t>
  </si>
  <si>
    <t>Característica 24. Impacto cultural y artístico</t>
  </si>
  <si>
    <t xml:space="preserve">Actualizar, implementar y socializar la nueva política de extensión y proyección social, </t>
  </si>
  <si>
    <t xml:space="preserve">Este indicador no se logró establecer para la Autoevaluiación Institucional. Sería un importante avance identificar claramente los parámetros para medirlo, quien y cómo hacerlo. </t>
  </si>
  <si>
    <t>Tasa de Participación en actividades de Extensión</t>
  </si>
  <si>
    <t>Validar con vicerrectoria academica y del estudiante</t>
  </si>
  <si>
    <t>(N° de estudiantes participantes en actividades de Extensión y proyección social/ Total de estudiantes)*100 Bogotá - Virtual</t>
  </si>
  <si>
    <t>Este indicador no está relacionado directamente con la nueva politica de extensión y proyección social</t>
  </si>
  <si>
    <t>Participación de la comunidad en actividades de cultura y deporte</t>
  </si>
  <si>
    <t>Validar  Indicadores porque se debe medir el impacto a otros grupos de interes</t>
  </si>
  <si>
    <t>N° de estudiantes participantes en actividades de cultura y deporte</t>
  </si>
  <si>
    <t>N° de convenios asociados a B2C- B2B
Número de impactados</t>
  </si>
  <si>
    <t>No aplica</t>
  </si>
  <si>
    <t xml:space="preserve">Participación ingresos por extensión / total ingresos </t>
  </si>
  <si>
    <t>Gráfico 8. Ingresos por extensión</t>
  </si>
  <si>
    <t xml:space="preserve">Participación ingresos por extensión (Consultorias, alquiler de espacios, prestación de servicios, centros de investigación entre otros) / total ingresos </t>
  </si>
  <si>
    <t>Validar con financiera para crearlo</t>
  </si>
  <si>
    <t>Factor 8. Visibilidad nacional e internacional</t>
  </si>
  <si>
    <t>Característica 25. Inserción de la institución en contextos académicos nacionales e internacionales</t>
  </si>
  <si>
    <t>Mejorar el  proceso de visibilidad nacional e internacional integrando un sistema de información que permita la  recolección, sistematización, seguimiento y generación de reportes.</t>
  </si>
  <si>
    <t>Número de convenios internacionales activos</t>
  </si>
  <si>
    <t>Tabla 144. Convenios por países</t>
  </si>
  <si>
    <t xml:space="preserve">Continuar fortaleciendo los planes y programas articulados al proceso de la ORII.  </t>
  </si>
  <si>
    <t xml:space="preserve">Actividades de Cooperación en Internacionalización </t>
  </si>
  <si>
    <t>N° de actividades de cooperación e  internacionalización en Bogotá y virtual</t>
  </si>
  <si>
    <t>Dirección ORII</t>
  </si>
  <si>
    <t>Característica 26. Relaciones externas de profesores y estudiantes</t>
  </si>
  <si>
    <t>Proporción de estudiantes del Poli que participan en actividades de internacionalización</t>
  </si>
  <si>
    <t>Tabla 149. Número de estudiantes en internacionalización en casa</t>
  </si>
  <si>
    <t>Participación de estudiantes externos invitados a actividades de cooperación nacional  e internacional</t>
  </si>
  <si>
    <t>Validar las dos propuestas</t>
  </si>
  <si>
    <t>N° Estudiantes estudiantes externos invitados a actividades de cooperación Nacional e internacional de Bogotá y virtual</t>
  </si>
  <si>
    <t>Participación de estudiantes POLI en actividades de cooperación e internacionalización</t>
  </si>
  <si>
    <t>No. de estudiantes POLI de Bogotá y virtual en actividades de cooperación e internacionalización</t>
  </si>
  <si>
    <t>Proporción de profesores del Poli que participan en actividades de internacionalización</t>
  </si>
  <si>
    <t>Tabla 156. Cifras de movilidad saliente y entrante de estudiantes y profesores</t>
  </si>
  <si>
    <t>Participación de profesores POLI en actividades de cooperación e internacionalización</t>
  </si>
  <si>
    <t>No. de profesores POLI de Bogotá y virtual en actividades de cooperación e internacionalización</t>
  </si>
  <si>
    <t xml:space="preserve">Número de profesores y expertos  internacionales invitados </t>
  </si>
  <si>
    <t>Tabla 148. Número de profesores y expertos invitados</t>
  </si>
  <si>
    <t>Participación de profesores externos invitados a actividades de cooperación e internacionalización</t>
  </si>
  <si>
    <t>No. de profesores externos invitados a actividades de cooperación e internacionalización en Bogotá y virtual</t>
  </si>
  <si>
    <t>Factor 9. Bienestar institucional</t>
  </si>
  <si>
    <t>Característica 27. Estructura y funcionamiento del bienestar institucional</t>
  </si>
  <si>
    <t>Actualizar, socializar e implementar el modelo de Bienestar Institucional.</t>
  </si>
  <si>
    <t>Número de participaciones de estudiantes en actividades artísticas y culturales</t>
  </si>
  <si>
    <t>Tabla 165. Participación de la comunidad en actividades artísticas y culturales</t>
  </si>
  <si>
    <t>Tasa de participación en actividades de bienestar (Cultura, Deporte y Salud) Separado/ Consolidado
Estudiantes,  colaboradores y profesores</t>
  </si>
  <si>
    <t>(Número de participantes en actividades de bienestar / Número total de miembros de la comunidad)*100</t>
  </si>
  <si>
    <t>Dirección de bienestar y huella grancolombiana</t>
  </si>
  <si>
    <t>Satisfacción de la comunidad con las actividades de bienestar realizadas (Instrumento de experiencia)</t>
  </si>
  <si>
    <t>Resultados instrumentos de satisfacción</t>
  </si>
  <si>
    <t xml:space="preserve">Definir estrategias de impacto institucional en la región, y en la comunidad virtual </t>
  </si>
  <si>
    <t>Satisfacción de la comunidad virtual con las actividades de bienestar realizadas (Instrumento de experiencia)</t>
  </si>
  <si>
    <t>Desglosar por modalidad</t>
  </si>
  <si>
    <t>Cobertura de actividades de bienestar institucional por modalidad virtual y regiones</t>
  </si>
  <si>
    <t>(N.º de actividades realizadas para modalidad virtual o regiones / N.º total de actividades de bienestar) × 100</t>
  </si>
  <si>
    <t>Factor 10. Comunidad de profesores</t>
  </si>
  <si>
    <t>Característica 28. Derechos y deberes de los profesores</t>
  </si>
  <si>
    <t>Adelantar espacios de sensibilización y apropiación del reglamento profesoral.</t>
  </si>
  <si>
    <t>Participación en actividades de sensibilización del reglamento profesoral</t>
  </si>
  <si>
    <t>(N° de profesores participantes/ Total de planta profesoral)*100</t>
  </si>
  <si>
    <t>Socialización de reglamento con profesores nuevos</t>
  </si>
  <si>
    <t>(N° de profesores nuevos que participan en la socialización del reglamento/ Total de profesores nuevos del periodo)*100</t>
  </si>
  <si>
    <t>Resultado de autoevaluación
Preguntas del factor 10</t>
  </si>
  <si>
    <t>Característica 29. Planta profesoral</t>
  </si>
  <si>
    <t>Continuar con la implementación del proyecto de fortalecimiento de planta profesoral.</t>
  </si>
  <si>
    <t>Relación Profesor/ Estudiante con contrato indefinido y anual</t>
  </si>
  <si>
    <t>Tabla 184. Relación Profesor/ Estudiante con contrato indefinido y anual</t>
  </si>
  <si>
    <t>Relación docente/estudiante
(Bogotá- Virtual) - Contrato indefinido y fijo anualizado</t>
  </si>
  <si>
    <t>(Número total de estudiantes / Número total de docentes con contrato indefinido y fijo superior a 11 meses (Bogotá y virtual))*100</t>
  </si>
  <si>
    <t>Participación de profesores TC y MT del total de profesores</t>
  </si>
  <si>
    <t>Tabla 182. Histórico profesores tiempo completo y medio tiempo anuales e indefinidos</t>
  </si>
  <si>
    <t>Participación de profesores TC y MT/ Total de profesores (Personas)</t>
  </si>
  <si>
    <t>(N° de profesores tiempo completo año actual/ N° de profesores tiempo completo año anterior)*100</t>
  </si>
  <si>
    <t>Definir % de crecimiento</t>
  </si>
  <si>
    <t>Participación de profesores con nivel de formación Doctorado y Maestría del total de profesores</t>
  </si>
  <si>
    <t>Tabla 186. Profesores por nivel de formación</t>
  </si>
  <si>
    <t>Proporción de profesores con nivel de formación (Maestria y Doctorado)</t>
  </si>
  <si>
    <t>(N° de profesores con maestria y doctorado / N° total de profesores)*100</t>
  </si>
  <si>
    <t>Característica 30. Trayectoria profesoral</t>
  </si>
  <si>
    <t>Implementación de estrategias de categorización de acuerdo a la reglamentación interna y al presupuesto.</t>
  </si>
  <si>
    <t>N° de cupos aprobados para el escalafon docente</t>
  </si>
  <si>
    <t>Sugerencia mantener como indicador del proceso , como tiene dependencia financiera no tener en cuenta para plan de mejoramiento</t>
  </si>
  <si>
    <t>(N° de profesores con escalafon docente/N° de cupos aprobados para el escalafon docente)*100</t>
  </si>
  <si>
    <t>Característica 31. Desarrollo profesoral</t>
  </si>
  <si>
    <t>Continuar fortaleciendo el Plan de Desarrollo Docente, alineado con la evaluación 360</t>
  </si>
  <si>
    <t>% Profesores que participan en programas de formación</t>
  </si>
  <si>
    <t>(% Profesores que participaron en programas de formación/ Total de profesores tiempo completo y medio tiempo)*100</t>
  </si>
  <si>
    <t>Dirección de formación</t>
  </si>
  <si>
    <t>Característica 32. Interacción académica de los profesores</t>
  </si>
  <si>
    <t>Continuar fortaleciendo el nivel de inglés en los profesores</t>
  </si>
  <si>
    <t>Porcentaje de Docentes con clasificación de ingles en C1, C2, B1 o B2</t>
  </si>
  <si>
    <t>Gráfico 16. Evolución bilingüismo profesores</t>
  </si>
  <si>
    <t>N.º de docentes que participan en programas de fomento al multilingüismo/ Total de profesores tiempo completo y medio tiempo</t>
  </si>
  <si>
    <t>Factor 11. Comunidad de estudiantes</t>
  </si>
  <si>
    <t>Característica 33. Derechos y deberes de los estudiantes</t>
  </si>
  <si>
    <t>Implementar las campañas de comunicación para dar a conocer el reglamento estudiantil de forma permanente  y pertinente según el ciclo de vida del estudiante con la institución, por hitos definidos.</t>
  </si>
  <si>
    <t>N° de estudiantes impactados por las campañas de comunicación de reglamento estudiantil</t>
  </si>
  <si>
    <t>Pendiente (Estudiantes en inducción)</t>
  </si>
  <si>
    <t>Resultados de instrumento de autoevaluación asociados al Reglamento estudiantil</t>
  </si>
  <si>
    <t>Característica 34. Admisión y permanencia de estudiantes</t>
  </si>
  <si>
    <t xml:space="preserve">Implementación del modelo de experiencia en el proceso de admisión y matricula de estudiantes nuevos </t>
  </si>
  <si>
    <t xml:space="preserve">Medición de la experiencia del proceso de inscripción, admisión y matriculas </t>
  </si>
  <si>
    <t>Resultado instrumento de satisfacción</t>
  </si>
  <si>
    <t>Dirección de experiencia</t>
  </si>
  <si>
    <t>Gerencia de matriculas</t>
  </si>
  <si>
    <t xml:space="preserve">Implementar un proceso de acompañamiento a estudiantes de primer año que busca orientar a los estudiantes en todas las etapas de su vida académica para mejorar su adaptación, lo que impacta positivamente en su permanencia. .Igualmente para los estudiantes antiguos se implementará un plan de acción que  fortalezca el acompañamiento académico y administrativo, con el fin de favorecer la graduación oportuna.     </t>
  </si>
  <si>
    <t>Fuente: SPADIEs</t>
  </si>
  <si>
    <t>ANUAL</t>
  </si>
  <si>
    <t>% Permanencia intersemestral</t>
  </si>
  <si>
    <t>(Número de estudiantes rematriculados + egresados/Número de estudiantes matriculados en el periodo anterior)*100</t>
  </si>
  <si>
    <t>Gerencia de servicio y permanencia</t>
  </si>
  <si>
    <t>Tasa de deserción anual en SPADIES
Tasa de deserción acumulada cohorte</t>
  </si>
  <si>
    <t>Tasa de graduación  - Interno
Modalidad y nivel</t>
  </si>
  <si>
    <t>% Permanencia intersemestral Ingresantes</t>
  </si>
  <si>
    <t>(Número de estudiantes que desertan en el primer año / Número total de estudiantes matriculados en primer año) * 100</t>
  </si>
  <si>
    <t>Característica 35. Estímulos y apoyos para estudiantes</t>
  </si>
  <si>
    <t>(Avanzar en la estructuración de un sistema que permita actualizar los descuentos de forma masiva y flexible.) Consolidar las diferentes estrategias, estímulos y apoyos institucionales  para el estudiante</t>
  </si>
  <si>
    <t>Porcentaje de estudiantes beneficiados con becas</t>
  </si>
  <si>
    <t>Tabla 135. Histórico de Becas otorgadas por el Poli entre 2019-2 y 2025-1</t>
  </si>
  <si>
    <t>Porcentaje de Estudiantes beneficiados por Becas y apoyos financieros</t>
  </si>
  <si>
    <t>(Número de estudiantes con becas y apoyos financieros / Total de estudiantes ) × 100</t>
  </si>
  <si>
    <t>Servicio</t>
  </si>
  <si>
    <t>Presentación del factor</t>
  </si>
  <si>
    <t>Factor 12. Comunidad de egresados</t>
  </si>
  <si>
    <t>Característica 36. Seguimiento a egresados</t>
  </si>
  <si>
    <t>Actualizar el modelo e Implementar la plataforma de seguimiento a graduados
Documentar, implementar, analizar y socializar los resultados del modelo de seguimiento al graduado
Fomentar la oferta académica institucional.</t>
  </si>
  <si>
    <t>Tasa de Participación de graduados en instrumentos de Seguimiento
M0-M1-M5</t>
  </si>
  <si>
    <t>Porcentaje de participación de graduados en los instrumentos
de seguimiento
M0-M1_M5</t>
  </si>
  <si>
    <t>Dirección de graduados</t>
  </si>
  <si>
    <t>M0 (2024):  89% tasa de respuesta
M1 (2023):  8% tasa de respuesta
M5 (2024): 3% tasa de respuesta</t>
  </si>
  <si>
    <t>M0:  90% tasa de respuesta
M1: 9% tasa de respuesta
M5: 3,5% tasa de respuesta</t>
  </si>
  <si>
    <t>Característica 37. Egresados y programas académicos</t>
  </si>
  <si>
    <t>Fortalecimiento del modelo de seguimiento, a  través de REA  y análisis de la información de los instrumentos</t>
  </si>
  <si>
    <t>Tasa de empleabilidad de recièn graduados de pregrado</t>
  </si>
  <si>
    <t>Fuente: OLE</t>
  </si>
  <si>
    <t>% de cotización del graduado</t>
  </si>
  <si>
    <t>Fortalecimiento del modelo de seguimiento, a  través de REA  y análisis de la información de los instrumentos
Estructurar estrategias desde las facultades que evidencien la participación de los graduados y empresas en los diferentes espacios institucionales</t>
  </si>
  <si>
    <t>Participación de Egresados en Actividades
Eje (Empleabilidad, relacionamiento, seguimiento al graduado.)
Actividad (Emprendimiento, formación etc.</t>
  </si>
  <si>
    <t>Propuesta de limitar la linea base de los ultimos 5 años</t>
  </si>
  <si>
    <t>Número de egresados que participan en actividades institucionales</t>
  </si>
  <si>
    <t>Característica 38. Relación de los egresados con la institución</t>
  </si>
  <si>
    <t>Articulación  de las estrategias actuales y prospectivas en un plan Estratégico de Comunicaciones para la socialización del portafolio de servicios y beneficios de los Graduados</t>
  </si>
  <si>
    <t>Nivel de satisfacciòn de los egresados: Muy satisfecho + Satisfecho con la Instituciòn</t>
  </si>
  <si>
    <t>Tabla 231. Nivel de Satisfacción con la Institución</t>
  </si>
  <si>
    <t>Nivel de Satisfacción del graduado con la institución (Experiencia)</t>
  </si>
  <si>
    <t>Resultadode satisfacción de graduados</t>
  </si>
  <si>
    <t>Unidad</t>
  </si>
  <si>
    <t>Tipo de proceso</t>
  </si>
  <si>
    <t>Vicerrectoría financiera y administrativa</t>
  </si>
  <si>
    <t>GESTIÓN DE ABASTECIMIENTO</t>
  </si>
  <si>
    <t>APOYO</t>
  </si>
  <si>
    <t>Gerencia de talento humano y comunicaciones</t>
  </si>
  <si>
    <t>GESTIÓN Y DESARROLLO DEL TALENTO HUMANO</t>
  </si>
  <si>
    <t>ESTRATÉGICO</t>
  </si>
  <si>
    <t>Vicerrectoría del estudiante</t>
  </si>
  <si>
    <t>GESTIÓN DE LA TECNOLOGÍA E INNOVACIÓN DIGITAL</t>
  </si>
  <si>
    <t>Gerencia de Planeación y Gestión</t>
  </si>
  <si>
    <t xml:space="preserve">AUDITORÍA INTERNA </t>
  </si>
  <si>
    <t>AUDITORÍA INTERNA</t>
  </si>
  <si>
    <t>EVALUACIÓN Y MEJORA</t>
  </si>
  <si>
    <t>GESTIÓN DE SEGURIDAD Y SALUD EN EL TRABAJO</t>
  </si>
  <si>
    <t>INFRAESTRUCTURA Y SERVICIOS ADMINISTRATIVOS</t>
  </si>
  <si>
    <t>Gestión Infraestructura Física</t>
  </si>
  <si>
    <t>PLANIFICACIÓN  Y MEJORA DEL SISTEMA INTEGRADO</t>
  </si>
  <si>
    <t>Gestión de calidad</t>
  </si>
  <si>
    <t>Vicerrectoría académica</t>
  </si>
  <si>
    <t>VISIBILIDAD NACIONAL E INTERNACIONAL</t>
  </si>
  <si>
    <t>MISIONAL</t>
  </si>
  <si>
    <t>RECURSOS ACADÉMICOS Y DE INVESTIGACIÓN</t>
  </si>
  <si>
    <t>Biblioteca Institucional</t>
  </si>
  <si>
    <t xml:space="preserve">INVESTIGACIÓN, INNOVACIÓN Y CREACIÓN </t>
  </si>
  <si>
    <t>Investigación, desarrollo tecnológico, innovación y creación</t>
  </si>
  <si>
    <t>Formación para la investigación, creación e innovación</t>
  </si>
  <si>
    <t>Editorial y Publicaciones</t>
  </si>
  <si>
    <t>SERVICIO Y PERMANENCIA</t>
  </si>
  <si>
    <t>GESTIÓN FINANCIERA</t>
  </si>
  <si>
    <t>Planeación Financiera</t>
  </si>
  <si>
    <t>GESTIÓN AMBIENTAL</t>
  </si>
  <si>
    <t>Planificación POLISIGS</t>
  </si>
  <si>
    <t>DIRECCIONAMIENTO ESTRATÉGICO</t>
  </si>
  <si>
    <t>Gestión de Proyectos</t>
  </si>
  <si>
    <t>Permanencia</t>
  </si>
  <si>
    <t>Registro y Control</t>
  </si>
  <si>
    <t>GESTIÓN DE PORTAFOLIO INSTITUCIONAL</t>
  </si>
  <si>
    <t>Gestión, Evaluación e Innovación Curricular</t>
  </si>
  <si>
    <t>Planeación Estratégica</t>
  </si>
  <si>
    <t>Desempeño Institucional</t>
  </si>
  <si>
    <t>Rematrícula</t>
  </si>
  <si>
    <t>Rectoría</t>
  </si>
  <si>
    <t>GESTIÓN JURÍDICA Y NORMATIVA</t>
  </si>
  <si>
    <t>Centro de Medios Audiovisuales</t>
  </si>
  <si>
    <t>AUTOEVALUACIÓN Y AUTOREGULACIÓN</t>
  </si>
  <si>
    <t>Autoevaluación de programas académicos</t>
  </si>
  <si>
    <t>EXPERIENCIA INSTITUCIONAL</t>
  </si>
  <si>
    <t>DOCENCIA</t>
  </si>
  <si>
    <t>Gestión Docente</t>
  </si>
  <si>
    <t xml:space="preserve">BIENESTAR INSTITUCIONAL </t>
  </si>
  <si>
    <t>Cultura y Deporte</t>
  </si>
  <si>
    <t>GESTIÓN DE RIESGOS</t>
  </si>
  <si>
    <t>Administración de Servicios Generales</t>
  </si>
  <si>
    <t>Servicio de Salud</t>
  </si>
  <si>
    <t>Creación, modificación y cierre de programas académicos</t>
  </si>
  <si>
    <t>EXTENSIÓN</t>
  </si>
  <si>
    <t>Gestión de Graduados</t>
  </si>
  <si>
    <t>Autoevaluación institucional</t>
  </si>
  <si>
    <t>Contabilidad</t>
  </si>
  <si>
    <t>DATOS Y ANALÍTICA</t>
  </si>
  <si>
    <t>Tesorería</t>
  </si>
  <si>
    <t>Prácticas</t>
  </si>
  <si>
    <t>Gestión de la Responsabilidad Social</t>
  </si>
  <si>
    <t>Operaciones Académicas</t>
  </si>
  <si>
    <t>Operación de Educación no Formal</t>
  </si>
  <si>
    <t>Vicerrectoría del crecimiento</t>
  </si>
  <si>
    <t>MERCADEO, ADMISIONES  Y MATRÍCULA</t>
  </si>
  <si>
    <t>Inscripción, admisión y matrícula de estudiantes nuevos</t>
  </si>
  <si>
    <t>COMUNICACIÓN Y POSICIONAMIENTO ESTRATÉGICO</t>
  </si>
  <si>
    <t>Gestión de campañas integradas de marketing</t>
  </si>
  <si>
    <t>Comunicaciones Externas</t>
  </si>
  <si>
    <t>Emprendimiento</t>
  </si>
  <si>
    <t>LEI</t>
  </si>
  <si>
    <t>Mercadeo de programas académicos</t>
  </si>
  <si>
    <t>Mercadeo y venta de educación para la vida</t>
  </si>
  <si>
    <t>Comunicaciones Internas</t>
  </si>
  <si>
    <t>Diseño de contenido Virtual</t>
  </si>
  <si>
    <t>Area</t>
  </si>
  <si>
    <t>Reto</t>
  </si>
  <si>
    <t>Indicador</t>
  </si>
  <si>
    <t>PlanMejoramiento</t>
  </si>
  <si>
    <t>Indicador Propuesto</t>
  </si>
  <si>
    <t xml:space="preserve">Meta </t>
  </si>
  <si>
    <t>Aplica Desempeño</t>
  </si>
  <si>
    <t xml:space="preserve">Plan Mejoramiento </t>
  </si>
  <si>
    <t xml:space="preserve">Factor </t>
  </si>
  <si>
    <t>Caracteristica</t>
  </si>
  <si>
    <t>DIRECCIÓN AGENCIA TROMPO</t>
  </si>
  <si>
    <t>Administración creativa de POLITV EXPRESS</t>
  </si>
  <si>
    <t>Cumplimiento del plan de trabajo. Etapas ejecutados vr. las definidas</t>
  </si>
  <si>
    <t>FALSO</t>
  </si>
  <si>
    <t xml:space="preserve">% Percepción de la experiencia de POLITV </t>
  </si>
  <si>
    <t>SI</t>
  </si>
  <si>
    <t>Generación DE CONTENIDOS DIRECTIVOS</t>
  </si>
  <si>
    <t>Cumplimiento del plan de trabajo. Acciones planteadas vs. Acciones realizadas</t>
  </si>
  <si>
    <t>% Satisfacción contenidos directivos</t>
  </si>
  <si>
    <t>Participación CONCURSOS O FESTIVALES en donde se de visibilidad a Trompo y al Poli</t>
  </si>
  <si>
    <t>Participación en 6 eventos</t>
  </si>
  <si>
    <t># de eventos de participación  (6)</t>
  </si>
  <si>
    <t>NO</t>
  </si>
  <si>
    <t>DIRECCIÓN ASEGURAMIENTO DE LA CALIDAD</t>
  </si>
  <si>
    <t>Acreditación Institucional Internacional Sello Sofía - Fase 1</t>
  </si>
  <si>
    <t>Porcentaje de avance del cronograma</t>
  </si>
  <si>
    <t>No Aplica</t>
  </si>
  <si>
    <t>Porcentaje de avance en la elaboración de estudios de factibilidad de los programas en procesos de aseguramiento de la calidad al año</t>
  </si>
  <si>
    <t>VERDADERO</t>
  </si>
  <si>
    <t xml:space="preserve">% de elaboración de estudios de factibilidad de los programas en procesos de aseguramiento de la calidad </t>
  </si>
  <si>
    <t>DIRECCIÓN B2B Y B2C</t>
  </si>
  <si>
    <t>FORTALECER EL PROCESO DE MATRICULAS DE MICROCERTIFICACIONES</t>
  </si>
  <si>
    <t>CRECER UN 20% EN MICROCERTIFICACIONES</t>
  </si>
  <si>
    <t xml:space="preserve">Numero de estudiantes en microcertificaciones </t>
  </si>
  <si>
    <t>Crecimiento del 20%</t>
  </si>
  <si>
    <t>DIRECCIÓN BIENESTAR UNIVERSITARIO Y HUELLA GRANCOLOMBIANA</t>
  </si>
  <si>
    <t>Banco de Voluntarios</t>
  </si>
  <si>
    <t>(en blanco)</t>
  </si>
  <si>
    <t>Numero de voluntarios</t>
  </si>
  <si>
    <t>Definición del Modelo de Bienestar Institucional</t>
  </si>
  <si>
    <t># de estudiantes virtuales que ingresan al micrositio, tiempo de visualización  de los contenidos, sección mas consultada, cantidad de inscripciones a actividades de Bienestar desde el micrositio</t>
  </si>
  <si>
    <t>Numero de estudiantes virtuales participantes en actividades de bienestar</t>
  </si>
  <si>
    <t>Desarrollo aplicativo de becas</t>
  </si>
  <si>
    <t>% Avance desarrollo aplicativo de becas</t>
  </si>
  <si>
    <t>% reducción de los tiempos de respuesta del programa de Becas</t>
  </si>
  <si>
    <t>Fortalecimiento del bienestar psicosocial en la comunidad universitaria, con énfasis en la modalidad virtual.</t>
  </si>
  <si>
    <t>% Avance del reto</t>
  </si>
  <si>
    <t xml:space="preserve">Numero de estudiantes virtuales participantes en actividades de bienestar Psicosocial </t>
  </si>
  <si>
    <t>Incremento ventas Polishop virtual</t>
  </si>
  <si>
    <t>Ventas Polishop web 2026/ Ventas Polishop web 2025</t>
  </si>
  <si>
    <t>% Increcmento en ventas POLISHOP</t>
  </si>
  <si>
    <t>DIRECCIÓN CENTRO DE MEDIOS AUDIOVISUALES</t>
  </si>
  <si>
    <t>Estandarizar y documentar el proceso del CMA</t>
  </si>
  <si>
    <t xml:space="preserve">Total de documentos planeados / ejecutados </t>
  </si>
  <si>
    <t>DIRECCIÓN DE ADMON LABORAL Y COMPENSACION</t>
  </si>
  <si>
    <t>Cerrar brecha presupuestal por sobre costo</t>
  </si>
  <si>
    <t>Cubrir el 95% de la desviación presupuestal</t>
  </si>
  <si>
    <t>% de desviación presupuestal cubierto</t>
  </si>
  <si>
    <t>Recuperar el 85% de cuentas por cobrar EPS y ARL por incapacidades</t>
  </si>
  <si>
    <t>Valor de Incapacidades registradas / Valor recuperado de incapacidades</t>
  </si>
  <si>
    <t>% de recuperacion de cuentas por cobrar por incapacidades por EPS y ARL</t>
  </si>
  <si>
    <t>DIRECCIÓN DE BIENESTAR Y RELAC. LABORALES</t>
  </si>
  <si>
    <t>Incrementar la apropiación y el uso efectivo de los beneficios de la cuponera</t>
  </si>
  <si>
    <t>Numero de lideres impactados / número de lideres registrados</t>
  </si>
  <si>
    <t>% Usuarios que utilizan la cuponera</t>
  </si>
  <si>
    <t>DIRECCIÓN DE COMPRAS Y ABASTECIMIENTO</t>
  </si>
  <si>
    <t>Ahorros vs Presupuesto _ Meta $ 1.900.000.000</t>
  </si>
  <si>
    <t xml:space="preserve">Eficiencia en la reducción de costos en la gestión de abastecimiento </t>
  </si>
  <si>
    <t>Configuración Consulta de pagos a proveedores_ Portal</t>
  </si>
  <si>
    <t>Cumplimiento de Ebitda</t>
  </si>
  <si>
    <t>EBITDA</t>
  </si>
  <si>
    <t>Experiencia Proveedores (Boletines, inducción, información, video)</t>
  </si>
  <si>
    <t>% Proveedores que partiticiparon en inducción, boletines)</t>
  </si>
  <si>
    <t>DIRECCIÓN DE COMUNICACIONES</t>
  </si>
  <si>
    <t>Consolidar una comunicación interna efectiva que articule las direcciones de TH bajo el ADN Poli y mejore la experiencia de la comunidad universitaria.</t>
  </si>
  <si>
    <t>100%</t>
  </si>
  <si>
    <t>Nivel de satisfacción con el proceso de comunicaciones internas</t>
  </si>
  <si>
    <t>Lograr la unificación de plataformas del Portal de Colaboradores como habilitador clave de una comunicación interna integrada y eficiente.</t>
  </si>
  <si>
    <t>DIRECCIÓN DE COMUNICACIONES EXTERNAS SED MEDLLIN</t>
  </si>
  <si>
    <t>ADN POLI - Consolidar el ADN POLI como eje central de la comunicación institucional  en la sede, alineando mensajes, contenidos y narrativas con los procesos de Talento Humano y las dinámicas académicas, para fortalecer la identidad, la cultura organizacional y el sentido de pertenencia de toda la comunidad POLI: estudiantes, graduados y colaboradores.</t>
  </si>
  <si>
    <t>% de campañas internas alineadas explícitamente con el ADN POLI. Número de piezas y contenidos comunicacionales que integran el ADN POLI durante el año.</t>
  </si>
  <si>
    <t>VISIBILIDAD EN LA REGIÓN : Fortalecer la visibilidad y el posicionamiento del POLI en la región, a través de una estrategia de comunicaciones que destaque su impacto académico, social y territorial, consolidándolo como un actor relevante en el desarrollo educativo, cultural y productivo del entorno.</t>
  </si>
  <si>
    <t xml:space="preserve">Número de apariciones del POLI en medios regionales y locales. </t>
  </si>
  <si>
    <t>DIRECCIÓN DE CONTABILIDAD</t>
  </si>
  <si>
    <t>Diagnostico e Impacto para la facturación multimoneda por internacionalizacion</t>
  </si>
  <si>
    <t>Establecer un proceso centralizado, eficiente y trazable para gestionar devoluciones y aplazamientos garantizando oportunidad y experiencia al estudiante</t>
  </si>
  <si>
    <t>Tiempo promedio de resolución / Nivel de satisfacción</t>
  </si>
  <si>
    <t>1. Tiempo promedio de resolución 2. Nivel de satisfacción en devoluciones</t>
  </si>
  <si>
    <t xml:space="preserve">Satisfacción del proceso de devoluciones </t>
  </si>
  <si>
    <t>Implementar optimizaciones en el impuesto de renta y garantizar el correcto aprovechamiento de beneficios tributarios</t>
  </si>
  <si>
    <t>% de gastos no deducibles / Beneficios Tributarios Aplicables / Valor de la Renta</t>
  </si>
  <si>
    <t>% Disminución de gastos no deducibles /Valor  Beneficios Tributarios Aplicables / % disminución en Valor de la Renta</t>
  </si>
  <si>
    <t>si</t>
  </si>
  <si>
    <t>Optimizar la creación de proveedores mediante plantilla</t>
  </si>
  <si>
    <t>Tiempos promedio en la creación de proveedores / Numero de Reprocesos / Satisfacción del usuario</t>
  </si>
  <si>
    <t>% Disminución de tiempo promedio en la creación de proveedores / % Disminución de Numero de Reprocesos / % Satisfacción del usuario</t>
  </si>
  <si>
    <t>Optimizar la legalización de gastos de viaje mediante plantilla</t>
  </si>
  <si>
    <t>Tiempos de procesamiento de legalizaciones / Eficiencias en la revisión contable</t>
  </si>
  <si>
    <t>% mejora en los tiempos de procesamiento de las Legalizciones / % de disminución de tiempos en la revisión contable</t>
  </si>
  <si>
    <t>DIRECCIÓN DE CURRÍCULO PRESENCIAL Y VIRTUAL</t>
  </si>
  <si>
    <t>Diseño del modelo de evaluación institucional</t>
  </si>
  <si>
    <t>Un modelo diseñado</t>
  </si>
  <si>
    <t>Diseño Ecosistema Educativo</t>
  </si>
  <si>
    <t>No. de estrategias diseñadas/No. de estrategias planeadas</t>
  </si>
  <si>
    <t>DIRECCIÓN DE DESARROLLO DE MERCADOS</t>
  </si>
  <si>
    <t>Definición de mercado internacional para oferta de programas virtuales</t>
  </si>
  <si>
    <t>Número de mercados internacionales analizados, mercados priorizados y definidos</t>
  </si>
  <si>
    <t>Definición y activación del portafolio de microcertificaciones</t>
  </si>
  <si>
    <t xml:space="preserve">Definición de grupo de programas priorizados para iniciar el plan piloto de la oferta </t>
  </si>
  <si>
    <t>Desarrollo de portafolio intergeneracional en edu vida</t>
  </si>
  <si>
    <t>Número de productos de educación continuada intergeneracionales creados</t>
  </si>
  <si>
    <t>DIRECCIÓN DE DESARROLLO E INNOVACIÓN DIG</t>
  </si>
  <si>
    <t>Cultura institucional de seguridad de la información</t>
  </si>
  <si>
    <t>90% de Cobertura de capacitación en seguridad de la información</t>
  </si>
  <si>
    <t>% Colaboradores formados en ciberseguridad</t>
  </si>
  <si>
    <t>Incrementar la satisfacción de usuarios de la comunidad universitaria del proceso de Gestión de la Tecnología y la Innovación Digital</t>
  </si>
  <si>
    <t>Lograr un 80% en la satisfacción de usuarios de la comunidad universitaria con el proceso de Gestión de la Tecnología y la Innovación Digital.</t>
  </si>
  <si>
    <t>Nivel de satisfacción del proceso de Tecnología de la Información</t>
  </si>
  <si>
    <t>Integrar inteligencia artificial en el ciclo de desarrollo de software para acelerar la entrega sin comprometer calidad ni seguridad.</t>
  </si>
  <si>
    <t>2 proyectos de desarrollo interno con uso de IA en su construcción</t>
  </si>
  <si>
    <t xml:space="preserve">Disminución de tiempos en el desarrollo de aplicaciones </t>
  </si>
  <si>
    <t>Proyecto Gobierno de Datos</t>
  </si>
  <si>
    <t>Cumplimiento cronograma proyecto</t>
  </si>
  <si>
    <t>Reingeniería de aplicaciones de servidores críticos (15 aplicaciones 3 servidores).</t>
  </si>
  <si>
    <t>100% de aplicaciones de servidores críticos (15 aplicaciones 3 servidores).</t>
  </si>
  <si>
    <t>Numero de aplicaciones con el nuevo marco de arquitectura digital</t>
  </si>
  <si>
    <t>DIRECCIÓN DE ESTUDIOS INTERNOS</t>
  </si>
  <si>
    <t>Estandarización del proceso de estudios internos</t>
  </si>
  <si>
    <t>Documentos implementados</t>
  </si>
  <si>
    <t>Optimización de los procesos de la Gerencia Planeación y Gestión mediante el uso de IA</t>
  </si>
  <si>
    <t>Total de tareas automatizadas / Total de tareas automatizables</t>
  </si>
  <si>
    <t>DIRECCIÓN DE EXPERIENCIA E INCLUSIÓN</t>
  </si>
  <si>
    <t>Actualización y fortalecimiento de las políticas de equidad de género e inclusión</t>
  </si>
  <si>
    <t>Participación de la comunidad universitaria en los espacios de cocreación de las políticas</t>
  </si>
  <si>
    <t>Diseño e implementación del proyecto de habilidades socioemocionales y salud mental</t>
  </si>
  <si>
    <t>Participación de la comunidad universitaria en las iniciativas</t>
  </si>
  <si>
    <t>Mejora experiencia posgrados 360</t>
  </si>
  <si>
    <t>Indicadores de experiencia (CSAT-CES-NPS)</t>
  </si>
  <si>
    <t>Indicadores de experiencia (CSAT-CES-NPS) posgrado</t>
  </si>
  <si>
    <t xml:space="preserve">Módulo de CX - Encuestas HubSpot </t>
  </si>
  <si>
    <t>Integración de los sistemas</t>
  </si>
  <si>
    <t>Porcentaje de coincidencia entre los resultados de CX Latam y los datos integrados en ILUMNO</t>
  </si>
  <si>
    <t>MAS DE 95%</t>
  </si>
  <si>
    <t>DIRECCIÓN DE FORMACION Y DESARROLLO</t>
  </si>
  <si>
    <t xml:space="preserve">Alcance metodológico de análisis de cargos para cinco (5) áreas de la institución. </t>
  </si>
  <si>
    <t xml:space="preserve">Cantidad de áreas medidas al finalizar el año </t>
  </si>
  <si>
    <t>% Areas con analisis de cargos</t>
  </si>
  <si>
    <t xml:space="preserve">Establecimiento de KPIS individuales para todos los niveles de la institución </t>
  </si>
  <si>
    <t>% Colaboradores medidos por KPI's</t>
  </si>
  <si>
    <t xml:space="preserve">DIRECCIÓN DE GESTIÓN DE TALENTO </t>
  </si>
  <si>
    <t>Automatización para la aprobación de periodos de prueba y entrenamiento al cargo</t>
  </si>
  <si>
    <t xml:space="preserve">% de cumplimiento periodos de prueba sobre el total de ingresos </t>
  </si>
  <si>
    <t>% de periodos de prueba aprobados mediante flujo automatizado</t>
  </si>
  <si>
    <t>Impulsar la adopción y uso efectivo de la plataforma de inducción a colaboradores.</t>
  </si>
  <si>
    <t>% de colaboradores que completaron la inducción en plataforma</t>
  </si>
  <si>
    <t>Taller formativo en buenas prácticas para entrevistas de selección</t>
  </si>
  <si>
    <t>Porcentaje de asistencia: &gt;80% / N° de participantes</t>
  </si>
  <si>
    <t xml:space="preserve">% De participantes en el taller formativo </t>
  </si>
  <si>
    <t>DIRECCIÓN DE GOBIERNO DIGITAL</t>
  </si>
  <si>
    <t>Reingeniería del 100% de  aplicaciones de servidores críticos (15 aplicaciones 3 servidores)</t>
  </si>
  <si>
    <t>100% de  aplicaciones de servidores críticos (15 aplicaciones 3 servidores)</t>
  </si>
  <si>
    <t>DIRECCIÓN DE GRADUADOS Y PROYECCIÓN EMP</t>
  </si>
  <si>
    <t>Fortalecer el modelo institucional de seguimiento integral y continuo de graduados, que permita medir su trayectoria e impacto a nivel global, fortaleciendo la toma de decisiones y la mejora continua.</t>
  </si>
  <si>
    <t>Nivel de respuestas de Encuestas de Seguimiento M0: 98% M1:9,5% M5:4%</t>
  </si>
  <si>
    <t>Tasa de participación de graduados en instrumentos de seguimiento (M0, M1, M5) (M0: 98% M1:9,5% M5:4%)</t>
  </si>
  <si>
    <t>M0: 98% M1:9,5% M5:4%</t>
  </si>
  <si>
    <t>Fortalecer la identidad de los graduados desde una comunicación bidireccional y personalizada con Graduados, convirtiendo la experiencia en reputación institucional positiva.</t>
  </si>
  <si>
    <t>Nivel de participación de los Graduados en las acciones de la Oficina de Graduados (7%).</t>
  </si>
  <si>
    <t xml:space="preserve">% De participación de graduados en actividades de empleabilidad y relacionamiento </t>
  </si>
  <si>
    <t>Renovación de Bolsa de Empleo Institucional</t>
  </si>
  <si>
    <t>Porcentaje de avance del proceso de renovación de la Bolsa de Empleo Institucional.</t>
  </si>
  <si>
    <t>DIRECCIÓN DE INFRAESTRUCTURA</t>
  </si>
  <si>
    <t>ESTUDIO Y DISEÑO DE PANELES SOLARES CAMPUS PRINCIPAL</t>
  </si>
  <si>
    <t xml:space="preserve">PLAN NUEVOS CENTROS DE ATENCION CON CONSULTORIOS DE PSICOLOGIA </t>
  </si>
  <si>
    <t>REMODELACION BLOQUE C</t>
  </si>
  <si>
    <t>% Areas renovadas</t>
  </si>
  <si>
    <t>REMODELACION BLOQUE i</t>
  </si>
  <si>
    <t>DIRECCIÓN DE MARCA Y DESARROLLO DE CANALES</t>
  </si>
  <si>
    <t xml:space="preserve">Implementación de Hubspot Eduvida </t>
  </si>
  <si>
    <t>Puesta de marcha de la implementación</t>
  </si>
  <si>
    <t xml:space="preserve">Nuevo producto: Bono regala educación </t>
  </si>
  <si>
    <t xml:space="preserve">Implementación del nuevo producto - Bonos para regalar educación - </t>
  </si>
  <si>
    <t xml:space="preserve">Policorresponsales </t>
  </si>
  <si>
    <t>Incrementar el alcance en 10 municipios de Colombia con aliados tenderos que se conviertan en Poli Corresponsales</t>
  </si>
  <si>
    <t>DIRECCIÓN DE OPERACIONES INTEGRALES</t>
  </si>
  <si>
    <t>Desarrollo e implementación de  SOPHIA (Sistema de Optimización y Programación Horaria Institucional Académica) . II Fase</t>
  </si>
  <si>
    <t>% de ejecución de las actividades planeadas en el plan de trabajo</t>
  </si>
  <si>
    <t xml:space="preserve">Indice de optimización de la programación academica </t>
  </si>
  <si>
    <t>Estructuración e implementación de la estrategia alineación curricular</t>
  </si>
  <si>
    <t>(# de programas en Operación / # de programas proyectados) *70%</t>
  </si>
  <si>
    <t xml:space="preserve">% de cumplimiento de programas con la implementación de la reforma curricular </t>
  </si>
  <si>
    <t>SIMA: Sistema de importación de aulas máster y bancos de Preguntas</t>
  </si>
  <si>
    <t xml:space="preserve"> (# de aulas máster en Operación / # de programas proyectados) *70%</t>
  </si>
  <si>
    <t>% De aulas master creadas por SIMA
% De banco de preguntas creados por SIMA</t>
  </si>
  <si>
    <t>DIRECCIÓN DE OPERACIONES NUEVOS  NEGOCIOS</t>
  </si>
  <si>
    <t>SEGUIMIENTO Y CONTROL DE CONTRATOS</t>
  </si>
  <si>
    <t>Total de contratos con seguimiento/ Total de contratos adjudicados</t>
  </si>
  <si>
    <t xml:space="preserve">% de contratos con seguimiento </t>
  </si>
  <si>
    <t>DIRECCIÓN DE PERMANENCIA</t>
  </si>
  <si>
    <t>Permanencia Posgrados virtual</t>
  </si>
  <si>
    <t>Tasa de Permanencia posgrados virtual</t>
  </si>
  <si>
    <t>Tasa de permanencia posgrado virtual</t>
  </si>
  <si>
    <t>DIRECCIÓN DE RELACIONAMIENTO DE CSU</t>
  </si>
  <si>
    <t xml:space="preserve">Capacitación de CSU </t>
  </si>
  <si>
    <t xml:space="preserve">Cumplimiento del plan de capacitación CSU </t>
  </si>
  <si>
    <t xml:space="preserve">% CSU Capacitados </t>
  </si>
  <si>
    <t xml:space="preserve">Caracterización y satisfacción a CSU </t>
  </si>
  <si>
    <t>Encuesta de caracterización y satisfacción a CSU</t>
  </si>
  <si>
    <t>% CSU caracterizados y con encuesta de satifacción</t>
  </si>
  <si>
    <t xml:space="preserve">Cumplimiento del EBITDA </t>
  </si>
  <si>
    <t>Cumplimiento del EBITDA por Q (4 Q al año)</t>
  </si>
  <si>
    <t>OK</t>
  </si>
  <si>
    <t>Migración de contratos CSU aliados 2026</t>
  </si>
  <si>
    <t>Matriz con relación de contratos finalizados y migrados al nuevo contrato 2026 de CSU Aliados.</t>
  </si>
  <si>
    <t>% CSU migrados al nuevo contrato</t>
  </si>
  <si>
    <t>Portal de CSU Fase 1</t>
  </si>
  <si>
    <t>Fase 1 mejora portal CSU</t>
  </si>
  <si>
    <t>DIRECCIÓN DE REMATRÍCULA</t>
  </si>
  <si>
    <t>Scoring funnel de rematrícula</t>
  </si>
  <si>
    <t>Total matriculas estudiantes antiguos</t>
  </si>
  <si>
    <t>Voice Bot Recupero</t>
  </si>
  <si>
    <t>Total estudiantes recuperados</t>
  </si>
  <si>
    <t>PENDIENTE</t>
  </si>
  <si>
    <t>DIRECCIÓN DE SERVICIO</t>
  </si>
  <si>
    <t>Auditor de Empatía con IA</t>
  </si>
  <si>
    <t>Satisfacción y Calidad del Servicio</t>
  </si>
  <si>
    <t>SSI en la atención al usuario</t>
  </si>
  <si>
    <t>Transformación Analytics</t>
  </si>
  <si>
    <t>Satisfacción en la atención</t>
  </si>
  <si>
    <t>DIRECCIÓN DE SERVICIOS ADMINISTRATIVOS</t>
  </si>
  <si>
    <t>Cumplimiento del Ebitda</t>
  </si>
  <si>
    <t>Ebitda</t>
  </si>
  <si>
    <t>Estudio y factibilidad reducción de seguridad física</t>
  </si>
  <si>
    <t xml:space="preserve"> Cumplimiento de la programación del estudio </t>
  </si>
  <si>
    <t>Garantizar el servicio de energía eléctrica en el mercado No Regulado frontera código SIC Frt02902</t>
  </si>
  <si>
    <t xml:space="preserve">Cumplimiento programación para generación de contrato </t>
  </si>
  <si>
    <t xml:space="preserve">Socialización Plan de desarrollo y gestión de capacitación de servicio al cliente a colaboradores de las empresas de Outsourcing y colaboradores propios. </t>
  </si>
  <si>
    <t xml:space="preserve">Cumplimiento socialización plan de desarrollo y cumplimento cronograma de capacitaciones </t>
  </si>
  <si>
    <t xml:space="preserve">% de Outsourcing y colaboradores propios capacitados </t>
  </si>
  <si>
    <t>DIRECCIÓN EDITORIAL</t>
  </si>
  <si>
    <t>Diseño e implementación del Manual de Estilo Editorial del Poli para fortalecer la gestión editorial mediante estándares de calidad, pertinencia, identidad, eficiencia, ética, visibilidad e impacto de las publicaciones académicas, científicas, sociales y culturales, acorde a referentes nacionales e internacionales.</t>
  </si>
  <si>
    <t>Índice de Satisfacción con la Calidad Editorial Institucional (mayor o igual a 85% primer año)</t>
  </si>
  <si>
    <t xml:space="preserve">Nivel de satisfacción del proceso editorial </t>
  </si>
  <si>
    <t>Integración y apropiación del uso de herramientas de Inteligencia Artificial en los procesos editoriales del Poli.</t>
  </si>
  <si>
    <t>Adopción efectiva de herramientas de IA en la gestión editorial (30% de los procesos en el año 1)</t>
  </si>
  <si>
    <t>% Disminución de tiempos en gestión editorial</t>
  </si>
  <si>
    <t>Prueba / Visibilidad de la producción editorial</t>
  </si>
  <si>
    <t>Publicaciones resultado de investigación</t>
  </si>
  <si>
    <t># Publicaciones resultado de investigación</t>
  </si>
  <si>
    <t>DIRECCIÓN INVESTIGACIÓN INNOVACIÓN Y CREACIÓN</t>
  </si>
  <si>
    <t xml:space="preserve">. Ampliar la divulgación de los resultados de investigación </t>
  </si>
  <si>
    <t xml:space="preserve"># de publicaciones en Paradigma </t>
  </si>
  <si>
    <t>Ampliar la participación de estudiantes en actividades de investigación</t>
  </si>
  <si>
    <t># de estudiantes vinculados en actividades de investigación</t>
  </si>
  <si>
    <t>% de estudiantes vinculados en actividades de investigación</t>
  </si>
  <si>
    <t>Incrementar la generación de productos de nuevo conocimiento y desarrollo tecnológico en cada grupo de investigación</t>
  </si>
  <si>
    <t># Productos de nuevo conocimiento y desarrollo tecnológico</t>
  </si>
  <si>
    <t>Incrementar la participación de los profesores en redes y proyectos interdisciplinarios.</t>
  </si>
  <si>
    <t># de actividades de investigación realizadas en el marco de las redes</t>
  </si>
  <si>
    <t>% Participación de profesores en actividades de redes</t>
  </si>
  <si>
    <t>Mejorar el uso del sistema SIGIIP para la sistematización de información</t>
  </si>
  <si>
    <t># de reportes efectivos generados en SIGIIP</t>
  </si>
  <si>
    <t>% De reportes efectivos en SIGIP</t>
  </si>
  <si>
    <t>DIRECCIÓN NACIONAL REGISTRO Y CONTROL</t>
  </si>
  <si>
    <t xml:space="preserve"> Implementación de la titulación autogestionada - Pilotaje</t>
  </si>
  <si>
    <t># entregables presentados / # entregables proyectados</t>
  </si>
  <si>
    <t>% estudiantes que realizan titulación autogestionada</t>
  </si>
  <si>
    <t>Centralización de la información de contenidos programáticos</t>
  </si>
  <si>
    <t>% de contenidos programaticos sistematizados</t>
  </si>
  <si>
    <t>Implementación de herramientas de Inteligencia Artificial para la gestión de homologaciones externas</t>
  </si>
  <si>
    <t>Tiempo promedio para entregar el resultado de homologación al aspirante.</t>
  </si>
  <si>
    <t>DIRECCIÓN PLANEACIÓN FINANCIERA Y TESORERÍA</t>
  </si>
  <si>
    <t>Acompañamiento financiero academia: Facultades- escuelas</t>
  </si>
  <si>
    <t>Seguimiento Facultades/Escuelas, sesiones y envio presupuestal</t>
  </si>
  <si>
    <t>% Facultades/ Escuelas acompañadas en el proceso</t>
  </si>
  <si>
    <t>Conexión directa de Data con los Corredores de Seguros</t>
  </si>
  <si>
    <t>Alineación base de datos, disminución riesgo de fuga de información y mejora de tiempos</t>
  </si>
  <si>
    <t>% Disminución de riesgo de fuga de información
% De disminución de tiempos de operación</t>
  </si>
  <si>
    <t>Implementar sistema de cobranza y seguimiento de cartera.</t>
  </si>
  <si>
    <t>Sistema de cobranza y seguimiento de cartera que mejore tiempos de operación</t>
  </si>
  <si>
    <t>% De disminución de tiempos de operación</t>
  </si>
  <si>
    <t>Pagos desde SAP sin archivos planos</t>
  </si>
  <si>
    <t>DIRECCIÓN RELACIONES INTERNACIONALES E INTERINSTITUCIONALES</t>
  </si>
  <si>
    <t>Apoyar proyecto acreditación internacional</t>
  </si>
  <si>
    <t>registro ante plataforma de Sello Sofía</t>
  </si>
  <si>
    <t>Continuar fortaleciendo los planes y programas articulados al proceso de la ORII.</t>
  </si>
  <si>
    <t>Priorizar alianzas en LATAM</t>
  </si>
  <si>
    <t># De alianzas generadas</t>
  </si>
  <si>
    <t>DIRECCIÓN RELACIONES PUBLICAS Y PROTOCOLO</t>
  </si>
  <si>
    <t>Acompañamiento vocería del rector</t>
  </si>
  <si>
    <t xml:space="preserve">Estandarización de la Experiencia en Eventos </t>
  </si>
  <si>
    <t>% Experiencia en los eventos</t>
  </si>
  <si>
    <t>Maximizar el impacto reputacional de los convenios del Poli</t>
  </si>
  <si>
    <t>DIRECCIÓN SISTEMA NACIONAL DE BIBLIOTECAS</t>
  </si>
  <si>
    <t>Facilitar el acceso y la consulta de los recursos de información disponibles en la biblioteca, a través de un acceso directo desde los recursos de la página web de CREA, alineados con las asignaturas de los programas académicos.</t>
  </si>
  <si>
    <t>% Programas parametrizados en el espacio del CREA</t>
  </si>
  <si>
    <t>ESCUELA DE ADMINISTRACION Y COMPETITIVIDAD</t>
  </si>
  <si>
    <t>Creación de nuevas propuestas para ampliar la oferta académica de la escuela</t>
  </si>
  <si>
    <t>Número de propuestas de nuevos programas académicos nuevos</t>
  </si>
  <si>
    <t>Número de propuestas de nuevos programas académicos presentados</t>
  </si>
  <si>
    <t>Formular e implementar el plan de permanencia académica de la facultad</t>
  </si>
  <si>
    <t>Porcentaje de cumplimiento del plan</t>
  </si>
  <si>
    <t>% Permenancia programas FNGS</t>
  </si>
  <si>
    <t>Fortalecer la oferta de extensión académica y de educación para la vida</t>
  </si>
  <si>
    <t>Un curso de educación continua creado</t>
  </si>
  <si>
    <t xml:space="preserve"># de Programas creados de educación continua </t>
  </si>
  <si>
    <t>Fortalecimiento del alcance del centro de emprendimiento en nuestra comunidad de graduados</t>
  </si>
  <si>
    <t>Crecimiento porcentual de los estudiantes y graduados con acompañamiento del centro de emprendimiento</t>
  </si>
  <si>
    <t>% de Participación en actividades de desarrollo de Cultura y Formación Emprendedora</t>
  </si>
  <si>
    <t>Implementación de reforma curricular de acuerdo con los lineamientos y cronogramas institucionales</t>
  </si>
  <si>
    <t>Porcentaje de avance del implementación de la reforma curricular</t>
  </si>
  <si>
    <t>Número de programas académicos donde el programa propuesto ha sido aplicado (4)</t>
  </si>
  <si>
    <t xml:space="preserve">Implementar un programa de facultad que fortalezca la enseñanza-aprendizaje integrando nuevas tendencias tecnológicas (IA)  con aplicación transversal a las demás facultades. </t>
  </si>
  <si>
    <t>Numero de cursos de la escuela con actividades didácticas con IA implementadas</t>
  </si>
  <si>
    <t>Incremento del numero de estudiantes de la escuela matriculados en semestre coterminal</t>
  </si>
  <si>
    <t>Tasa de crecimiento de matriculados al semestre cotreminal</t>
  </si>
  <si>
    <t xml:space="preserve">% De aumento de estudiantes de la Escuela en semestre coterminal </t>
  </si>
  <si>
    <t>Mejorar la visibilidad internacional de la institución mediante las actividades realizadas por el centro de emprendimiento</t>
  </si>
  <si>
    <t>Porcentaje de cumplimiento del plan de visibilidad internacional del centro de emprendimiento</t>
  </si>
  <si>
    <t>ESCUELA DE ARTES VISUALES Y DIGITALES</t>
  </si>
  <si>
    <t xml:space="preserve">Diseñar portafolio de programas multimodales en perspectiva intergeneracional </t>
  </si>
  <si>
    <t># Productos académicos diseñados (1)</t>
  </si>
  <si>
    <t>Numero de programas multimodales e intergeneracionales diseñados</t>
  </si>
  <si>
    <t>Diseñar un programa por Facultad que fortalezca la enseñanza y el aprendizaje integrando las nuevas tendencias tecnológicas (IA), con aplicación transversal a las demás Facultades</t>
  </si>
  <si>
    <t># programas para el fortalecimiento de la enseñanza aprendizaje (1)</t>
  </si>
  <si>
    <t>Formular e implementar el Plan de Permanencia Académica de las Facultades</t>
  </si>
  <si>
    <t>% de implementación del Plan de Permanencia de Escuela</t>
  </si>
  <si>
    <t>% Permenancia programas FIDI</t>
  </si>
  <si>
    <t>Implementar Reforma Curricular en todos los programas de las Facultades</t>
  </si>
  <si>
    <t># de programas con reforzamiento curricular de acuerdo con el cronograma definido por Vicerrectoría Académica 2026</t>
  </si>
  <si>
    <t>% de Programas con reforma curricular implementada</t>
  </si>
  <si>
    <t>ESCUELA DE CIENCIAS BÁSICAS</t>
  </si>
  <si>
    <t xml:space="preserve">Apoyar el diseño de un proyecto por facultad que fortalezca la enseñanza y el aprendizaje integrando las nuevas tendencias tecnológicas (IA), con aplicación transversal a las demás Facultades </t>
  </si>
  <si>
    <t>Porcentaje de aporte</t>
  </si>
  <si>
    <t>Formular e implementar plan de Permanencia Académica</t>
  </si>
  <si>
    <t xml:space="preserve">Porcentaje de implementación del Plan de Permanencia Académica </t>
  </si>
  <si>
    <t>Implementar la Reforma Curricular en todos los programas de la Escuela</t>
  </si>
  <si>
    <t>Número de programas con soportes de implementación de reforma curricular</t>
  </si>
  <si>
    <t>ESCUELA DE CONTABILIDAD INTERNACIONAL</t>
  </si>
  <si>
    <t>Diversificar los ingresos de la Escuela</t>
  </si>
  <si>
    <t xml:space="preserve">Implementar la oferta de propuestas académicas de alcance intergeneracional </t>
  </si>
  <si>
    <t>Implementar reforma curricular</t>
  </si>
  <si>
    <t>Cumplimiento del reto</t>
  </si>
  <si>
    <t>PERMANENCIA</t>
  </si>
  <si>
    <t xml:space="preserve">Reducción deserción por razones académicas </t>
  </si>
  <si>
    <t>Uso de la IA en el aula de clase</t>
  </si>
  <si>
    <t xml:space="preserve"># de actividades realizadas en el aula con el uso de la IA </t>
  </si>
  <si>
    <t>ESCUELA DE DERECHO</t>
  </si>
  <si>
    <t>Diseñar portafolio de programas multimodales intergeneracionales</t>
  </si>
  <si>
    <t># de productos académicos diseñados</t>
  </si>
  <si>
    <t>Diseñar un programa que fortalezca la enseñanza y el aprendizaje con integración de tendencias tecnológicas, transversal para facultades</t>
  </si>
  <si>
    <t># programas para el fortalecimiento de la enseñanza y el aprendizaje</t>
  </si>
  <si>
    <t>Formular e implementar al plan de permanencia académica FCSS</t>
  </si>
  <si>
    <t>No. De programas con reforzamiento curricular de acuerdo con el cronograma definido por vicerrectoría académica 2026</t>
  </si>
  <si>
    <t>ESCUELA DE DISEÑO</t>
  </si>
  <si>
    <t>Apoyar el diseño de un proyecto por facultad que fortalezca la enseñanza y el aprendizaje integrando las nuevas tendencias tecnológicas (IA), con aplicación transversal a las demás Facultades</t>
  </si>
  <si>
    <t>Creación documento de procedimientos de talleres y laboratorios FIDI</t>
  </si>
  <si>
    <t>Propuesta de documento con procedimientos</t>
  </si>
  <si>
    <t xml:space="preserve">Propuesta de programas multimodales en perspectiva intergeneracional </t>
  </si>
  <si>
    <t>Formular e Implementar el Plan de Permanencia Académica</t>
  </si>
  <si>
    <t>Porcentaje de implementación Formular e Implementar del Plan de Permanencia Académica</t>
  </si>
  <si>
    <t>Implementar la Reforma Curricular en todos los programas de las Facultades</t>
  </si>
  <si>
    <t>Número de programas de la Escuela con implementación de reforma</t>
  </si>
  <si>
    <t>ESCUELA DE EDUCACIÓN E INNOVACIÓN</t>
  </si>
  <si>
    <t>Comunidad de la Buena Docencia</t>
  </si>
  <si>
    <t xml:space="preserve">% Profesores que participaron en programas de formación/ Total de profesores con contrato a término indefinido y fijo. </t>
  </si>
  <si>
    <t>% de profesores (Contrato Indefinido- Fijo) impactados por el plan de desarrollo docente</t>
  </si>
  <si>
    <t xml:space="preserve">% Profesores que culminan el proceso de formación en inglés. </t>
  </si>
  <si>
    <t>% Docentes con clasificación de ingles en C1, C2, B1 o B2</t>
  </si>
  <si>
    <t>No. De productos académicos desarrollados (1)</t>
  </si>
  <si>
    <t># programas para el fortalecimiento de la enseñanza y el aprendizaje (1)</t>
  </si>
  <si>
    <t>Formular e implementar el Plan de Permanencia Académica FSCC</t>
  </si>
  <si>
    <t>%de implementación del Plan de Permanencia de Escuela</t>
  </si>
  <si>
    <t xml:space="preserve">Implementar Reforma Curricular en todos los programas de las Facultades </t>
  </si>
  <si>
    <t># de programas son reforzamiento curricular de acuerdo con el cronograma definido por Vicerrectoría Académica 2026</t>
  </si>
  <si>
    <t>ESCUELA DE MARKETING Y BRANDING</t>
  </si>
  <si>
    <t>Diseñar portafolio de programas multimodales en perspectiva intergeneracional (Línea de Calidad e Innovación)</t>
  </si>
  <si>
    <t># De productos académicos diseñados. (1)</t>
  </si>
  <si>
    <t>Diseñar un programa por Facultad que fortalezca la enseñanza y el aprendizaje integrando las nuevas tendencias tecnológicas (IA), con aplicación transversal a las demás Facultades (Línea de Calidad e Innovación)</t>
  </si>
  <si>
    <t>Formular e implementar el Plan de Permanencia Académica de las Facultades (Línea Expansión)- Sugerimos trabajar sobre asociarla a Experiencia.</t>
  </si>
  <si>
    <t>Implementar Reforma Curricular en todos los programas de las Facultades (Experiencia)</t>
  </si>
  <si>
    <t>ESCUELA DE NEGOCIOS Y DESARROLLO INTERNACIONAL</t>
  </si>
  <si>
    <t xml:space="preserve"> INGRESOS POR OTROS CONCEPTOS: Ampliación del portafolio de productos académicos y de servicios de la escuela.</t>
  </si>
  <si>
    <t>Ampliación del portafolio de productos académicos mediante microcertificaciones, promoción de coterminales y generación de estrategias de endomarketing.</t>
  </si>
  <si>
    <t>Ingresos generados por educación continua
Ingresos por endomarketing</t>
  </si>
  <si>
    <t xml:space="preserve"> TRANSFORMACIÓN ACADÉMICA: Fortalecer las competencias en Inteligencia Artificial (IA) de docentes y estudiantes.</t>
  </si>
  <si>
    <t>Porcentaje de docentes y estudiantes formados en Inteligencia Artificial (IA) respecto al total de la Escuela.</t>
  </si>
  <si>
    <t>Número de programas académicos donde el programa propuesto ha sido aplicado</t>
  </si>
  <si>
    <t>DECRECIMIENTO: Uso de alertas académicas tempranas (manos levantadas) para la mitigación de la deserción, en articulación con Permanencia y Experiencia Estudiantil.</t>
  </si>
  <si>
    <t xml:space="preserve"> Estrategias implementadas para la retención y crecimiento de los programas Pareto o críticos de la Escuela </t>
  </si>
  <si>
    <t xml:space="preserve">INVESTIGACIÓN: Consolidación de la práctica investigativa del grupo de investigación Economía, Negocios y  Desarrollo Internacional categorizado en A en convocatoria de MinCiencias en 2025 </t>
  </si>
  <si>
    <t># de estudiantes participantes en práctica investigativa del grupo de investigación</t>
  </si>
  <si>
    <t xml:space="preserve">PERMANENCIA: Controlar las variables académicas asociadas a permanencia de la escuela </t>
  </si>
  <si>
    <t>Implementación de estrategias de gestión académica y acompañamiento docente orientadas a la permanencia y calidad del programa.</t>
  </si>
  <si>
    <t>PROPUESTAS DE CREACIÓN, RENOVACIÓN DE PROGRAMAS Y ACREDITACIÓN: presentación de propuestas para la creación de nuevos programas, así como  la renovación y acreditación de programas indicados por el departamento de calidad que cumplan con los requisitos del MEN.</t>
  </si>
  <si>
    <t>Elaboración y renovación de documentos de calidad de los programas priorizados</t>
  </si>
  <si>
    <t>VISIBILIDAD NACIONAL E INTERNACIONAL: Fortalecer la visibilidad nacional e internacional a través de eventos académicos de alto impacto, misiones académicas, convenios estratégicos, visitas locales, asesorías y free press</t>
  </si>
  <si>
    <t>Acciones de visibilidad nacional e internacional implementadas por la Escuela</t>
  </si>
  <si>
    <t xml:space="preserve"># Estudiantes de la escuela que participan en actividades de visibilidad nacional e internacional </t>
  </si>
  <si>
    <t>ESCUELA DE OPTIMIZACIÓN, INFRAESTRUCTURA Y AUTOM</t>
  </si>
  <si>
    <t>Apoyar el diseño de  un proyecto por Facultad que fortalezca la enseñanza y el aprendizaje integrando las nuevas tendencias tecnológicas (IA), con aplicación transversal a las demás Facultades</t>
  </si>
  <si>
    <t xml:space="preserve">Número de programas académicos donde el programa propuesto ha sido aplicado </t>
  </si>
  <si>
    <t>Diseñar portafolio de programas multimodales en perspectiva Intergeneracional</t>
  </si>
  <si>
    <t>Portafolio de programas multimodales intergeneracionales diseñado y aprobado</t>
  </si>
  <si>
    <t>Formular e Implementar el Plan de Permanencia de Académica</t>
  </si>
  <si>
    <t>Porcentaje de Implementación del Plan de Permanencia</t>
  </si>
  <si>
    <t>Implementar la reforma curricular en los programas de la Escuela de acuerdo con el cronograma institucional</t>
  </si>
  <si>
    <t>Nro de programas con soporte de implementación de reforma curricular</t>
  </si>
  <si>
    <t>ESCUELA DE PSICOLOGIA Y TH</t>
  </si>
  <si>
    <t>1 producto académico diseñado</t>
  </si>
  <si>
    <t xml:space="preserve">Diseñar un programa por Facultad que fortalezca la enseñanza y el aprendizaje integrando las nuevas tendencias tecnológicas (IA), con aplicación transversal a las demás Facultades </t>
  </si>
  <si>
    <t xml:space="preserve">Formular e implementar el Plan de Permanencia Académica de las Facultades </t>
  </si>
  <si>
    <t xml:space="preserve">100% de implementación del plan de Permanencia de Escuela </t>
  </si>
  <si>
    <t>No. De programas con reforzamiento curricular, de acuerdo con cronograma definido por Vicerrectoria Académica 2026</t>
  </si>
  <si>
    <t>Programa del bienestar emocional y la salud mental en las Regiones de Colombia</t>
  </si>
  <si>
    <t xml:space="preserve">Implementación del proyecto de acuerdo al plan y alcance establecido. </t>
  </si>
  <si>
    <t># Participantes en el programas de bienestar y salud emocional en las regiones</t>
  </si>
  <si>
    <t>ESCUELA TIC</t>
  </si>
  <si>
    <t>Apoyar el diseño de un proyecto por Facultad que fortalezca la enseñanza y el aprendizaje integrando las nuevas tendencias tecnológicas (IA)</t>
  </si>
  <si>
    <t>Porcentaje de implementación del Plan de Permanencia Académica</t>
  </si>
  <si>
    <t>FIDI</t>
  </si>
  <si>
    <t>Número de productos (4)</t>
  </si>
  <si>
    <t>Diseñar un programa por FIDI que fortalezca la enseñanza y el aprendizaje integrando las nuevas tendencias tecnológicas (IA), con aplicación transversal a las demás Facultades</t>
  </si>
  <si>
    <t>Formular e Implementar el Plan de Permanencia Académica de la FIDI</t>
  </si>
  <si>
    <t>Porcentaje de implementación del plan de permanencia FIDI (80%)</t>
  </si>
  <si>
    <t>Implementar la Reforma Curricular en los programas de la FIDI según el cronograma establecido</t>
  </si>
  <si>
    <t>Porcentaje de cumplimiento del plan de implementación de la reforma</t>
  </si>
  <si>
    <t>FIDI-CIENCIAS BÁSICAS MED</t>
  </si>
  <si>
    <t>Club de  matemática</t>
  </si>
  <si>
    <t xml:space="preserve">Listado de Asistencia y percepción </t>
  </si>
  <si>
    <t xml:space="preserve">Nivelatorio matemática </t>
  </si>
  <si>
    <t>Aumento del desempeño en el post test</t>
  </si>
  <si>
    <t>Aprobación del 5% adicional con los quices de recuperación</t>
  </si>
  <si>
    <t>FIDI-DISEÑO-DISEÑO GRAFICO</t>
  </si>
  <si>
    <t># de propuestas desarrolladas</t>
  </si>
  <si>
    <t>Diseñar una propuesta por Facultad que fortalezca la enseñanza y el aprendizaje integrando las nuevas tendencias tecnológicas (IA), con aplicación transversal a las demás Facultades (Línea de Calidad e Innovación Educativa)</t>
  </si>
  <si>
    <t>% avance en la formulación del documento</t>
  </si>
  <si>
    <t># de herramientas aplicadas</t>
  </si>
  <si>
    <t>% avance en la implementación del nuevo plan</t>
  </si>
  <si>
    <t>FIDI-OPINA-INGENIERIA INDUSTRIAL</t>
  </si>
  <si>
    <t>1.	Diseñar un programa por Facultad que fortalezca la enseñanza y el aprendizaje integrando las nuevas tendencias tecnológicas (IA), con aplicación transversal a las demás Facultades (Línea de Calidad e Innovación Educativa)</t>
  </si>
  <si>
    <t>2.	Formular e Implementar el Plan de Permanencia Académica de las Facultades (Línea de Expansión)</t>
  </si>
  <si>
    <t>Diseñar portafolio de programas y certificaciones multimodales en perspectiva Intergeneracional (Línea de Calidad e Innovación Educativa)</t>
  </si>
  <si>
    <t>FIDI-TIC -INGENIERIA DE SISTEMAS</t>
  </si>
  <si>
    <t>Apoyar el diseño por facultad de un proyecto que fortalezca la experiencia institucional</t>
  </si>
  <si>
    <t>Diseñar portafolio de programas multimodales en función de la Escuela TIC Medellín</t>
  </si>
  <si>
    <t xml:space="preserve">Formular e Implementar el plan de Permanencia Académica </t>
  </si>
  <si>
    <t xml:space="preserve">Porcentaje de Implementación del  Plan de Permanencia </t>
  </si>
  <si>
    <t>Número de programas con soportes  de implementación de reforma curricular</t>
  </si>
  <si>
    <t>FNGS</t>
  </si>
  <si>
    <t>: Implementar Reforma Curricular en todos los programas de las Facultades, Ciclo 2</t>
  </si>
  <si>
    <t xml:space="preserve">No. De programas con reforzamiento curricular. </t>
  </si>
  <si>
    <t>No. De productos académicos desarrollados</t>
  </si>
  <si>
    <t>Reducción del % de perdida en las asignaturas/módulos en grupos con punto de equilibrio en comparación con el año 2025 (Reporte BI).</t>
  </si>
  <si>
    <t>FNGS-ADMON Y COMP- ADM DE EMPRESAS</t>
  </si>
  <si>
    <t xml:space="preserve">CONCURSO DE VALORES POLI - </t>
  </si>
  <si>
    <t>NÚEMRO DE CONCURSOS REALIZADOS</t>
  </si>
  <si>
    <t># De participantes en el concurso Valores POLI</t>
  </si>
  <si>
    <t>CREACIÓN PROGRAMA NUEVO (INTERGENERACIONAL) TECNOLOGÍA</t>
  </si>
  <si>
    <t>NÚMERO DE PROPUESTAS HECHAS Y PRESENTADAS</t>
  </si>
  <si>
    <t>FOMENTO A NUEVAS MATRICULAS</t>
  </si>
  <si>
    <t>NÚMERO DE EVENTOS REALIZADOS</t>
  </si>
  <si>
    <t>INGRESOS POR OTROS CONCEPTOS - ENDOMARKETING</t>
  </si>
  <si>
    <t>NÚMERO DE ESTUDIANTES MATRICULADOS</t>
  </si>
  <si>
    <t>Ingresos por venta de servicios de formación/ capacitación. Portafolio y consultoría estratégica</t>
  </si>
  <si>
    <t>NÚMERO DE PROPUESTAS PRESENTADAS</t>
  </si>
  <si>
    <t xml:space="preserve">Integración de la IA en los procesos académicos </t>
  </si>
  <si>
    <t>NÚMERO DE PROCESOS CON INCORPORACIÓN DE IA</t>
  </si>
  <si>
    <t>INTERNACIONALIZACIÓN CENTRO DE LIDERAZGO</t>
  </si>
  <si>
    <t>NUMERO DE EVENTOS REALIZADOS</t>
  </si>
  <si>
    <t>MOVILIDAD ACADEMICA DOCENTE Y ESTUDIANTIL</t>
  </si>
  <si>
    <t>NUMERO DE PARTICIPACIONES REALIZADAS</t>
  </si>
  <si>
    <t>Numero de paricipación de docentes y estudiantes en actividades de movilidad internacional</t>
  </si>
  <si>
    <t>PARTICIPACION EN SEMILLEROS DE INVESTIGACIÓN</t>
  </si>
  <si>
    <t># de participaciones en eventos de semilleros de investigación</t>
  </si>
  <si>
    <t xml:space="preserve">PROYECCION SOCIAL EMPRESARIOS </t>
  </si>
  <si>
    <t>PUBLICACIÓN ARTÍCULO</t>
  </si>
  <si>
    <t>NÚMERO DE PUBLICACIONES REALIZADAS</t>
  </si>
  <si>
    <t># Publicaciones realizadas</t>
  </si>
  <si>
    <t>REDUCCIÓN DE LA DECERSIÓN ESTUDIANTIL</t>
  </si>
  <si>
    <t>% ESTIMADO VS % REAL</t>
  </si>
  <si>
    <t>REDUCCIÓN PORCENTAJE ESTUDIANTES REPROBADOS</t>
  </si>
  <si>
    <t>% ESTIMADO VS PORCENTAJE REAL</t>
  </si>
  <si>
    <t>REFORZAMIENTO CURRICULAR</t>
  </si>
  <si>
    <t>NÚMERO DE DOCUMENTOS PRESENTADOS</t>
  </si>
  <si>
    <t>FNGS-CONTABILIDAD Y FINANZAS</t>
  </si>
  <si>
    <t>IA PARA FORTALECER ENSEÑANZA APRENDIZAJE</t>
  </si>
  <si>
    <t>Número de actividades con IA en el aula</t>
  </si>
  <si>
    <t xml:space="preserve">Reducccion en la descercion </t>
  </si>
  <si>
    <t>FNGS-ESCUELA DE NEGOCIOS Y DESARROLLO INTERNACIONAL</t>
  </si>
  <si>
    <t xml:space="preserve"> INVESTIGACIÓN: Consolidación de la práctica investigativa del programa</t>
  </si>
  <si>
    <t>Número de productos, proyectos y estrategias de fortalecimiento investigativo implementadas</t>
  </si>
  <si>
    <t xml:space="preserve">CALIDAD: trabajar en los procesos académicos necesarios para la renovación del Registro Calificado del programa ante el MEN </t>
  </si>
  <si>
    <t>trabajar en los procesos académicos necesarios para la renovación del Registro Calificado del programa ante el MEN</t>
  </si>
  <si>
    <t>DECRECIMIENTO:  Uso de alertas académicas tempranas (manos levantadas) para la mitigación de la deserción, en articulación con Permanencia y Experiencia Estudiantil.</t>
  </si>
  <si>
    <t>Número de estrategias implementadas para la retención y crecimiento del programa</t>
  </si>
  <si>
    <t>DIVERSIFICACIÓN ACADÉMICA Diseño y estructuración de propuesta  de  nuevo programa académico para el fortalecimiento y diversificación de la oferta académica.</t>
  </si>
  <si>
    <t>Porcentaje de avance en la estructuración y presentación del programa académico de Aerolíneas ante las instancias institucionales y regulatorias.</t>
  </si>
  <si>
    <t>ENDOMARKETING  Ingreso(s) por otro(s) concepto(s): Ampliación de portafolio de productos académicos para la generación de ingresos adicionales</t>
  </si>
  <si>
    <t xml:space="preserve">Recursos externos gestionados </t>
  </si>
  <si>
    <t>PERMANENCIA: Controlar las variables académicas asociadas a permanencia  en el programa</t>
  </si>
  <si>
    <t>Seguimiento a momentos de evaluación para intervención temprana.</t>
  </si>
  <si>
    <t>PRUEBA</t>
  </si>
  <si>
    <t>TRANSFORMACIÓN ACADÉMICA (CALIDAD) Fortalecer las competencias en Inteligencia Artificial (IA) de docentes y estudiantes.</t>
  </si>
  <si>
    <t>VISIBILIDAD NACIONAL E INTERNACIONAL a través de misiones académicas, convenios estratégicos, visitas locales, asesorías y free press</t>
  </si>
  <si>
    <t xml:space="preserve">Número de acciones de visibilidad nacional e internacional implementadas por el programa </t>
  </si>
  <si>
    <t>FSCC</t>
  </si>
  <si>
    <t># Productos académicos diseñados (5)</t>
  </si>
  <si>
    <t>Diseñar un programa que fortalezca la enseñanza y el aprendizaje con integración de tendencias tecnológicas. Transversal para Facultades</t>
  </si>
  <si>
    <t># programas para fortalecimiento enseñanza aprendizaje (5)</t>
  </si>
  <si>
    <t>Formular e implementar Plan de Permanencia Académica FCSS</t>
  </si>
  <si>
    <t>% de implementación del Plan de Permanencia FSCC</t>
  </si>
  <si>
    <t>% Permenancia programas FSCC</t>
  </si>
  <si>
    <t>Implementar Reforma Curricular en todos los programas de la FSCC</t>
  </si>
  <si>
    <t>FSCC- DERECHO Y GOBIERNO-DERECHO</t>
  </si>
  <si>
    <t>No. De productos académicos desarrollados.</t>
  </si>
  <si>
    <t>Formular e implementar el Plan de Permanencia Académica de las Facultades.</t>
  </si>
  <si>
    <t>Fortalecimiento de la pedagogía constitucional como estrategia para impulso y conocimiento del programa de la Sede en el sector externo.</t>
  </si>
  <si>
    <t># de charlas dictadas en el sector externo</t>
  </si>
  <si>
    <t>Implementar Reforma Curricular en todos los programas de las Facultades.</t>
  </si>
  <si>
    <t>No, de programas con fortalecimiento curricular</t>
  </si>
  <si>
    <t>FSCC- ES COM Y ARTES - COMUNICACIÓN DIGITAL</t>
  </si>
  <si>
    <t># De productos académicos desarrollados (1)</t>
  </si>
  <si>
    <t>% de implementación del Plan de Permanencia de la Escuela</t>
  </si>
  <si>
    <t># de programas con reforzamiento curricular de acuerdo con el cronograma definido con Vicerrectoría Académica 2026</t>
  </si>
  <si>
    <t>FSCC- ESCUELA DE EDUCACION E INNO-POSG</t>
  </si>
  <si>
    <t>Formular e implementar el Plan de Permanencia Académica EEI</t>
  </si>
  <si>
    <t>FSCC-ESCUELA DE EDUCACION E INNO-MED</t>
  </si>
  <si>
    <t>FSCC-ESCUELA DE PSICOLOGIA Y TH</t>
  </si>
  <si>
    <t># programas para fortalecimiento enseñanza aprendizaje (1)</t>
  </si>
  <si>
    <t>Gestionar acreditación en alta calidad del programa de psicología Medellín</t>
  </si>
  <si>
    <t xml:space="preserve">Documentación creada y aprobada por áreas correspondientes  </t>
  </si>
  <si>
    <t>FSCC-MARKETING MED</t>
  </si>
  <si>
    <t># de productos académicos desarrollados</t>
  </si>
  <si>
    <t xml:space="preserve"># de programas con reforzamiento curricular. </t>
  </si>
  <si>
    <t>GERENCIA DE MATRICULAS</t>
  </si>
  <si>
    <t>Expansion internacional</t>
  </si>
  <si>
    <t xml:space="preserve">Participar en 3 ferias internacionales y generar mínimo 1 convenio por feria </t>
  </si>
  <si>
    <t>Participación en ferias internacionales
Numero de convenios creados por feria</t>
  </si>
  <si>
    <t>Ferias: 3
Convenios: 1</t>
  </si>
  <si>
    <t>GERENCIA DE MERCADEO</t>
  </si>
  <si>
    <t>Número de mercados internacionales definidos</t>
  </si>
  <si>
    <t>Numero de programas priorizados en el piloto</t>
  </si>
  <si>
    <t>Número de productos de educación continuada intergeneracionales propuestos</t>
  </si>
  <si>
    <t>Ingresos educación para la vida Linea B2B y B2C</t>
  </si>
  <si>
    <t>Ingresos por modalidad de pago bonos</t>
  </si>
  <si>
    <t>Linea base</t>
  </si>
  <si>
    <t xml:space="preserve">Optimización SEO/AEO Captación </t>
  </si>
  <si>
    <t>Incrementar la participación de captación de leads orgánica</t>
  </si>
  <si>
    <t>Total leads canal de captación diigital</t>
  </si>
  <si>
    <t>% de crecimiento de Policorresponsales en municipios</t>
  </si>
  <si>
    <t>GERENCIA DE OPERACIONES</t>
  </si>
  <si>
    <t xml:space="preserve"> Desarrollo e implementación de  SOPHIA (Sistema de Optimización y Programación Horaria Institucional Académica) . II Fase</t>
  </si>
  <si>
    <t xml:space="preserve"> Estructuración e implementación de la estrategia reforma curricular </t>
  </si>
  <si>
    <t>(# de programas en Operación / # de programas proyectados) *80%</t>
  </si>
  <si>
    <t># estudiantes que realizan autogestión titulación / Total estudiantes inscritos a grados</t>
  </si>
  <si>
    <t>Gestión inteligente de contenidos programáticos</t>
  </si>
  <si>
    <t> (# de aulas máster en Operación / # de programas proyectados) *70% y  (# de bancos de preguntas en Operación / # de programas proyectados) *70%</t>
  </si>
  <si>
    <t>GERENCIA DE PLANEACIÓN (AUDITORIA)</t>
  </si>
  <si>
    <t>Consolidación del Sistema de Control Interno</t>
  </si>
  <si>
    <t>GERENCIA DE PLANEACIÓN (DIRECCIONAMIENTO ESTRATÉGICO)</t>
  </si>
  <si>
    <t>Construcción y Despliegue PDI 2026-2030</t>
  </si>
  <si>
    <t>Cumplimiento plan de acción</t>
  </si>
  <si>
    <t>Estructuración del modelo de gestión del cambio institucional</t>
  </si>
  <si>
    <t>Metodología institucional del cambio implementada</t>
  </si>
  <si>
    <t>Optimización del proceso de Gestión de Proyectos mediante la aplicación de IA</t>
  </si>
  <si>
    <t>% Proyectos Migrados a la nueva plataforma</t>
  </si>
  <si>
    <t>GERENCIA DE PLANEACIÓN (SGA)</t>
  </si>
  <si>
    <t>Consolidar las bases institucionales que permitan integrar el enfoque de desarrollo sostenible como eje estratégico de la gestión, articulando de manera progresiva la sostenibilidad ambiental, social y económica de la institución en el corto, mediano y largo plazo.</t>
  </si>
  <si>
    <t>Cumplimiento del plan de trabajo</t>
  </si>
  <si>
    <t xml:space="preserve">El Poli en Ruta a la Carbono Neutralidad: Fortalecer el compromiso institucional con la protección del ambiente y la mitigación del cambio climático mediante las certificaciones del inventario de GEI y carbono neutro.					 					 					 					 					 					 					</t>
  </si>
  <si>
    <t>GERENCIA DE PLANEACIÓN (SGC)</t>
  </si>
  <si>
    <t>Herramientas para el mejoramiento continuo</t>
  </si>
  <si>
    <t xml:space="preserve">ID 485 Oportunidad en el cierre de las acciones de mejora Meta: 80% Línea Base: 72% -Eficacia de las acciones de mejora cerradas Meta: 100% Línea Base: </t>
  </si>
  <si>
    <t>Nivel de madurez e innovación de procesos Institucionales</t>
  </si>
  <si>
    <t>GERENCIA DE PLANEACIÓN Y GESTIÓN INSTITUCIONAL</t>
  </si>
  <si>
    <t>GERENCIA DE SERVICIO Y PERMANENCIA</t>
  </si>
  <si>
    <t>Permanencia posgrado virtual</t>
  </si>
  <si>
    <t>Total estudiantes antiguos</t>
  </si>
  <si>
    <t>GERENCIA DE SERVICIOS CORPORATIVOS</t>
  </si>
  <si>
    <t>Crecimiento B2G</t>
  </si>
  <si>
    <t>5 empresas más este año</t>
  </si>
  <si>
    <t>Ingresos educación para la vida Linea B2G</t>
  </si>
  <si>
    <t>GERENCIA DE TALENTO HUMANO</t>
  </si>
  <si>
    <t>ADN POLI-FASE II</t>
  </si>
  <si>
    <t>Modelo Predictivo para Planificación de la Planta</t>
  </si>
  <si>
    <t>cargos evaluados/ cargos totales</t>
  </si>
  <si>
    <t>GERENCIA DE TI</t>
  </si>
  <si>
    <t>100% de  aplicaciones de servidores críticos (15 aplicaciones 3 servidores).</t>
  </si>
  <si>
    <t>JEFATURA DE INGENIERIA DE DATOS</t>
  </si>
  <si>
    <t>JEFATURA DE PRÁCTICAS</t>
  </si>
  <si>
    <t>Estructuración del Centro de Prácticas institucional</t>
  </si>
  <si>
    <t>Cumplimiento paquetes de trabajo asociados al cronograma del proyecto</t>
  </si>
  <si>
    <t>Nivel de satisfacción del proceso de practicas</t>
  </si>
  <si>
    <t>JEFATURA DE SEGURIDAD Y SALUD EN EL TRABAJO</t>
  </si>
  <si>
    <t>Establecer una alianza sólida entre el SG – SST y la academia</t>
  </si>
  <si>
    <t>Actividades ejecutadas / actividades programadas</t>
  </si>
  <si>
    <t>% Participación de docentes en actividades de SGSST</t>
  </si>
  <si>
    <t>JEFE DE SERVICIO</t>
  </si>
  <si>
    <t>Eficiencia Operativa</t>
  </si>
  <si>
    <t>Eficiencia en la atención</t>
  </si>
  <si>
    <t>Resolución y Calidad</t>
  </si>
  <si>
    <t>CALIDAD</t>
  </si>
  <si>
    <t>Scoring funnel de rematrícula Medellín</t>
  </si>
  <si>
    <t>Total estudiantes antiguos Medellín</t>
  </si>
  <si>
    <t>SECRETARIA ACADÉMICA</t>
  </si>
  <si>
    <t>Certificación Bolsa de Empleo Institucional</t>
  </si>
  <si>
    <t>Certificación de la Bolsa de Empleo</t>
  </si>
  <si>
    <t>Diseño e Implementación del Modelo de Gestión de la Docencia</t>
  </si>
  <si>
    <t>Número de profesores acompañados en su gestión Docente</t>
  </si>
  <si>
    <t>% de profesores acompañados en su gestión Docente</t>
  </si>
  <si>
    <t>Relación estudiante por profesor</t>
  </si>
  <si>
    <t>Relación Estudiantes por Docente TCE</t>
  </si>
  <si>
    <t>SECRETARIA GENERAL</t>
  </si>
  <si>
    <t>Automatización Procedimiento Disciplinario</t>
  </si>
  <si>
    <t>Automatización proceso contractual</t>
  </si>
  <si>
    <t>Automatización proceso Jefatura Regulación - Biblioteca analisis IA</t>
  </si>
  <si>
    <t>Disminución de $4.000 Millones en la base de novedades - Contingencias en Seguridad Social</t>
  </si>
  <si>
    <t>Implementación Asistente IA procesos jurídicos y de PQRs</t>
  </si>
  <si>
    <t>MERCADEO, ADMISIONES  Y MATRÍCULA</t>
  </si>
  <si>
    <t>Propuesta</t>
  </si>
  <si>
    <t>Si</t>
  </si>
  <si>
    <t>No</t>
  </si>
  <si>
    <t>Propuesta Indicador</t>
  </si>
  <si>
    <t>Objetivo</t>
  </si>
  <si>
    <t>Alcance</t>
  </si>
  <si>
    <t>Actividades</t>
  </si>
  <si>
    <t>Salidas</t>
  </si>
  <si>
    <t>Tipo de Proceso</t>
  </si>
  <si>
    <t>Indicadores actuales</t>
  </si>
  <si>
    <t>Indicadores propuestos</t>
  </si>
  <si>
    <t>Indicadores a eliminar</t>
  </si>
  <si>
    <t>Analisis de SGC (Objetivo)</t>
  </si>
  <si>
    <t>Alineación de objetivos con indicadores actuales</t>
  </si>
  <si>
    <t>Alineación de objetivos con indicadores propuestos</t>
  </si>
  <si>
    <t>Propuesta SGC (Objetivo)</t>
  </si>
  <si>
    <t>Propuesta SGC (Indicadores)</t>
  </si>
  <si>
    <t>Estado de la propuesta de objetivo</t>
  </si>
  <si>
    <t>Estado de la propuesta de indicadores</t>
  </si>
  <si>
    <t>Garantizar la gestión integral de la docencia en el POLI, de los diferentes niveles de formación y modalidades.</t>
  </si>
  <si>
    <t>Inicia con proyección de la programación académica y finaliza con la planeación, definición de planes de mejoramiento y ejecución presupuestal de gestión docente, aplica para los niveles de pregrado y posgrado de sus diferentes modalidades del Poli.</t>
  </si>
  <si>
    <t xml:space="preserve">
Realizar la planeación operativa del proceso
Realizar el presupuesto nomina docente
Realizar proyección de la programación académica virtual (pregrado - posgrado)
Realizar la proyección de necesidades de contratación docente. (Pregrado presencial).
Asignar docencia directa
Labor Docente
Gestionar el desarrollo de Evaluación integral de Desempeño Docente 360°
Generar nómina Docente
</t>
  </si>
  <si>
    <t>1. Planes operativos, cronogramas
2. Propuesta de Presupuesto del proceso
1. Numero de plazas con tipo de contrato.
2. Propuesta presupuesto nomina docente catedra.
1. Informe de proyección cohortes.
1. Planeación Docente
2. Necesidad de contratación docente (Si aplica).
1. Registro de docentes asignados en el sistema de información académico.
2. Notificación de asignación de módulo.
3. Migración de datos de Banner a Canvas.
1. Resultados individuales
2. Registros de Evaluación institucional
3, Identificación de oportunidades de mejora para la cualificación docente
1. Acta individual labor docente
2. Informe labor docente 
3. Cuadros maestros para procesos de registros calificados y acreditación de alta calidad.
4. Informes SNIES
1. Informe Hora de recargo nocturno (Planta - Catedra)
2. Informe plano (Planta - Catedra)</t>
  </si>
  <si>
    <t>276 - Relación Estudiante-Docente Tiempo completo
277 - Relación estudiante docente Tiempo Completo Equivalente
278 - Docentes contratados - Metrica
282 - Docentes evaluados
283 - Resultado evaluación docente
285 - Docentes con plan de trabajo asignado
286 - Total docentes por nivel de estudios
287 - N° docentes escalafonados
288 - Número docentes escalafonados presentados en convocatoria</t>
  </si>
  <si>
    <r>
      <rPr>
        <b/>
        <sz val="11"/>
        <color rgb="FFFF0000"/>
        <rFont val="Aptos Narrow"/>
        <family val="2"/>
        <scheme val="minor"/>
      </rPr>
      <t>531 - Relación Estudiante-Docente Tiempo completo   (Población AAC/Institucional - Bogotá Virtual)
826 - Relación estudiante docente Tiempo Completo Equivalente (Población AAC/Institucional - Bogotá Virtual)</t>
    </r>
    <r>
      <rPr>
        <sz val="11"/>
        <color theme="1"/>
        <rFont val="Aptos Narrow"/>
        <family val="2"/>
        <scheme val="minor"/>
      </rPr>
      <t xml:space="preserve">
825 - Docentes contratados  (Población AAC/Institucional - Bogotá Virtual)
824 - Docentes con plan de trabajo asignado (Población AAC/Institucional - Bogotá Virtual)
823 - Total docentes por nivel de estudios (Población AAC/Institucional - Bogotá Virtual)</t>
    </r>
  </si>
  <si>
    <t xml:space="preserve">El objetivo actual es muy genérico, no permite identificar las actividades de ejecución, seguimiento y control que se realizan desde su caracterización. </t>
  </si>
  <si>
    <t>Se ve una relación entre el objetivo y actividades del proceso con los indicadores vigentes. Sin embargo, por lineamientos institucionales y el modelo de experiencia tendría pendiente el establecimiento un indicador que mida la percepción de los usuarios.</t>
  </si>
  <si>
    <t xml:space="preserve">Se asume, que son indicadores detallados por la autoevaluación Institucional, sede Bogotá, no hay comentarios. </t>
  </si>
  <si>
    <t>Gestionar las actividades relacionadas con la vinculación, asignación, seguimiento y evaluación  docente garantizando la cobertura, calidad académica y eficiencia de la planta docente Institucional</t>
  </si>
  <si>
    <r>
      <t xml:space="preserve">Nivel de satisfacción y experiencia docente con el proceso de gestión docente.
</t>
    </r>
    <r>
      <rPr>
        <b/>
        <sz val="11"/>
        <color theme="1"/>
        <rFont val="Aptos Narrow"/>
        <family val="2"/>
        <scheme val="minor"/>
      </rPr>
      <t>Propuesta: Despliegue de indicadores por sede</t>
    </r>
  </si>
  <si>
    <t>GESTIÓN DE GRADUADOS</t>
  </si>
  <si>
    <t>Asegurar el servicio integral a la comunidad de graduados y estudiantes en pro de incentivar y fortalecer el sentido de pertenencia en el mediano y largo plazo, a través de la
vinculación con acciones que aportan al desarrollo institucional y que permiten la construcción de estrategias de cooperación permanente y beneficio mutuo para los graduados.</t>
  </si>
  <si>
    <t>Inicia desde la planificación de acciones, acompañamiento, capacitación, bienestar, responsabilidad social y seguimiento al graduado Poli y finaliza con la implementación de
acciones correctivas y de mejora.</t>
  </si>
  <si>
    <t>Realizar la planeación operativa del
proceso
Realizar acompañamiento a los estudiantes y graduados para el fortalecimiento de competencias y habilidades en el proceso de búsqueda de empleo, así como el acercamiento con el sector externo.
Desarrollar espacios de capacitación enfocados en el fortalecimiento de conocimientos del graduado en su profesión.
Gestionar el bienestar de los graduados y el fortalecimiento del sentido de pertenencia.
Desarrollar acciones para la aplicación
de instrumentos de seguimiento al
graduado.
Incentivar a la responsabilidad social
del graduado.</t>
  </si>
  <si>
    <t>1. Planes operativos, cronogramas
2. Propuesta de Presupuesto del proceso
1. Informe de asesorías de empleabilidad, charlas y ferias laborales.
2. Listado de asistencia a los diferentes espacios.
3. Campañas de divulgación del Centro de Orientación Laboral.
4. Resolución de autorización por parte del Servicio Público de Empleo.
1. Listados de asistencia.
2. Memorias de la capacitación.
3. Divulgación del evento de formación
1. Minuta de alianza.
2. Listados de asistencia.
3. Memorias de los eventos.
4. Informe de comunicaciones.
1. Informe de seguimiento al graduado.
2. Divulgación de la campaña.
3. Informe de comunicaciones.
1. Ingreso de donaciones.
2. Informe de comunicación.</t>
  </si>
  <si>
    <t>541 - Participación de graduados en actividades de empleabilidad y relacionamiento
546 - Tasa de participación de graduados en instrumentos de seguimiento (M0, M1, M5)
542 - Tasa de cotización del graduado - Metrica
547 - Nivel de satisfacción del graduado con la institución - Metrica</t>
  </si>
  <si>
    <t>328 - Nivel de encuestas obtenidas en el encuentro institucional de graduados
329 - Participación de graduados en actividades de empleabilidad y relacionamiento
330 - Espacios de apropiación de la política de graduados 
331 - Nivel de empleabilidad del graduado</t>
  </si>
  <si>
    <t xml:space="preserve">El objetivo actual, tiene el verbo de asegurar la prestación de servicios. Cuando el propósito inicial de este proceso es el fortalecimiento del vinculo del graduado con la Institución, el cual se desarrolla con todas las estrategias que  hoy en día se ejecutan. </t>
  </si>
  <si>
    <t xml:space="preserve">Se ver una relación con sentido de pertencencia con metricas relacionadas a participación en actividades y nivel de satisfacción. </t>
  </si>
  <si>
    <t>Fortalecer el sentido de pertenencia en el mediano y largo plazo, a través de la vinculación con acciones que aportan al desarrollo institucional y que permiten la construcción de estrategias de cooperación permanente y beneficio mutuo para los graduados</t>
  </si>
  <si>
    <t>no aplica</t>
  </si>
  <si>
    <t>PRÁCTICAS</t>
  </si>
  <si>
    <t>Determinar los lineamientos institucionales frente al desarrollo de la etapa de práctica, en coherencia con el marco jurídico colombiano y los criterios internos del Politécnico Grancolombiano, de acuerdo con cada programa académico y la respectiva formalización a los escenarios que permitan su desarrollo</t>
  </si>
  <si>
    <t>Determinar los lineamientos institucionales frente al desarrollo de la etapa de práctica, en coherencia con el marco jurídico colombiano y los criterios internos del Politécnico
Grancolombiano, de acuerdo con cada programa académico y la respectiva formalización a los escenarios que permitan su desarrollo</t>
  </si>
  <si>
    <t>Realizar la planeación operativa del proceso
Articular todas las relaciones de Prácticas (Institución - Escenario de práctica - Estudiante)
Vigilar la realización de la práctica por parte del estudiante.</t>
  </si>
  <si>
    <t>1. Planes operativos, cronogramas
2. Propuesta de Presupuesto del proceso
1. Reporte de estudiantes legalizados.
2. Contratos de aprendizaje, Vinculaciones formativas o vinculaciones laborales
3. Formatos de legalización y modalidades registrados en el formulario web
1. Informe semestral de Prácticas.
2. Tablero general de Prácticas</t>
  </si>
  <si>
    <t>358 - Nivel de acompañamiento a estudiantes en práctica
506 - Nivel de Satisfacción Servicios Prestados - Prácticas</t>
  </si>
  <si>
    <t>El objetivo actual es claro en cuanto a su intención normativa y de alineación institucional, pero se enfoca más en la definición de lineamientos que en la ejecución, seguimiento y control del proceso. No refleja directamente las actividades operativas ni los resultados esperados en términos de calidad o satisfacción.</t>
  </si>
  <si>
    <t>Existe una alineación parcial. El indicador 358 - Nivel de acompañamiento a estudiantes en práctica se relaciona con la vigilancia del desarrollo de la práctica, mientras que el 506 - Nivel de Satisfacción Servicios Prestados - Prácticas aporta una visión desde la experiencia del usuario. Sin embargo, no hay indicadores que midan la eficiencia del proceso, la cobertura o la formalización de escenarios.</t>
  </si>
  <si>
    <t>No se han propuesto nuevos indicadores. Sería recomendable incluir indicadores que midan: % de estudiantes con práctica legalizada% de cumplimiento de cronograma de prácticas% de escenarios formalizados vs. proyectadosNivel de satisfacción de los escenarios de práctica Esto permitiría una medición más integral del proceso.</t>
  </si>
  <si>
    <t>Gestionar la planeación, articulación, formalización, seguimiento y evaluación de las prácticas académicas, garantizando su desarrollo conforme al marco normativo y a los lineamientos institucionales, con enfoque en la calidad de la experiencia del estudiante y la relación con los escenarios de práctica.</t>
  </si>
  <si>
    <r>
      <rPr>
        <b/>
        <sz val="11"/>
        <color rgb="FF002060"/>
        <rFont val="Aptos Narrow"/>
        <family val="2"/>
      </rPr>
      <t>% de estudiantes con práctica legalizada</t>
    </r>
    <r>
      <rPr>
        <sz val="11"/>
        <color rgb="FF000000"/>
        <rFont val="Aptos Narrow"/>
        <family val="2"/>
      </rPr>
      <t xml:space="preserve">
% de cumplimiento del cronograma de prácticas
</t>
    </r>
    <r>
      <rPr>
        <b/>
        <sz val="11"/>
        <color rgb="FFFF0000"/>
        <rFont val="Aptos Narrow"/>
        <family val="2"/>
      </rPr>
      <t xml:space="preserve">
</t>
    </r>
    <r>
      <rPr>
        <b/>
        <sz val="11"/>
        <color rgb="FF002060"/>
        <rFont val="Aptos Narrow"/>
        <family val="2"/>
      </rPr>
      <t xml:space="preserve">% de escenarios formalizados vs. Proyectados - Cobertura de escenarios de prácticas
</t>
    </r>
    <r>
      <rPr>
        <sz val="11"/>
        <color rgb="FF000000"/>
        <rFont val="Aptos Narrow"/>
        <family val="2"/>
      </rPr>
      <t xml:space="preserve">
</t>
    </r>
    <r>
      <rPr>
        <b/>
        <sz val="11"/>
        <color rgb="FF0070C0"/>
        <rFont val="Aptos Narrow"/>
        <family val="2"/>
      </rPr>
      <t xml:space="preserve">Nivel de satisfacción del estudiante con la práctica
(Legalización- Escenario de practica) Multiserie
</t>
    </r>
    <r>
      <rPr>
        <sz val="11"/>
        <color rgb="FF000000"/>
        <rFont val="Aptos Narrow"/>
        <family val="2"/>
      </rPr>
      <t xml:space="preserve">Nivel de satisfacción del escenario con el proceso institucional
</t>
    </r>
    <r>
      <rPr>
        <b/>
        <sz val="11"/>
        <color rgb="FF000000"/>
        <rFont val="Aptos Narrow"/>
        <family val="2"/>
      </rPr>
      <t>Aprobación de prácticas con errores
(N de practicas aprobadas sin errores /Total prácticas aprobadas)</t>
    </r>
    <r>
      <rPr>
        <sz val="11"/>
        <color rgb="FF000000"/>
        <rFont val="Aptos Narrow"/>
        <family val="2"/>
      </rPr>
      <t xml:space="preserve">
Propuesta: Despliegue de indicadores por sede</t>
    </r>
  </si>
  <si>
    <t>Gestionar la investigación, la innovación y la creación artística en el POLI , mediante la dinamización de las políticas institucionales y la adecuada planeación de la gestión orientadas a incentivar la generación, transferencia y apropiación social del
conocimiento que contribuyan al posicionamiento de la investigación en coherencia con la calidad de la educación a nivel nacional.</t>
  </si>
  <si>
    <t>Aplica a toda la comunidad del POLI que se vinculan a las actividades de investigación, innovación y creación desde las líneas de acción establecidas en investigación a escala institucional en gestión de proyectos de investigación, gestión de productividad a
partir de los proyectos, visibilidad de los productos y publicaciones de los proyectos; gestión de la innovación, propiedad intelectual y creación artística, y finaliza con la definición de acciones correctivas y de mejora.</t>
  </si>
  <si>
    <t>Propiciar el desarrollo de proyectos de
investigación, creación e innovación a
nivel nacional e internacional
Realizar seguimiento a la productividad en
las diferentes tipologías a partir de
proyectos en desarrollo
Gestionar visibilidad de los productos y
publicaciones del proyecto
Formentar la innovación, la protección de
la propiedad intelectual y la creación
artística</t>
  </si>
  <si>
    <t>1. Proyectos de investigación, innovación y
creación en desarrollo con financiación interna,
externa o con capacidades instaladas
1. Productos derivados de la realización de los
proyectos
1. Publicaciones derivadas de proyectos e
indices de visibilidad e impacto
1. Productos de desarrollo tecnológico e
innovación y creación artística</t>
  </si>
  <si>
    <t>143 - Proyectos de investigación e innovación- Metrica
144 - Productos de investigación
146 - Profesores vinculados a investigación
147 - Grupos de investigación reconocidos y categorizados
150 - Nivel de Satisfacción Servicios Prestados</t>
  </si>
  <si>
    <t>El objetivo actual es ambicioso y abarca múltiples dimensiones (investigación, innovación, creación artística), lo cual es positivo. Sin embargo, su redacción es extensa y algo compleja, lo que puede dificultar su comprensión operativa. No se evidencia con claridad el enfoque en la evaluación, seguimiento o mejora continua del proceso.</t>
  </si>
  <si>
    <t>Existe una buena alineación general. Los indicadores actuales permiten medir: 143: Proyectos activos (gestión y dinamización)144: Productos generados (resultado tangible)146: Participación docente (capacidad instalada)147: Reconocimiento de grupos (impacto externo)150: Satisfacción con los servicios (experiencia del usuario) Sin embargo, no hay indicadores que midan la transferencia o apropiación social del conocimiento, que es parte clave del objetivo.</t>
  </si>
  <si>
    <r>
      <t>Gestionar los l</t>
    </r>
    <r>
      <rPr>
        <sz val="11"/>
        <color rgb="FFFF0000"/>
        <rFont val="Aptos Narrow"/>
        <family val="2"/>
        <scheme val="minor"/>
      </rPr>
      <t>a formulación, ejecución, seguimiento y visibilidad de</t>
    </r>
    <r>
      <rPr>
        <sz val="11"/>
        <color theme="1"/>
        <rFont val="Aptos Narrow"/>
        <family val="2"/>
        <scheme val="minor"/>
      </rPr>
      <t xml:space="preserve"> proyectos de investigación, innovación y creación artística, promoviendo la generación, transferencia y apropiación social del conocimiento, en coherencia con las políticas institucionales y los estándares de calidad nacional e internacional.</t>
    </r>
  </si>
  <si>
    <r>
      <rPr>
        <b/>
        <sz val="11"/>
        <color rgb="FF0070C0"/>
        <rFont val="Aptos Narrow"/>
        <family val="2"/>
        <scheme val="minor"/>
      </rPr>
      <t>Nivel de satisfacción de investigadores (Cambio de nombre)</t>
    </r>
    <r>
      <rPr>
        <sz val="11"/>
        <color theme="1"/>
        <rFont val="Aptos Narrow"/>
        <family val="2"/>
        <scheme val="minor"/>
      </rPr>
      <t xml:space="preserve">
Proyecto de investigación con impacto en las regiones
Indicador de nuevo conocimiento</t>
    </r>
  </si>
  <si>
    <t>FORMACIÓN PARA LA INVESTIGACIÓN, CREACIÓN E INNOVACIÓN</t>
  </si>
  <si>
    <t>Gestionar y propiciar los mecanismos y escenarios de formación en investigación, creación e innovación en la institución, con el fin de promover en la cultura de investigación en
los estudiantes.</t>
  </si>
  <si>
    <t xml:space="preserve">Aplica a estudiantes, docentes y graduados, que fomenten, ejecuten y posicionen actividades de formación en investigación, innovación y creación desde las líneas de acción
establecidas en investigación a escala institucional, y finaliza con la definición de acciones correctivas y de mejora.
</t>
  </si>
  <si>
    <t>Fomentar actividades de iniciación
científica
Posicionar la cultura científica en los
estudiantes y graduados, a través de
espacios de divulgación científica</t>
  </si>
  <si>
    <t>1. Actividades de investigación
formativa y estudiantes vinculados
1. Comunicaciones realizadas que
fortalezcan la cultura investigativa a
nivel interno y posicionen la
investigación a nivel externo</t>
  </si>
  <si>
    <t>145 - Semilleros de investigación, innovación y creación
148 - Estudiantes vinculados a investigación
502 - Nivel de Satisfacción Servicios Prestados -Formación para la investigación, creación e innovación</t>
  </si>
  <si>
    <t>El objetivo actual es claro en cuanto a su propósito formativo, pero se puede fortalecer incluyendo el seguimiento y evaluación de los mecanismos implementados. Actualmente, se enfoca en la gestión y promoción, pero no en la medición del impacto o la mejora continua de la cultura investigativa.</t>
  </si>
  <si>
    <t>no se mide el impacto de estas actividades en el desarrollo de competencias investigativas.</t>
  </si>
  <si>
    <t>Nivel de apropiación de la cultura investigativa (medido por encuestas o focus groups)</t>
  </si>
  <si>
    <t>Nivel de apropiación de la cultura investigativa (medición cualitativa o cuantitativa) (Validar)</t>
  </si>
  <si>
    <t>Diseñar e implementar las políticas y los lineamientos curriculares en los niveles macro, meso y micro que impactan a los programas académicos de la institución, para asegurar su
calidad académica</t>
  </si>
  <si>
    <t>Inicia con la revisión normatividad aplicable para currículo, ajustar, adaptar, garantizar y asesorar de acuerdo con las disposiciones o la normatividad vigente y finaliza con la
implementación de acciones de mejora del proceso</t>
  </si>
  <si>
    <t>Revisar continuamente la 
normatividad o disposiciones que 
impactan a la institución a nivel 
curricular
Adaptar o ajustar lo aplicable a las 
políticas, lineamientos y procesos 
curriculares de acuerdo con las 
disposiciones o la normatividad 
vigente.
Garantizar la incorporación y el 
cumplimiento de las políticas y 
lineamientos en los procesos 
curriculares
Asesorar a los procesos en la 
incorporación y el cumplimiento de las 
políticas y lineamientos curriculares.</t>
  </si>
  <si>
    <t>1. Documento de caracterización y 
analisis de las implicaciones en los 
niveles curriculares (macro, meso y 
micro)
1. Documentos asociados actualizados 
(Políticas, lineamientos, 
procedimientos, planes de estudios, 
entre otros).
1. Documentos asociados actualizados 
(Politicas, lineaminetos, 
procedimientos, planes de estudios, 
entre otros).
2. Estrategias para los procesos 
curriculares impactados
1. Actas para los casos en los que la 
incorporación y cumplimiento impacten 
los procesos</t>
  </si>
  <si>
    <r>
      <rPr>
        <b/>
        <sz val="11"/>
        <color theme="1"/>
        <rFont val="Aptos Narrow"/>
        <family val="2"/>
        <scheme val="minor"/>
      </rPr>
      <t xml:space="preserve">473 - Programas con planes de estudios definidos
476 - Programas con resultados de aprendizaje definidos
</t>
    </r>
    <r>
      <rPr>
        <sz val="11"/>
        <color theme="1"/>
        <rFont val="Aptos Narrow"/>
        <family val="2"/>
        <scheme val="minor"/>
      </rPr>
      <t>481 - Solicitudes de documentación completadas
501 - Nivel de Satisfacción Servicios Prestados -Gestión, evaluación e innovación curricular
522 - Asignaturas o módulos con mecanismos de evaluación implementados</t>
    </r>
  </si>
  <si>
    <t>522 - Asignaturas o módulos con mecanismos de evaluación implementados</t>
  </si>
  <si>
    <t>El objetivo está bien formulado y enfocado en el diseño e implementación de políticas curriculares en los tres niveles (macro, meso y micro). Sin embargo, no menciona explícitamente el seguimiento, evaluación o mejora continua, lo cual es clave para un enfoque de calidad. Tampoco se hace referencia directa a la experiencia de los usuarios (docentes, estudiantes, áreas académicas).</t>
  </si>
  <si>
    <r>
      <t>Existe una alineación adecuada: 473 y 476: Evalúan la existencia de planes de estudio y resultados de aprendizaje, lo cual se relaciona con la implementación curricular.481: Mide la gestión documental, clave para la trazabilidad del proceso. (</t>
    </r>
    <r>
      <rPr>
        <b/>
        <sz val="11"/>
        <color theme="1"/>
        <rFont val="Aptos Narrow"/>
        <family val="2"/>
        <scheme val="minor"/>
      </rPr>
      <t>eliminar</t>
    </r>
    <r>
      <rPr>
        <sz val="11"/>
        <color theme="1"/>
        <rFont val="Aptos Narrow"/>
        <family val="2"/>
        <scheme val="minor"/>
      </rPr>
      <t xml:space="preserve">) 501: Aporta la perspectiva de satisfacción del usuario. </t>
    </r>
    <r>
      <rPr>
        <sz val="11"/>
        <color rgb="FFFF0000"/>
        <rFont val="Aptos Narrow"/>
        <family val="2"/>
        <scheme val="minor"/>
      </rPr>
      <t>Sin embargo, no se mide el impacto de los cambios curriculares ni la efectividad de su implementación.</t>
    </r>
  </si>
  <si>
    <r>
      <t xml:space="preserve">El indicador 522 - Asignaturas o módulos con mecanismos de evaluación implementados es pertinente, ya que permite medir la aplicación práctica de los lineamientos curriculares en el nivel micro. Se alinea con el objetivo, </t>
    </r>
    <r>
      <rPr>
        <sz val="11"/>
        <color rgb="FFFF0000"/>
        <rFont val="Aptos Narrow"/>
        <family val="2"/>
        <scheme val="minor"/>
      </rPr>
      <t>pero sería útil complementarlo con indicadores de impacto o mejora.</t>
    </r>
  </si>
  <si>
    <t>Diseñar, implementar y evaluar las políticas y lineamientos curriculares en los niveles macro, meso y micro, asegurando su pertinencia, actualización y aplicación efectiva en los programas académicos, con enfoque en la calidad académica y la mejora continua.</t>
  </si>
  <si>
    <r>
      <rPr>
        <b/>
        <sz val="11"/>
        <color theme="1"/>
        <rFont val="Aptos Narrow"/>
        <family val="2"/>
        <scheme val="minor"/>
      </rPr>
      <t xml:space="preserve">Plantear algun indicadore de impacto o mejora permanente
</t>
    </r>
    <r>
      <rPr>
        <sz val="11"/>
        <color theme="1"/>
        <rFont val="Aptos Narrow"/>
        <family val="2"/>
        <scheme val="minor"/>
      </rPr>
      <t xml:space="preserve">
Satisfacción de estudiantes y graduados con el curriculo</t>
    </r>
  </si>
  <si>
    <r>
      <rPr>
        <b/>
        <sz val="11"/>
        <color theme="1"/>
        <rFont val="Aptos Narrow"/>
        <family val="2"/>
        <scheme val="minor"/>
      </rPr>
      <t xml:space="preserve">Planear, articular y apoyar los procesos y proyectos de internacionalización y cooperación académica nacional e internacional de acuerdo con las políticas y el Plan de Desarrollo
Institucional, </t>
    </r>
    <r>
      <rPr>
        <sz val="11"/>
        <color theme="1"/>
        <rFont val="Aptos Narrow"/>
        <family val="2"/>
        <scheme val="minor"/>
      </rPr>
      <t>para contribuir a la formación de profesionales integrales, idóneos y competentes de acuerdo con las necesidades del mundo actual.</t>
    </r>
  </si>
  <si>
    <t>Inicia con la definición de directrices y lineamientos para la visibilidad nacional e internacional, continua con el desarrollo de las actividades y estrategias de internacionalización y
cooperación académica y finaliza con la implementación de acciones de mejora.</t>
  </si>
  <si>
    <t>Bilingüismo y Multilingüismo
Ofrecer y gestionar cursos de idiomas
en el exterior a través de agencias e
instituciones educativas en convenio
Movilidad Nacional e Internacional
Gestionar salida y entrada de
estudiantes y docentes a nivel nacional
e internacional a través de los
diferentes programas de movilidad.
Internacionalización del Currículo y
cooperación académica nacional e
internacional
Apoyar los planes y solicitudes de las
escuelas y facultades y gestionar las
actividades de las iniciativas y plan de
trabajo del proceso.
Gestión de la Visibilidad Nacional e
Internacional
Gestionar actividades que promuevan
la cooperación académica de la
Institución.</t>
  </si>
  <si>
    <t>1. Reporte de Movilidad Saliente y
Entrante
2. Reporte participación en actividades
virtuales
1. Reporte de Movilidad Saliente y
Entrante
1. Reportes de Actividades
1. Convenios
2. Registros de ejecución en los
repositorios institucionales</t>
  </si>
  <si>
    <t>133 - Nivel de Satisfacción Servicios Prestados
532 - Actividades de Cooperación en Internacionalización
533 - Participación de estudiantes externos invitados a actividades de cooperación e internacionalización
534 - Participación de estudiantes POLI en actividades de cooperación e internacionalización
535 - Participación de profesores externos invitados a actividades de cooperación e internacionalización
536 - Participación de profesores POLI en actividades de cooperación e internacionalización
318 - Convenios, alianzas activas con actividades en los últimos 5 años</t>
  </si>
  <si>
    <t>532 - Actividades de Cooperación en Internacionalización
533 - Participación de estudiantes externos invitados a actividades de cooperación e internacionalización
534 - Participación de estudiantes POLI en actividades de cooperación e internacionalización
535 - Participación de profesores externos invitados a actividades de cooperación e internacionalización
536 - Participación de profesores POLI en actividades de cooperación e internacionalización</t>
  </si>
  <si>
    <t>307 - Organización de escenarios de visibilidad nacional e internacional
308 - Movilidad Física Entrantes Profesores
309 - Movilidad Física Profesores Salientes
310 - Movilidad Física Entrante Estudiantes
311 - Movilidad Física Saliente Estudiantes
312 - Clases espejo
313 - Seminarios y cursos internacionales virtuales impartidos y certificados por entidades externas
314 - N de asignaturas COIL - (Collaborative Online International Learning)
315 - Num de programas con convenios de doble titulación
317 - Plan De Internacionalización A 7 Años
319 - Nivel de cumplimiento de la gestión de internacionalización descrito en el plan de trabajo de la ORNI
320 - Participación docentes Poli en eventos académicos internacionales virtuales
321 - Participación estudiantes Poli en eventos académicos internacionales virtuales
442 - Participación de docentes invitados en eventos académicos virtuales en Poli
443 - Participación de estudiantes invitados en eventos académicos virtuales en Poli</t>
  </si>
  <si>
    <r>
      <t>El objetivo está bien formulado y se alinea con el enfoque estratégico institucional. Sin embargo, podría fortalecerse incluyendo explícitamente el seguimiento y evaluación de los impactos de la internacionalización en la formación de los estudiantes. Actualmente,</t>
    </r>
    <r>
      <rPr>
        <sz val="11"/>
        <color rgb="FFFF0000"/>
        <rFont val="Aptos Narrow"/>
        <family val="2"/>
        <scheme val="minor"/>
      </rPr>
      <t xml:space="preserve"> se enfoca en la planificación y articulación, pero no en la medición de resultados o mejora continua.</t>
    </r>
  </si>
  <si>
    <t>Los indicadores propuestos (532, 533, 534) están mucho mejor alineados con el objetivo: 532: Mide la gestión de cooperación, clave para la articulación institucional.533: Evalúa la participación de estudiantes externos, lo que refleja el impacto y visibilidad.534: Mide la participación institucional en eventos internacionales, lo cual contribuye al posicionamiento. Estos indicadores fortalecen la trazabilidad y el enfoque estratégico del proceso.</t>
  </si>
  <si>
    <r>
      <rPr>
        <sz val="11"/>
        <color rgb="FFFF0000"/>
        <rFont val="Aptos Narrow"/>
        <family val="2"/>
        <scheme val="minor"/>
      </rPr>
      <t>Gestionar, articular y evaluar</t>
    </r>
    <r>
      <rPr>
        <sz val="11"/>
        <color theme="1"/>
        <rFont val="Aptos Narrow"/>
        <family val="2"/>
        <scheme val="minor"/>
      </rPr>
      <t xml:space="preserve"> los procesos de internacionalización y cooperación académica nacional e internacional, promoviendo la movilidad, el multilingüismo y la participación institucional en escenarios globales, con el fin de fortalecer la formación integral y la proyección internacional de la comunidad POLI.</t>
    </r>
  </si>
  <si>
    <t xml:space="preserve">
Propuesta: Despliegue de indicadores por sede o modalidad</t>
  </si>
  <si>
    <t>MERCADEO DE PROGRAMAS ACADÉMICOS</t>
  </si>
  <si>
    <t>Incrementar la visibilidad, atracción y preferencia del POLI, así como de sus programas académicos, en el mercado objetivo, mediante la implementación de estrategias de marketing efectivas que impulsen el crecimiento sostenible de la matrícula y fortalezcan la posición de la institución.</t>
  </si>
  <si>
    <t>Inicia con la definición de recursos, canales de promoción Institucional y estrategias de mercadeo, tanto tácticas como operativas destinadas a promover y posicionar de manera efectiva los programas académicos nuevos y activos y finaliza con la identificación, análisis y puesta en marcha de las oportunidades de mejora.</t>
  </si>
  <si>
    <t>Diseñar planes de mercadeo integrales
Generar estudios de mercados
Gestionar el balance del portafolio académico. 
Implementar y ejecutar planes de mercadeo integrales</t>
  </si>
  <si>
    <t>Plan de mercadeo, Plan ATL, Plan BTL, Plan Digital, Plan High School., Plan de CSU y b2b, Campaña de comunicación, Plan de producto, Plan de inteligencia competitiva, Plan de soporte a áreas comerciales, informes de estudios de mercado (Empleabilidad, – Caracterización de estudiantes nuevos –, Market Share – PESTEL – Shopping de precios –, Salud de marca - Análisis de prefactibilidad), Base de datos maestra., Matriz de diferenciales por programa, Nuevo producto académico, Mercado objetivo de programas académicos, nuevos, Plan estratégico de mercadeo (Plan de, lanzamiento), Campañas de Mercadeo Producción visual digital, y física de las piezas publicitarias., Campaña Comercial implementada, Informe salud de marca, Informe de comportamiento de canales, Informe de cumplimiento de contrato - Agencias</t>
  </si>
  <si>
    <t>422 - Total conversión
423 - Brand equity
424 - Conocimiento espontáneo
505 - Nivel de Satisfacción Servicios Prestados - Mercadeo de programas académicos
517 - Total Leads por canales de captación</t>
  </si>
  <si>
    <r>
      <t xml:space="preserve">El objetivo está bien formulado, con un enfoque claro en la visibilidad, atracción y posicionamiento institucional. Se destaca la intención de impulsar el crecimiento sostenible de la matrícula, lo cual es clave. </t>
    </r>
    <r>
      <rPr>
        <sz val="11"/>
        <color rgb="FFFF0000"/>
        <rFont val="Aptos Narrow"/>
        <family val="2"/>
        <scheme val="minor"/>
      </rPr>
      <t>Sin embargo, no se menciona explícitamente el seguimiento, evaluación o mejora de las estrategias implementadas, lo cual sería importante para el enfoque de calidad.</t>
    </r>
  </si>
  <si>
    <t>Hay una buena alineación, los indicadores permiten una visión integral del proceso, desde la percepción hasta la conversión.</t>
  </si>
  <si>
    <r>
      <t xml:space="preserve">ROI de campañas de mercadeo:  la efectividad por canal, el retorno de inversión (ROI) o la fidelización.
</t>
    </r>
    <r>
      <rPr>
        <b/>
        <sz val="11"/>
        <color theme="1"/>
        <rFont val="Aptos Narrow"/>
        <family val="2"/>
        <scheme val="minor"/>
      </rPr>
      <t xml:space="preserve">Costo de adquisición de estudiantes 
</t>
    </r>
    <r>
      <rPr>
        <sz val="11"/>
        <color theme="1"/>
        <rFont val="Aptos Narrow"/>
        <family val="2"/>
        <scheme val="minor"/>
      </rPr>
      <t>Costo de conversión: (Inversión total en mercadeo/ Numero total de conversiones)
Retorno sobre la inversión en mercadeo  
(Ingresos generados por nuevas matriculas - Costo de mercadeo)/Costo de mercadeo</t>
    </r>
  </si>
  <si>
    <t>Ofrecer al público en general y a las empresas del sector público, privado y entidades de cooperación internacional procesos de formación/capacitación y consultoría/asesoría con el objeto de complementar, actualizar, suplir conocimientos y formar, en aspectos académicos o laborales sin sujeción al sistema de niveles y grados propios de la educación formal.</t>
  </si>
  <si>
    <t>Inicia con la elaboración del plan estratégico de mercadeo de EPLV, buscando el perfilamiento y segmentación de los diferentes grupos de interés, así mismo identificar las necesidades académicas y acompañamiento técnico y finaliza con la identificación, análisis y puesta en marcha de las oportunidades de mejora.</t>
  </si>
  <si>
    <t>Elaborar y/o actualización del plan estratégico de mercadeo EPLV
Implementar y ejecutar el plan estratégico de mercadeo
Diseñar y presentar propuestas de proyectos a clientes públicos y privados.
Entregar proyectos contratados</t>
  </si>
  <si>
    <t>Plan estratégico de Mercadeo EPLV
Campaña Comercial implementada.
Informe del plan estratégico de mercadeo.
Presentación de ofertas comerciales
Proyección presupuestal
Polizas de seriedad.
Proyección presupuestal aprobado
Contratos (finales)
Polizas de garantía
Formato de entrega de proyectos</t>
  </si>
  <si>
    <t>385 - Ingresos totales de educación para la vida
386 - Cumplimiento Meta comercial Educación para toda la vida por linea
555	Nivel de Satisfacción Servicios Prestados -Mercadeo y venta de educación para la vida</t>
  </si>
  <si>
    <t>425 - Cumplimiento Leads Educación para la vida</t>
  </si>
  <si>
    <r>
      <t xml:space="preserve">El objetivo es claro en cuanto al público objetivo (personas, empresas y entidades) y al propósito (formación, capacitación, consultoría). Sin embargo, no incluye elementos de seguimiento, evaluación de impacto ni mejora continua. </t>
    </r>
    <r>
      <rPr>
        <sz val="11"/>
        <color rgb="FFFF0000"/>
        <rFont val="Aptos Narrow"/>
        <family val="2"/>
        <scheme val="minor"/>
      </rPr>
      <t>Tampoco se menciona la articulación con otras áreas como académica o financiera, que son clave para la sostenibilidad del proceso.</t>
    </r>
  </si>
  <si>
    <r>
      <t xml:space="preserve">Los indicadores actuales están bien alineados con el objetivo: 385 - Ingresos totales de educación para la vida: mide el impacto económico del proceso.386 - Cumplimiento de meta comercial por línea: permite evaluar el desempeño frente a los objetivos de venta. </t>
    </r>
    <r>
      <rPr>
        <sz val="11"/>
        <color rgb="FFFF0000"/>
        <rFont val="Aptos Narrow"/>
        <family val="2"/>
        <scheme val="minor"/>
      </rPr>
      <t>Sin embargo, no se mide la efectividad de las campañas, la satisfacción del cliente o la calidad de los servicios entregados.</t>
    </r>
    <r>
      <rPr>
        <sz val="11"/>
        <color theme="1"/>
        <rFont val="Aptos Narrow"/>
        <family val="2"/>
        <scheme val="minor"/>
      </rPr>
      <t xml:space="preserve">
555- Nivel de Satisfacción Servicios Prestados -Mercadeo y venta de educación para la vida solo aplica para B2C y B2B</t>
    </r>
  </si>
  <si>
    <t>No se reportaron indicadores propuestos. Se elimina el 425 - Cumplimiento to Leads Educación para la vida, lo cual puede ser válido si no se está midiendo adecuadamente la conversión o si el enfoque cambió hacia indicadores más estratégicos. Aun así, sería recomendable proponer nuevos indicadores que midan: Conversión de propuestas presentadas vs. contratadasNivel de satisfacción de los clientesRetorno de clientes o fidelizaciónTiempo promedio de cierre de contratos</t>
  </si>
  <si>
    <t>Gestionar el diseño, ejecución y evaluación de estrategias de mercadeo, venta y entrega de servicios de formación, capacitación y consultoría dirigidos a personas, empresas y entidades, con el fin de generar valor, fortalecer el posicionamiento institucional y contribuir a la sostenibilidad financiera del POLI.</t>
  </si>
  <si>
    <t>% de propuestas comerciales convertidas en contratos (Propuestas adjudicadas/ Propuestas Presentadas) *100
% de cumplimiento del plan estratégico de mercadeo
Tiempo promedio de cierre de contratos
Ingresos recurrentes por cliente (indicador de fidelización)
Costos de desviación de propuestas</t>
  </si>
  <si>
    <t>EDITORIAL Y PUBLICACIONES</t>
  </si>
  <si>
    <t>Fomentar la postulación, gestión y desarrollo de proyectos editoriales en áreas de interés institucional, a través del cumplimiento de estándares de calidad para la visibilidad académica, científica y cultural de la Institución</t>
  </si>
  <si>
    <t>Inicia con la definición de los lineamientos, la realización de convocatorias para la presentación de proyectos, edición, publicación y promoción de las obras o productos
editoriales y finaliza con la implementación de acciones de mejora del proceso. Aplica para toda la comunidad Poli.</t>
  </si>
  <si>
    <t>Realizar convocatoria para la 
presentación de proyectos editoria
Brindar asesoría y acompañamiento a
proyectos editoriales
Editar y publicar obras y/o productos
editoriales (Libros, revistas, literatura
gris y otros) que cumplan con las
normativas declaradas por la
Institución Universitaria Politécnico
Grancolombiano</t>
  </si>
  <si>
    <t>1.Términos de referencia
2. Acta de comité editorial
3 Publicación de resultados de la
convocatoria
1. Registro de acompañamiento
1. Obras y/o productos editoriales
(Colecciones, series y catálogos)
2. Cierre de proyecto editorial</t>
  </si>
  <si>
    <t>159 - Nivel de Satisfacción Servicios Prestados
255 - Informe anual de variación de índice H - Metrica
256 - Publicaciones editadas por la editorial
543 - Tasa de interacción por usuario</t>
  </si>
  <si>
    <t>543 - Tasa de interacción por usuario</t>
  </si>
  <si>
    <t>462 - Nivel Esfuerzo Editorial</t>
  </si>
  <si>
    <r>
      <t xml:space="preserve">El objetivo está bien formulado y enfocado en la promoción de proyectos editoriales con estándares de calidad. Se destaca la intención de fortalecer la visibilidad académica, científica y cultural. Sin embargo, </t>
    </r>
    <r>
      <rPr>
        <sz val="11"/>
        <color rgb="FFFF0000"/>
        <rFont val="Aptos Narrow"/>
        <family val="2"/>
        <scheme val="minor"/>
      </rPr>
      <t>no se menciona explícitamente el seguimiento, evaluación del impacto editorial ni la mejora continua del proceso.</t>
    </r>
  </si>
  <si>
    <t>falta un enfoque en la eficiencia del proceso editorial.</t>
  </si>
  <si>
    <t>Gestionar la convocatoria, acompañamiento, edición y publicación de proyectos editoriales institucionales, garantizando el cumplimiento de estándares de calidad y promoviendo la visibilidad académica, científica y cultural del POLI, con enfoque en la mejora continua y el impacto del conocimiento producido.</t>
  </si>
  <si>
    <t>Número de publicaciones con visibilidad local, regional, nacional y internacional (indexadas o con DOI)
Tiempo promedio del ciclo editorial (postulación a publicación)
Indexación de publicaciones
Ingresos por ventas o licenciamiento
Costo promedio por publicación
Margen por publicación
% de recuperación de la inversión editorial
Indicador de Indice H</t>
  </si>
  <si>
    <t>BIBLIOTECA INSTITUCIONAL</t>
  </si>
  <si>
    <t>Gestionar y fortalecer el uso efectivo de los recursos y servicios del Sistema Nacional Bibliotecas, bajo criterios de calidad alineados con las políticas institucionales, cubriendo
las necesidades de información, contribuyendo a los procesos académicos, el impacto de la investigación, extensión y posicionamiento institucional.</t>
  </si>
  <si>
    <t>Aplica a toda la comunidad del POLI, estudiantes, docentes, egresados y administrativos a quienes van dirigidos los recursos y servicios del Sistema Nacional de Bibliotecas como
son: actividades culturales, talleres de formación, acceso recursos de información digital (e-books, revistas, artículos, documentos, entre otros), préstamo de material
bibliográfico y finaliza con la implementación de acciones de mejora del proceso.</t>
  </si>
  <si>
    <t xml:space="preserve">Gestionar y realizar actividades
culturales
Gestionar y realizar talleres de
formación
Gestionar el acceso a recursos de
información digital (e-books, revistas,
artículos, documentos, entre otros).
Gestionar el préstamo de material
bibliográfico y electrónico.
</t>
  </si>
  <si>
    <t>1. Registro de asistencia de las
actividades y talleres.
1. Registro de asistencia de las
actividades y talleres.
2. Encuesta de satisfacción de
capacitaciones del Sistema Nacional de
Bibliotecas
1. Registros de acceso a los recursos
electrónicos
1. Registro de préstamo del material
bibliográfico y electrónico</t>
  </si>
  <si>
    <t>139 - Ejecución presupuestal del gasto
151 - Nivel de Satisfacción Servicios Prestados
336 - Materiales bibliográficos en formato físico con estado de perdida
447 - Participación en actividades culturales
448 - Participación en actividades de formación</t>
  </si>
  <si>
    <t>136 - Ejecución de actividades culturales
137 - Ejecución de Talleres de formación
139 - Ejecución presupuestal del gasto</t>
  </si>
  <si>
    <r>
      <t>El objetivo está bien formulado, con un enfoque claro en la gestión de recursos y servicios bibliotecarios, alineado con las políticas institucionales. Se destaca su contribución a los procesos académicos e investigativos.</t>
    </r>
    <r>
      <rPr>
        <b/>
        <sz val="11"/>
        <color rgb="FFFF0000"/>
        <rFont val="Aptos Narrow"/>
        <family val="2"/>
        <scheme val="minor"/>
      </rPr>
      <t xml:space="preserve"> Sin embargo, podría fortalecerse incluyendo explícitamente el seguimiento al uso de los recursos, la evaluación del impacto en el aprendizaje y la mejora continua.</t>
    </r>
  </si>
  <si>
    <r>
      <t xml:space="preserve">Hay una alineación razonable: 139: Evalúa la ejecución presupuestal, clave para la sostenibilidad del servicio.151: Mide la satisfacción del usuario, fundamental para el enfoque de calidad.336: Controla pérdidas de material físico, importante para la gestión de inventario.447 y 448: Miden participación en actividades culturales y de formación, alineadas con las actividades del proceso. </t>
    </r>
    <r>
      <rPr>
        <b/>
        <sz val="11"/>
        <color rgb="FFFF0000"/>
        <rFont val="Aptos Narrow"/>
        <family val="2"/>
        <scheme val="minor"/>
      </rPr>
      <t>Sin embargo, no se mide el impacto del uso de recursos digitales ni la efectividad de los talleres.</t>
    </r>
  </si>
  <si>
    <t>Gestionar, promover y evaluar el uso efectivo de los recursos y servicios del Sistema Nacional de Bibliotecas, garantizando su calidad, pertinencia y accesibilidad, en apoyo a los procesos académicos, investigativos y de formación integral de la comunidad POLI.</t>
  </si>
  <si>
    <t>Impacto percibido de los talleres en el desarrollo académico (medido por encuesta)
Índice de uso de recursos digitales
% de estudiantes que utilizan recursos bibliográficos en sus cursos</t>
  </si>
  <si>
    <t>Fortalecer los procesos educativos en las aulas a través de la creación de experiencias de aprendizaje significativas e innovadoras que permitan la adquisición de competencias
específicas y faciliten la obtención de los resultados de aprendizaje por parte de los estudiantes, convirtiéndose en un diferencial en los procesos de enseñanza y calidad educativa.</t>
  </si>
  <si>
    <t xml:space="preserve">Creación, diseño, producción y operación de ambientes virtuales de aprendizaje para niveles de formación en pregrado y posgrado, modalidad virtual y presencial, que, a su vez,
pueden ser aplicados en escenarios de formación empresarial.
</t>
  </si>
  <si>
    <t>Planificar el diseño y la producción de
los recursos y dispositivos didácticos
educativos, integrando los
requerimientos pedagógicos
tecnológicos.
Realizar diseño pedagógico,
modelamiento y transposición
didáctica para la construcción del
ambiente inmersivo
Realizar programación del software,
las pruebas de control de calidad y la
implementación en las aulas
Realizar la apertura de aulas y
simulación de los estudiantes,
resolución de casos de estudiantes
Realizar la evaluación del material
para su posterior edición textual y
multimedia, así como el diseño gráfico
y elaboración del libro interactivo
multimedia
Publicar los libros en los servidores
institucionales para la comunidad
educativa</t>
  </si>
  <si>
    <t>Cronograma de actividades por
proyecto
Modelo matemático y lógico del
simulador
• Guion de requerimientos
Versión beta del software
• Software implementado en aula
alineado con LMS
Estadísticas de uso de los ambientes
• Estadística de casos
Libro terminado y registrado a
nombre del Poli
Libro publicado
• Estadística de usos</t>
  </si>
  <si>
    <t>401 - Producción de nuevos MI-Books
402 - Informe anual de consulta de MI-Books- Metrica
403 - Número de estudiantes que ha realizado la simulación - Metrica
504 - Nivel de Satisfacción Servicios Prestados - LEI
544 - Producción de ambientes inmersivos LEI</t>
  </si>
  <si>
    <t>544 - Producción de ambientes inmersivos LEI</t>
  </si>
  <si>
    <t>404 - Casos presentados y solucionados
405 - Proyecto de reingenieria y arquitectura de software LEI
605 - Producción de ambientes inmersivos CREA</t>
  </si>
  <si>
    <r>
      <t xml:space="preserve">El objetivo está bien formulado, con un enfoque claro en la innovación educativa y el fortalecimiento del aprendizaje a través de experiencias inmersivas. Se destaca la intención de contribuir a la adquisición de competencias y resultados de aprendizaje. Sin embargo, </t>
    </r>
    <r>
      <rPr>
        <sz val="11"/>
        <color rgb="FFFF0000"/>
        <rFont val="Aptos Narrow"/>
        <family val="2"/>
        <scheme val="minor"/>
      </rPr>
      <t>no se menciona explícitamente el seguimiento, evaluación del impacto o mejora continua de las experiencias implementadas.</t>
    </r>
  </si>
  <si>
    <t>Hay una alineación sólida: 401 y 402: Miden la producción y consulta de MI-Books, lo cual refleja el uso de recursos educativos innovadores.403: Evalúa el alcance de las simulaciones en estudiantes.504: Mide la satisfacción con los servicios del LEI.544: Refleja la producción de ambientes inmersivos, directamente alineado con el objetivo. Estos indicadores permiten evaluar tanto la producción como el impacto en los usuarios.</t>
  </si>
  <si>
    <t>Diseñar, implementar y evaluar experiencias inmersivas e innovadoras que fortalezcan los procesos educativos, promuevan la adquisición de competencias específicas y faciliten el logro de los resultados de aprendizaje, mediante el uso de tecnologías educativas alineadas con los objetivos curriculares.</t>
  </si>
  <si>
    <t>Asegurar una operación académica de calidad en los diferentes niveles y modalidades en educación formal, a través de la gestión oportuna de los procesos que nos
permite contribuir en su objetivo profesional y de vida.</t>
  </si>
  <si>
    <t>Inicia con las configuraciones de oferta académica a nivel de planes de estudio, programación académica, pasando por el aseguramiento de la carga académica y los
ambientes de aprendizaje de los estudiantes de pregrado y posgrado en las modalidades presencial y virtual y finaliza con el análisis e implementación de
oportunidades de mejora.</t>
  </si>
  <si>
    <t>Definir planeación de operación
académica para pregrado y
posgrado de las modalidades
presencial y virtual
Administración integral del Sistema de
Información Estudiantil (S.I.S)
Administración curricular del Sistema de
Información Estudiantil (S.I.S)
Programación Académica
Gestión de los Ambientes de
Aprendizaje
Gestión de Campañas Académicas</t>
  </si>
  <si>
    <t>plan de trabajo del proceso
(Gant Operaciones)
2. Plan de trabajo del proceso
(Planeación de Aulas Máster)
Configuraciones de fechas para los
diferentes procesos financieros de
rematricula y opciones de grado del
estudiantil
Planes de Estudio configurados en el
Sistema de Información Estudiantil.
Programación académica /Oferta
Académica
Planta física y LMS correctamente
asegurado y parametrizado para el
adecuado desarrollo del semestre
académico de los estudiantes y
docentes.
Cursos intersemestrales (Moodle).
• Cursos vacacionales, supletorio,
nivelatorio, módulo adicional
(Canvas).
Plan de medios de comunicaciones</t>
  </si>
  <si>
    <t>362 - Aseguramiento de matricula académica presencial
363 - Seguimiento a la parametrización de aulas master y secciones de asignaturas
366 - Normalización de cobros pecuniarios
375 - Disponibilidad de catálogo de asignaturas pregrado y posgrado presencial
439 - Disponibilidad de catálogo de asignaturas pregrado y posgrado virtual
440 - Aseguramiento de matricula académica virtual
806 - CES Inscripción de asignaturas</t>
  </si>
  <si>
    <t>806 - CES Inscripción de asignaturas</t>
  </si>
  <si>
    <r>
      <t>El objetivo está bien orientado hacia la calidad y oportunidad en la operación académica, abarcando diferentes niveles y modalidades.</t>
    </r>
    <r>
      <rPr>
        <sz val="11"/>
        <color rgb="FFFF0000"/>
        <rFont val="Aptos Narrow"/>
        <family val="2"/>
        <scheme val="minor"/>
      </rPr>
      <t xml:space="preserve"> Sin embargo, podría fortalecerse incluyendo explícitamente el seguimiento, evaluación de resultados y mejora continua, así como el impacto en la experiencia del estudiante.</t>
    </r>
  </si>
  <si>
    <t>Gestionar, monitorear y mejorar continuamente la operación académica en los diferentes niveles y modalidades de educación formal, garantizando la calidad, oportunidad y eficiencia de los procesos, en apoyo al logro de los objetivos académicos y profesionales de los estudiantes.</t>
  </si>
  <si>
    <t>OBJETIVO Asegurar la operación de los proyectos de Educación para la Vida, respondiendo a los requerimientos de los clientes y estudiantes con calidad, oportunidad y satisfacción.</t>
  </si>
  <si>
    <t>Inicia con la planeación del proyecto, seguido del alistamiento, ejecución, análisis de información, divulgación y cierre del proyecto; aplica para Empresas, Gobierno, Abierto y
Opción de Grado.</t>
  </si>
  <si>
    <t>Realizar la planeación operativa del proceso
Ejecutar planes, programas y
proyectos
Planear, alistar la ejecución según la
línea de negocio de los proyectos.
Ejecutar el proyecto de acuerdo con
las condiciones y necesidades del
cliente
Cierre del proyecto</t>
  </si>
  <si>
    <t xml:space="preserve">
1. Planes operativos, cronogramas
2. Propuesta de Presupuesto del
proceso
1. Evidencias documentadas
1. Pago y envío de pólizas.
2. Asignación analista operativo.
3. Reunión de entendimiento proyecto.
4. Alistamiento aulas. (virtual,
presencial, online, blended)
5. Cargar estudiantes. (virtual,
presencial, online, blended)
6. Contratación docentes y
proveedores
1. Inducción y Bienvenida estudiantes.
(carta de bienvenida)
2. Informes parciales. (asistencia y notas
si aplica)
3. Evaluación de satisfacción estudiante.
4. Seguimiento y acompañamiento a
estudiantes y docentes.
1. Informe final.
2. Resultado encuesta cliente.
3. Certificación estudiantes.
4. Pago docente.</t>
  </si>
  <si>
    <t>368 - Satisfacción de los estudiantes de Educación para toda la vida
372 - Satisfacción de los clientes corporativos Educación para toda la vida</t>
  </si>
  <si>
    <r>
      <t xml:space="preserve">El objetivo está bien formulado, con énfasis en asegurar la operación de los proyectos de Educación para la Vida, respondiendo a requerimientos con calidad, oportunidad y satisfacción. </t>
    </r>
    <r>
      <rPr>
        <sz val="11"/>
        <color rgb="FFFF0000"/>
        <rFont val="Aptos Narrow"/>
        <family val="2"/>
        <scheme val="minor"/>
      </rPr>
      <t>Sin embargo, podría fortalecerse incluyendo explícitamente el seguimiento a resultados, la evaluación del impacto de los proyectos y la mejora continua.</t>
    </r>
  </si>
  <si>
    <r>
      <t xml:space="preserve">Los indicadores actuales están bien alineados: 368 - Satisfacción de los estudiantes: mide la percepción de quienes reciben la formación.372 - Satisfacción de los clientes corporativos: evalúa la experiencia de quienes contratan los servicios. </t>
    </r>
    <r>
      <rPr>
        <sz val="11"/>
        <color rgb="FFFF0000"/>
        <rFont val="Aptos Narrow"/>
        <family val="2"/>
        <scheme val="minor"/>
      </rPr>
      <t>Ambos indicadores permiten medir la calidad percibida, pero no la eficiencia operativa ni el cumplimiento de condiciones contractuales.</t>
    </r>
  </si>
  <si>
    <t>Gestionar, ejecutar y evaluar los proyectos de Educación para la Vida, garantizando su desarrollo conforme a las condiciones pactadas con los clientes y estudiantes, con enfoque en la calidad, oportunidad, satisfacción y mejora continua.</t>
  </si>
  <si>
    <t>% de proyectos ejecutados según condiciones pactadasTiempo promedio de ejecución por tipo de proyecto% de clientes que contratan nuevamente (indicador de fidelización)</t>
  </si>
  <si>
    <t>CENTRO DE MEDIOS AUDIOVISUALES</t>
  </si>
  <si>
    <t>Asegurar el buen estado y funcionamiento de los equipos de medios audiovisuales de la institución, contar con tecnología audiovisual de punta y apoyar a los procesos en la
realización de eventos institucionales.</t>
  </si>
  <si>
    <t>Inicia con la identificación de necesidades audiovisuales de la institución hasta el cumplimiento de satisfacción del usuario.</t>
  </si>
  <si>
    <t>Realizar la planeación operativa del
proceso
Gestionar los prestamos de Equipos
Audiovisuales.
Revisar el estado de equipos
audiovisuales prestados
Gestionar los prestamos de salas y
asegurar su estado optimo
Asegurar la reparación de equipos y/o
software que se encuentren en mal
estado
Realizar la reinstalación de Software
Organizar y ejecutar eventos
institucionales</t>
  </si>
  <si>
    <t>1. Entrega de equipos (Acta de entrega
digital)
1. Acta de entrega
2. BANNER - Crear Cargo. (Si aplica
en caso de daños)
1.Aprobación por el CMA a la solicitud
realizada.
2. Liberación de las salas en la APP para
su próximo uso
3. BANNER - Crear Cargo. (Si aplica en
caso de daños)
1.Cotizaciones de Reparación (Si aplica)
2. Generación de Orden de Compra (Si
aplica)
3. Notificación vía correo electrónico
de activos fijos (Si aplica)
4. Generación de RAEE y químicos
fotográficos
1.Diagnostico del equipo Instalación del
software con pruebas de
funcionamiento
2. Creación de caso en mesa de
soluciones (si aplica- centro de medios
no administra el software)
1. Planeación de ejecución del evento
(Equipos y personal).
2. Encuestas de experiencia</t>
  </si>
  <si>
    <t>268 - Cantidad de usuarios (Metrica)
269 - N de personas promedio por evento (Metrica)
270 - N de horas promedio por evento (Metrica)
271 - N de horas por solicitud (Metrica)
302 - N de solicitudes radicadas (Metrica)
487 - Impactados Talleres de formación
498 - Nivel de Satisfacción Servicios Prestados - Centro de Medios Audiovisuales</t>
  </si>
  <si>
    <r>
      <t xml:space="preserve">El objetivo está enfocado en asegurar el funcionamiento de los equipos audiovisuales y apoyar eventos institucionales. </t>
    </r>
    <r>
      <rPr>
        <sz val="11"/>
        <color rgb="FFFF0000"/>
        <rFont val="Aptos Narrow"/>
        <family val="2"/>
        <scheme val="minor"/>
      </rPr>
      <t>Es claro en cuanto a la gestión operativa y tecnológica, pero podría fortalecerse incluyendo el seguimiento a la calidad del servicio, la experiencia del usuario y la mejora continua.</t>
    </r>
  </si>
  <si>
    <t>Los indicadores actuales están alineados con la gestión operativa y satisfacción.</t>
  </si>
  <si>
    <t>Gestionar, mantener y evaluar el uso de los equipos y espacios audiovisuales institucionales, garantizando su disponibilidad, funcionamiento óptimo y soporte a eventos académicos y administrativos, con enfoque en la calidad del servicio y la satisfacción de los usuarios.</t>
  </si>
  <si>
    <t>CREACIÓN, MODIFICACIÓN Y CIERRE DE PROGRAMAS ACADÉMICOS</t>
  </si>
  <si>
    <t xml:space="preserve">Asegurar la calidad, pertinencia y actualización de la oferta educativa del Poli mediante la gestión de los procesos de creación, modificación y cierre de programas académicos en
coherencia con los lineamientos del proyecto educativo institucional.
</t>
  </si>
  <si>
    <t>El proceso inicia con la definición de los instrumentos para la captura de información y la elaboración de los planes de trabajo necesarios para el desarrollo del proceso, siguiendo
con la socialización del cronograma de registros calificados para gestionar ante el Ministerio de Educación Nacional los procesos de creación, renovación, modificación y cierre de
programas académicos; y finaliza con la evaluación del desempeño e implementación de acciones en caso de que aplique.</t>
  </si>
  <si>
    <t>Definir el modelo de registros 
calificados en alta calidad
Definir los instrumentos de captura de 
información del proces
Definir planes de trabajo para el 
desarrollo de cada uno de los 
procesos de aseguramiento de la 
calidad
Socializar con el proceso de Gestión 
de Unidades Académicas el 
cronograma de registros calificados
Diligenciar los formatos de captura de 
información para alimentar los 
procesos de aseguramiento de la 
calidad
Construir el informe de condiciones 
de calidad para presentar el proceso 
ante el Ministerio de Educación 
Nacional
Hacer seguimiento al cumplimiento 
del cronograma establecido para el 
desarrollo de los procesos de 
aseguramiento de la calidad
Gestionar ante el Ministerio de 
Educación Nacional los procesos de 
registros calificados (creación, 
renovación, modificación y cierre) 
Gestionar la creación, renovación, 
modificación y cierre de programas 
académicos
Actualizar el modelo de registro 
calificado a la luz de las actualizaciones 
que ocurran en el Sistema de 
Aseguramiento de la Calidad Nacional.</t>
  </si>
  <si>
    <t>1. Documento Sistema Interno de 
Aseguramiento de la Calidad
2. Documentación del proceso
1. CMI programas
1. Propuesta de cronograma de 
registros calificado
1. Circular de registros calificados
. Registros de información 
Institucional y de programas 
académicos
1. Informe de condiciones de calidad
1. Registro de seguimiento CMI
1. Comunicaciones oficiales del MEN
1. Oficio de notificación al MEN
2. Plan de contingencia
3. Informe de condiciones de calidad
. Documento Sistema Interno de 
Aseguramiento de la Calidad 
2. Plantilla de informe de condiciones 
de calidad actualizada</t>
  </si>
  <si>
    <t xml:space="preserve">323 - Número de renovaciones de registro calificado aprobadas
324 - Número de programas nuevos radicados en el Ministerio de Educación
325 - Número de programas nuevos con registro calificado aprobado (Metrica)
475 - Número de renovaciones de registro calificado radicadas al MEN
</t>
  </si>
  <si>
    <t xml:space="preserve">700 - Tasa de exito de creación de programas y renovaciones
Tasa de exito de gestión del portafolio ante el MEN
 </t>
  </si>
  <si>
    <r>
      <t xml:space="preserve">El objetivo está bien formulado, con énfasis en asegurar la calidad, pertinencia y actualización de la oferta educativa. Está alineado con los lineamientos institucionales y el enfoque de mejora continua. </t>
    </r>
    <r>
      <rPr>
        <sz val="11"/>
        <color rgb="FFFF0000"/>
        <rFont val="Aptos Narrow"/>
        <family val="2"/>
        <scheme val="minor"/>
      </rPr>
      <t>Sin embargo, podría fortalecerse incluyendo explícitamente el seguimiento a resultados y la articulación con otros procesos como innovación curricular o planeación académica.</t>
    </r>
  </si>
  <si>
    <r>
      <t xml:space="preserve">Los indicadores actuales están bien alineados: 323, 324, 325, 326: permiten medir la gestión ante el Ministerio de Educación en términos de creación y renovación de programas, lo cual refleja directamente el cumplimiento del objetivo. </t>
    </r>
    <r>
      <rPr>
        <sz val="11"/>
        <color rgb="FFFF0000"/>
        <rFont val="Aptos Narrow"/>
        <family val="2"/>
        <scheme val="minor"/>
      </rPr>
      <t>Sin embargo, no se mide la eficiencia del proceso ni la calidad de la documentación presentada.</t>
    </r>
  </si>
  <si>
    <r>
      <t xml:space="preserve">Los indicadores propuestos (700 - Tasa de éxito en creación y renovaciones, y Tasa de éxito en gestión del portafolio ante el MEN) son pertinentes y fortalecen el enfoque en resultados. Permiten evaluar no solo la cantidad, sino la efectividad del proceso. </t>
    </r>
    <r>
      <rPr>
        <sz val="11"/>
        <color rgb="FFFF0000"/>
        <rFont val="Aptos Narrow"/>
        <family val="2"/>
        <scheme val="minor"/>
      </rPr>
      <t>Sería útil complementarlos con indicadores de tiempos de gestión o calidad documental.</t>
    </r>
  </si>
  <si>
    <t>Gestionar, evaluar y mejorar los procesos de creación, modificación y cierre de programas académicos, asegurando su calidad, pertinencia y alineación con los lineamientos institucionales y normativos, para fortalecer la oferta educativa del POLI y su posicionamiento ante el Ministerio de Educación Nacional.</t>
  </si>
  <si>
    <t>% de éxito en la radicación y aprobación de programas nuevos y renovaciones
Tiempo promedio de gestión por tipo de trámite (creación, modificación, cierre)
Nivel de cumplimiento del cronograma de trabajo por programa
Nivel de satisfacción de las áreas académicas con el acompañamiento del proceso
% de documentación validada sin requerimientos por parte del MEN</t>
  </si>
  <si>
    <t>EMPRENDIMIENTO</t>
  </si>
  <si>
    <t>398 - Participación en actividades de desarrollo de Cultura y Formación Emprendedora
399 - Sesiones de Acompañamiento a emprendedores en creación de empresas
400 - Puesta en marcha de proyectos de emprendimiento
609 - Nivel de satisfacción con las actividades de formación
610 - Evaluación del desempeño de los mentores</t>
  </si>
  <si>
    <t>609 - Nivel de satisfacción con las actividades de formación
610 - Evaluación del desempeño de los mentores</t>
  </si>
  <si>
    <t>GESTIÓN DE LA RESPONSABILIDAD SOCIAL</t>
  </si>
  <si>
    <t>Contribuir al desarrollo de nuestra sociedad a través del modelo de educación y de los diferentes programas de responsabilidad social de la Institución.</t>
  </si>
  <si>
    <t>Inicia desde la identificación de las necesidades, planeación y desarrollo de actividades de responsabilidad social hasta el impacto con las comunidades internas y externas.</t>
  </si>
  <si>
    <t>Realizar la planeación operativa del
proceso 
Realizar y analizar la información del
formulario Huella Verde
Diseñar las estrategias y actividades de
Poli voluntariado
Participar en redes de Responsabilidad
Social Universitaria
Ejecutar planes, programas y
proyectos
Convocatoria, otorgamiento y
acompañamiento programa de Becas
Recaudación de fondos</t>
  </si>
  <si>
    <t>1. Planes de trabajo
2. Propuesta de Presupuesto del
proceso
1. Reporte SNIES
2. Certificado de Responsabilidad Social
- FENALCO.
3. Informe de gestión.
1.Proyectos de Responsabilidad Social.
2. Evidencias de las actividades de
participación Poli voluntariado
3. Comunicados.
4. Alianzas con empresas.
1.Proyectos interuniversitarios
2. Comunicados
3. Informes y resultados de
participación
1. Evidencias documentadas
1. Campaña postulación
2. Listado de Postulaciones
3. Actas Mesa de otorgamiento de
becas
4. Listado de becas
1. Convenios
2. Memorandos de legalización (Si
aplica)
3. Reporte de comisiones</t>
  </si>
  <si>
    <t>361 - Índice de Inclusión
364 - Impacto de actividades de Responsabilidad y proyección
367 - Estudiantes con Becas
369 - Participación de POLI- voluntariados (Estudiantes- Colaboradores)
371 - Recaudación de fondos</t>
  </si>
  <si>
    <t xml:space="preserve">Satisfacción con la estrategia de acompañamiento del proceso de inclusión
</t>
  </si>
  <si>
    <r>
      <t xml:space="preserve">El objetivo está bien formulado y enfocado en el impacto social a través de la educación y los programas institucionales. Sin embargo, </t>
    </r>
    <r>
      <rPr>
        <sz val="11"/>
        <color rgb="FFFF0000"/>
        <rFont val="Aptos Narrow"/>
        <family val="2"/>
        <scheme val="minor"/>
      </rPr>
      <t>podría fortalecerse incluyendo explícitamente el seguimiento, evaluación del impacto social y la articulación con actores externos (comunidad, redes, aliados). También sería útil mencionar el enfoque en sostenibilidad y mejora continua.</t>
    </r>
  </si>
  <si>
    <t>El indicador propuesto Satisfacción con la estrategia es pertinente, ya que aporta la perspectiva del usuario (estudiantes, colaboradores, comunidad).</t>
  </si>
  <si>
    <t>Gestionar, ejecutar y evaluar los programas de responsabilidad social institucional, promoviendo la inclusión, el voluntariado, la sostenibilidad y el impacto positivo en la comunidad, en articulación con redes externas y en coherencia con el modelo educativo del POLI.</t>
  </si>
  <si>
    <t xml:space="preserve">Número de alianzas activas con redes de responsabilidad social universitaria
</t>
  </si>
  <si>
    <t>DISEÑO DE CONTENIDO VIRTUAL</t>
  </si>
  <si>
    <t>Crear y diseñar los contenidos para la oferta de los programas de educación virtual a partir de los lineamientos establecidos en el sistema de
educación virtual del Poli</t>
  </si>
  <si>
    <t>Inicia con la entrega del syllabus avalado por gestión de unidades académicas, siguiendo con la planeación del proceso, creación y virtualización de
contenidos; y finaliza con la entrega a ambientes para su publicación en plataforma.</t>
  </si>
  <si>
    <t>Definir plan estratégico de educación 
virtual
Crear contenidos virtuales de calidad 
para programas de pregrado y 
posgrado virtual.
Diseñar contenidos virtuales alineados 
a la autoría. 
Realizar la producción de videos para 
los contenidos virtuales.
Solicitar publicación de contenidos 
virtuales.</t>
  </si>
  <si>
    <t>1. Plan de trabajo de educación virtual 
1. Documentación de contenido de 
módulo
1. Contenidos virtuales elaborados
2. Guiones de video
1. Videos elaborados – enlace 
1. Solicitud generada</t>
  </si>
  <si>
    <t>397 - Gestión de casos del Estudio de Grabación Virtual
453 - Número de cursos diseñados
455 - ANS Diseño de contenidos virtuales
508 - Nivel de Satisfacción Servicios Prestados - Diseño y contenido virtual</t>
  </si>
  <si>
    <t>396 - Publicaciones en el Campus Virtual
454 - Satisfacción de la calidad del contenido</t>
  </si>
  <si>
    <r>
      <t xml:space="preserve">El objetivo está bien enfocado en la creación de contenidos virtuales alineados con los lineamientos institucionales. Sin embargo, </t>
    </r>
    <r>
      <rPr>
        <sz val="11"/>
        <color rgb="FFFF0000"/>
        <rFont val="Aptos Narrow"/>
        <family val="2"/>
        <scheme val="minor"/>
      </rPr>
      <t>podría fortalecerse incluyendo explícitamente el seguimiento a la calidad, la actualización continua de los contenidos y la experiencia del usuario (estudiante y docente). También sería útil mencionar la articulación con el modelo pedagógico institucional.</t>
    </r>
  </si>
  <si>
    <t>Los indicadores permiten evaluar tanto la producción como la percepción del servicio.</t>
  </si>
  <si>
    <t>Se recomienda proponer nuevos indicadores que midan la calidad pedagógica, la actualización de contenidos y el impacto en el aprendizaje.</t>
  </si>
  <si>
    <t>Diseñar, producir y evaluar contenidos virtuales de calidad para programas académicos, alineados con los lineamientos del sistema de educación virtual del POLI, garantizando su pertinencia pedagógica, actualización continua y contribución efectiva al aprendizaje de los estudiantes.</t>
  </si>
  <si>
    <t>Nivel de satisfacción de docentes y estudiantes con los contenidos virtuales</t>
  </si>
  <si>
    <t>Gestionar y acompañar los planes de estudio de los programas académicos en correspondencia con las políticas, reglamentos y estrategias institucionales para promover la
formación integral del estudiante.</t>
  </si>
  <si>
    <t>Inicia con la planeación de las labores académicas, docentes, formativas, culturales, científicas y de extensión de los programas académicos. finaliza con la definición de planes de
mejora de acuerdo con los resultados de evaluación 360, aplica para los niveles de pregrado y posgrado en sus diferentes modalidades del Poli.</t>
  </si>
  <si>
    <t>Planear las labores académicas,
docentes, formativas, culturales,
científicas y de extensión de los
programas académicos.
Planear las labores académicas,
docentes, formativas, culturales,
científicas y de extensión de las
escuelas.
Determinar las necesidades de la
planta profesoral
Asignar docentes a labores misionales
Desarrollar las actividades académicas
Ejecutar planes de facultad
Verificar las labores académicas,
docentes, formativas, culturales,
científicas y de extensión de los
programas académicos.
Verificar las labores académicas,
docentes, formativas, culturales,
científicas y de extensión de las
escuelas.</t>
  </si>
  <si>
    <t>Planes de facultades:
1. Escuela
2. Investigación
3. Docencia
4. Internacionalización
5. Impacto en sector externo
Planes de escuela:
• Docencia
• Investigación
• Internacionalización
• Impacto en sector externo
• Requerimiento de escuelas y
facultades
• Planes de trabajo de profesores
• Evidencias de ejecución del Plan de
Trabajo
Informe de labor académica
• Notas académicas
• Evidencias documentadas
1. Informe de evaluación de gestión
por Facultad.
Informe de gestión por Escuela</t>
  </si>
  <si>
    <t>Asegurar el proceso de inscripción, admisión y matricula de estudiantes nuevos, suministrando la información de los programas académicos del Poli vigentes y activos, requisitos
de ingreso y planes y programas de financiación.</t>
  </si>
  <si>
    <t>Inicia con el la generación de prospectos, pasando por la inscripción, admisión y matrícula financiera, finaliza la definición de planes de mejoramiento, aplica para los niveles de
pregrado y posgrado en las diferentes modalidades definidas por el Poli</t>
  </si>
  <si>
    <t>Realizar la planeación operativa del
proceso
Ejecutar planes, programas y 
proyectos
Generar prospectos por los diferentes 
canales (B2B - CSUS - BTL)
Suministrar información sobre los 
programas académicos y apoyos 
financieros a los prospectos con el fin 
de convertirlos en inscritos. 
Admitirlos con la documentación 
reglamentaria.
Matricular financieramente los 
admitidos</t>
  </si>
  <si>
    <t xml:space="preserve">. Planes operativos, cronogramas 
2. Propuesta de Presupuesto del 
proceso 
. Evidencias documentadas 
1. Bases de datos de empresas publicas 
y privadas, colegios, entes no 
gubernamentales.
2. Listas de asistencia de capacitación.
1. Informe de seguimiento leads y 
matriculas (Semanal).
2. Tablero de control matriculas
3. Acciones Táctica
1. Matriculados </t>
  </si>
  <si>
    <t>379 - Total estudiantes nuevos
380 - Ingresos de matriculas de estudiantes nuevos
381 - Cumplimiento de matrículas pregrado presencial nuevos
382 - Cumplimiento de matrículas pregrado virtual nuevos
383 - Cumplimiento de matrículas posgrado virtual nuevos
384 - Cumplimiento de matrículas posgrado presencial nuevos</t>
  </si>
  <si>
    <t xml:space="preserve">516 - Total conversión
 </t>
  </si>
  <si>
    <r>
      <t>El objetivo está bien formulado y enfocado en asegurar el proceso de ingreso de estudiantes nuevos, incluyendo información académica y financiera.</t>
    </r>
    <r>
      <rPr>
        <sz val="11"/>
        <color rgb="FFFF0000"/>
        <rFont val="Aptos Narrow"/>
        <family val="2"/>
        <scheme val="minor"/>
      </rPr>
      <t xml:space="preserve"> Sin embargo, podría fortalecerse incluyendo el seguimiento a la conversión de prospectos, la experiencia del usuario y la mejora continua del proceso.</t>
    </r>
  </si>
  <si>
    <r>
      <t xml:space="preserve">Estos indicadores son útiles para evaluar el desempeño comercial y operativo, </t>
    </r>
    <r>
      <rPr>
        <sz val="11"/>
        <color rgb="FFFF0000"/>
        <rFont val="Aptos Narrow"/>
        <family val="2"/>
        <scheme val="minor"/>
      </rPr>
      <t>aunque no miden la eficiencia del proceso ni la percepción del usuario.</t>
    </r>
  </si>
  <si>
    <t>El indicador propuesto 516 - Total conversión es muy pertinente, ya que permite medir la efectividad del proceso desde la generación de prospectos hasta la matrícula. Este indicador complementa bien los actuales, aportando una visión más estratégica.</t>
  </si>
  <si>
    <r>
      <rPr>
        <sz val="11"/>
        <color rgb="FFFF0000"/>
        <rFont val="Aptos Narrow"/>
        <family val="2"/>
        <scheme val="minor"/>
      </rPr>
      <t>Gestionar, ejecutar y evalua</t>
    </r>
    <r>
      <rPr>
        <sz val="11"/>
        <color theme="1"/>
        <rFont val="Aptos Narrow"/>
        <family val="2"/>
        <scheme val="minor"/>
      </rPr>
      <t>r el proceso de inscripción, admisión y matrícula de estudiantes nuevos, garantizando la calidad, oportunidad y efectividad en la conversión de prospectos, en articulación con las áreas académicas y financieras, y en coherencia con los lineamientos institucionales.</t>
    </r>
  </si>
  <si>
    <t>Tiempo promedio de admisión y matrícula por estudiante
Nivel de satisfacción de estudiantes nuevos con el proceso de ingreso</t>
  </si>
  <si>
    <t>REGISTRO Y CONTROL</t>
  </si>
  <si>
    <t>Garantizar una operación académica eficiente y de alta calidad, centrada en el estudiante, mediante la gestión oportuna de los procesos académicos formales, con el
fin de contribuir al logro de sus metas personales y profesionales, y al fortalecimiento de la excelencia institucional</t>
  </si>
  <si>
    <t>El proceso inicia con la planificación, construcción y socialización del calendario Institucional, articulando la gestión de homologaciones internas, externas y de
convenio; con el monitoreo y aseguramiento del cargue oportuno de notas, la parametrización y emisión de certificados y la administración del proceso de titulación.
Este proceso aplica a aspirantes en trámite de homologación, estudiantes nuevos y actuales, abarcando todos los niveles, programas y modalidades. Culmina con el
análisis de resultados y la formulación de acciones de mejora continua, orientadas a optimizar la experiencia académica</t>
  </si>
  <si>
    <t>Consolidar el Calendario Institucional
(Planeación Académica)
Gestionar las homologaciones
externas
Parametrizar y gestionar las
homologaciones por convenio
Gestionar el reporte de notas
(Registro Académico)
Administrar la generación de
certificados (Registro Académico)
Gestionar las homologaciones internas
(Registro Académico)
Gestionar la titulación y Graduación</t>
  </si>
  <si>
    <t>1. Calendario Institucional anual
publicado
Acta cierre de homologación
2. Reporte FDI de cierre
3. Homologaciones cargadas en el
sistema académico
1. Parametrización de atributos de
rutas de homologación por
convenio
2. Aplicación de homologaciones
conforme a convenio
1. Registro de notas en el sistema
académico
2. Paso a historia académica
3. Actualización de promedio
académico
4. Reporte de notas faltantes
1. Emisión de certificado digital o físico
1. Registro de homologación en el
sistema académico
2. Reporte para actualización de
proyección académica
1. Cronograma del processo de
grados
2. Habilitación del proceso de grados
y cumplimiento de paz y salvo en
Smart Campus
3. Reporte de pagos de derechos de
grado
4. Diplomas y actas de grado
5. Titulación en el sistema académico
6. Encuesta de satisfacción proceso
de grado</t>
  </si>
  <si>
    <t>246 - Satisfacción del proceso de grados presencial
444 - CES Proceso de grados
445 - Satisfacción del proceso de grados virtual
538 - Cumplimiento de sesiones de socialización de planeación académica
539 - Satisfacción en la emisión de certificado</t>
  </si>
  <si>
    <t>538 - Cumplimiento de sesiones de socialización de planeación académica
539 - Satisfacción en la emisión de certificado</t>
  </si>
  <si>
    <r>
      <t>El objetivo está bien formulado, con énfasis en la eficiencia, calidad y enfoque en el estudiante. Se alinea con los principios institucionales y busca contribuir al logro de metas personales y profesionales.</t>
    </r>
    <r>
      <rPr>
        <sz val="11"/>
        <color rgb="FFFF0000"/>
        <rFont val="Aptos Narrow"/>
        <family val="2"/>
        <scheme val="minor"/>
      </rPr>
      <t xml:space="preserve"> Sin embargo, podría fortalecerse incluyendo explícitamente el seguimiento a la trazabilidad de los procesos, la mejora continua y la articulación con sistemas académicos.</t>
    </r>
  </si>
  <si>
    <t>Los indicadores permiten evaluar tanto la percepción como la ejecución de procesos clave.</t>
  </si>
  <si>
    <t>Gestionar, monitorear y mejorar los procesos académicos formales relacionados con el registro, control y titulación, garantizando su eficiencia, calidad y trazabilidad, en articulación con los sistemas institucionales y con enfoque en la experiencia del estudiante.</t>
  </si>
  <si>
    <t>Tiempo promedio de emisión de certificados
Nivel de satisfacción de estudiantes con procesos de homologación, certificación y titulación
% de estudiantes titulados dentro del tiempo esperado</t>
  </si>
  <si>
    <t>SERVICIO</t>
  </si>
  <si>
    <t>Garantizar la atención integral a los estudiantes y graduados por medio de los canales de atención definidos por la institución , promoviendo una experiencia de
servicio positiva.</t>
  </si>
  <si>
    <t>Este proceso aplica a los estudiantes y graduados del Poli. Inicia con la recepción de las solicitudes de los estudiantes y/o graduados a través de los diferentes canales
de atención definidos por la Universidad, pasando por el análisis y emisión de la respuesta; y finaliza con la identificación, análisis y puesta en marcha de las
oportunidades de mejora.</t>
  </si>
  <si>
    <t>Definir las acciones
correspondientes para la adecuada
ejecución de los canales de
atención
Gestionar oportunamente las
solicitudes
Analizar y medir los resultados de la
gestión realizada en los canales de
atención.
Identificar oportunidades de mejora.
Gestionar las acciones de mejora de
Servicio y realizar seguimiento al
impacto en los indicadores</t>
  </si>
  <si>
    <t>1. Estrategia de Servicio
1. Repuesta integral a las solicitudes.
2. Indicadores de gestión de las
solicitudes.
1. Reporte de analítica de servicio al
estudiante.
1. Directrices y /o estrategias para la
operación.
1. Resultados de los indicadores de
gestión.</t>
  </si>
  <si>
    <t>193 - Porcentaje de Cumplimiento del Acuerdo de Nivel de Servicio (ANS)
261 - CES- Costumer Effort Score del proceso de Saber Pro
524 - FCR- Resolución en primer contacto</t>
  </si>
  <si>
    <t>524 - FCR- Resolución en primer contacto</t>
  </si>
  <si>
    <r>
      <t>El objetivo está bien formulado, con un enfoque claro en la atención integral y la experiencia positiva del estudiante y graduado. Se alinea con los principios de calidad institucional y mejora continua.</t>
    </r>
    <r>
      <rPr>
        <sz val="11"/>
        <color rgb="FFFF0000"/>
        <rFont val="Aptos Narrow"/>
        <family val="2"/>
        <scheme val="minor"/>
      </rPr>
      <t xml:space="preserve"> Sin embargo, podría fortalecerse incluyendo explícitamente el seguimiento a la resolución de solicitudes y la retroalimentación para la mejora del servicio.</t>
    </r>
  </si>
  <si>
    <t>Los indicadores permiten evaluar tanto la eficiencia como la percepción del servicio.</t>
  </si>
  <si>
    <t>Gestionar, monitorear y mejorar los canales de atención institucional, garantizando una experiencia de servicio eficiente, empática y centrada en el estudiante y graduado, en coherencia con los estándares de calidad y mejora continua del POLI.</t>
  </si>
  <si>
    <r>
      <t>Nivel de satisfacción con los canales de atención
Tiempo promedio de resolución de solicitudes.
% de cumplimiento del ANS por tipo de solicitud
% de solicitudes resueltas sin escalamiento
Í</t>
    </r>
    <r>
      <rPr>
        <sz val="11"/>
        <color rgb="FFFF0000"/>
        <rFont val="Aptos Narrow"/>
        <family val="2"/>
        <scheme val="minor"/>
      </rPr>
      <t>ndice de mejora continua en la atención (basado en retroalimentación)</t>
    </r>
  </si>
  <si>
    <t>Diseñar, implementar y evaluar las estrategias institucionales que favorezcan la Permanencia y graduación oportuna de los estudiantes del Politécnico Grancolombiano</t>
  </si>
  <si>
    <t>Inicia con estructurar las estrategias de acompañamiento y segumiento a los estudiantes con relación a su ciclo de vida en la institución, y finaliza con la identificación, analisis y
puesta en marcha de las oportunidades de mejora, aplica para los estudiantes de pregrado y posgrado del Politécnico Grancolombiano.</t>
  </si>
  <si>
    <t>Realizar la planeación operativa del
proceso
Ejecutar planes, programas y
proyectos
Estructurar las estrategias de
acompañamiento y seguimiento a los
estudiantes con relación a su ciclo de
vida en la institución.
Implementar el cronograma de
actividades de acompañamiento y
seguimiento académico definido.
Medir el impacto de las estrategias en
las tasas de Permanencia vs las metas
institucionales.</t>
  </si>
  <si>
    <t>1. Planes operativos, cronogramas
2. Propuesta de Presupuesto del
proceso
1. Evidencias documentadas
1. Cronograma de actividades de
acompañamiento y seguimiento
académico.
1. Reporte de informe en adviser de la
ejecución de las actividades individuales
y grupales.
1. Informe de impacto y tasas de
Permanencia.
2. Oportunidades de mejora para el
diseño de estrategias para la
Permanencia y graduación oportuna.</t>
  </si>
  <si>
    <t>245 - Tasa de Permanencia Intersemestral
252 - Tasa de Permanencia Intersemestral de Estudiantes Ingresantes</t>
  </si>
  <si>
    <r>
      <t xml:space="preserve">El objetivo está bien formulado, con énfasis en el diseño, implementación y evaluación de estrategias que favorezcan la permanencia y graduación oportuna. Está alineado con el enfoque institucional de acompañamiento al estudiante. </t>
    </r>
    <r>
      <rPr>
        <sz val="11"/>
        <color rgb="FFFF0000"/>
        <rFont val="Aptos Narrow"/>
        <family val="2"/>
        <scheme val="minor"/>
      </rPr>
      <t>Sin embargo, podría fortalecerse incluyendo explícitamente el seguimiento a la efectividad de las estrategias y la articulación con áreas académicas y de bienestar.</t>
    </r>
  </si>
  <si>
    <t xml:space="preserve"> Ambos permiten evaluar el impacto de las estrategias en la retención estudiantil, aunque no miden la calidad del acompañamiento ni la percepción del estudiante.</t>
  </si>
  <si>
    <t>Diseñar, implementar y evaluar estrategias integrales de acompañamiento académico y personal que favorezcan la permanencia y graduación oportuna de los estudiantes del POLI, en articulación con las áreas institucionales y con enfoque en la mejora continua.</t>
  </si>
  <si>
    <r>
      <t xml:space="preserve">Nivel de satisfacción con las estrategias de acompañamiento
</t>
    </r>
    <r>
      <rPr>
        <sz val="11"/>
        <color rgb="FFFF0000"/>
        <rFont val="Aptos Narrow"/>
        <family val="2"/>
        <scheme val="minor"/>
      </rPr>
      <t>Tasa de graduación oportuna por cohorte</t>
    </r>
    <r>
      <rPr>
        <sz val="11"/>
        <color theme="1"/>
        <rFont val="Aptos Narrow"/>
        <family val="2"/>
        <scheme val="minor"/>
      </rPr>
      <t xml:space="preserve">
% de estudiantes en riesgo que continúan tras intervención</t>
    </r>
  </si>
  <si>
    <t>Diseñar, implementar y evaluar las estrategias institucionales que favorezcan el cumplimiento de las metas de la rematricula de los estudiantes antiguos del Politécnico
Grancolombiano.</t>
  </si>
  <si>
    <t>Inicia con definir las metas de Rematricula y finaliza con la identificación, análisis y puesta en marcha de las oportunidades de mejora, aplica para los programas de pregrado y
posgrado de las diferentes modalidades que ofrece el Politécnico Grancolombiano</t>
  </si>
  <si>
    <t>Realizar la planeación operativa del
proceso 
Ejecutar planes, programas y
proyectos
Definir las metas de rematricula.
Diseñar la estrategia de rematricula.
Implementar la estrategia de
rematricula.
Realizar seguimiento de cumplimiento
de metas de rematricula.
Cerrar periodo de rematricula</t>
  </si>
  <si>
    <t>1. Planes operativos, cronogramas
2. Propuesta de Presupuesto del
proceso
1. Estrategia de rematricula para el
semestre.
2. Plan de comunicación.
3. Campaña de rematricula
1. Estudiantes rematriculados.
(Reportes de BI)
1. Oportunidades de mejora de la
estrategia.
2. Modificación a la estrategia para
cumplir la meta.
3. Reporte de Gestión de CSU propios
y aliados.
1. Análisis de rematriculas vs metas
institucionales.
2. Presupuesto para el siguiente
periodo.</t>
  </si>
  <si>
    <t>260 - CES- Costumer Effort Score del proceso de Rematrícula
274 - Cumplimiento total estudiantes antiguos</t>
  </si>
  <si>
    <r>
      <t>El objetivo está bien formulado, con énfasis en el diseño, implementación y evaluación de estrategias para el cumplimiento de metas de rematrícula. Está alineado con la gestión institucional y la continuidad académica de los estudiantes. Sin embargo,</t>
    </r>
    <r>
      <rPr>
        <sz val="11"/>
        <color rgb="FFFF0000"/>
        <rFont val="Aptos Narrow"/>
        <family val="2"/>
        <scheme val="minor"/>
      </rPr>
      <t xml:space="preserve"> podría fortalecerse incluyendo explícitamente el enfoque en la experiencia del estudiante y la articulación con áreas como servicio, financiero y académico.</t>
    </r>
  </si>
  <si>
    <t>Estos indicadores permiten evaluar tanto la percepción como el resultado del proceso.</t>
  </si>
  <si>
    <t>Diseñar, implementar y evaluar estrategias institucionales que faciliten la rematrícula oportuna de los estudiantes antiguos, garantizando una experiencia positiva, eficiente y alineada con las metas institucionales de continuidad académica.</t>
  </si>
  <si>
    <t>% de estudiantes rematriculados con apoyo financiero gestionado
Numero de estudiantes recupero (Reintegros)</t>
  </si>
  <si>
    <t>SERVICIO DE SALUD</t>
  </si>
  <si>
    <t>Prestar oportunamente, ágil y eficiente la atención de primeros auxilios y de medicina general en bajo nivel de complejidad, manteniendo siempre un trato respetuoso y cálido
buscando la satisfacción del paciente, desarrollando acciones de promoción y prevención de la salud que contribuyan a la conservación del bienestar físico, mental y social de la
comunidad de la institución educativa politécnico grancolombiano.</t>
  </si>
  <si>
    <t>Inicia con la planeación del mantenimiento de los requisitos legales para la prestación de servicios de salud, atención de primeros auxilios y ejecución de las actividades de
promoción y prevención de la salud hasta la identificación de oportunidades de mejora del Servicio de Salud.</t>
  </si>
  <si>
    <t>Realizar la planeación de educación y
 sensibilización en temas de salud
Atender oportunamente los primeros
auxilios al interior de la Institución
Realizar Consulta Médica
Mantenimiento de requisitos legales
servicio de salud (Habilitación)</t>
  </si>
  <si>
    <t>1. Micrositio en campus virtual (videos
mensuales)
2. Cronograma de actividades en salud
3. Programación semana
POLISALUDABLE
4. Estadística servicio de salud
1. Registro de atención diaria
2. Registro de documentos de procesos
y procedimientos asociados al servicio
de salud
3. Remisión al servicio de área
protegida, póliza estudiantil, EPS o ARL
4. Estadística servicio de salud
5. Reportes de incidentes y accidentes
laborales
1.Registro de historia clínica
2. Notificación sivigila
3. Certificado médico en casos
específicos
4. Constancia de atención o
seguimiento cuando se requiere
1. Declaración de autoevaluación
(anual)
2. Actualización de portafolio de
servicio (si aplica)
3. Necesidades documentales (si aplica)
4. Oportunidades de Mejora
5. Planeación y registros de
mantenimiento de equipos médicos.
6. Registros SIRHO
7. Plan de Gestión de Residuos
Hospitalarios</t>
  </si>
  <si>
    <t xml:space="preserve">303 - Cumplimiento del cronograma de actividades de salud
304 - Impacto de Campañas de promoción y prevención
500 - Nivel de Satisfacción Servicios Prestados -Servicio de Salud
</t>
  </si>
  <si>
    <t>520 - Impactos (Salud)
(Medir el impacto de campañas Prevención de embarazo - Tamizaje de riesgo cardiovascular
Remisiones o articulaciones en salud mental)</t>
  </si>
  <si>
    <t>305 - Cumplimiento del plan anual de mantenimiento de equipos médicos</t>
  </si>
  <si>
    <t>Prestar atención médica básica y primeros auxilios de manera oportuna, eficiente y humana, desarrollando acciones de promoción y prevención que contribuyan al bienestar físico, mental y social de la comunidad POLI, en articulación con redes externas y bajo estándares de calidad institucional.</t>
  </si>
  <si>
    <t>CULTURA Y DEPORTE</t>
  </si>
  <si>
    <t xml:space="preserve"> Contribuir al desarrollo integral del estudiante, colaborador, docente y graduado a través de la practica deportiva y cultural de la Institución</t>
  </si>
  <si>
    <t>Inicia con la planeación de los programas culturales y deportivos de la institución, ejecución de las actividades y termina con el reporte, cumplimiento e identificación de planes
de mejora de los programas.</t>
  </si>
  <si>
    <t>Realizar la planeación operativa del
proceso
Ejecutar planes, programas y
proyectos
Revisar y actualizar el cronograma de
prácticas deportivas de estudiantes,
colaboradores, docentes y graduados
(presencial - virtual).
Organizar los torneos deportivos
internos de la institución
Participar en los torneos deportivos
universitarios
CERROS, ASCUN, INDER, LIGAS
ANTIOQUEÑAS DEPORTIVAS,
ENTIDADES EXTERNAS, ENTRE
OTROS.
Revisar y actualizar el cronograma de
las actividades culturales de
estudiantes, colaboradores, docentes
y graduados (presencial - virtual)</t>
  </si>
  <si>
    <t>1. Plan de trabajo de Cultura y deporte
2. Propuesta de Presupuesto del
proceso
1. Evidencias documentadas
1. Planeación de la prácticas deportivas
2. Cronograma de prácticas deportivas
(virtual-presencial)
3. Necesidades de infraestructura (Si
aplica)
4. Necesidades de recurso humano (Si
aplica)
5. Moocs bienestar (virtual)
6. Informes SNIES
7. Solicitudes de pedido (si aplica)
1. Informe de resultados
2. Registros de participación de los
torneos
1. Premiación (Si aplica)
2. Comunicados de participación
3. Registros de participación de los
torneos
1. Planeación de actividades culturales
2. Cronograma de actividades
culturales (virtual-presencial)
3. Necesidades de infraestructura (Si
aplica)
4. Necesidades de recurso humano (Si
aplica)
5. Moocs bienestar (virtual)
6. Informes SNIES
7. Solicitudes de pedido (si aplica</t>
  </si>
  <si>
    <t xml:space="preserve">
292 - Participación en Actividades deportivas presenciales
294 - Participación en actividades culturales presenciales
507 - Nivel de Satisfacción Servicios Prestados -Cultura y Deporte</t>
  </si>
  <si>
    <t>291 - Cumplimiento del cronograma de actividades deportivas
293 - Cumplimiento del cronograma de actividades culturales</t>
  </si>
  <si>
    <r>
      <t xml:space="preserve">El objetivo está bien formulado, con un enfoque claro en el desarrollo integral de la comunidad POLI a través de la práctica cultural y deportiva. Está alineado con el bienestar institucional. </t>
    </r>
    <r>
      <rPr>
        <sz val="11"/>
        <color rgb="FFFF0000"/>
        <rFont val="Aptos Narrow"/>
        <family val="2"/>
        <scheme val="minor"/>
      </rPr>
      <t>Sin embargo, podría fortalecerse incluyendo explícitamente el seguimiento al impacto de las actividades en la formación integral y la articulación con otras áreas como permanencia, servicio y salud.</t>
    </r>
  </si>
  <si>
    <t xml:space="preserve"> Estos indicadores permiten evaluar tanto el alcance como la percepción del servicio.</t>
  </si>
  <si>
    <t>Diseñar, implementar y evaluar actividades culturales y deportivas que promuevan el desarrollo integral, la participación activa y el bienestar de estudiantes, colaboradores, docentes y graduados del POLI, en coherencia con los principios institucionales y el enfoque de formación integral.</t>
  </si>
  <si>
    <t>Subroceso</t>
  </si>
  <si>
    <t>OPERACIÓN DE NUEVOS NEGOCIOS Y CI</t>
  </si>
  <si>
    <t>Índice Optimización de la programación académica</t>
  </si>
  <si>
    <t>% De banco de preguntas creados por SIMA</t>
  </si>
  <si>
    <t>Reducción del tiempo total de contratación</t>
  </si>
  <si>
    <t>% reducción del calculo actorial - seguridad social</t>
  </si>
  <si>
    <t xml:space="preserve">% de disminución de tiempos en entrega de coneptos juridicos </t>
  </si>
  <si>
    <t>% De aulas master creadas por SIMA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</si>
</sst>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3" formatCode="_-* #,##0.00_-;\-* #,##0.00_-;_-* &quot;-&quot;??_-;_-@_-"/>
    <numFmt numFmtId="164" formatCode="_-* #,##0_-;\-* #,##0_-;_-* &quot;-&quot;??_-;_-@_-"/>
    <numFmt numFmtId="165" formatCode="0.0%"/>
  </numFmts>
  <fonts count="42"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1"/>
      <color theme="2"/>
      <name val="Tahoma"/>
      <family val="2"/>
    </font>
    <font>
      <sz val="11"/>
      <color theme="1"/>
      <name val="Tahoma"/>
      <family val="2"/>
    </font>
    <font>
      <b/>
      <sz val="11"/>
      <color theme="1"/>
      <name val="Tahoma"/>
      <family val="2"/>
    </font>
    <font>
      <sz val="11"/>
      <color rgb="FF000000"/>
      <name val="Aptos Narrow"/>
      <family val="2"/>
      <scheme val="minor"/>
    </font>
    <font>
      <sz val="12"/>
      <color theme="1"/>
      <name val="Aptos Narrow"/>
      <family val="2"/>
      <scheme val="minor"/>
    </font>
    <font>
      <b/>
      <sz val="14"/>
      <color theme="0"/>
      <name val="Aptos Narrow"/>
      <family val="2"/>
      <scheme val="minor"/>
    </font>
    <font>
      <b/>
      <sz val="12"/>
      <color rgb="FFFFFFFF"/>
      <name val="Aptos Narrow"/>
      <family val="2"/>
      <scheme val="minor"/>
    </font>
    <font>
      <b/>
      <sz val="12"/>
      <color rgb="FF002060"/>
      <name val="Aptos Narrow"/>
      <family val="2"/>
      <scheme val="minor"/>
    </font>
    <font>
      <b/>
      <sz val="14"/>
      <color rgb="FFFFFFFF"/>
      <name val="Aptos Narrow"/>
      <family val="2"/>
      <scheme val="minor"/>
    </font>
    <font>
      <sz val="12"/>
      <color rgb="FF000000"/>
      <name val="Aptos Narrow"/>
      <family val="2"/>
      <scheme val="minor"/>
    </font>
    <font>
      <sz val="12"/>
      <color rgb="FFFF0000"/>
      <name val="Aptos Narrow"/>
      <family val="2"/>
      <scheme val="minor"/>
    </font>
    <font>
      <b/>
      <sz val="12"/>
      <color rgb="FFFF0000"/>
      <name val="Aptos Narrow"/>
      <family val="2"/>
      <scheme val="minor"/>
    </font>
    <font>
      <sz val="12"/>
      <color theme="1"/>
      <name val="Calibri Light"/>
      <family val="2"/>
    </font>
    <font>
      <b/>
      <sz val="12"/>
      <color theme="1"/>
      <name val="Calibri Light"/>
      <family val="2"/>
    </font>
    <font>
      <b/>
      <sz val="12"/>
      <color rgb="FFFF0000"/>
      <name val="Calibri Light"/>
      <family val="2"/>
    </font>
    <font>
      <sz val="12"/>
      <color rgb="FFFF0000"/>
      <name val="Calibri Light"/>
      <family val="2"/>
    </font>
    <font>
      <b/>
      <sz val="12"/>
      <color theme="1"/>
      <name val="Aptos Narrow"/>
      <family val="2"/>
      <scheme val="minor"/>
    </font>
    <font>
      <b/>
      <sz val="12"/>
      <color rgb="FF000000"/>
      <name val="Calibri Light"/>
      <family val="2"/>
    </font>
    <font>
      <sz val="12"/>
      <color rgb="FF000000"/>
      <name val="Calibri Light"/>
      <family val="2"/>
    </font>
    <font>
      <b/>
      <sz val="12"/>
      <color rgb="FF000000"/>
      <name val="Aptos Narrow"/>
      <family val="2"/>
      <scheme val="minor"/>
    </font>
    <font>
      <sz val="12"/>
      <color rgb="FF00B0F0"/>
      <name val="Calibri Light"/>
      <family val="2"/>
    </font>
    <font>
      <sz val="12"/>
      <color rgb="FF00B0F0"/>
      <name val="Aptos Narrow"/>
      <family val="2"/>
      <scheme val="minor"/>
    </font>
    <font>
      <b/>
      <sz val="12"/>
      <name val="Calibri Light"/>
      <family val="2"/>
    </font>
    <font>
      <b/>
      <sz val="9"/>
      <color indexed="81"/>
      <name val="Tahoma"/>
      <family val="2"/>
    </font>
    <font>
      <sz val="9"/>
      <color indexed="81"/>
      <name val="Tahoma"/>
      <family val="2"/>
    </font>
    <font>
      <b/>
      <sz val="11"/>
      <color theme="0"/>
      <name val="Calibri"/>
      <family val="2"/>
    </font>
    <font>
      <sz val="11"/>
      <color indexed="8"/>
      <name val="Calibri"/>
      <family val="2"/>
    </font>
    <font>
      <sz val="9"/>
      <name val="Tahoma"/>
      <family val="2"/>
    </font>
    <font>
      <sz val="11"/>
      <color rgb="FFFF0000"/>
      <name val="Aptos Narrow"/>
      <family val="2"/>
      <scheme val="minor"/>
    </font>
    <font>
      <b/>
      <sz val="11"/>
      <color rgb="FFFF0000"/>
      <name val="Aptos Narrow"/>
      <family val="2"/>
      <scheme val="minor"/>
    </font>
    <font>
      <b/>
      <sz val="11"/>
      <name val="Aptos Narrow"/>
      <family val="2"/>
      <scheme val="minor"/>
    </font>
    <font>
      <sz val="11"/>
      <color rgb="FF000000"/>
      <name val="Aptos Narrow"/>
      <family val="2"/>
    </font>
    <font>
      <b/>
      <sz val="11"/>
      <color rgb="FFFF0000"/>
      <name val="Aptos Narrow"/>
      <family val="2"/>
    </font>
    <font>
      <b/>
      <sz val="11"/>
      <color rgb="FF0070C0"/>
      <name val="Aptos Narrow"/>
      <family val="2"/>
    </font>
    <font>
      <b/>
      <sz val="11"/>
      <color rgb="FF0070C0"/>
      <name val="Aptos Narrow"/>
      <family val="2"/>
      <scheme val="minor"/>
    </font>
    <font>
      <b/>
      <sz val="11"/>
      <color rgb="FF002060"/>
      <name val="Aptos Narrow"/>
      <family val="2"/>
    </font>
    <font>
      <b/>
      <sz val="11"/>
      <color rgb="FF000000"/>
      <name val="Aptos Narrow"/>
      <family val="2"/>
    </font>
    <font>
      <b/>
      <u/>
      <sz val="11"/>
      <color theme="1"/>
      <name val="Aptos Narrow"/>
      <family val="2"/>
      <scheme val="minor"/>
    </font>
  </fonts>
  <fills count="20">
    <fill>
      <patternFill patternType="none"/>
    </fill>
    <fill>
      <patternFill patternType="gray125"/>
    </fill>
    <fill>
      <patternFill patternType="solid">
        <fgColor rgb="FF002060"/>
        <bgColor indexed="64"/>
      </patternFill>
    </fill>
    <fill>
      <patternFill patternType="solid">
        <fgColor theme="7" tint="0.79998168889431442"/>
        <bgColor indexed="64"/>
      </patternFill>
    </fill>
    <fill>
      <patternFill patternType="solid">
        <fgColor rgb="FF0070C0"/>
        <bgColor indexed="64"/>
      </patternFill>
    </fill>
    <fill>
      <patternFill patternType="solid">
        <fgColor rgb="FF0B3040"/>
        <bgColor rgb="FF000000"/>
      </patternFill>
    </fill>
    <fill>
      <patternFill patternType="solid">
        <fgColor rgb="FF00B0F0"/>
        <bgColor rgb="FF000000"/>
      </patternFill>
    </fill>
    <fill>
      <patternFill patternType="solid">
        <fgColor rgb="FFFFC000"/>
        <bgColor rgb="FF000000"/>
      </patternFill>
    </fill>
    <fill>
      <patternFill patternType="solid">
        <fgColor rgb="FF0070C0"/>
        <bgColor rgb="FF000000"/>
      </patternFill>
    </fill>
    <fill>
      <patternFill patternType="solid">
        <fgColor theme="8" tint="-0.249977111117893"/>
        <bgColor rgb="FF000000"/>
      </patternFill>
    </fill>
    <fill>
      <patternFill patternType="solid">
        <fgColor rgb="FFFFFF00"/>
        <bgColor indexed="64"/>
      </patternFill>
    </fill>
    <fill>
      <patternFill patternType="solid">
        <fgColor theme="4" tint="0.79998168889431442"/>
        <bgColor indexed="64"/>
      </patternFill>
    </fill>
    <fill>
      <patternFill patternType="solid">
        <fgColor rgb="FF94DCF8"/>
        <bgColor rgb="FF000000"/>
      </patternFill>
    </fill>
    <fill>
      <patternFill patternType="solid">
        <fgColor theme="6" tint="0.59999389629810485"/>
        <bgColor indexed="64"/>
      </patternFill>
    </fill>
    <fill>
      <patternFill patternType="solid">
        <fgColor rgb="FFFFFFFF"/>
        <bgColor rgb="FF000000"/>
      </patternFill>
    </fill>
    <fill>
      <patternFill patternType="solid">
        <fgColor rgb="FF00B0F0"/>
        <bgColor indexed="64"/>
      </patternFill>
    </fill>
    <fill>
      <patternFill patternType="solid">
        <fgColor theme="9" tint="0.79998168889431442"/>
        <bgColor indexed="64"/>
      </patternFill>
    </fill>
    <fill>
      <patternFill patternType="solid">
        <fgColor rgb="FFFF0000"/>
        <bgColor indexed="64"/>
      </patternFill>
    </fill>
    <fill>
      <patternFill patternType="solid">
        <fgColor theme="5" tint="0.39997558519241921"/>
        <bgColor indexed="64"/>
      </patternFill>
    </fill>
    <fill>
      <patternFill patternType="solid">
        <fgColor theme="6"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8" fillId="0" borderId="0"/>
  </cellStyleXfs>
  <cellXfs count="148">
    <xf numFmtId="0" fontId="0" fillId="0" borderId="0" xfId="0"/>
    <xf numFmtId="0" fontId="4" fillId="2" borderId="1" xfId="0" applyFont="1" applyFill="1" applyBorder="1" applyAlignment="1">
      <alignment wrapText="1"/>
    </xf>
    <xf numFmtId="0" fontId="5" fillId="0" borderId="1" xfId="0" applyFont="1" applyBorder="1" applyAlignment="1">
      <alignment vertical="center" wrapText="1"/>
    </xf>
    <xf numFmtId="0" fontId="5" fillId="3" borderId="1" xfId="0" applyFont="1" applyFill="1" applyBorder="1" applyAlignment="1">
      <alignment vertical="center" wrapText="1"/>
    </xf>
    <xf numFmtId="0" fontId="6" fillId="3" borderId="1" xfId="0" applyFont="1" applyFill="1" applyBorder="1" applyAlignment="1">
      <alignment vertical="center" wrapText="1"/>
    </xf>
    <xf numFmtId="0" fontId="6" fillId="0" borderId="1" xfId="0" applyFont="1" applyBorder="1" applyAlignment="1">
      <alignment vertical="center" wrapText="1"/>
    </xf>
    <xf numFmtId="0" fontId="0" fillId="0" borderId="1" xfId="0" applyBorder="1"/>
    <xf numFmtId="0" fontId="0" fillId="0" borderId="1" xfId="0" applyBorder="1" applyAlignment="1">
      <alignment wrapText="1"/>
    </xf>
    <xf numFmtId="0" fontId="0" fillId="0" borderId="0" xfId="0" applyAlignment="1">
      <alignment wrapText="1"/>
    </xf>
    <xf numFmtId="0" fontId="7" fillId="0" borderId="0" xfId="0" applyFont="1" applyAlignment="1">
      <alignment wrapText="1"/>
    </xf>
    <xf numFmtId="0" fontId="10" fillId="5" borderId="1" xfId="0" applyFont="1" applyFill="1" applyBorder="1" applyAlignment="1">
      <alignment horizontal="justify" vertical="distributed" wrapText="1"/>
    </xf>
    <xf numFmtId="0" fontId="10" fillId="5" borderId="1" xfId="0" applyFont="1" applyFill="1" applyBorder="1" applyAlignment="1">
      <alignment horizontal="justify" vertical="center" wrapText="1"/>
    </xf>
    <xf numFmtId="0" fontId="11" fillId="6" borderId="1" xfId="0" applyFont="1" applyFill="1" applyBorder="1" applyAlignment="1">
      <alignment horizontal="justify" vertical="center" wrapText="1"/>
    </xf>
    <xf numFmtId="0" fontId="11" fillId="7" borderId="1" xfId="0" applyFont="1" applyFill="1" applyBorder="1" applyAlignment="1">
      <alignment horizontal="center" vertical="center" wrapText="1"/>
    </xf>
    <xf numFmtId="0" fontId="10" fillId="8" borderId="1" xfId="0" applyFont="1" applyFill="1" applyBorder="1" applyAlignment="1">
      <alignment horizontal="justify" vertical="center" wrapText="1"/>
    </xf>
    <xf numFmtId="0" fontId="10" fillId="9" borderId="1" xfId="0" applyFont="1" applyFill="1" applyBorder="1" applyAlignment="1">
      <alignment horizontal="justify" vertical="center" wrapText="1"/>
    </xf>
    <xf numFmtId="0" fontId="10" fillId="8"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9" fillId="4" borderId="1" xfId="3" applyFont="1" applyFill="1" applyBorder="1" applyAlignment="1">
      <alignment horizontal="center" vertical="center" wrapText="1"/>
    </xf>
    <xf numFmtId="0" fontId="13" fillId="0" borderId="1" xfId="0" applyFont="1" applyBorder="1" applyAlignment="1">
      <alignment horizontal="justify" vertical="center" wrapText="1"/>
    </xf>
    <xf numFmtId="0" fontId="14" fillId="0" borderId="1" xfId="0" applyFont="1" applyBorder="1" applyAlignment="1">
      <alignment horizontal="justify" vertical="center" wrapText="1"/>
    </xf>
    <xf numFmtId="0" fontId="15" fillId="0" borderId="1" xfId="0" applyFont="1" applyBorder="1" applyAlignment="1">
      <alignment horizontal="center" vertical="center" wrapText="1"/>
    </xf>
    <xf numFmtId="0" fontId="13" fillId="0" borderId="1" xfId="0" applyFont="1" applyBorder="1" applyAlignment="1">
      <alignment horizontal="center" vertical="center" wrapText="1"/>
    </xf>
    <xf numFmtId="10" fontId="13" fillId="0" borderId="1" xfId="0" applyNumberFormat="1" applyFont="1" applyBorder="1" applyAlignment="1">
      <alignment horizontal="justify" vertical="center" wrapText="1"/>
    </xf>
    <xf numFmtId="9" fontId="13" fillId="0" borderId="1" xfId="0" applyNumberFormat="1" applyFont="1" applyBorder="1" applyAlignment="1">
      <alignment horizontal="justify" vertical="center" wrapText="1"/>
    </xf>
    <xf numFmtId="0" fontId="13" fillId="0" borderId="5" xfId="0" applyFont="1" applyBorder="1" applyAlignment="1">
      <alignment horizontal="justify" vertical="center" wrapText="1"/>
    </xf>
    <xf numFmtId="0" fontId="14" fillId="0" borderId="5" xfId="0" applyFont="1" applyBorder="1" applyAlignment="1">
      <alignment horizontal="center" vertical="center" wrapText="1"/>
    </xf>
    <xf numFmtId="0" fontId="14" fillId="0" borderId="5" xfId="0" applyFont="1" applyBorder="1" applyAlignment="1">
      <alignment horizontal="justify" vertical="center" wrapText="1"/>
    </xf>
    <xf numFmtId="0" fontId="13" fillId="0" borderId="5" xfId="0" applyFont="1" applyBorder="1" applyAlignment="1">
      <alignment horizontal="center" vertical="center" wrapText="1"/>
    </xf>
    <xf numFmtId="0" fontId="8" fillId="0" borderId="1" xfId="3" applyBorder="1" applyAlignment="1">
      <alignment vertical="center" wrapText="1"/>
    </xf>
    <xf numFmtId="0" fontId="16" fillId="0" borderId="1" xfId="0" applyFont="1" applyBorder="1" applyAlignment="1">
      <alignment vertical="center" wrapText="1"/>
    </xf>
    <xf numFmtId="0" fontId="18" fillId="0" borderId="1" xfId="0" applyFont="1" applyBorder="1" applyAlignment="1">
      <alignment vertical="center" wrapText="1"/>
    </xf>
    <xf numFmtId="0" fontId="19" fillId="0" borderId="1" xfId="0" applyFont="1" applyBorder="1" applyAlignment="1">
      <alignment vertical="center" wrapText="1"/>
    </xf>
    <xf numFmtId="0" fontId="20" fillId="10" borderId="1" xfId="3" applyFont="1" applyFill="1" applyBorder="1" applyAlignment="1">
      <alignment horizontal="center" vertical="center" wrapText="1"/>
    </xf>
    <xf numFmtId="0" fontId="20" fillId="10" borderId="5" xfId="3" applyFont="1" applyFill="1" applyBorder="1" applyAlignment="1">
      <alignment horizontal="center" vertical="center" wrapText="1"/>
    </xf>
    <xf numFmtId="0" fontId="8" fillId="0" borderId="1" xfId="3" applyBorder="1" applyAlignment="1">
      <alignment horizontal="center" vertical="center" wrapText="1"/>
    </xf>
    <xf numFmtId="0" fontId="8" fillId="0" borderId="1" xfId="3" applyBorder="1" applyAlignment="1">
      <alignment horizontal="justify" vertical="center" wrapText="1"/>
    </xf>
    <xf numFmtId="0" fontId="8" fillId="10" borderId="1" xfId="3" applyFill="1" applyBorder="1" applyAlignment="1">
      <alignment vertical="center" wrapText="1"/>
    </xf>
    <xf numFmtId="0" fontId="20" fillId="0" borderId="1" xfId="3" applyFont="1" applyBorder="1" applyAlignment="1">
      <alignment horizontal="center" vertical="center" wrapText="1"/>
    </xf>
    <xf numFmtId="0" fontId="20" fillId="0" borderId="5" xfId="3" applyFont="1" applyBorder="1" applyAlignment="1">
      <alignment horizontal="center" vertical="center" wrapText="1"/>
    </xf>
    <xf numFmtId="164" fontId="8" fillId="0" borderId="1" xfId="1" applyNumberFormat="1" applyFont="1" applyBorder="1" applyAlignment="1">
      <alignment horizontal="center" vertical="center" wrapText="1"/>
    </xf>
    <xf numFmtId="9" fontId="20" fillId="0" borderId="1" xfId="3" applyNumberFormat="1" applyFont="1" applyBorder="1" applyAlignment="1">
      <alignment horizontal="center" vertical="center" wrapText="1"/>
    </xf>
    <xf numFmtId="0" fontId="20" fillId="10" borderId="1" xfId="3" applyFont="1" applyFill="1" applyBorder="1" applyAlignment="1">
      <alignment horizontal="justify" vertical="center" wrapText="1"/>
    </xf>
    <xf numFmtId="0" fontId="16" fillId="0" borderId="1" xfId="0" applyFont="1" applyBorder="1" applyAlignment="1">
      <alignment horizontal="center" vertical="center" wrapText="1"/>
    </xf>
    <xf numFmtId="9" fontId="8" fillId="0" borderId="1" xfId="2" applyFont="1" applyBorder="1" applyAlignment="1">
      <alignment horizontal="center" vertical="center" wrapText="1"/>
    </xf>
    <xf numFmtId="165" fontId="8" fillId="0" borderId="1" xfId="2" applyNumberFormat="1" applyFont="1" applyBorder="1" applyAlignment="1">
      <alignment horizontal="center" vertical="center" wrapText="1"/>
    </xf>
    <xf numFmtId="0" fontId="20" fillId="11" borderId="1" xfId="3" applyFont="1" applyFill="1" applyBorder="1" applyAlignment="1">
      <alignment horizontal="center" vertical="center" wrapText="1"/>
    </xf>
    <xf numFmtId="9" fontId="8" fillId="0" borderId="1" xfId="3" applyNumberFormat="1" applyBorder="1" applyAlignment="1">
      <alignment horizontal="center" vertical="center" wrapText="1"/>
    </xf>
    <xf numFmtId="0" fontId="13" fillId="0" borderId="5" xfId="0" applyFont="1" applyBorder="1" applyAlignment="1">
      <alignment horizontal="left" vertical="center" wrapText="1"/>
    </xf>
    <xf numFmtId="0" fontId="13" fillId="0" borderId="5" xfId="0" applyFont="1" applyBorder="1" applyAlignment="1">
      <alignment vertical="center" wrapText="1"/>
    </xf>
    <xf numFmtId="0" fontId="13" fillId="0" borderId="1" xfId="0" applyFont="1" applyBorder="1" applyAlignment="1">
      <alignment horizontal="left" vertical="center" wrapText="1"/>
    </xf>
    <xf numFmtId="0" fontId="21" fillId="0" borderId="5" xfId="0" applyFont="1" applyBorder="1" applyAlignment="1">
      <alignment vertical="center" wrapText="1"/>
    </xf>
    <xf numFmtId="0" fontId="18" fillId="0" borderId="2" xfId="0" applyFont="1" applyBorder="1" applyAlignment="1">
      <alignment vertical="center" wrapText="1"/>
    </xf>
    <xf numFmtId="0" fontId="13" fillId="0" borderId="2" xfId="0" applyFont="1" applyBorder="1" applyAlignment="1">
      <alignment horizontal="left" vertical="center" wrapText="1"/>
    </xf>
    <xf numFmtId="0" fontId="13"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4" fillId="0" borderId="6" xfId="0" applyFont="1" applyBorder="1" applyAlignment="1">
      <alignment horizontal="center" vertical="center" wrapText="1"/>
    </xf>
    <xf numFmtId="0" fontId="13" fillId="0" borderId="6" xfId="0" applyFont="1" applyBorder="1" applyAlignment="1">
      <alignment horizontal="left" vertical="center" wrapText="1"/>
    </xf>
    <xf numFmtId="0" fontId="13" fillId="0" borderId="6" xfId="0" applyFont="1" applyBorder="1" applyAlignment="1">
      <alignment horizontal="center" vertical="center" wrapText="1"/>
    </xf>
    <xf numFmtId="0" fontId="23"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3" fillId="0" borderId="1" xfId="0" applyFont="1" applyBorder="1" applyAlignment="1">
      <alignment vertical="center" wrapText="1"/>
    </xf>
    <xf numFmtId="0" fontId="23" fillId="0" borderId="1" xfId="0" applyFont="1" applyBorder="1" applyAlignment="1">
      <alignment horizontal="left" vertical="center" wrapText="1"/>
    </xf>
    <xf numFmtId="0" fontId="23" fillId="0" borderId="5" xfId="0" applyFont="1" applyBorder="1" applyAlignment="1">
      <alignment horizontal="left" vertical="center" wrapText="1"/>
    </xf>
    <xf numFmtId="0" fontId="22" fillId="0" borderId="1" xfId="0" applyFont="1" applyBorder="1" applyAlignment="1">
      <alignment vertical="center" wrapText="1"/>
    </xf>
    <xf numFmtId="0" fontId="24" fillId="0" borderId="1" xfId="0" applyFont="1" applyBorder="1" applyAlignment="1">
      <alignment vertical="center" wrapText="1"/>
    </xf>
    <xf numFmtId="0" fontId="13" fillId="12" borderId="1" xfId="0" applyFont="1" applyFill="1" applyBorder="1" applyAlignment="1">
      <alignment horizontal="center" vertical="center" wrapText="1"/>
    </xf>
    <xf numFmtId="0" fontId="25" fillId="0" borderId="1" xfId="0" applyFont="1" applyBorder="1" applyAlignment="1">
      <alignment horizontal="justify" vertical="center" wrapText="1"/>
    </xf>
    <xf numFmtId="10" fontId="13" fillId="0" borderId="1" xfId="0" applyNumberFormat="1" applyFont="1" applyBorder="1" applyAlignment="1">
      <alignment horizontal="center" vertical="center" wrapText="1"/>
    </xf>
    <xf numFmtId="0" fontId="23" fillId="12" borderId="1" xfId="0" applyFont="1" applyFill="1" applyBorder="1" applyAlignment="1">
      <alignment horizontal="center" vertical="center" wrapText="1"/>
    </xf>
    <xf numFmtId="0" fontId="13" fillId="12" borderId="6" xfId="0" applyFont="1" applyFill="1" applyBorder="1" applyAlignment="1">
      <alignment horizontal="center" vertical="center" wrapText="1"/>
    </xf>
    <xf numFmtId="9" fontId="13" fillId="0" borderId="1" xfId="0" applyNumberFormat="1" applyFont="1" applyBorder="1" applyAlignment="1">
      <alignment horizontal="center" vertical="center" wrapText="1"/>
    </xf>
    <xf numFmtId="0" fontId="22" fillId="0" borderId="5" xfId="0" applyFont="1" applyBorder="1" applyAlignment="1">
      <alignment vertical="center" wrapText="1"/>
    </xf>
    <xf numFmtId="0" fontId="19" fillId="0" borderId="5" xfId="0" applyFont="1" applyBorder="1" applyAlignment="1">
      <alignment vertical="center" wrapText="1"/>
    </xf>
    <xf numFmtId="0" fontId="15" fillId="0" borderId="5" xfId="0" applyFont="1" applyBorder="1" applyAlignment="1">
      <alignment horizontal="center" vertical="center" wrapText="1"/>
    </xf>
    <xf numFmtId="0" fontId="15" fillId="0" borderId="2" xfId="0" applyFont="1" applyBorder="1" applyAlignment="1">
      <alignment horizontal="center" vertical="center" wrapText="1"/>
    </xf>
    <xf numFmtId="0" fontId="23" fillId="0" borderId="6" xfId="0" applyFont="1" applyBorder="1" applyAlignment="1">
      <alignment horizontal="center" vertical="center" wrapText="1"/>
    </xf>
    <xf numFmtId="0" fontId="22" fillId="0" borderId="1" xfId="0" applyFont="1" applyBorder="1" applyAlignment="1">
      <alignment horizontal="center" vertical="center" wrapText="1"/>
    </xf>
    <xf numFmtId="0" fontId="7" fillId="0" borderId="1" xfId="0" applyFont="1" applyBorder="1"/>
    <xf numFmtId="0" fontId="16" fillId="0" borderId="1" xfId="3" applyFont="1" applyBorder="1" applyAlignment="1">
      <alignment vertical="center" wrapText="1"/>
    </xf>
    <xf numFmtId="0" fontId="18" fillId="0" borderId="1" xfId="3" applyFont="1" applyBorder="1" applyAlignment="1">
      <alignment vertical="center" wrapText="1"/>
    </xf>
    <xf numFmtId="0" fontId="19" fillId="0" borderId="1" xfId="3" applyFont="1" applyBorder="1" applyAlignment="1">
      <alignment vertical="center" wrapText="1"/>
    </xf>
    <xf numFmtId="9" fontId="8" fillId="0" borderId="1" xfId="3" applyNumberFormat="1" applyBorder="1" applyAlignment="1">
      <alignment vertical="center" wrapText="1"/>
    </xf>
    <xf numFmtId="0" fontId="20" fillId="0" borderId="6" xfId="3" applyFont="1" applyBorder="1" applyAlignment="1">
      <alignment horizontal="center" vertical="center" wrapText="1"/>
    </xf>
    <xf numFmtId="0" fontId="8" fillId="0" borderId="6" xfId="3" applyBorder="1" applyAlignment="1">
      <alignment horizontal="center" vertical="center" wrapText="1"/>
    </xf>
    <xf numFmtId="0" fontId="18" fillId="13" borderId="1" xfId="3" applyFont="1" applyFill="1" applyBorder="1" applyAlignment="1">
      <alignment vertical="center" wrapText="1"/>
    </xf>
    <xf numFmtId="164" fontId="8" fillId="0" borderId="1" xfId="1" applyNumberFormat="1" applyFont="1" applyBorder="1" applyAlignment="1">
      <alignment horizontal="justify" vertical="center" wrapText="1"/>
    </xf>
    <xf numFmtId="0" fontId="22" fillId="0" borderId="5" xfId="0" applyFont="1" applyBorder="1" applyAlignment="1">
      <alignment horizontal="center" vertical="center" wrapText="1"/>
    </xf>
    <xf numFmtId="0" fontId="21" fillId="0" borderId="1" xfId="0" applyFont="1" applyBorder="1" applyAlignment="1">
      <alignment vertical="center" wrapText="1"/>
    </xf>
    <xf numFmtId="0" fontId="26" fillId="0" borderId="1" xfId="0" applyFont="1" applyBorder="1" applyAlignment="1">
      <alignment vertical="center" wrapText="1"/>
    </xf>
    <xf numFmtId="0" fontId="18" fillId="0" borderId="5" xfId="0" applyFont="1" applyBorder="1" applyAlignment="1">
      <alignment vertical="center" wrapText="1"/>
    </xf>
    <xf numFmtId="0" fontId="21" fillId="0" borderId="1" xfId="0" applyFont="1" applyBorder="1" applyAlignment="1">
      <alignment horizontal="center" vertical="center" wrapText="1"/>
    </xf>
    <xf numFmtId="0" fontId="23" fillId="0" borderId="1" xfId="0" applyFont="1" applyBorder="1" applyAlignment="1">
      <alignment vertical="center" wrapText="1"/>
    </xf>
    <xf numFmtId="0" fontId="23" fillId="0" borderId="5" xfId="0" applyFont="1" applyBorder="1" applyAlignment="1">
      <alignment horizontal="center" vertical="center" wrapText="1"/>
    </xf>
    <xf numFmtId="0" fontId="23" fillId="0" borderId="2" xfId="0" applyFont="1" applyBorder="1" applyAlignment="1">
      <alignment horizontal="center" vertical="center" wrapText="1"/>
    </xf>
    <xf numFmtId="0" fontId="22" fillId="0" borderId="1" xfId="0" applyFont="1" applyBorder="1" applyAlignment="1">
      <alignment horizontal="left" vertical="center" wrapText="1"/>
    </xf>
    <xf numFmtId="0" fontId="22" fillId="14" borderId="1" xfId="0" applyFont="1" applyFill="1" applyBorder="1" applyAlignment="1">
      <alignment vertical="center" wrapText="1"/>
    </xf>
    <xf numFmtId="0" fontId="19" fillId="14" borderId="1" xfId="0" applyFont="1" applyFill="1" applyBorder="1" applyAlignment="1">
      <alignment vertical="center" wrapText="1"/>
    </xf>
    <xf numFmtId="0" fontId="22" fillId="0" borderId="5" xfId="0" applyFont="1" applyBorder="1" applyAlignment="1">
      <alignment horizontal="left" vertical="center" wrapText="1"/>
    </xf>
    <xf numFmtId="0" fontId="22" fillId="14" borderId="5" xfId="0" applyFont="1" applyFill="1" applyBorder="1" applyAlignment="1">
      <alignment vertical="center" wrapText="1"/>
    </xf>
    <xf numFmtId="0" fontId="19" fillId="14" borderId="5" xfId="0" applyFont="1" applyFill="1" applyBorder="1" applyAlignment="1">
      <alignment vertical="center" wrapText="1"/>
    </xf>
    <xf numFmtId="9" fontId="23" fillId="0" borderId="1" xfId="0" applyNumberFormat="1" applyFont="1" applyBorder="1" applyAlignment="1">
      <alignment horizontal="justify" vertical="center" wrapText="1"/>
    </xf>
    <xf numFmtId="9" fontId="13" fillId="0" borderId="1" xfId="0" applyNumberFormat="1" applyFont="1" applyBorder="1" applyAlignment="1">
      <alignment vertical="center" wrapText="1"/>
    </xf>
    <xf numFmtId="0" fontId="19" fillId="13" borderId="1" xfId="0" applyFont="1" applyFill="1" applyBorder="1" applyAlignment="1">
      <alignment vertical="center" wrapText="1"/>
    </xf>
    <xf numFmtId="0" fontId="13" fillId="0" borderId="6" xfId="0" applyFont="1" applyBorder="1" applyAlignment="1">
      <alignment vertical="center" wrapText="1"/>
    </xf>
    <xf numFmtId="0" fontId="15" fillId="0" borderId="1" xfId="0" applyFont="1" applyBorder="1" applyAlignment="1">
      <alignment horizontal="justify" vertical="center" wrapText="1"/>
    </xf>
    <xf numFmtId="0" fontId="22" fillId="0" borderId="1" xfId="0" applyFont="1" applyBorder="1" applyAlignment="1">
      <alignment vertical="top" wrapText="1"/>
    </xf>
    <xf numFmtId="0" fontId="19" fillId="0" borderId="1" xfId="0" applyFont="1" applyBorder="1" applyAlignment="1">
      <alignment vertical="top" wrapText="1"/>
    </xf>
    <xf numFmtId="0" fontId="22" fillId="0" borderId="5" xfId="0" applyFont="1" applyBorder="1" applyAlignment="1">
      <alignment vertical="top" wrapText="1"/>
    </xf>
    <xf numFmtId="0" fontId="19" fillId="0" borderId="5" xfId="0" applyFont="1" applyBorder="1" applyAlignment="1">
      <alignment vertical="top" wrapText="1"/>
    </xf>
    <xf numFmtId="10" fontId="13" fillId="0" borderId="5" xfId="0" applyNumberFormat="1" applyFont="1" applyBorder="1" applyAlignment="1">
      <alignment horizontal="justify" vertical="center" wrapText="1"/>
    </xf>
    <xf numFmtId="0" fontId="23" fillId="0" borderId="1" xfId="0" applyFont="1" applyBorder="1" applyAlignment="1">
      <alignment horizontal="justify" vertical="center" wrapText="1"/>
    </xf>
    <xf numFmtId="0" fontId="13" fillId="0" borderId="5" xfId="0" applyFont="1" applyBorder="1" applyAlignment="1">
      <alignment wrapText="1"/>
    </xf>
    <xf numFmtId="9" fontId="13" fillId="0" borderId="5" xfId="0" applyNumberFormat="1" applyFont="1" applyBorder="1" applyAlignment="1">
      <alignment wrapText="1"/>
    </xf>
    <xf numFmtId="0" fontId="29" fillId="2" borderId="1" xfId="0" applyFont="1" applyFill="1" applyBorder="1" applyAlignment="1">
      <alignment horizontal="center" vertical="center"/>
    </xf>
    <xf numFmtId="0" fontId="30" fillId="0" borderId="1" xfId="0" applyFont="1" applyBorder="1"/>
    <xf numFmtId="0" fontId="2" fillId="0" borderId="1" xfId="0" applyFont="1" applyBorder="1"/>
    <xf numFmtId="0" fontId="30" fillId="0" borderId="0" xfId="0" applyFont="1"/>
    <xf numFmtId="0" fontId="31" fillId="0" borderId="1" xfId="0" applyFont="1" applyBorder="1" applyAlignment="1">
      <alignment vertical="center"/>
    </xf>
    <xf numFmtId="0" fontId="0" fillId="0" borderId="1" xfId="0" applyBorder="1" applyAlignment="1">
      <alignment horizontal="center" vertical="center" wrapText="1"/>
    </xf>
    <xf numFmtId="0" fontId="3" fillId="2" borderId="0" xfId="0" applyFont="1" applyFill="1"/>
    <xf numFmtId="9" fontId="0" fillId="0" borderId="0" xfId="0" applyNumberFormat="1"/>
    <xf numFmtId="0" fontId="0" fillId="10" borderId="0" xfId="0" applyFill="1"/>
    <xf numFmtId="0" fontId="2" fillId="0" borderId="0" xfId="0" applyFont="1"/>
    <xf numFmtId="0" fontId="0" fillId="0" borderId="0" xfId="0" applyAlignment="1">
      <alignment vertical="center" wrapText="1"/>
    </xf>
    <xf numFmtId="0" fontId="3" fillId="2" borderId="1" xfId="0" applyFont="1" applyFill="1" applyBorder="1" applyAlignment="1">
      <alignment horizontal="center" vertical="center" wrapText="1"/>
    </xf>
    <xf numFmtId="0" fontId="0" fillId="0" borderId="1" xfId="0" applyBorder="1" applyAlignment="1">
      <alignment vertical="center" wrapText="1"/>
    </xf>
    <xf numFmtId="0" fontId="0" fillId="10" borderId="1" xfId="0" applyFill="1" applyBorder="1" applyAlignment="1">
      <alignment vertical="center" wrapText="1"/>
    </xf>
    <xf numFmtId="0" fontId="2" fillId="15" borderId="1" xfId="0" applyFont="1" applyFill="1" applyBorder="1" applyAlignment="1">
      <alignment vertical="center" wrapText="1"/>
    </xf>
    <xf numFmtId="0" fontId="2" fillId="0" borderId="1" xfId="0" applyFont="1" applyBorder="1" applyAlignment="1">
      <alignment vertical="center" wrapText="1"/>
    </xf>
    <xf numFmtId="0" fontId="34" fillId="0" borderId="1" xfId="0" applyFont="1" applyBorder="1" applyAlignment="1">
      <alignment vertical="center" wrapText="1"/>
    </xf>
    <xf numFmtId="0" fontId="7" fillId="0" borderId="1" xfId="0" applyFont="1" applyBorder="1" applyAlignment="1">
      <alignment wrapText="1"/>
    </xf>
    <xf numFmtId="14" fontId="0" fillId="0" borderId="1" xfId="0" applyNumberFormat="1" applyBorder="1" applyAlignment="1">
      <alignment vertical="center" wrapText="1"/>
    </xf>
    <xf numFmtId="0" fontId="35" fillId="0" borderId="1" xfId="0" applyFont="1" applyBorder="1" applyAlignment="1">
      <alignment wrapText="1"/>
    </xf>
    <xf numFmtId="0" fontId="35" fillId="0" borderId="7" xfId="0" applyFont="1" applyBorder="1" applyAlignment="1">
      <alignment wrapText="1"/>
    </xf>
    <xf numFmtId="0" fontId="35" fillId="10" borderId="7" xfId="0" applyFont="1" applyFill="1" applyBorder="1" applyAlignment="1">
      <alignment wrapText="1"/>
    </xf>
    <xf numFmtId="0" fontId="0" fillId="16" borderId="1" xfId="0" applyFill="1" applyBorder="1" applyAlignment="1">
      <alignment vertical="center" wrapText="1"/>
    </xf>
    <xf numFmtId="0" fontId="0" fillId="17" borderId="1" xfId="0" applyFill="1" applyBorder="1" applyAlignment="1">
      <alignment vertical="center" wrapText="1"/>
    </xf>
    <xf numFmtId="0" fontId="0" fillId="18" borderId="1" xfId="0" applyFill="1" applyBorder="1" applyAlignment="1">
      <alignment vertical="center" wrapText="1"/>
    </xf>
    <xf numFmtId="0" fontId="2" fillId="16" borderId="1" xfId="0" applyFont="1" applyFill="1" applyBorder="1" applyAlignment="1">
      <alignment vertical="center" wrapText="1"/>
    </xf>
    <xf numFmtId="0" fontId="2" fillId="19" borderId="0" xfId="0" applyFont="1" applyFill="1"/>
    <xf numFmtId="0" fontId="41" fillId="0" borderId="0" xfId="0" applyFont="1"/>
    <xf numFmtId="0" fontId="13" fillId="0" borderId="5" xfId="0" applyFont="1" applyBorder="1" applyAlignment="1">
      <alignment horizontal="justify" vertical="center" wrapText="1"/>
    </xf>
    <xf numFmtId="0" fontId="13" fillId="0" borderId="2" xfId="0" applyFont="1" applyBorder="1" applyAlignment="1">
      <alignment horizontal="justify" vertical="center" wrapText="1"/>
    </xf>
    <xf numFmtId="0" fontId="9" fillId="4" borderId="3" xfId="3" applyFont="1" applyFill="1" applyBorder="1" applyAlignment="1">
      <alignment horizontal="center" vertical="center" wrapText="1"/>
    </xf>
    <xf numFmtId="0" fontId="9" fillId="4" borderId="4" xfId="3" applyFont="1" applyFill="1" applyBorder="1" applyAlignment="1">
      <alignment horizontal="center" vertical="center" wrapText="1"/>
    </xf>
    <xf numFmtId="0" fontId="13" fillId="0" borderId="5" xfId="0" applyFont="1" applyBorder="1" applyAlignment="1">
      <alignment horizontal="center" vertical="center" wrapText="1"/>
    </xf>
    <xf numFmtId="0" fontId="13" fillId="0" borderId="2" xfId="0" applyFont="1" applyBorder="1" applyAlignment="1">
      <alignment horizontal="center" vertical="center" wrapText="1"/>
    </xf>
  </cellXfs>
  <cellStyles count="4">
    <cellStyle name="Millares" xfId="1" builtinId="3"/>
    <cellStyle name="Normal" xfId="0" builtinId="0"/>
    <cellStyle name="Normal 2" xfId="3" xr:uid="{D9C74759-AD32-4A9C-BA5E-63E5FF0EFCF0}"/>
    <cellStyle name="Porcentaje" xfId="2" builtinId="5"/>
  </cellStyles>
  <dxfs count="2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Invisible" pivot="0" table="0" count="0" xr9:uid="{44B618FF-3749-4359-876C-094A832FAF7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person displayName="Licec Ximena Silva Goyeneche" id="{76F649F6-6692-4B39-A649-A4455A348F98}" userId="S::lxisilva@poligran.edu.co::8288b16f-baeb-48ea-b2e7-c5e2177103dc"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7" dT="2026-03-17T19:03:24.83" personId="{76F649F6-6692-4B39-A649-A4455A348F98}" id="{8ECD6028-4594-4607-9666-2F05F18678B8}">
    <text>Esto es una metrica no indicador</text>
  </threadedComment>
  <threadedComment ref="D16" dT="2026-03-17T19:05:43.74" personId="{76F649F6-6692-4B39-A649-A4455A348F98}" id="{34F03692-292D-4727-A639-249ED53EE5B4}">
    <text>Los Leads se centralizan en un solo grupo de interes</text>
  </threadedComment>
  <threadedComment ref="D17" dT="2026-03-17T19:06:09.18" personId="{76F649F6-6692-4B39-A649-A4455A348F98}" id="{9E2BC4B0-CE44-436C-8680-F6B08622751A}">
    <text>El CREA no son solo ambientes inmersivos</text>
  </threadedComment>
  <threadedComment ref="D19" dT="2026-03-17T19:06:40.40" personId="{76F649F6-6692-4B39-A649-A4455A348F98}" id="{121C87A5-A897-48CA-B03C-CE15645DF468}">
    <text>Este indicador es asociado a los indicadores del modelo de experiencia</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C9271-A20F-4DAE-A693-53F4455B4AEF}">
  <dimension ref="A1:L290"/>
  <sheetViews>
    <sheetView tabSelected="1" workbookViewId="0">
      <pane ySplit="1" topLeftCell="A67" activePane="bottomLeft" state="frozen"/>
      <selection pane="bottomLeft" activeCell="B251" sqref="B251"/>
    </sheetView>
  </sheetViews>
  <sheetFormatPr baseColWidth="10" defaultColWidth="11.44140625" defaultRowHeight="14.4" x14ac:dyDescent="0.3"/>
  <cols>
    <col min="1" max="1" width="28.33203125" customWidth="1"/>
    <col min="2" max="2" width="28.109375" customWidth="1"/>
    <col min="3" max="3" width="24.5546875" customWidth="1"/>
    <col min="4" max="4" width="17.5546875" customWidth="1"/>
    <col min="5" max="5" width="45.44140625" customWidth="1"/>
  </cols>
  <sheetData>
    <row r="1" spans="1:12" x14ac:dyDescent="0.3">
      <c r="A1" s="120" t="s">
        <v>617</v>
      </c>
      <c r="B1" s="120" t="s">
        <v>618</v>
      </c>
      <c r="C1" s="120" t="s">
        <v>619</v>
      </c>
      <c r="D1" s="120" t="s">
        <v>620</v>
      </c>
      <c r="E1" s="120" t="s">
        <v>621</v>
      </c>
      <c r="F1" s="120" t="s">
        <v>622</v>
      </c>
      <c r="G1" s="120" t="s">
        <v>623</v>
      </c>
      <c r="H1" s="120" t="s">
        <v>624</v>
      </c>
      <c r="I1" s="120" t="s">
        <v>625</v>
      </c>
      <c r="J1" s="120" t="s">
        <v>626</v>
      </c>
      <c r="K1" s="120" t="s">
        <v>172</v>
      </c>
      <c r="L1" s="120" t="s">
        <v>173</v>
      </c>
    </row>
    <row r="2" spans="1:12" x14ac:dyDescent="0.3">
      <c r="A2" t="s">
        <v>627</v>
      </c>
      <c r="B2" t="s">
        <v>628</v>
      </c>
      <c r="C2" t="s">
        <v>629</v>
      </c>
      <c r="D2" t="s">
        <v>630</v>
      </c>
      <c r="E2" t="s">
        <v>631</v>
      </c>
      <c r="G2" t="s">
        <v>632</v>
      </c>
      <c r="K2" s="6" t="s">
        <v>608</v>
      </c>
      <c r="L2" s="6" t="s">
        <v>609</v>
      </c>
    </row>
    <row r="3" spans="1:12" x14ac:dyDescent="0.3">
      <c r="A3" t="s">
        <v>627</v>
      </c>
      <c r="B3" t="s">
        <v>633</v>
      </c>
      <c r="C3" t="s">
        <v>634</v>
      </c>
      <c r="D3" t="s">
        <v>630</v>
      </c>
      <c r="E3" t="s">
        <v>635</v>
      </c>
      <c r="G3" t="s">
        <v>632</v>
      </c>
      <c r="K3" s="6" t="s">
        <v>608</v>
      </c>
      <c r="L3" s="6" t="s">
        <v>609</v>
      </c>
    </row>
    <row r="4" spans="1:12" x14ac:dyDescent="0.3">
      <c r="A4" t="s">
        <v>627</v>
      </c>
      <c r="B4" t="s">
        <v>636</v>
      </c>
      <c r="C4" t="s">
        <v>637</v>
      </c>
      <c r="D4" t="s">
        <v>630</v>
      </c>
      <c r="E4" t="s">
        <v>638</v>
      </c>
      <c r="F4">
        <v>6</v>
      </c>
      <c r="G4" t="s">
        <v>639</v>
      </c>
      <c r="K4" s="6" t="s">
        <v>608</v>
      </c>
      <c r="L4" s="6" t="s">
        <v>609</v>
      </c>
    </row>
    <row r="5" spans="1:12" x14ac:dyDescent="0.3">
      <c r="A5" t="s">
        <v>640</v>
      </c>
      <c r="B5" t="s">
        <v>641</v>
      </c>
      <c r="C5" t="s">
        <v>642</v>
      </c>
      <c r="D5" t="s">
        <v>630</v>
      </c>
      <c r="E5" t="s">
        <v>643</v>
      </c>
      <c r="K5" t="s">
        <v>584</v>
      </c>
      <c r="L5" t="s">
        <v>597</v>
      </c>
    </row>
    <row r="6" spans="1:12" x14ac:dyDescent="0.3">
      <c r="A6" t="s">
        <v>640</v>
      </c>
      <c r="B6" t="s">
        <v>360</v>
      </c>
      <c r="C6" t="s">
        <v>644</v>
      </c>
      <c r="D6" t="s">
        <v>645</v>
      </c>
      <c r="E6" t="s">
        <v>646</v>
      </c>
      <c r="K6" t="s">
        <v>584</v>
      </c>
      <c r="L6" t="s">
        <v>597</v>
      </c>
    </row>
    <row r="7" spans="1:12" x14ac:dyDescent="0.3">
      <c r="A7" t="s">
        <v>647</v>
      </c>
      <c r="B7" t="s">
        <v>648</v>
      </c>
      <c r="C7" t="s">
        <v>649</v>
      </c>
      <c r="D7" t="s">
        <v>630</v>
      </c>
      <c r="E7" t="s">
        <v>650</v>
      </c>
      <c r="F7" t="s">
        <v>651</v>
      </c>
      <c r="G7" t="s">
        <v>632</v>
      </c>
      <c r="K7" t="s">
        <v>1236</v>
      </c>
      <c r="L7" t="s">
        <v>614</v>
      </c>
    </row>
    <row r="8" spans="1:12" x14ac:dyDescent="0.3">
      <c r="A8" t="s">
        <v>652</v>
      </c>
      <c r="B8" t="s">
        <v>653</v>
      </c>
      <c r="C8" t="s">
        <v>654</v>
      </c>
      <c r="D8" t="s">
        <v>630</v>
      </c>
      <c r="E8" t="s">
        <v>655</v>
      </c>
      <c r="G8" t="s">
        <v>639</v>
      </c>
      <c r="K8" s="6" t="s">
        <v>595</v>
      </c>
      <c r="L8" s="116" t="s">
        <v>602</v>
      </c>
    </row>
    <row r="9" spans="1:12" x14ac:dyDescent="0.3">
      <c r="A9" t="s">
        <v>652</v>
      </c>
      <c r="B9" t="s">
        <v>656</v>
      </c>
      <c r="C9" t="s">
        <v>657</v>
      </c>
      <c r="D9" t="s">
        <v>645</v>
      </c>
      <c r="E9" t="s">
        <v>658</v>
      </c>
      <c r="G9" t="s">
        <v>632</v>
      </c>
      <c r="H9" t="s">
        <v>632</v>
      </c>
      <c r="K9" s="6" t="s">
        <v>595</v>
      </c>
      <c r="L9" s="116" t="s">
        <v>602</v>
      </c>
    </row>
    <row r="10" spans="1:12" x14ac:dyDescent="0.3">
      <c r="A10" t="s">
        <v>652</v>
      </c>
      <c r="B10" t="s">
        <v>659</v>
      </c>
      <c r="C10" t="s">
        <v>660</v>
      </c>
      <c r="D10" t="s">
        <v>630</v>
      </c>
      <c r="E10" t="s">
        <v>661</v>
      </c>
      <c r="G10" t="s">
        <v>639</v>
      </c>
      <c r="K10" s="6" t="s">
        <v>595</v>
      </c>
      <c r="L10" s="116" t="s">
        <v>602</v>
      </c>
    </row>
    <row r="11" spans="1:12" x14ac:dyDescent="0.3">
      <c r="A11" t="s">
        <v>652</v>
      </c>
      <c r="B11" t="s">
        <v>662</v>
      </c>
      <c r="C11" t="s">
        <v>663</v>
      </c>
      <c r="D11" t="s">
        <v>645</v>
      </c>
      <c r="E11" t="s">
        <v>664</v>
      </c>
      <c r="G11" t="s">
        <v>632</v>
      </c>
      <c r="H11" t="s">
        <v>632</v>
      </c>
      <c r="K11" s="6" t="s">
        <v>595</v>
      </c>
      <c r="L11" s="116" t="s">
        <v>602</v>
      </c>
    </row>
    <row r="12" spans="1:12" x14ac:dyDescent="0.3">
      <c r="A12" t="s">
        <v>652</v>
      </c>
      <c r="B12" t="s">
        <v>665</v>
      </c>
      <c r="C12" t="s">
        <v>666</v>
      </c>
      <c r="D12" t="s">
        <v>630</v>
      </c>
      <c r="E12" t="s">
        <v>667</v>
      </c>
      <c r="K12" s="6" t="s">
        <v>595</v>
      </c>
      <c r="L12" s="116" t="s">
        <v>602</v>
      </c>
    </row>
    <row r="13" spans="1:12" x14ac:dyDescent="0.3">
      <c r="A13" t="s">
        <v>668</v>
      </c>
      <c r="B13" t="s">
        <v>669</v>
      </c>
      <c r="C13" t="s">
        <v>670</v>
      </c>
      <c r="D13" t="s">
        <v>630</v>
      </c>
      <c r="E13" t="s">
        <v>643</v>
      </c>
      <c r="K13" t="s">
        <v>561</v>
      </c>
      <c r="L13" t="s">
        <v>583</v>
      </c>
    </row>
    <row r="14" spans="1:12" x14ac:dyDescent="0.3">
      <c r="A14" t="s">
        <v>671</v>
      </c>
      <c r="B14" t="s">
        <v>672</v>
      </c>
      <c r="C14" t="s">
        <v>673</v>
      </c>
      <c r="D14" t="s">
        <v>630</v>
      </c>
      <c r="E14" t="s">
        <v>674</v>
      </c>
      <c r="F14" s="121">
        <v>0.95</v>
      </c>
      <c r="K14" t="s">
        <v>545</v>
      </c>
      <c r="L14" t="s">
        <v>545</v>
      </c>
    </row>
    <row r="15" spans="1:12" x14ac:dyDescent="0.3">
      <c r="A15" t="s">
        <v>671</v>
      </c>
      <c r="B15" t="s">
        <v>675</v>
      </c>
      <c r="C15" t="s">
        <v>676</v>
      </c>
      <c r="D15" t="s">
        <v>630</v>
      </c>
      <c r="E15" t="s">
        <v>677</v>
      </c>
      <c r="F15" s="121">
        <v>0.85</v>
      </c>
      <c r="K15" t="s">
        <v>545</v>
      </c>
      <c r="L15" t="s">
        <v>545</v>
      </c>
    </row>
    <row r="16" spans="1:12" x14ac:dyDescent="0.3">
      <c r="A16" t="s">
        <v>678</v>
      </c>
      <c r="B16" t="s">
        <v>679</v>
      </c>
      <c r="C16" t="s">
        <v>680</v>
      </c>
      <c r="D16" t="s">
        <v>630</v>
      </c>
      <c r="E16" t="s">
        <v>681</v>
      </c>
      <c r="K16" s="6" t="s">
        <v>545</v>
      </c>
      <c r="L16" s="6" t="s">
        <v>545</v>
      </c>
    </row>
    <row r="17" spans="1:12" x14ac:dyDescent="0.3">
      <c r="A17" t="s">
        <v>682</v>
      </c>
      <c r="B17" t="s">
        <v>683</v>
      </c>
      <c r="C17" t="s">
        <v>654</v>
      </c>
      <c r="D17" t="s">
        <v>630</v>
      </c>
      <c r="E17" t="s">
        <v>684</v>
      </c>
      <c r="F17">
        <v>1900000000</v>
      </c>
      <c r="G17" s="122" t="s">
        <v>632</v>
      </c>
      <c r="H17" s="122" t="s">
        <v>632</v>
      </c>
      <c r="I17" s="122">
        <v>3</v>
      </c>
      <c r="J17" s="122">
        <v>12</v>
      </c>
      <c r="K17" t="s">
        <v>542</v>
      </c>
      <c r="L17" t="s">
        <v>542</v>
      </c>
    </row>
    <row r="18" spans="1:12" x14ac:dyDescent="0.3">
      <c r="A18" t="s">
        <v>682</v>
      </c>
      <c r="B18" t="s">
        <v>685</v>
      </c>
      <c r="C18" t="s">
        <v>654</v>
      </c>
      <c r="D18" t="s">
        <v>630</v>
      </c>
      <c r="E18" t="s">
        <v>201</v>
      </c>
      <c r="F18" t="s">
        <v>201</v>
      </c>
      <c r="K18" t="s">
        <v>542</v>
      </c>
      <c r="L18" t="s">
        <v>542</v>
      </c>
    </row>
    <row r="19" spans="1:12" x14ac:dyDescent="0.3">
      <c r="A19" t="s">
        <v>682</v>
      </c>
      <c r="B19" t="s">
        <v>686</v>
      </c>
      <c r="C19" t="s">
        <v>654</v>
      </c>
      <c r="D19" t="s">
        <v>630</v>
      </c>
      <c r="E19" t="s">
        <v>687</v>
      </c>
      <c r="G19" t="s">
        <v>632</v>
      </c>
      <c r="K19" t="s">
        <v>542</v>
      </c>
      <c r="L19" t="s">
        <v>542</v>
      </c>
    </row>
    <row r="20" spans="1:12" x14ac:dyDescent="0.3">
      <c r="A20" t="s">
        <v>682</v>
      </c>
      <c r="B20" t="s">
        <v>688</v>
      </c>
      <c r="C20" t="s">
        <v>654</v>
      </c>
      <c r="D20" t="s">
        <v>630</v>
      </c>
      <c r="E20" t="s">
        <v>689</v>
      </c>
      <c r="F20" s="121">
        <v>1</v>
      </c>
      <c r="G20" t="s">
        <v>632</v>
      </c>
      <c r="K20" t="s">
        <v>542</v>
      </c>
      <c r="L20" t="s">
        <v>542</v>
      </c>
    </row>
    <row r="21" spans="1:12" x14ac:dyDescent="0.3">
      <c r="A21" t="s">
        <v>690</v>
      </c>
      <c r="B21" t="s">
        <v>691</v>
      </c>
      <c r="C21" t="s">
        <v>692</v>
      </c>
      <c r="D21" s="122" t="b">
        <v>1</v>
      </c>
      <c r="E21" t="s">
        <v>693</v>
      </c>
      <c r="K21" t="s">
        <v>608</v>
      </c>
      <c r="L21" t="s">
        <v>615</v>
      </c>
    </row>
    <row r="22" spans="1:12" x14ac:dyDescent="0.3">
      <c r="A22" t="s">
        <v>690</v>
      </c>
      <c r="B22" t="s">
        <v>694</v>
      </c>
      <c r="C22" t="s">
        <v>692</v>
      </c>
      <c r="D22" t="s">
        <v>630</v>
      </c>
      <c r="E22" t="s">
        <v>643</v>
      </c>
      <c r="K22" t="s">
        <v>608</v>
      </c>
      <c r="L22" t="s">
        <v>615</v>
      </c>
    </row>
    <row r="23" spans="1:12" x14ac:dyDescent="0.3">
      <c r="A23" t="s">
        <v>695</v>
      </c>
      <c r="B23" t="s">
        <v>696</v>
      </c>
      <c r="C23" t="s">
        <v>697</v>
      </c>
      <c r="D23" t="s">
        <v>630</v>
      </c>
      <c r="K23" t="s">
        <v>608</v>
      </c>
      <c r="L23" t="s">
        <v>610</v>
      </c>
    </row>
    <row r="24" spans="1:12" x14ac:dyDescent="0.3">
      <c r="A24" t="s">
        <v>695</v>
      </c>
      <c r="B24" t="s">
        <v>698</v>
      </c>
      <c r="C24" t="s">
        <v>699</v>
      </c>
      <c r="D24" t="s">
        <v>630</v>
      </c>
      <c r="E24" t="s">
        <v>699</v>
      </c>
      <c r="G24" t="s">
        <v>632</v>
      </c>
      <c r="K24" t="s">
        <v>608</v>
      </c>
      <c r="L24" t="s">
        <v>610</v>
      </c>
    </row>
    <row r="25" spans="1:12" x14ac:dyDescent="0.3">
      <c r="A25" t="s">
        <v>700</v>
      </c>
      <c r="B25" t="s">
        <v>686</v>
      </c>
      <c r="C25" t="s">
        <v>654</v>
      </c>
      <c r="D25" t="s">
        <v>630</v>
      </c>
      <c r="E25" t="s">
        <v>687</v>
      </c>
      <c r="G25" t="s">
        <v>632</v>
      </c>
      <c r="K25" t="s">
        <v>568</v>
      </c>
      <c r="L25" t="s">
        <v>598</v>
      </c>
    </row>
    <row r="26" spans="1:12" x14ac:dyDescent="0.3">
      <c r="A26" t="s">
        <v>700</v>
      </c>
      <c r="B26" t="s">
        <v>701</v>
      </c>
      <c r="C26" t="s">
        <v>654</v>
      </c>
      <c r="D26" t="s">
        <v>630</v>
      </c>
      <c r="E26" t="s">
        <v>201</v>
      </c>
      <c r="G26" t="s">
        <v>639</v>
      </c>
      <c r="K26" t="s">
        <v>568</v>
      </c>
      <c r="L26" t="s">
        <v>598</v>
      </c>
    </row>
    <row r="27" spans="1:12" x14ac:dyDescent="0.3">
      <c r="A27" t="s">
        <v>700</v>
      </c>
      <c r="B27" t="s">
        <v>702</v>
      </c>
      <c r="C27" t="s">
        <v>703</v>
      </c>
      <c r="D27" t="s">
        <v>630</v>
      </c>
      <c r="E27" t="s">
        <v>704</v>
      </c>
      <c r="H27" t="s">
        <v>705</v>
      </c>
      <c r="K27" t="s">
        <v>568</v>
      </c>
      <c r="L27" t="s">
        <v>598</v>
      </c>
    </row>
    <row r="28" spans="1:12" x14ac:dyDescent="0.3">
      <c r="A28" t="s">
        <v>700</v>
      </c>
      <c r="B28" t="s">
        <v>706</v>
      </c>
      <c r="C28" t="s">
        <v>707</v>
      </c>
      <c r="D28" t="s">
        <v>630</v>
      </c>
      <c r="E28" t="s">
        <v>708</v>
      </c>
      <c r="G28" t="s">
        <v>709</v>
      </c>
      <c r="K28" t="s">
        <v>568</v>
      </c>
      <c r="L28" t="s">
        <v>598</v>
      </c>
    </row>
    <row r="29" spans="1:12" x14ac:dyDescent="0.3">
      <c r="A29" t="s">
        <v>700</v>
      </c>
      <c r="B29" t="s">
        <v>710</v>
      </c>
      <c r="C29" t="s">
        <v>711</v>
      </c>
      <c r="D29" t="s">
        <v>630</v>
      </c>
      <c r="E29" t="s">
        <v>712</v>
      </c>
      <c r="G29" t="s">
        <v>709</v>
      </c>
      <c r="K29" t="s">
        <v>568</v>
      </c>
      <c r="L29" t="s">
        <v>598</v>
      </c>
    </row>
    <row r="30" spans="1:12" x14ac:dyDescent="0.3">
      <c r="A30" t="s">
        <v>700</v>
      </c>
      <c r="B30" t="s">
        <v>713</v>
      </c>
      <c r="C30" t="s">
        <v>714</v>
      </c>
      <c r="D30" t="s">
        <v>630</v>
      </c>
      <c r="E30" t="s">
        <v>715</v>
      </c>
      <c r="K30" t="s">
        <v>568</v>
      </c>
      <c r="L30" t="s">
        <v>598</v>
      </c>
    </row>
    <row r="31" spans="1:12" x14ac:dyDescent="0.3">
      <c r="A31" t="s">
        <v>716</v>
      </c>
      <c r="B31" t="s">
        <v>717</v>
      </c>
      <c r="C31" t="s">
        <v>718</v>
      </c>
      <c r="D31" t="s">
        <v>630</v>
      </c>
      <c r="E31" s="122" t="s">
        <v>643</v>
      </c>
      <c r="K31" t="s">
        <v>576</v>
      </c>
      <c r="L31" t="s">
        <v>577</v>
      </c>
    </row>
    <row r="32" spans="1:12" x14ac:dyDescent="0.3">
      <c r="A32" t="s">
        <v>716</v>
      </c>
      <c r="B32" t="s">
        <v>719</v>
      </c>
      <c r="C32" t="s">
        <v>720</v>
      </c>
      <c r="D32" t="s">
        <v>630</v>
      </c>
      <c r="E32" s="122"/>
      <c r="K32" t="s">
        <v>576</v>
      </c>
      <c r="L32" t="s">
        <v>577</v>
      </c>
    </row>
    <row r="33" spans="1:12" x14ac:dyDescent="0.3">
      <c r="A33" t="s">
        <v>721</v>
      </c>
      <c r="B33" t="s">
        <v>722</v>
      </c>
      <c r="C33" t="s">
        <v>723</v>
      </c>
      <c r="D33" t="s">
        <v>630</v>
      </c>
      <c r="K33" t="s">
        <v>1236</v>
      </c>
      <c r="L33" t="s">
        <v>613</v>
      </c>
    </row>
    <row r="34" spans="1:12" x14ac:dyDescent="0.3">
      <c r="A34" t="s">
        <v>721</v>
      </c>
      <c r="B34" t="s">
        <v>724</v>
      </c>
      <c r="C34" t="s">
        <v>725</v>
      </c>
      <c r="D34" t="s">
        <v>630</v>
      </c>
      <c r="K34" t="s">
        <v>1236</v>
      </c>
      <c r="L34" t="s">
        <v>613</v>
      </c>
    </row>
    <row r="35" spans="1:12" x14ac:dyDescent="0.3">
      <c r="A35" t="s">
        <v>721</v>
      </c>
      <c r="B35" t="s">
        <v>726</v>
      </c>
      <c r="C35" t="s">
        <v>727</v>
      </c>
      <c r="D35" t="s">
        <v>630</v>
      </c>
      <c r="K35" t="s">
        <v>1236</v>
      </c>
      <c r="L35" t="s">
        <v>613</v>
      </c>
    </row>
    <row r="36" spans="1:12" x14ac:dyDescent="0.3">
      <c r="A36" t="s">
        <v>728</v>
      </c>
      <c r="B36" t="s">
        <v>729</v>
      </c>
      <c r="C36" t="s">
        <v>730</v>
      </c>
      <c r="D36" t="s">
        <v>630</v>
      </c>
      <c r="E36" t="s">
        <v>731</v>
      </c>
      <c r="F36" s="121">
        <v>0.9</v>
      </c>
      <c r="G36" t="s">
        <v>632</v>
      </c>
      <c r="K36" t="s">
        <v>548</v>
      </c>
      <c r="L36" t="s">
        <v>548</v>
      </c>
    </row>
    <row r="37" spans="1:12" x14ac:dyDescent="0.3">
      <c r="A37" t="s">
        <v>728</v>
      </c>
      <c r="B37" t="s">
        <v>732</v>
      </c>
      <c r="C37" t="s">
        <v>733</v>
      </c>
      <c r="D37" t="s">
        <v>630</v>
      </c>
      <c r="E37" t="s">
        <v>734</v>
      </c>
      <c r="F37" s="121">
        <v>0.8</v>
      </c>
      <c r="G37" t="s">
        <v>632</v>
      </c>
      <c r="K37" t="s">
        <v>548</v>
      </c>
      <c r="L37" t="s">
        <v>548</v>
      </c>
    </row>
    <row r="38" spans="1:12" x14ac:dyDescent="0.3">
      <c r="A38" t="s">
        <v>728</v>
      </c>
      <c r="B38" t="s">
        <v>735</v>
      </c>
      <c r="C38" t="s">
        <v>736</v>
      </c>
      <c r="D38" t="s">
        <v>630</v>
      </c>
      <c r="E38" t="s">
        <v>737</v>
      </c>
      <c r="F38" s="121">
        <v>0.1</v>
      </c>
      <c r="G38" t="s">
        <v>632</v>
      </c>
      <c r="K38" t="s">
        <v>548</v>
      </c>
      <c r="L38" t="s">
        <v>548</v>
      </c>
    </row>
    <row r="39" spans="1:12" x14ac:dyDescent="0.3">
      <c r="A39" t="s">
        <v>728</v>
      </c>
      <c r="B39" t="s">
        <v>738</v>
      </c>
      <c r="C39" t="s">
        <v>739</v>
      </c>
      <c r="D39" t="s">
        <v>630</v>
      </c>
      <c r="E39" t="s">
        <v>201</v>
      </c>
      <c r="F39" t="s">
        <v>201</v>
      </c>
      <c r="G39" t="s">
        <v>632</v>
      </c>
      <c r="K39" t="s">
        <v>548</v>
      </c>
      <c r="L39" t="s">
        <v>548</v>
      </c>
    </row>
    <row r="40" spans="1:12" x14ac:dyDescent="0.3">
      <c r="A40" t="s">
        <v>728</v>
      </c>
      <c r="B40" t="s">
        <v>740</v>
      </c>
      <c r="C40" t="s">
        <v>741</v>
      </c>
      <c r="D40" t="s">
        <v>630</v>
      </c>
      <c r="E40" t="s">
        <v>742</v>
      </c>
      <c r="F40">
        <v>15</v>
      </c>
      <c r="G40" t="s">
        <v>632</v>
      </c>
      <c r="K40" t="s">
        <v>548</v>
      </c>
      <c r="L40" t="s">
        <v>548</v>
      </c>
    </row>
    <row r="41" spans="1:12" x14ac:dyDescent="0.3">
      <c r="A41" t="s">
        <v>743</v>
      </c>
      <c r="B41" t="s">
        <v>744</v>
      </c>
      <c r="C41" t="s">
        <v>745</v>
      </c>
      <c r="D41" t="s">
        <v>630</v>
      </c>
      <c r="K41" t="s">
        <v>572</v>
      </c>
      <c r="L41" t="s">
        <v>578</v>
      </c>
    </row>
    <row r="42" spans="1:12" x14ac:dyDescent="0.3">
      <c r="A42" t="s">
        <v>743</v>
      </c>
      <c r="B42" t="s">
        <v>746</v>
      </c>
      <c r="C42" t="s">
        <v>747</v>
      </c>
      <c r="D42" t="s">
        <v>630</v>
      </c>
      <c r="K42" t="s">
        <v>572</v>
      </c>
      <c r="L42" t="s">
        <v>578</v>
      </c>
    </row>
    <row r="43" spans="1:12" x14ac:dyDescent="0.3">
      <c r="A43" t="s">
        <v>748</v>
      </c>
      <c r="B43" t="s">
        <v>749</v>
      </c>
      <c r="C43" t="s">
        <v>750</v>
      </c>
      <c r="D43" t="s">
        <v>630</v>
      </c>
      <c r="E43" t="s">
        <v>750</v>
      </c>
      <c r="K43" t="s">
        <v>586</v>
      </c>
      <c r="L43" t="s">
        <v>586</v>
      </c>
    </row>
    <row r="44" spans="1:12" x14ac:dyDescent="0.3">
      <c r="A44" t="s">
        <v>748</v>
      </c>
      <c r="B44" t="s">
        <v>751</v>
      </c>
      <c r="C44" t="s">
        <v>752</v>
      </c>
      <c r="D44" t="s">
        <v>630</v>
      </c>
      <c r="E44" t="s">
        <v>752</v>
      </c>
      <c r="K44" t="s">
        <v>586</v>
      </c>
      <c r="L44" t="s">
        <v>586</v>
      </c>
    </row>
    <row r="45" spans="1:12" x14ac:dyDescent="0.3">
      <c r="A45" t="s">
        <v>748</v>
      </c>
      <c r="B45" t="s">
        <v>753</v>
      </c>
      <c r="C45" t="s">
        <v>754</v>
      </c>
      <c r="D45" t="s">
        <v>630</v>
      </c>
      <c r="E45" s="140" t="s">
        <v>755</v>
      </c>
      <c r="G45" t="s">
        <v>632</v>
      </c>
      <c r="K45" t="s">
        <v>586</v>
      </c>
      <c r="L45" t="s">
        <v>586</v>
      </c>
    </row>
    <row r="46" spans="1:12" x14ac:dyDescent="0.3">
      <c r="A46" t="s">
        <v>748</v>
      </c>
      <c r="B46" t="s">
        <v>756</v>
      </c>
      <c r="C46" t="s">
        <v>757</v>
      </c>
      <c r="D46" t="s">
        <v>630</v>
      </c>
      <c r="E46" t="s">
        <v>758</v>
      </c>
      <c r="F46" t="s">
        <v>759</v>
      </c>
      <c r="G46" t="s">
        <v>639</v>
      </c>
      <c r="K46" t="s">
        <v>586</v>
      </c>
      <c r="L46" t="s">
        <v>586</v>
      </c>
    </row>
    <row r="47" spans="1:12" x14ac:dyDescent="0.3">
      <c r="A47" t="s">
        <v>760</v>
      </c>
      <c r="B47" t="s">
        <v>761</v>
      </c>
      <c r="C47" t="s">
        <v>762</v>
      </c>
      <c r="D47" s="122" t="b">
        <v>1</v>
      </c>
      <c r="E47" t="s">
        <v>763</v>
      </c>
      <c r="F47">
        <v>5</v>
      </c>
      <c r="K47" t="s">
        <v>545</v>
      </c>
      <c r="L47" t="s">
        <v>545</v>
      </c>
    </row>
    <row r="48" spans="1:12" x14ac:dyDescent="0.3">
      <c r="A48" t="s">
        <v>760</v>
      </c>
      <c r="B48" t="s">
        <v>764</v>
      </c>
      <c r="C48" t="s">
        <v>765</v>
      </c>
      <c r="D48" s="122" t="b">
        <v>1</v>
      </c>
      <c r="E48" t="s">
        <v>765</v>
      </c>
      <c r="G48" t="s">
        <v>632</v>
      </c>
      <c r="K48" t="s">
        <v>545</v>
      </c>
      <c r="L48" t="s">
        <v>545</v>
      </c>
    </row>
    <row r="49" spans="1:12" x14ac:dyDescent="0.3">
      <c r="A49" t="s">
        <v>766</v>
      </c>
      <c r="B49" t="s">
        <v>767</v>
      </c>
      <c r="C49" t="s">
        <v>768</v>
      </c>
      <c r="D49" t="s">
        <v>630</v>
      </c>
      <c r="E49" t="s">
        <v>769</v>
      </c>
      <c r="K49" t="s">
        <v>545</v>
      </c>
      <c r="L49" t="s">
        <v>545</v>
      </c>
    </row>
    <row r="50" spans="1:12" x14ac:dyDescent="0.3">
      <c r="A50" t="s">
        <v>766</v>
      </c>
      <c r="B50" t="s">
        <v>770</v>
      </c>
      <c r="C50" t="s">
        <v>771</v>
      </c>
      <c r="D50" t="s">
        <v>630</v>
      </c>
      <c r="E50" t="s">
        <v>771</v>
      </c>
      <c r="K50" t="s">
        <v>545</v>
      </c>
      <c r="L50" t="s">
        <v>545</v>
      </c>
    </row>
    <row r="51" spans="1:12" x14ac:dyDescent="0.3">
      <c r="A51" t="s">
        <v>766</v>
      </c>
      <c r="B51" t="s">
        <v>772</v>
      </c>
      <c r="C51" t="s">
        <v>773</v>
      </c>
      <c r="D51" t="s">
        <v>630</v>
      </c>
      <c r="E51" t="s">
        <v>774</v>
      </c>
      <c r="F51" s="121">
        <v>0.8</v>
      </c>
      <c r="K51" t="s">
        <v>545</v>
      </c>
      <c r="L51" t="s">
        <v>545</v>
      </c>
    </row>
    <row r="52" spans="1:12" x14ac:dyDescent="0.3">
      <c r="A52" t="s">
        <v>775</v>
      </c>
      <c r="B52" t="s">
        <v>729</v>
      </c>
      <c r="C52" t="s">
        <v>654</v>
      </c>
      <c r="D52" t="s">
        <v>630</v>
      </c>
      <c r="E52" t="s">
        <v>731</v>
      </c>
      <c r="F52" s="121">
        <v>0.9</v>
      </c>
      <c r="G52" t="s">
        <v>632</v>
      </c>
      <c r="K52" t="s">
        <v>548</v>
      </c>
      <c r="L52" t="s">
        <v>548</v>
      </c>
    </row>
    <row r="53" spans="1:12" x14ac:dyDescent="0.3">
      <c r="A53" t="s">
        <v>775</v>
      </c>
      <c r="B53" t="s">
        <v>732</v>
      </c>
      <c r="C53" t="s">
        <v>733</v>
      </c>
      <c r="D53" t="s">
        <v>630</v>
      </c>
      <c r="E53" t="s">
        <v>734</v>
      </c>
      <c r="F53" s="121">
        <v>0.8</v>
      </c>
      <c r="G53" t="s">
        <v>632</v>
      </c>
      <c r="K53" t="s">
        <v>548</v>
      </c>
      <c r="L53" t="s">
        <v>548</v>
      </c>
    </row>
    <row r="54" spans="1:12" x14ac:dyDescent="0.3">
      <c r="A54" t="s">
        <v>775</v>
      </c>
      <c r="B54" t="s">
        <v>735</v>
      </c>
      <c r="C54" t="s">
        <v>654</v>
      </c>
      <c r="D54" t="s">
        <v>630</v>
      </c>
      <c r="E54" t="s">
        <v>737</v>
      </c>
      <c r="F54" s="121">
        <v>0.1</v>
      </c>
      <c r="G54" t="s">
        <v>632</v>
      </c>
      <c r="K54" t="s">
        <v>548</v>
      </c>
      <c r="L54" t="s">
        <v>548</v>
      </c>
    </row>
    <row r="55" spans="1:12" x14ac:dyDescent="0.3">
      <c r="A55" t="s">
        <v>775</v>
      </c>
      <c r="B55" t="s">
        <v>738</v>
      </c>
      <c r="C55" t="s">
        <v>654</v>
      </c>
      <c r="D55" t="s">
        <v>630</v>
      </c>
      <c r="E55" t="s">
        <v>201</v>
      </c>
      <c r="F55" t="s">
        <v>201</v>
      </c>
      <c r="G55" t="s">
        <v>632</v>
      </c>
      <c r="K55" t="s">
        <v>548</v>
      </c>
      <c r="L55" t="s">
        <v>548</v>
      </c>
    </row>
    <row r="56" spans="1:12" x14ac:dyDescent="0.3">
      <c r="A56" t="s">
        <v>775</v>
      </c>
      <c r="B56" t="s">
        <v>776</v>
      </c>
      <c r="C56" t="s">
        <v>777</v>
      </c>
      <c r="D56" t="s">
        <v>630</v>
      </c>
      <c r="E56" t="s">
        <v>742</v>
      </c>
      <c r="F56">
        <v>15</v>
      </c>
      <c r="G56" t="s">
        <v>632</v>
      </c>
      <c r="K56" t="s">
        <v>548</v>
      </c>
      <c r="L56" t="s">
        <v>548</v>
      </c>
    </row>
    <row r="57" spans="1:12" x14ac:dyDescent="0.3">
      <c r="A57" t="s">
        <v>778</v>
      </c>
      <c r="B57" t="s">
        <v>779</v>
      </c>
      <c r="C57" t="s">
        <v>780</v>
      </c>
      <c r="D57" t="b">
        <v>1</v>
      </c>
      <c r="E57" t="s">
        <v>781</v>
      </c>
      <c r="F57" t="s">
        <v>782</v>
      </c>
      <c r="K57" t="s">
        <v>595</v>
      </c>
      <c r="L57" t="s">
        <v>596</v>
      </c>
    </row>
    <row r="58" spans="1:12" x14ac:dyDescent="0.3">
      <c r="A58" t="s">
        <v>778</v>
      </c>
      <c r="B58" t="s">
        <v>783</v>
      </c>
      <c r="C58" t="s">
        <v>784</v>
      </c>
      <c r="D58" t="s">
        <v>645</v>
      </c>
      <c r="E58" t="s">
        <v>785</v>
      </c>
      <c r="F58" s="121">
        <v>7.0000000000000007E-2</v>
      </c>
      <c r="K58" t="s">
        <v>595</v>
      </c>
      <c r="L58" t="s">
        <v>596</v>
      </c>
    </row>
    <row r="59" spans="1:12" x14ac:dyDescent="0.3">
      <c r="A59" t="s">
        <v>778</v>
      </c>
      <c r="B59" t="s">
        <v>786</v>
      </c>
      <c r="C59" t="s">
        <v>787</v>
      </c>
      <c r="D59" t="s">
        <v>645</v>
      </c>
      <c r="E59" t="s">
        <v>643</v>
      </c>
      <c r="K59" t="s">
        <v>595</v>
      </c>
      <c r="L59" t="s">
        <v>596</v>
      </c>
    </row>
    <row r="60" spans="1:12" x14ac:dyDescent="0.3">
      <c r="A60" t="s">
        <v>788</v>
      </c>
      <c r="B60" t="s">
        <v>789</v>
      </c>
      <c r="C60" t="s">
        <v>654</v>
      </c>
      <c r="D60" t="s">
        <v>630</v>
      </c>
      <c r="E60" t="s">
        <v>201</v>
      </c>
      <c r="F60" t="s">
        <v>201</v>
      </c>
      <c r="K60" t="s">
        <v>554</v>
      </c>
      <c r="L60" t="s">
        <v>555</v>
      </c>
    </row>
    <row r="61" spans="1:12" x14ac:dyDescent="0.3">
      <c r="A61" t="s">
        <v>788</v>
      </c>
      <c r="B61" t="s">
        <v>790</v>
      </c>
      <c r="C61" t="s">
        <v>654</v>
      </c>
      <c r="D61" t="s">
        <v>630</v>
      </c>
      <c r="E61" t="s">
        <v>201</v>
      </c>
      <c r="F61" t="s">
        <v>201</v>
      </c>
      <c r="K61" t="s">
        <v>554</v>
      </c>
      <c r="L61" t="s">
        <v>555</v>
      </c>
    </row>
    <row r="62" spans="1:12" x14ac:dyDescent="0.3">
      <c r="A62" t="s">
        <v>788</v>
      </c>
      <c r="B62" t="s">
        <v>791</v>
      </c>
      <c r="C62" t="s">
        <v>654</v>
      </c>
      <c r="D62" t="s">
        <v>630</v>
      </c>
      <c r="E62" t="s">
        <v>792</v>
      </c>
      <c r="F62" t="s">
        <v>201</v>
      </c>
      <c r="G62" t="s">
        <v>632</v>
      </c>
      <c r="H62" t="s">
        <v>632</v>
      </c>
      <c r="I62">
        <v>3</v>
      </c>
      <c r="J62">
        <v>11</v>
      </c>
      <c r="K62" t="s">
        <v>554</v>
      </c>
      <c r="L62" t="s">
        <v>555</v>
      </c>
    </row>
    <row r="63" spans="1:12" x14ac:dyDescent="0.3">
      <c r="A63" t="s">
        <v>788</v>
      </c>
      <c r="B63" t="s">
        <v>793</v>
      </c>
      <c r="C63" t="s">
        <v>654</v>
      </c>
      <c r="D63" t="s">
        <v>630</v>
      </c>
      <c r="E63" t="s">
        <v>792</v>
      </c>
      <c r="F63" t="s">
        <v>201</v>
      </c>
      <c r="G63" t="s">
        <v>632</v>
      </c>
      <c r="H63" t="s">
        <v>632</v>
      </c>
      <c r="I63">
        <v>3</v>
      </c>
      <c r="J63">
        <v>11</v>
      </c>
      <c r="K63" t="s">
        <v>554</v>
      </c>
      <c r="L63" t="s">
        <v>555</v>
      </c>
    </row>
    <row r="64" spans="1:12" x14ac:dyDescent="0.3">
      <c r="A64" t="s">
        <v>794</v>
      </c>
      <c r="B64" t="s">
        <v>795</v>
      </c>
      <c r="C64" t="s">
        <v>796</v>
      </c>
      <c r="D64" t="s">
        <v>630</v>
      </c>
      <c r="K64" s="6" t="s">
        <v>606</v>
      </c>
      <c r="L64" s="6" t="s">
        <v>613</v>
      </c>
    </row>
    <row r="65" spans="1:12" x14ac:dyDescent="0.3">
      <c r="A65" t="s">
        <v>794</v>
      </c>
      <c r="B65" t="s">
        <v>797</v>
      </c>
      <c r="C65" t="s">
        <v>798</v>
      </c>
      <c r="D65" t="s">
        <v>630</v>
      </c>
      <c r="K65" s="6" t="s">
        <v>606</v>
      </c>
      <c r="L65" s="6" t="s">
        <v>613</v>
      </c>
    </row>
    <row r="66" spans="1:12" x14ac:dyDescent="0.3">
      <c r="A66" t="s">
        <v>794</v>
      </c>
      <c r="B66" t="s">
        <v>799</v>
      </c>
      <c r="C66" t="s">
        <v>800</v>
      </c>
      <c r="D66" t="s">
        <v>630</v>
      </c>
      <c r="K66" s="6" t="s">
        <v>606</v>
      </c>
      <c r="L66" s="6" t="s">
        <v>613</v>
      </c>
    </row>
    <row r="67" spans="1:12" x14ac:dyDescent="0.3">
      <c r="A67" t="s">
        <v>801</v>
      </c>
      <c r="B67" t="s">
        <v>802</v>
      </c>
      <c r="C67" t="s">
        <v>803</v>
      </c>
      <c r="D67" t="s">
        <v>630</v>
      </c>
      <c r="E67" t="s">
        <v>804</v>
      </c>
      <c r="F67" s="121">
        <v>0.82</v>
      </c>
      <c r="G67" t="s">
        <v>632</v>
      </c>
      <c r="K67" t="s">
        <v>587</v>
      </c>
      <c r="L67" t="s">
        <v>603</v>
      </c>
    </row>
    <row r="68" spans="1:12" x14ac:dyDescent="0.3">
      <c r="A68" t="s">
        <v>801</v>
      </c>
      <c r="B68" t="s">
        <v>805</v>
      </c>
      <c r="C68" t="s">
        <v>806</v>
      </c>
      <c r="D68" t="s">
        <v>630</v>
      </c>
      <c r="E68" t="s">
        <v>807</v>
      </c>
      <c r="F68" s="121">
        <v>1</v>
      </c>
      <c r="G68" t="s">
        <v>632</v>
      </c>
      <c r="K68" t="s">
        <v>587</v>
      </c>
      <c r="L68" t="s">
        <v>603</v>
      </c>
    </row>
    <row r="69" spans="1:12" x14ac:dyDescent="0.3">
      <c r="A69" t="s">
        <v>801</v>
      </c>
      <c r="B69" t="s">
        <v>808</v>
      </c>
      <c r="C69" t="s">
        <v>809</v>
      </c>
      <c r="D69" t="s">
        <v>630</v>
      </c>
      <c r="E69" s="8" t="s">
        <v>1524</v>
      </c>
      <c r="G69" t="s">
        <v>632</v>
      </c>
      <c r="K69" t="s">
        <v>587</v>
      </c>
      <c r="L69" t="s">
        <v>603</v>
      </c>
    </row>
    <row r="70" spans="1:12" x14ac:dyDescent="0.3">
      <c r="A70" t="s">
        <v>801</v>
      </c>
      <c r="B70" t="s">
        <v>808</v>
      </c>
      <c r="C70" t="s">
        <v>809</v>
      </c>
      <c r="D70" t="s">
        <v>630</v>
      </c>
      <c r="E70" s="8" t="s">
        <v>1524</v>
      </c>
      <c r="G70" t="s">
        <v>639</v>
      </c>
      <c r="K70" t="s">
        <v>587</v>
      </c>
      <c r="L70" t="s">
        <v>603</v>
      </c>
    </row>
    <row r="71" spans="1:12" s="123" customFormat="1" x14ac:dyDescent="0.3">
      <c r="A71" s="123" t="s">
        <v>811</v>
      </c>
      <c r="B71" s="123" t="s">
        <v>812</v>
      </c>
      <c r="C71" s="123" t="s">
        <v>813</v>
      </c>
      <c r="D71" s="123" t="s">
        <v>630</v>
      </c>
      <c r="E71" s="123" t="s">
        <v>814</v>
      </c>
      <c r="G71" s="123" t="s">
        <v>632</v>
      </c>
      <c r="K71" s="123" t="s">
        <v>595</v>
      </c>
      <c r="L71" s="123" t="s">
        <v>603</v>
      </c>
    </row>
    <row r="72" spans="1:12" x14ac:dyDescent="0.3">
      <c r="A72" t="s">
        <v>815</v>
      </c>
      <c r="B72" t="s">
        <v>816</v>
      </c>
      <c r="C72" t="s">
        <v>817</v>
      </c>
      <c r="D72" t="s">
        <v>630</v>
      </c>
      <c r="E72" t="s">
        <v>818</v>
      </c>
      <c r="G72" t="s">
        <v>632</v>
      </c>
      <c r="K72" t="s">
        <v>567</v>
      </c>
      <c r="L72" t="s">
        <v>574</v>
      </c>
    </row>
    <row r="73" spans="1:12" x14ac:dyDescent="0.3">
      <c r="A73" t="s">
        <v>819</v>
      </c>
      <c r="B73" t="s">
        <v>820</v>
      </c>
      <c r="C73" t="s">
        <v>821</v>
      </c>
      <c r="D73" t="s">
        <v>630</v>
      </c>
      <c r="E73" t="s">
        <v>822</v>
      </c>
      <c r="F73" s="121">
        <v>1</v>
      </c>
      <c r="G73" t="s">
        <v>632</v>
      </c>
      <c r="K73" t="s">
        <v>1236</v>
      </c>
      <c r="L73" t="s">
        <v>614</v>
      </c>
    </row>
    <row r="74" spans="1:12" x14ac:dyDescent="0.3">
      <c r="A74" t="s">
        <v>819</v>
      </c>
      <c r="B74" t="s">
        <v>823</v>
      </c>
      <c r="C74" t="s">
        <v>824</v>
      </c>
      <c r="D74" t="s">
        <v>630</v>
      </c>
      <c r="E74" t="s">
        <v>825</v>
      </c>
      <c r="F74" s="121">
        <v>1</v>
      </c>
      <c r="K74" t="s">
        <v>1236</v>
      </c>
      <c r="L74" t="s">
        <v>614</v>
      </c>
    </row>
    <row r="75" spans="1:12" x14ac:dyDescent="0.3">
      <c r="A75" t="s">
        <v>819</v>
      </c>
      <c r="B75" t="s">
        <v>826</v>
      </c>
      <c r="C75" t="s">
        <v>827</v>
      </c>
      <c r="D75" t="s">
        <v>630</v>
      </c>
      <c r="E75" t="s">
        <v>828</v>
      </c>
      <c r="K75" t="s">
        <v>1236</v>
      </c>
      <c r="L75" t="s">
        <v>614</v>
      </c>
    </row>
    <row r="76" spans="1:12" x14ac:dyDescent="0.3">
      <c r="A76" t="s">
        <v>819</v>
      </c>
      <c r="B76" t="s">
        <v>829</v>
      </c>
      <c r="C76" t="s">
        <v>830</v>
      </c>
      <c r="D76" t="s">
        <v>630</v>
      </c>
      <c r="E76" t="s">
        <v>831</v>
      </c>
      <c r="F76" s="121">
        <v>1</v>
      </c>
      <c r="K76" t="s">
        <v>1236</v>
      </c>
      <c r="L76" t="s">
        <v>614</v>
      </c>
    </row>
    <row r="77" spans="1:12" x14ac:dyDescent="0.3">
      <c r="A77" t="s">
        <v>819</v>
      </c>
      <c r="B77" t="s">
        <v>832</v>
      </c>
      <c r="C77" t="s">
        <v>833</v>
      </c>
      <c r="D77" t="s">
        <v>630</v>
      </c>
      <c r="E77" t="s">
        <v>201</v>
      </c>
      <c r="F77" t="s">
        <v>201</v>
      </c>
      <c r="K77" t="s">
        <v>1236</v>
      </c>
      <c r="L77" t="s">
        <v>614</v>
      </c>
    </row>
    <row r="78" spans="1:12" x14ac:dyDescent="0.3">
      <c r="A78" t="s">
        <v>834</v>
      </c>
      <c r="B78" t="s">
        <v>835</v>
      </c>
      <c r="C78" t="s">
        <v>654</v>
      </c>
      <c r="D78" t="s">
        <v>630</v>
      </c>
      <c r="E78" t="s">
        <v>836</v>
      </c>
      <c r="G78" t="s">
        <v>632</v>
      </c>
      <c r="K78" t="s">
        <v>567</v>
      </c>
      <c r="L78" t="s">
        <v>580</v>
      </c>
    </row>
    <row r="79" spans="1:12" x14ac:dyDescent="0.3">
      <c r="A79" t="s">
        <v>834</v>
      </c>
      <c r="B79" t="s">
        <v>837</v>
      </c>
      <c r="C79" t="s">
        <v>654</v>
      </c>
      <c r="D79" t="s">
        <v>630</v>
      </c>
      <c r="E79" t="s">
        <v>838</v>
      </c>
      <c r="G79" t="s">
        <v>839</v>
      </c>
      <c r="K79" t="s">
        <v>567</v>
      </c>
      <c r="L79" t="s">
        <v>580</v>
      </c>
    </row>
    <row r="80" spans="1:12" x14ac:dyDescent="0.3">
      <c r="A80" t="s">
        <v>840</v>
      </c>
      <c r="B80" t="s">
        <v>841</v>
      </c>
      <c r="C80" t="s">
        <v>842</v>
      </c>
      <c r="D80" t="s">
        <v>630</v>
      </c>
      <c r="E80" t="s">
        <v>843</v>
      </c>
      <c r="G80" t="s">
        <v>632</v>
      </c>
      <c r="K80" t="s">
        <v>567</v>
      </c>
      <c r="L80" t="s">
        <v>514</v>
      </c>
    </row>
    <row r="81" spans="1:12" x14ac:dyDescent="0.3">
      <c r="A81" t="s">
        <v>840</v>
      </c>
      <c r="B81" t="s">
        <v>844</v>
      </c>
      <c r="C81" t="s">
        <v>845</v>
      </c>
      <c r="D81" t="s">
        <v>630</v>
      </c>
      <c r="E81" t="s">
        <v>843</v>
      </c>
      <c r="G81" t="s">
        <v>632</v>
      </c>
      <c r="K81" t="s">
        <v>567</v>
      </c>
      <c r="L81" t="s">
        <v>514</v>
      </c>
    </row>
    <row r="82" spans="1:12" x14ac:dyDescent="0.3">
      <c r="A82" t="s">
        <v>846</v>
      </c>
      <c r="B82" t="s">
        <v>847</v>
      </c>
      <c r="C82" t="s">
        <v>847</v>
      </c>
      <c r="D82" t="s">
        <v>630</v>
      </c>
      <c r="E82" t="s">
        <v>848</v>
      </c>
      <c r="F82" t="s">
        <v>201</v>
      </c>
      <c r="G82" t="s">
        <v>632</v>
      </c>
      <c r="K82" t="s">
        <v>554</v>
      </c>
      <c r="L82" t="s">
        <v>592</v>
      </c>
    </row>
    <row r="83" spans="1:12" x14ac:dyDescent="0.3">
      <c r="A83" t="s">
        <v>846</v>
      </c>
      <c r="B83" t="s">
        <v>849</v>
      </c>
      <c r="C83" t="s">
        <v>850</v>
      </c>
      <c r="D83" t="s">
        <v>630</v>
      </c>
      <c r="E83" t="s">
        <v>201</v>
      </c>
      <c r="F83" t="s">
        <v>201</v>
      </c>
      <c r="G83" t="s">
        <v>639</v>
      </c>
      <c r="K83" t="s">
        <v>554</v>
      </c>
      <c r="L83" t="s">
        <v>592</v>
      </c>
    </row>
    <row r="84" spans="1:12" x14ac:dyDescent="0.3">
      <c r="A84" t="s">
        <v>846</v>
      </c>
      <c r="B84" t="s">
        <v>851</v>
      </c>
      <c r="C84" t="s">
        <v>852</v>
      </c>
      <c r="D84" t="s">
        <v>630</v>
      </c>
      <c r="E84" t="s">
        <v>201</v>
      </c>
      <c r="F84" t="s">
        <v>201</v>
      </c>
      <c r="G84" t="s">
        <v>639</v>
      </c>
      <c r="K84" t="s">
        <v>554</v>
      </c>
      <c r="L84" t="s">
        <v>592</v>
      </c>
    </row>
    <row r="85" spans="1:12" x14ac:dyDescent="0.3">
      <c r="A85" t="s">
        <v>846</v>
      </c>
      <c r="B85" t="s">
        <v>853</v>
      </c>
      <c r="C85" t="s">
        <v>854</v>
      </c>
      <c r="D85" t="s">
        <v>630</v>
      </c>
      <c r="E85" t="s">
        <v>855</v>
      </c>
      <c r="F85" s="121">
        <v>1</v>
      </c>
      <c r="G85" t="s">
        <v>632</v>
      </c>
      <c r="K85" t="s">
        <v>554</v>
      </c>
      <c r="L85" t="s">
        <v>592</v>
      </c>
    </row>
    <row r="86" spans="1:12" x14ac:dyDescent="0.3">
      <c r="A86" t="s">
        <v>856</v>
      </c>
      <c r="B86" t="s">
        <v>857</v>
      </c>
      <c r="C86" t="s">
        <v>858</v>
      </c>
      <c r="D86" t="s">
        <v>630</v>
      </c>
      <c r="E86" t="s">
        <v>859</v>
      </c>
      <c r="F86" s="121">
        <v>0.8</v>
      </c>
      <c r="K86" t="s">
        <v>561</v>
      </c>
      <c r="L86" t="s">
        <v>566</v>
      </c>
    </row>
    <row r="87" spans="1:12" x14ac:dyDescent="0.3">
      <c r="A87" t="s">
        <v>856</v>
      </c>
      <c r="B87" t="s">
        <v>860</v>
      </c>
      <c r="C87" t="s">
        <v>861</v>
      </c>
      <c r="D87" t="s">
        <v>630</v>
      </c>
      <c r="E87" t="s">
        <v>862</v>
      </c>
      <c r="K87" t="s">
        <v>561</v>
      </c>
      <c r="L87" t="s">
        <v>566</v>
      </c>
    </row>
    <row r="88" spans="1:12" x14ac:dyDescent="0.3">
      <c r="A88" t="s">
        <v>856</v>
      </c>
      <c r="B88" t="s">
        <v>863</v>
      </c>
      <c r="C88" t="s">
        <v>864</v>
      </c>
      <c r="D88" t="s">
        <v>645</v>
      </c>
      <c r="E88" t="s">
        <v>865</v>
      </c>
      <c r="K88" s="6" t="s">
        <v>561</v>
      </c>
      <c r="L88" s="6" t="s">
        <v>566</v>
      </c>
    </row>
    <row r="89" spans="1:12" x14ac:dyDescent="0.3">
      <c r="A89" t="s">
        <v>866</v>
      </c>
      <c r="B89" t="s">
        <v>867</v>
      </c>
      <c r="C89" t="s">
        <v>868</v>
      </c>
      <c r="D89" t="s">
        <v>645</v>
      </c>
      <c r="E89" s="122" t="s">
        <v>868</v>
      </c>
      <c r="G89" t="s">
        <v>632</v>
      </c>
      <c r="K89" t="s">
        <v>563</v>
      </c>
      <c r="L89" t="s">
        <v>564</v>
      </c>
    </row>
    <row r="90" spans="1:12" x14ac:dyDescent="0.3">
      <c r="A90" t="s">
        <v>866</v>
      </c>
      <c r="B90" t="s">
        <v>869</v>
      </c>
      <c r="C90" t="s">
        <v>870</v>
      </c>
      <c r="D90" t="s">
        <v>645</v>
      </c>
      <c r="E90" t="s">
        <v>871</v>
      </c>
      <c r="G90" t="s">
        <v>632</v>
      </c>
      <c r="K90" t="s">
        <v>563</v>
      </c>
      <c r="L90" t="s">
        <v>564</v>
      </c>
    </row>
    <row r="91" spans="1:12" x14ac:dyDescent="0.3">
      <c r="A91" t="s">
        <v>866</v>
      </c>
      <c r="B91" t="s">
        <v>872</v>
      </c>
      <c r="C91" t="s">
        <v>873</v>
      </c>
      <c r="D91" t="s">
        <v>645</v>
      </c>
      <c r="E91" t="s">
        <v>873</v>
      </c>
      <c r="G91" t="s">
        <v>632</v>
      </c>
      <c r="K91" t="s">
        <v>563</v>
      </c>
      <c r="L91" t="s">
        <v>564</v>
      </c>
    </row>
    <row r="92" spans="1:12" x14ac:dyDescent="0.3">
      <c r="A92" t="s">
        <v>866</v>
      </c>
      <c r="B92" t="s">
        <v>874</v>
      </c>
      <c r="C92" t="s">
        <v>875</v>
      </c>
      <c r="D92" t="s">
        <v>645</v>
      </c>
      <c r="E92" t="s">
        <v>876</v>
      </c>
      <c r="K92" t="s">
        <v>563</v>
      </c>
      <c r="L92" t="s">
        <v>564</v>
      </c>
    </row>
    <row r="93" spans="1:12" x14ac:dyDescent="0.3">
      <c r="A93" t="s">
        <v>866</v>
      </c>
      <c r="B93" t="s">
        <v>877</v>
      </c>
      <c r="C93" t="s">
        <v>878</v>
      </c>
      <c r="D93" t="s">
        <v>645</v>
      </c>
      <c r="E93" t="s">
        <v>879</v>
      </c>
      <c r="K93" t="s">
        <v>563</v>
      </c>
      <c r="L93" t="s">
        <v>564</v>
      </c>
    </row>
    <row r="94" spans="1:12" x14ac:dyDescent="0.3">
      <c r="A94" t="s">
        <v>880</v>
      </c>
      <c r="B94" t="s">
        <v>881</v>
      </c>
      <c r="C94" t="s">
        <v>882</v>
      </c>
      <c r="D94" t="s">
        <v>630</v>
      </c>
      <c r="E94" t="s">
        <v>883</v>
      </c>
      <c r="G94" t="s">
        <v>632</v>
      </c>
      <c r="K94" t="s">
        <v>567</v>
      </c>
      <c r="L94" t="s">
        <v>575</v>
      </c>
    </row>
    <row r="95" spans="1:12" x14ac:dyDescent="0.3">
      <c r="A95" t="s">
        <v>880</v>
      </c>
      <c r="B95" t="s">
        <v>884</v>
      </c>
      <c r="C95" t="s">
        <v>882</v>
      </c>
      <c r="D95" t="s">
        <v>630</v>
      </c>
      <c r="E95" t="s">
        <v>885</v>
      </c>
      <c r="K95" t="s">
        <v>567</v>
      </c>
      <c r="L95" t="s">
        <v>575</v>
      </c>
    </row>
    <row r="96" spans="1:12" x14ac:dyDescent="0.3">
      <c r="A96" t="s">
        <v>880</v>
      </c>
      <c r="B96" t="s">
        <v>886</v>
      </c>
      <c r="C96" t="s">
        <v>882</v>
      </c>
      <c r="D96" t="s">
        <v>630</v>
      </c>
      <c r="E96" t="s">
        <v>887</v>
      </c>
      <c r="K96" t="s">
        <v>567</v>
      </c>
      <c r="L96" t="s">
        <v>575</v>
      </c>
    </row>
    <row r="97" spans="1:12" x14ac:dyDescent="0.3">
      <c r="A97" t="s">
        <v>888</v>
      </c>
      <c r="B97" t="s">
        <v>889</v>
      </c>
      <c r="C97" t="s">
        <v>890</v>
      </c>
      <c r="D97" t="s">
        <v>630</v>
      </c>
      <c r="E97" t="s">
        <v>891</v>
      </c>
      <c r="F97" s="121">
        <v>1</v>
      </c>
      <c r="G97" t="s">
        <v>639</v>
      </c>
      <c r="K97" s="6" t="s">
        <v>568</v>
      </c>
      <c r="L97" s="6" t="s">
        <v>569</v>
      </c>
    </row>
    <row r="98" spans="1:12" ht="28.8" x14ac:dyDescent="0.3">
      <c r="A98" t="s">
        <v>888</v>
      </c>
      <c r="B98" t="s">
        <v>892</v>
      </c>
      <c r="C98" t="s">
        <v>893</v>
      </c>
      <c r="D98" t="s">
        <v>630</v>
      </c>
      <c r="E98" s="8" t="s">
        <v>894</v>
      </c>
      <c r="F98" t="s">
        <v>201</v>
      </c>
      <c r="G98" t="s">
        <v>639</v>
      </c>
      <c r="K98" s="6" t="s">
        <v>568</v>
      </c>
      <c r="L98" s="6" t="s">
        <v>569</v>
      </c>
    </row>
    <row r="99" spans="1:12" x14ac:dyDescent="0.3">
      <c r="A99" t="s">
        <v>888</v>
      </c>
      <c r="B99" t="s">
        <v>686</v>
      </c>
      <c r="C99" t="s">
        <v>687</v>
      </c>
      <c r="D99" t="s">
        <v>630</v>
      </c>
      <c r="E99" t="s">
        <v>848</v>
      </c>
      <c r="G99" t="s">
        <v>632</v>
      </c>
      <c r="H99" t="s">
        <v>632</v>
      </c>
      <c r="I99">
        <v>3</v>
      </c>
      <c r="J99">
        <v>12</v>
      </c>
      <c r="K99" s="6" t="s">
        <v>568</v>
      </c>
      <c r="L99" s="6" t="s">
        <v>569</v>
      </c>
    </row>
    <row r="100" spans="1:12" x14ac:dyDescent="0.3">
      <c r="A100" t="s">
        <v>888</v>
      </c>
      <c r="B100" t="s">
        <v>895</v>
      </c>
      <c r="C100" t="s">
        <v>896</v>
      </c>
      <c r="D100" t="s">
        <v>630</v>
      </c>
      <c r="E100" t="s">
        <v>897</v>
      </c>
      <c r="F100" s="121" t="s">
        <v>201</v>
      </c>
      <c r="G100" t="s">
        <v>639</v>
      </c>
      <c r="K100" s="6" t="s">
        <v>568</v>
      </c>
      <c r="L100" s="6" t="s">
        <v>569</v>
      </c>
    </row>
    <row r="101" spans="1:12" x14ac:dyDescent="0.3">
      <c r="A101" t="s">
        <v>888</v>
      </c>
      <c r="B101" t="s">
        <v>898</v>
      </c>
      <c r="C101" t="s">
        <v>898</v>
      </c>
      <c r="D101" t="s">
        <v>630</v>
      </c>
      <c r="E101" t="s">
        <v>897</v>
      </c>
      <c r="K101" s="6" t="s">
        <v>568</v>
      </c>
      <c r="L101" s="6" t="s">
        <v>569</v>
      </c>
    </row>
    <row r="102" spans="1:12" x14ac:dyDescent="0.3">
      <c r="A102" t="s">
        <v>899</v>
      </c>
      <c r="B102" t="s">
        <v>900</v>
      </c>
      <c r="C102" t="s">
        <v>901</v>
      </c>
      <c r="D102" t="s">
        <v>630</v>
      </c>
      <c r="E102" t="s">
        <v>643</v>
      </c>
      <c r="K102" t="s">
        <v>559</v>
      </c>
      <c r="L102" t="s">
        <v>559</v>
      </c>
    </row>
    <row r="103" spans="1:12" x14ac:dyDescent="0.3">
      <c r="A103" t="s">
        <v>899</v>
      </c>
      <c r="B103" t="s">
        <v>902</v>
      </c>
      <c r="C103" t="s">
        <v>654</v>
      </c>
      <c r="D103" t="s">
        <v>645</v>
      </c>
      <c r="G103" t="s">
        <v>632</v>
      </c>
      <c r="K103" t="s">
        <v>559</v>
      </c>
      <c r="L103" t="s">
        <v>559</v>
      </c>
    </row>
    <row r="104" spans="1:12" x14ac:dyDescent="0.3">
      <c r="A104" t="s">
        <v>899</v>
      </c>
      <c r="B104" t="s">
        <v>903</v>
      </c>
      <c r="C104" t="s">
        <v>654</v>
      </c>
      <c r="D104" t="s">
        <v>630</v>
      </c>
      <c r="E104" t="s">
        <v>904</v>
      </c>
      <c r="G104" t="s">
        <v>639</v>
      </c>
      <c r="K104" t="s">
        <v>559</v>
      </c>
      <c r="L104" t="s">
        <v>559</v>
      </c>
    </row>
    <row r="105" spans="1:12" x14ac:dyDescent="0.3">
      <c r="A105" t="s">
        <v>905</v>
      </c>
      <c r="B105" t="s">
        <v>906</v>
      </c>
      <c r="C105" t="s">
        <v>654</v>
      </c>
      <c r="D105" t="s">
        <v>630</v>
      </c>
      <c r="E105" t="s">
        <v>643</v>
      </c>
      <c r="K105" t="s">
        <v>608</v>
      </c>
      <c r="L105" t="s">
        <v>610</v>
      </c>
    </row>
    <row r="106" spans="1:12" x14ac:dyDescent="0.3">
      <c r="A106" t="s">
        <v>905</v>
      </c>
      <c r="B106" t="s">
        <v>907</v>
      </c>
      <c r="C106" t="s">
        <v>654</v>
      </c>
      <c r="D106" t="s">
        <v>630</v>
      </c>
      <c r="E106" t="s">
        <v>908</v>
      </c>
      <c r="G106" t="s">
        <v>632</v>
      </c>
      <c r="K106" s="6" t="s">
        <v>608</v>
      </c>
      <c r="L106" s="6" t="s">
        <v>610</v>
      </c>
    </row>
    <row r="107" spans="1:12" x14ac:dyDescent="0.3">
      <c r="A107" t="s">
        <v>905</v>
      </c>
      <c r="B107" t="s">
        <v>909</v>
      </c>
      <c r="C107" t="s">
        <v>654</v>
      </c>
      <c r="D107" t="s">
        <v>630</v>
      </c>
      <c r="E107" t="s">
        <v>643</v>
      </c>
      <c r="K107" t="s">
        <v>608</v>
      </c>
      <c r="L107" t="s">
        <v>610</v>
      </c>
    </row>
    <row r="108" spans="1:12" x14ac:dyDescent="0.3">
      <c r="A108" t="s">
        <v>910</v>
      </c>
      <c r="B108" t="s">
        <v>911</v>
      </c>
      <c r="C108" t="s">
        <v>654</v>
      </c>
      <c r="D108" t="s">
        <v>630</v>
      </c>
      <c r="E108" s="8" t="s">
        <v>912</v>
      </c>
      <c r="F108" s="121">
        <v>1</v>
      </c>
      <c r="K108" t="s">
        <v>561</v>
      </c>
      <c r="L108" t="s">
        <v>562</v>
      </c>
    </row>
    <row r="109" spans="1:12" x14ac:dyDescent="0.3">
      <c r="A109" t="s">
        <v>913</v>
      </c>
      <c r="B109" t="s">
        <v>914</v>
      </c>
      <c r="C109" t="s">
        <v>915</v>
      </c>
      <c r="D109" t="s">
        <v>630</v>
      </c>
      <c r="E109" t="s">
        <v>916</v>
      </c>
      <c r="K109" t="s">
        <v>587</v>
      </c>
      <c r="L109" t="s">
        <v>347</v>
      </c>
    </row>
    <row r="110" spans="1:12" x14ac:dyDescent="0.3">
      <c r="A110" t="s">
        <v>913</v>
      </c>
      <c r="B110" t="s">
        <v>917</v>
      </c>
      <c r="C110" t="s">
        <v>918</v>
      </c>
      <c r="D110" t="s">
        <v>630</v>
      </c>
      <c r="E110" t="s">
        <v>919</v>
      </c>
      <c r="F110" s="121">
        <v>0.86</v>
      </c>
      <c r="G110" t="s">
        <v>632</v>
      </c>
      <c r="K110" t="s">
        <v>587</v>
      </c>
      <c r="L110" t="s">
        <v>347</v>
      </c>
    </row>
    <row r="111" spans="1:12" x14ac:dyDescent="0.3">
      <c r="A111" t="s">
        <v>913</v>
      </c>
      <c r="B111" t="s">
        <v>920</v>
      </c>
      <c r="C111" t="s">
        <v>921</v>
      </c>
      <c r="D111" t="s">
        <v>630</v>
      </c>
      <c r="E111" t="s">
        <v>922</v>
      </c>
      <c r="F111">
        <v>1</v>
      </c>
      <c r="K111" t="s">
        <v>587</v>
      </c>
      <c r="L111" t="s">
        <v>347</v>
      </c>
    </row>
    <row r="112" spans="1:12" ht="28.8" x14ac:dyDescent="0.3">
      <c r="A112" t="s">
        <v>913</v>
      </c>
      <c r="B112" t="s">
        <v>923</v>
      </c>
      <c r="C112" t="s">
        <v>924</v>
      </c>
      <c r="D112" t="s">
        <v>630</v>
      </c>
      <c r="E112" s="8" t="s">
        <v>925</v>
      </c>
      <c r="K112" t="s">
        <v>587</v>
      </c>
      <c r="L112" t="s">
        <v>347</v>
      </c>
    </row>
    <row r="113" spans="1:12" x14ac:dyDescent="0.3">
      <c r="A113" t="s">
        <v>913</v>
      </c>
      <c r="B113" t="s">
        <v>926</v>
      </c>
      <c r="C113" t="s">
        <v>927</v>
      </c>
      <c r="D113" t="s">
        <v>630</v>
      </c>
      <c r="E113" t="s">
        <v>928</v>
      </c>
      <c r="K113" t="s">
        <v>587</v>
      </c>
      <c r="L113" t="s">
        <v>347</v>
      </c>
    </row>
    <row r="114" spans="1:12" x14ac:dyDescent="0.3">
      <c r="A114" t="s">
        <v>913</v>
      </c>
      <c r="B114" t="s">
        <v>929</v>
      </c>
      <c r="C114" t="s">
        <v>930</v>
      </c>
      <c r="D114" t="s">
        <v>630</v>
      </c>
      <c r="E114" t="s">
        <v>928</v>
      </c>
      <c r="K114" t="s">
        <v>587</v>
      </c>
      <c r="L114" t="s">
        <v>347</v>
      </c>
    </row>
    <row r="115" spans="1:12" x14ac:dyDescent="0.3">
      <c r="A115" t="s">
        <v>913</v>
      </c>
      <c r="B115" t="s">
        <v>931</v>
      </c>
      <c r="C115" t="s">
        <v>932</v>
      </c>
      <c r="D115" t="s">
        <v>630</v>
      </c>
      <c r="E115" t="s">
        <v>933</v>
      </c>
      <c r="K115" t="s">
        <v>587</v>
      </c>
      <c r="L115" t="s">
        <v>347</v>
      </c>
    </row>
    <row r="116" spans="1:12" x14ac:dyDescent="0.3">
      <c r="A116" t="s">
        <v>913</v>
      </c>
      <c r="B116" t="s">
        <v>934</v>
      </c>
      <c r="C116" t="s">
        <v>935</v>
      </c>
      <c r="D116" t="s">
        <v>630</v>
      </c>
      <c r="E116" t="s">
        <v>935</v>
      </c>
      <c r="K116" t="s">
        <v>587</v>
      </c>
      <c r="L116" t="s">
        <v>347</v>
      </c>
    </row>
    <row r="117" spans="1:12" x14ac:dyDescent="0.3">
      <c r="A117" t="s">
        <v>936</v>
      </c>
      <c r="B117" t="s">
        <v>937</v>
      </c>
      <c r="C117" t="s">
        <v>938</v>
      </c>
      <c r="D117" t="s">
        <v>645</v>
      </c>
      <c r="E117" t="s">
        <v>939</v>
      </c>
      <c r="K117" t="s">
        <v>587</v>
      </c>
      <c r="L117" t="s">
        <v>347</v>
      </c>
    </row>
    <row r="118" spans="1:12" x14ac:dyDescent="0.3">
      <c r="A118" t="s">
        <v>936</v>
      </c>
      <c r="B118" t="s">
        <v>940</v>
      </c>
      <c r="C118" t="s">
        <v>941</v>
      </c>
      <c r="D118" t="s">
        <v>645</v>
      </c>
      <c r="E118" t="s">
        <v>928</v>
      </c>
      <c r="K118" t="s">
        <v>587</v>
      </c>
      <c r="L118" t="s">
        <v>347</v>
      </c>
    </row>
    <row r="119" spans="1:12" x14ac:dyDescent="0.3">
      <c r="A119" t="s">
        <v>936</v>
      </c>
      <c r="B119" t="s">
        <v>942</v>
      </c>
      <c r="C119" t="s">
        <v>943</v>
      </c>
      <c r="D119" t="s">
        <v>645</v>
      </c>
      <c r="E119" t="s">
        <v>944</v>
      </c>
      <c r="F119" s="121">
        <v>0.86</v>
      </c>
      <c r="G119" t="s">
        <v>632</v>
      </c>
      <c r="K119" t="s">
        <v>587</v>
      </c>
      <c r="L119" t="s">
        <v>347</v>
      </c>
    </row>
    <row r="120" spans="1:12" x14ac:dyDescent="0.3">
      <c r="A120" t="s">
        <v>936</v>
      </c>
      <c r="B120" t="s">
        <v>945</v>
      </c>
      <c r="C120" t="s">
        <v>946</v>
      </c>
      <c r="D120" t="s">
        <v>645</v>
      </c>
      <c r="E120" t="s">
        <v>947</v>
      </c>
      <c r="F120" s="121">
        <v>1</v>
      </c>
      <c r="G120" t="s">
        <v>632</v>
      </c>
      <c r="K120" t="s">
        <v>587</v>
      </c>
      <c r="L120" t="s">
        <v>347</v>
      </c>
    </row>
    <row r="121" spans="1:12" x14ac:dyDescent="0.3">
      <c r="A121" t="s">
        <v>948</v>
      </c>
      <c r="B121" t="s">
        <v>949</v>
      </c>
      <c r="C121" t="s">
        <v>950</v>
      </c>
      <c r="D121" t="s">
        <v>630</v>
      </c>
      <c r="E121" t="s">
        <v>928</v>
      </c>
      <c r="K121" t="s">
        <v>587</v>
      </c>
      <c r="L121" t="s">
        <v>347</v>
      </c>
    </row>
    <row r="122" spans="1:12" x14ac:dyDescent="0.3">
      <c r="A122" t="s">
        <v>948</v>
      </c>
      <c r="B122" t="s">
        <v>937</v>
      </c>
      <c r="C122" t="s">
        <v>654</v>
      </c>
      <c r="D122" t="s">
        <v>630</v>
      </c>
      <c r="E122" t="s">
        <v>939</v>
      </c>
      <c r="K122" t="s">
        <v>587</v>
      </c>
      <c r="L122" t="s">
        <v>347</v>
      </c>
    </row>
    <row r="123" spans="1:12" x14ac:dyDescent="0.3">
      <c r="A123" t="s">
        <v>948</v>
      </c>
      <c r="B123" t="s">
        <v>951</v>
      </c>
      <c r="C123" t="s">
        <v>952</v>
      </c>
      <c r="D123" t="s">
        <v>630</v>
      </c>
      <c r="E123" t="s">
        <v>944</v>
      </c>
      <c r="F123" s="121">
        <v>0.86</v>
      </c>
      <c r="G123" t="s">
        <v>632</v>
      </c>
      <c r="K123" t="s">
        <v>587</v>
      </c>
      <c r="L123" t="s">
        <v>347</v>
      </c>
    </row>
    <row r="124" spans="1:12" x14ac:dyDescent="0.3">
      <c r="A124" t="s">
        <v>948</v>
      </c>
      <c r="B124" t="s">
        <v>953</v>
      </c>
      <c r="C124" t="s">
        <v>954</v>
      </c>
      <c r="D124" t="s">
        <v>630</v>
      </c>
      <c r="E124" t="s">
        <v>947</v>
      </c>
      <c r="F124" s="121">
        <v>1</v>
      </c>
      <c r="G124" t="s">
        <v>632</v>
      </c>
      <c r="K124" t="s">
        <v>587</v>
      </c>
      <c r="L124" t="s">
        <v>347</v>
      </c>
    </row>
    <row r="125" spans="1:12" x14ac:dyDescent="0.3">
      <c r="A125" t="s">
        <v>955</v>
      </c>
      <c r="B125" t="s">
        <v>956</v>
      </c>
      <c r="C125" t="s">
        <v>957</v>
      </c>
      <c r="D125" t="s">
        <v>630</v>
      </c>
      <c r="E125" t="s">
        <v>939</v>
      </c>
      <c r="K125" t="s">
        <v>587</v>
      </c>
      <c r="L125" t="s">
        <v>347</v>
      </c>
    </row>
    <row r="126" spans="1:12" x14ac:dyDescent="0.3">
      <c r="A126" t="s">
        <v>955</v>
      </c>
      <c r="B126" t="s">
        <v>958</v>
      </c>
      <c r="C126" t="s">
        <v>959</v>
      </c>
      <c r="D126" t="s">
        <v>645</v>
      </c>
      <c r="E126" t="s">
        <v>947</v>
      </c>
      <c r="K126" t="s">
        <v>587</v>
      </c>
      <c r="L126" t="s">
        <v>347</v>
      </c>
    </row>
    <row r="127" spans="1:12" x14ac:dyDescent="0.3">
      <c r="A127" t="s">
        <v>955</v>
      </c>
      <c r="B127" t="s">
        <v>960</v>
      </c>
      <c r="C127" t="s">
        <v>961</v>
      </c>
      <c r="D127" t="s">
        <v>645</v>
      </c>
      <c r="E127" t="s">
        <v>919</v>
      </c>
      <c r="F127" s="121">
        <v>0.86</v>
      </c>
      <c r="G127" t="s">
        <v>632</v>
      </c>
      <c r="K127" t="s">
        <v>587</v>
      </c>
      <c r="L127" t="s">
        <v>347</v>
      </c>
    </row>
    <row r="128" spans="1:12" x14ac:dyDescent="0.3">
      <c r="A128" t="s">
        <v>955</v>
      </c>
      <c r="B128" t="s">
        <v>962</v>
      </c>
      <c r="C128" t="s">
        <v>963</v>
      </c>
      <c r="D128" t="s">
        <v>645</v>
      </c>
      <c r="E128" t="s">
        <v>963</v>
      </c>
      <c r="K128" t="s">
        <v>587</v>
      </c>
      <c r="L128" t="s">
        <v>347</v>
      </c>
    </row>
    <row r="129" spans="1:12" x14ac:dyDescent="0.3">
      <c r="A129" t="s">
        <v>964</v>
      </c>
      <c r="B129" t="s">
        <v>965</v>
      </c>
      <c r="C129" t="s">
        <v>966</v>
      </c>
      <c r="D129" t="s">
        <v>630</v>
      </c>
      <c r="E129" t="s">
        <v>939</v>
      </c>
      <c r="K129" t="s">
        <v>587</v>
      </c>
      <c r="L129" t="s">
        <v>347</v>
      </c>
    </row>
    <row r="130" spans="1:12" x14ac:dyDescent="0.3">
      <c r="A130" t="s">
        <v>964</v>
      </c>
      <c r="B130" t="s">
        <v>967</v>
      </c>
      <c r="C130" t="s">
        <v>968</v>
      </c>
      <c r="D130" t="s">
        <v>630</v>
      </c>
      <c r="E130" t="s">
        <v>928</v>
      </c>
      <c r="K130" t="s">
        <v>587</v>
      </c>
      <c r="L130" t="s">
        <v>347</v>
      </c>
    </row>
    <row r="131" spans="1:12" x14ac:dyDescent="0.3">
      <c r="A131" t="s">
        <v>964</v>
      </c>
      <c r="B131" t="s">
        <v>969</v>
      </c>
      <c r="C131" t="s">
        <v>943</v>
      </c>
      <c r="D131" t="s">
        <v>630</v>
      </c>
      <c r="E131" t="s">
        <v>944</v>
      </c>
      <c r="F131" s="121">
        <v>0.86</v>
      </c>
      <c r="G131" t="s">
        <v>632</v>
      </c>
      <c r="K131" t="s">
        <v>587</v>
      </c>
      <c r="L131" t="s">
        <v>347</v>
      </c>
    </row>
    <row r="132" spans="1:12" x14ac:dyDescent="0.3">
      <c r="A132" t="s">
        <v>964</v>
      </c>
      <c r="B132" t="s">
        <v>945</v>
      </c>
      <c r="C132" t="s">
        <v>970</v>
      </c>
      <c r="D132" t="s">
        <v>630</v>
      </c>
      <c r="E132" t="s">
        <v>947</v>
      </c>
      <c r="F132" s="121">
        <v>1</v>
      </c>
      <c r="G132" t="s">
        <v>632</v>
      </c>
      <c r="K132" t="s">
        <v>587</v>
      </c>
      <c r="L132" t="s">
        <v>347</v>
      </c>
    </row>
    <row r="133" spans="1:12" x14ac:dyDescent="0.3">
      <c r="A133" t="s">
        <v>971</v>
      </c>
      <c r="B133" t="s">
        <v>972</v>
      </c>
      <c r="C133" t="s">
        <v>950</v>
      </c>
      <c r="D133" t="s">
        <v>630</v>
      </c>
      <c r="E133" t="s">
        <v>928</v>
      </c>
      <c r="K133" t="s">
        <v>587</v>
      </c>
      <c r="L133" t="s">
        <v>347</v>
      </c>
    </row>
    <row r="134" spans="1:12" x14ac:dyDescent="0.3">
      <c r="A134" t="s">
        <v>971</v>
      </c>
      <c r="B134" t="s">
        <v>973</v>
      </c>
      <c r="C134" t="s">
        <v>974</v>
      </c>
      <c r="D134" t="s">
        <v>630</v>
      </c>
      <c r="E134" t="s">
        <v>643</v>
      </c>
      <c r="K134" t="s">
        <v>587</v>
      </c>
      <c r="L134" t="s">
        <v>347</v>
      </c>
    </row>
    <row r="135" spans="1:12" x14ac:dyDescent="0.3">
      <c r="A135" t="s">
        <v>971</v>
      </c>
      <c r="B135" t="s">
        <v>937</v>
      </c>
      <c r="C135" t="s">
        <v>975</v>
      </c>
      <c r="D135" t="s">
        <v>630</v>
      </c>
      <c r="E135" t="s">
        <v>939</v>
      </c>
      <c r="K135" t="s">
        <v>587</v>
      </c>
      <c r="L135" t="s">
        <v>347</v>
      </c>
    </row>
    <row r="136" spans="1:12" x14ac:dyDescent="0.3">
      <c r="A136" t="s">
        <v>971</v>
      </c>
      <c r="B136" t="s">
        <v>976</v>
      </c>
      <c r="C136" t="s">
        <v>977</v>
      </c>
      <c r="D136" t="s">
        <v>630</v>
      </c>
      <c r="E136" t="s">
        <v>944</v>
      </c>
      <c r="F136" s="121">
        <v>0.86</v>
      </c>
      <c r="G136" t="s">
        <v>632</v>
      </c>
      <c r="K136" t="s">
        <v>587</v>
      </c>
      <c r="L136" t="s">
        <v>347</v>
      </c>
    </row>
    <row r="137" spans="1:12" x14ac:dyDescent="0.3">
      <c r="A137" t="s">
        <v>971</v>
      </c>
      <c r="B137" t="s">
        <v>978</v>
      </c>
      <c r="C137" t="s">
        <v>979</v>
      </c>
      <c r="D137" t="s">
        <v>630</v>
      </c>
      <c r="E137" t="s">
        <v>947</v>
      </c>
      <c r="F137" s="121">
        <v>1</v>
      </c>
      <c r="G137" t="s">
        <v>632</v>
      </c>
      <c r="K137" t="s">
        <v>587</v>
      </c>
      <c r="L137" t="s">
        <v>347</v>
      </c>
    </row>
    <row r="138" spans="1:12" x14ac:dyDescent="0.3">
      <c r="A138" t="s">
        <v>980</v>
      </c>
      <c r="B138" t="s">
        <v>981</v>
      </c>
      <c r="C138" t="s">
        <v>982</v>
      </c>
      <c r="D138" t="s">
        <v>645</v>
      </c>
      <c r="E138" t="s">
        <v>983</v>
      </c>
      <c r="K138" t="s">
        <v>587</v>
      </c>
      <c r="L138" t="s">
        <v>347</v>
      </c>
    </row>
    <row r="139" spans="1:12" x14ac:dyDescent="0.3">
      <c r="A139" t="s">
        <v>980</v>
      </c>
      <c r="B139" t="s">
        <v>482</v>
      </c>
      <c r="C139" t="s">
        <v>984</v>
      </c>
      <c r="D139" t="s">
        <v>645</v>
      </c>
      <c r="E139" t="s">
        <v>985</v>
      </c>
      <c r="K139" t="s">
        <v>587</v>
      </c>
      <c r="L139" t="s">
        <v>347</v>
      </c>
    </row>
    <row r="140" spans="1:12" x14ac:dyDescent="0.3">
      <c r="A140" t="s">
        <v>980</v>
      </c>
      <c r="B140" t="s">
        <v>937</v>
      </c>
      <c r="C140" t="s">
        <v>986</v>
      </c>
      <c r="D140" t="s">
        <v>645</v>
      </c>
      <c r="E140" t="s">
        <v>928</v>
      </c>
      <c r="K140" t="s">
        <v>587</v>
      </c>
      <c r="L140" t="s">
        <v>347</v>
      </c>
    </row>
    <row r="141" spans="1:12" x14ac:dyDescent="0.3">
      <c r="A141" t="s">
        <v>980</v>
      </c>
      <c r="B141" t="s">
        <v>940</v>
      </c>
      <c r="C141" t="s">
        <v>987</v>
      </c>
      <c r="D141" t="s">
        <v>645</v>
      </c>
      <c r="E141" t="s">
        <v>928</v>
      </c>
      <c r="K141" t="s">
        <v>587</v>
      </c>
      <c r="L141" t="s">
        <v>347</v>
      </c>
    </row>
    <row r="142" spans="1:12" x14ac:dyDescent="0.3">
      <c r="A142" t="s">
        <v>980</v>
      </c>
      <c r="B142" t="s">
        <v>988</v>
      </c>
      <c r="C142" t="s">
        <v>989</v>
      </c>
      <c r="D142" t="s">
        <v>645</v>
      </c>
      <c r="E142" t="s">
        <v>944</v>
      </c>
      <c r="F142" s="121">
        <v>0.86</v>
      </c>
      <c r="G142" t="s">
        <v>632</v>
      </c>
      <c r="K142" t="s">
        <v>587</v>
      </c>
      <c r="L142" t="s">
        <v>347</v>
      </c>
    </row>
    <row r="143" spans="1:12" x14ac:dyDescent="0.3">
      <c r="A143" t="s">
        <v>980</v>
      </c>
      <c r="B143" t="s">
        <v>990</v>
      </c>
      <c r="C143" t="s">
        <v>991</v>
      </c>
      <c r="D143" t="s">
        <v>645</v>
      </c>
      <c r="E143" t="s">
        <v>947</v>
      </c>
      <c r="K143" t="s">
        <v>587</v>
      </c>
      <c r="L143" t="s">
        <v>347</v>
      </c>
    </row>
    <row r="144" spans="1:12" x14ac:dyDescent="0.3">
      <c r="A144" t="s">
        <v>992</v>
      </c>
      <c r="B144" t="s">
        <v>993</v>
      </c>
      <c r="C144" t="s">
        <v>994</v>
      </c>
      <c r="D144" t="s">
        <v>645</v>
      </c>
      <c r="E144" t="s">
        <v>939</v>
      </c>
      <c r="K144" t="s">
        <v>587</v>
      </c>
      <c r="L144" t="s">
        <v>347</v>
      </c>
    </row>
    <row r="145" spans="1:12" x14ac:dyDescent="0.3">
      <c r="A145" t="s">
        <v>992</v>
      </c>
      <c r="B145" t="s">
        <v>995</v>
      </c>
      <c r="C145" t="s">
        <v>987</v>
      </c>
      <c r="D145" t="s">
        <v>645</v>
      </c>
      <c r="E145" t="s">
        <v>928</v>
      </c>
      <c r="K145" t="s">
        <v>587</v>
      </c>
      <c r="L145" t="s">
        <v>347</v>
      </c>
    </row>
    <row r="146" spans="1:12" x14ac:dyDescent="0.3">
      <c r="A146" t="s">
        <v>992</v>
      </c>
      <c r="B146" t="s">
        <v>996</v>
      </c>
      <c r="C146" t="s">
        <v>943</v>
      </c>
      <c r="D146" t="s">
        <v>645</v>
      </c>
      <c r="E146" t="s">
        <v>944</v>
      </c>
      <c r="F146" s="121">
        <v>0.86</v>
      </c>
      <c r="G146" t="s">
        <v>632</v>
      </c>
      <c r="K146" t="s">
        <v>587</v>
      </c>
      <c r="L146" t="s">
        <v>347</v>
      </c>
    </row>
    <row r="147" spans="1:12" x14ac:dyDescent="0.3">
      <c r="A147" t="s">
        <v>992</v>
      </c>
      <c r="B147" t="s">
        <v>997</v>
      </c>
      <c r="C147" t="s">
        <v>946</v>
      </c>
      <c r="D147" t="s">
        <v>645</v>
      </c>
      <c r="E147" t="s">
        <v>947</v>
      </c>
      <c r="F147" s="121">
        <v>1</v>
      </c>
      <c r="G147" t="s">
        <v>632</v>
      </c>
      <c r="K147" t="s">
        <v>587</v>
      </c>
      <c r="L147" t="s">
        <v>347</v>
      </c>
    </row>
    <row r="148" spans="1:12" ht="28.8" x14ac:dyDescent="0.3">
      <c r="A148" t="s">
        <v>998</v>
      </c>
      <c r="B148" t="s">
        <v>999</v>
      </c>
      <c r="C148" t="s">
        <v>1000</v>
      </c>
      <c r="D148" t="s">
        <v>630</v>
      </c>
      <c r="E148" s="8" t="s">
        <v>1001</v>
      </c>
      <c r="K148" t="s">
        <v>587</v>
      </c>
      <c r="L148" t="s">
        <v>347</v>
      </c>
    </row>
    <row r="149" spans="1:12" x14ac:dyDescent="0.3">
      <c r="A149" t="s">
        <v>998</v>
      </c>
      <c r="B149" t="s">
        <v>1002</v>
      </c>
      <c r="C149" t="s">
        <v>1003</v>
      </c>
      <c r="D149" t="s">
        <v>630</v>
      </c>
      <c r="E149" t="s">
        <v>1004</v>
      </c>
      <c r="K149" t="s">
        <v>587</v>
      </c>
      <c r="L149" t="s">
        <v>347</v>
      </c>
    </row>
    <row r="150" spans="1:12" x14ac:dyDescent="0.3">
      <c r="A150" t="s">
        <v>998</v>
      </c>
      <c r="B150" t="s">
        <v>1005</v>
      </c>
      <c r="C150" t="s">
        <v>1006</v>
      </c>
      <c r="D150" t="s">
        <v>630</v>
      </c>
      <c r="E150" t="s">
        <v>919</v>
      </c>
      <c r="F150" s="121">
        <v>0.86</v>
      </c>
      <c r="K150" t="s">
        <v>587</v>
      </c>
      <c r="L150" t="s">
        <v>347</v>
      </c>
    </row>
    <row r="151" spans="1:12" x14ac:dyDescent="0.3">
      <c r="A151" t="s">
        <v>998</v>
      </c>
      <c r="B151" t="s">
        <v>1007</v>
      </c>
      <c r="C151" t="s">
        <v>654</v>
      </c>
      <c r="D151" t="s">
        <v>630</v>
      </c>
      <c r="E151" t="s">
        <v>1008</v>
      </c>
      <c r="K151" t="s">
        <v>587</v>
      </c>
      <c r="L151" t="s">
        <v>347</v>
      </c>
    </row>
    <row r="152" spans="1:12" x14ac:dyDescent="0.3">
      <c r="A152" t="s">
        <v>998</v>
      </c>
      <c r="B152" t="s">
        <v>1009</v>
      </c>
      <c r="C152" t="s">
        <v>1010</v>
      </c>
      <c r="D152" t="s">
        <v>645</v>
      </c>
      <c r="E152" t="s">
        <v>944</v>
      </c>
      <c r="F152" s="121">
        <v>0.86</v>
      </c>
      <c r="K152" t="s">
        <v>587</v>
      </c>
      <c r="L152" t="s">
        <v>347</v>
      </c>
    </row>
    <row r="153" spans="1:12" x14ac:dyDescent="0.3">
      <c r="A153" t="s">
        <v>998</v>
      </c>
      <c r="B153" t="s">
        <v>1011</v>
      </c>
      <c r="C153" t="s">
        <v>1012</v>
      </c>
      <c r="D153" t="s">
        <v>630</v>
      </c>
      <c r="E153" t="s">
        <v>916</v>
      </c>
      <c r="K153" t="s">
        <v>587</v>
      </c>
      <c r="L153" t="s">
        <v>347</v>
      </c>
    </row>
    <row r="154" spans="1:12" x14ac:dyDescent="0.3">
      <c r="A154" t="s">
        <v>998</v>
      </c>
      <c r="B154" t="s">
        <v>1013</v>
      </c>
      <c r="C154" t="s">
        <v>1014</v>
      </c>
      <c r="D154" t="s">
        <v>630</v>
      </c>
      <c r="E154" t="s">
        <v>1015</v>
      </c>
      <c r="K154" t="s">
        <v>587</v>
      </c>
      <c r="L154" t="s">
        <v>347</v>
      </c>
    </row>
    <row r="155" spans="1:12" x14ac:dyDescent="0.3">
      <c r="A155" t="s">
        <v>1016</v>
      </c>
      <c r="B155" t="s">
        <v>1017</v>
      </c>
      <c r="C155" t="s">
        <v>950</v>
      </c>
      <c r="D155" t="s">
        <v>630</v>
      </c>
      <c r="E155" t="s">
        <v>1018</v>
      </c>
      <c r="K155" t="s">
        <v>587</v>
      </c>
      <c r="L155" t="s">
        <v>347</v>
      </c>
    </row>
    <row r="156" spans="1:12" x14ac:dyDescent="0.3">
      <c r="A156" t="s">
        <v>1016</v>
      </c>
      <c r="B156" t="s">
        <v>1019</v>
      </c>
      <c r="C156" t="s">
        <v>1020</v>
      </c>
      <c r="D156" t="s">
        <v>630</v>
      </c>
      <c r="E156" t="s">
        <v>939</v>
      </c>
      <c r="K156" t="s">
        <v>587</v>
      </c>
      <c r="L156" t="s">
        <v>347</v>
      </c>
    </row>
    <row r="157" spans="1:12" x14ac:dyDescent="0.3">
      <c r="A157" t="s">
        <v>1016</v>
      </c>
      <c r="B157" t="s">
        <v>1021</v>
      </c>
      <c r="C157" t="s">
        <v>1022</v>
      </c>
      <c r="D157" t="s">
        <v>630</v>
      </c>
      <c r="E157" t="s">
        <v>944</v>
      </c>
      <c r="F157" s="121">
        <v>0.86</v>
      </c>
      <c r="G157" t="s">
        <v>632</v>
      </c>
      <c r="K157" t="s">
        <v>587</v>
      </c>
      <c r="L157" t="s">
        <v>347</v>
      </c>
    </row>
    <row r="158" spans="1:12" x14ac:dyDescent="0.3">
      <c r="A158" t="s">
        <v>1016</v>
      </c>
      <c r="B158" t="s">
        <v>1023</v>
      </c>
      <c r="C158" t="s">
        <v>1024</v>
      </c>
      <c r="D158" t="s">
        <v>630</v>
      </c>
      <c r="E158" t="s">
        <v>947</v>
      </c>
      <c r="F158" s="121">
        <v>1</v>
      </c>
      <c r="G158" t="s">
        <v>632</v>
      </c>
      <c r="K158" t="s">
        <v>587</v>
      </c>
      <c r="L158" t="s">
        <v>347</v>
      </c>
    </row>
    <row r="159" spans="1:12" x14ac:dyDescent="0.3">
      <c r="A159" t="s">
        <v>1025</v>
      </c>
      <c r="B159" t="s">
        <v>965</v>
      </c>
      <c r="C159" t="s">
        <v>1026</v>
      </c>
      <c r="D159" t="s">
        <v>645</v>
      </c>
      <c r="E159" t="s">
        <v>939</v>
      </c>
      <c r="K159" t="s">
        <v>587</v>
      </c>
      <c r="L159" t="s">
        <v>347</v>
      </c>
    </row>
    <row r="160" spans="1:12" x14ac:dyDescent="0.3">
      <c r="A160" t="s">
        <v>1025</v>
      </c>
      <c r="B160" t="s">
        <v>1027</v>
      </c>
      <c r="C160" t="s">
        <v>987</v>
      </c>
      <c r="D160" t="s">
        <v>645</v>
      </c>
      <c r="E160" t="s">
        <v>928</v>
      </c>
      <c r="K160" t="s">
        <v>587</v>
      </c>
      <c r="L160" t="s">
        <v>347</v>
      </c>
    </row>
    <row r="161" spans="1:12" x14ac:dyDescent="0.3">
      <c r="A161" t="s">
        <v>1025</v>
      </c>
      <c r="B161" t="s">
        <v>1028</v>
      </c>
      <c r="C161" t="s">
        <v>1029</v>
      </c>
      <c r="D161" t="s">
        <v>645</v>
      </c>
      <c r="E161" t="s">
        <v>944</v>
      </c>
      <c r="F161" s="121">
        <v>0.86</v>
      </c>
      <c r="G161" t="s">
        <v>632</v>
      </c>
      <c r="K161" t="s">
        <v>587</v>
      </c>
      <c r="L161" t="s">
        <v>347</v>
      </c>
    </row>
    <row r="162" spans="1:12" x14ac:dyDescent="0.3">
      <c r="A162" t="s">
        <v>1025</v>
      </c>
      <c r="B162" t="s">
        <v>990</v>
      </c>
      <c r="C162" t="s">
        <v>1030</v>
      </c>
      <c r="D162" t="s">
        <v>645</v>
      </c>
      <c r="E162" t="s">
        <v>947</v>
      </c>
      <c r="F162" s="121">
        <v>1</v>
      </c>
      <c r="G162" t="s">
        <v>632</v>
      </c>
      <c r="K162" t="s">
        <v>587</v>
      </c>
      <c r="L162" t="s">
        <v>347</v>
      </c>
    </row>
    <row r="163" spans="1:12" x14ac:dyDescent="0.3">
      <c r="A163" t="s">
        <v>1025</v>
      </c>
      <c r="B163" t="s">
        <v>1031</v>
      </c>
      <c r="C163" t="s">
        <v>1032</v>
      </c>
      <c r="D163" t="s">
        <v>645</v>
      </c>
      <c r="E163" t="s">
        <v>1033</v>
      </c>
      <c r="K163" t="s">
        <v>587</v>
      </c>
      <c r="L163" t="s">
        <v>347</v>
      </c>
    </row>
    <row r="164" spans="1:12" x14ac:dyDescent="0.3">
      <c r="A164" t="s">
        <v>1034</v>
      </c>
      <c r="B164" t="s">
        <v>1035</v>
      </c>
      <c r="C164" t="s">
        <v>950</v>
      </c>
      <c r="D164" t="s">
        <v>630</v>
      </c>
      <c r="E164" t="s">
        <v>1018</v>
      </c>
      <c r="K164" t="s">
        <v>587</v>
      </c>
      <c r="L164" t="s">
        <v>347</v>
      </c>
    </row>
    <row r="165" spans="1:12" x14ac:dyDescent="0.3">
      <c r="A165" t="s">
        <v>1034</v>
      </c>
      <c r="B165" t="s">
        <v>1019</v>
      </c>
      <c r="C165" t="s">
        <v>1020</v>
      </c>
      <c r="D165" t="s">
        <v>630</v>
      </c>
      <c r="E165" t="s">
        <v>939</v>
      </c>
      <c r="K165" t="s">
        <v>587</v>
      </c>
      <c r="L165" t="s">
        <v>347</v>
      </c>
    </row>
    <row r="166" spans="1:12" x14ac:dyDescent="0.3">
      <c r="A166" t="s">
        <v>1034</v>
      </c>
      <c r="B166" t="s">
        <v>976</v>
      </c>
      <c r="C166" t="s">
        <v>1036</v>
      </c>
      <c r="D166" t="s">
        <v>630</v>
      </c>
      <c r="E166" t="s">
        <v>944</v>
      </c>
      <c r="F166" s="121">
        <v>0.86</v>
      </c>
      <c r="G166" t="s">
        <v>632</v>
      </c>
      <c r="K166" t="s">
        <v>587</v>
      </c>
      <c r="L166" t="s">
        <v>347</v>
      </c>
    </row>
    <row r="167" spans="1:12" x14ac:dyDescent="0.3">
      <c r="A167" t="s">
        <v>1034</v>
      </c>
      <c r="B167" t="s">
        <v>953</v>
      </c>
      <c r="C167" t="s">
        <v>954</v>
      </c>
      <c r="D167" t="s">
        <v>630</v>
      </c>
      <c r="E167" t="s">
        <v>947</v>
      </c>
      <c r="F167" s="121">
        <v>1</v>
      </c>
      <c r="G167" t="s">
        <v>632</v>
      </c>
      <c r="K167" t="s">
        <v>587</v>
      </c>
      <c r="L167" t="s">
        <v>347</v>
      </c>
    </row>
    <row r="168" spans="1:12" x14ac:dyDescent="0.3">
      <c r="A168" t="s">
        <v>1037</v>
      </c>
      <c r="B168" t="s">
        <v>1019</v>
      </c>
      <c r="C168" t="s">
        <v>1038</v>
      </c>
      <c r="D168" t="s">
        <v>645</v>
      </c>
      <c r="E168" t="s">
        <v>939</v>
      </c>
      <c r="K168" t="s">
        <v>587</v>
      </c>
      <c r="L168" t="s">
        <v>347</v>
      </c>
    </row>
    <row r="169" spans="1:12" x14ac:dyDescent="0.3">
      <c r="A169" t="s">
        <v>1037</v>
      </c>
      <c r="B169" t="s">
        <v>1039</v>
      </c>
      <c r="C169" t="s">
        <v>928</v>
      </c>
      <c r="D169" t="s">
        <v>645</v>
      </c>
      <c r="E169" t="s">
        <v>928</v>
      </c>
      <c r="K169" t="s">
        <v>587</v>
      </c>
      <c r="L169" t="s">
        <v>347</v>
      </c>
    </row>
    <row r="170" spans="1:12" x14ac:dyDescent="0.3">
      <c r="A170" t="s">
        <v>1037</v>
      </c>
      <c r="B170" t="s">
        <v>1040</v>
      </c>
      <c r="C170" t="s">
        <v>1041</v>
      </c>
      <c r="D170" t="s">
        <v>645</v>
      </c>
      <c r="E170" t="s">
        <v>944</v>
      </c>
      <c r="F170" s="121">
        <v>0.86</v>
      </c>
      <c r="G170" t="s">
        <v>632</v>
      </c>
      <c r="K170" t="s">
        <v>587</v>
      </c>
      <c r="L170" t="s">
        <v>347</v>
      </c>
    </row>
    <row r="171" spans="1:12" x14ac:dyDescent="0.3">
      <c r="A171" t="s">
        <v>1037</v>
      </c>
      <c r="B171" t="s">
        <v>1042</v>
      </c>
      <c r="C171" t="s">
        <v>1043</v>
      </c>
      <c r="D171" t="s">
        <v>645</v>
      </c>
      <c r="E171" t="s">
        <v>947</v>
      </c>
      <c r="F171" s="121">
        <v>1</v>
      </c>
      <c r="G171" t="s">
        <v>632</v>
      </c>
      <c r="K171" t="s">
        <v>587</v>
      </c>
      <c r="L171" t="s">
        <v>347</v>
      </c>
    </row>
    <row r="172" spans="1:12" x14ac:dyDescent="0.3">
      <c r="A172" t="s">
        <v>1044</v>
      </c>
      <c r="B172" t="s">
        <v>1045</v>
      </c>
      <c r="C172" t="s">
        <v>1046</v>
      </c>
      <c r="D172" t="s">
        <v>630</v>
      </c>
      <c r="K172" t="s">
        <v>587</v>
      </c>
      <c r="L172" t="s">
        <v>347</v>
      </c>
    </row>
    <row r="173" spans="1:12" x14ac:dyDescent="0.3">
      <c r="A173" t="s">
        <v>1044</v>
      </c>
      <c r="B173" t="s">
        <v>1047</v>
      </c>
      <c r="C173" t="s">
        <v>1048</v>
      </c>
      <c r="D173" t="s">
        <v>630</v>
      </c>
      <c r="K173" t="s">
        <v>587</v>
      </c>
      <c r="L173" t="s">
        <v>347</v>
      </c>
    </row>
    <row r="174" spans="1:12" x14ac:dyDescent="0.3">
      <c r="A174" t="s">
        <v>1044</v>
      </c>
      <c r="B174" t="s">
        <v>960</v>
      </c>
      <c r="C174" t="s">
        <v>1049</v>
      </c>
      <c r="D174" t="s">
        <v>630</v>
      </c>
      <c r="K174" t="s">
        <v>587</v>
      </c>
      <c r="L174" t="s">
        <v>347</v>
      </c>
    </row>
    <row r="175" spans="1:12" x14ac:dyDescent="0.3">
      <c r="A175" t="s">
        <v>1050</v>
      </c>
      <c r="B175" t="s">
        <v>937</v>
      </c>
      <c r="C175" t="s">
        <v>1051</v>
      </c>
      <c r="D175" t="s">
        <v>645</v>
      </c>
      <c r="E175" t="s">
        <v>1018</v>
      </c>
      <c r="K175" t="s">
        <v>587</v>
      </c>
      <c r="L175" t="s">
        <v>347</v>
      </c>
    </row>
    <row r="176" spans="1:12" x14ac:dyDescent="0.3">
      <c r="A176" t="s">
        <v>1050</v>
      </c>
      <c r="B176" t="s">
        <v>1052</v>
      </c>
      <c r="C176" t="s">
        <v>1053</v>
      </c>
      <c r="D176" t="s">
        <v>645</v>
      </c>
      <c r="E176" t="s">
        <v>939</v>
      </c>
      <c r="K176" t="s">
        <v>587</v>
      </c>
      <c r="L176" t="s">
        <v>347</v>
      </c>
    </row>
    <row r="177" spans="1:12" x14ac:dyDescent="0.3">
      <c r="A177" t="s">
        <v>1050</v>
      </c>
      <c r="B177" t="s">
        <v>1028</v>
      </c>
      <c r="C177" t="s">
        <v>1054</v>
      </c>
      <c r="D177" t="s">
        <v>645</v>
      </c>
      <c r="E177" t="s">
        <v>944</v>
      </c>
      <c r="F177" s="121">
        <v>0.86</v>
      </c>
      <c r="G177" t="s">
        <v>632</v>
      </c>
      <c r="K177" t="s">
        <v>587</v>
      </c>
      <c r="L177" t="s">
        <v>347</v>
      </c>
    </row>
    <row r="178" spans="1:12" x14ac:dyDescent="0.3">
      <c r="A178" t="s">
        <v>1050</v>
      </c>
      <c r="B178" t="s">
        <v>978</v>
      </c>
      <c r="C178" t="s">
        <v>1055</v>
      </c>
      <c r="D178" t="s">
        <v>645</v>
      </c>
      <c r="E178" t="s">
        <v>947</v>
      </c>
      <c r="F178" s="121">
        <v>1</v>
      </c>
      <c r="G178" t="s">
        <v>632</v>
      </c>
      <c r="K178" t="s">
        <v>587</v>
      </c>
      <c r="L178" t="s">
        <v>347</v>
      </c>
    </row>
    <row r="179" spans="1:12" x14ac:dyDescent="0.3">
      <c r="A179" t="s">
        <v>1056</v>
      </c>
      <c r="B179" t="s">
        <v>1057</v>
      </c>
      <c r="C179" t="s">
        <v>654</v>
      </c>
      <c r="D179" t="s">
        <v>630</v>
      </c>
      <c r="E179" t="s">
        <v>1018</v>
      </c>
      <c r="K179" t="s">
        <v>587</v>
      </c>
      <c r="L179" t="s">
        <v>347</v>
      </c>
    </row>
    <row r="180" spans="1:12" x14ac:dyDescent="0.3">
      <c r="A180" t="s">
        <v>1056</v>
      </c>
      <c r="B180" t="s">
        <v>1058</v>
      </c>
      <c r="C180" t="s">
        <v>654</v>
      </c>
      <c r="D180" t="s">
        <v>630</v>
      </c>
      <c r="E180" t="s">
        <v>944</v>
      </c>
      <c r="F180" s="121">
        <v>0.86</v>
      </c>
      <c r="G180" t="s">
        <v>632</v>
      </c>
      <c r="K180" t="s">
        <v>587</v>
      </c>
      <c r="L180" t="s">
        <v>347</v>
      </c>
    </row>
    <row r="181" spans="1:12" x14ac:dyDescent="0.3">
      <c r="A181" t="s">
        <v>1056</v>
      </c>
      <c r="B181" t="s">
        <v>1059</v>
      </c>
      <c r="C181" t="s">
        <v>654</v>
      </c>
      <c r="D181" t="s">
        <v>630</v>
      </c>
      <c r="E181" t="s">
        <v>939</v>
      </c>
      <c r="K181" t="s">
        <v>587</v>
      </c>
      <c r="L181" t="s">
        <v>347</v>
      </c>
    </row>
    <row r="182" spans="1:12" x14ac:dyDescent="0.3">
      <c r="A182" t="s">
        <v>1056</v>
      </c>
      <c r="B182" t="s">
        <v>978</v>
      </c>
      <c r="C182" t="s">
        <v>654</v>
      </c>
      <c r="D182" t="s">
        <v>630</v>
      </c>
      <c r="E182" t="s">
        <v>947</v>
      </c>
      <c r="F182" s="121">
        <v>1</v>
      </c>
      <c r="G182" t="s">
        <v>632</v>
      </c>
      <c r="K182" t="s">
        <v>587</v>
      </c>
      <c r="L182" t="s">
        <v>347</v>
      </c>
    </row>
    <row r="183" spans="1:12" x14ac:dyDescent="0.3">
      <c r="A183" t="s">
        <v>1060</v>
      </c>
      <c r="B183" t="s">
        <v>1061</v>
      </c>
      <c r="C183" t="s">
        <v>950</v>
      </c>
      <c r="D183" t="s">
        <v>630</v>
      </c>
      <c r="E183" t="s">
        <v>1018</v>
      </c>
      <c r="K183" t="s">
        <v>587</v>
      </c>
      <c r="L183" t="s">
        <v>347</v>
      </c>
    </row>
    <row r="184" spans="1:12" x14ac:dyDescent="0.3">
      <c r="A184" t="s">
        <v>1060</v>
      </c>
      <c r="B184" t="s">
        <v>1062</v>
      </c>
      <c r="C184" t="s">
        <v>1020</v>
      </c>
      <c r="D184" t="s">
        <v>630</v>
      </c>
      <c r="E184" t="s">
        <v>939</v>
      </c>
      <c r="K184" t="s">
        <v>587</v>
      </c>
      <c r="L184" t="s">
        <v>347</v>
      </c>
    </row>
    <row r="185" spans="1:12" x14ac:dyDescent="0.3">
      <c r="A185" t="s">
        <v>1060</v>
      </c>
      <c r="B185" t="s">
        <v>1063</v>
      </c>
      <c r="C185" t="s">
        <v>1064</v>
      </c>
      <c r="D185" t="s">
        <v>630</v>
      </c>
      <c r="E185" t="s">
        <v>944</v>
      </c>
      <c r="F185" s="121">
        <v>0.86</v>
      </c>
      <c r="G185" t="s">
        <v>632</v>
      </c>
      <c r="K185" t="s">
        <v>587</v>
      </c>
      <c r="L185" t="s">
        <v>347</v>
      </c>
    </row>
    <row r="186" spans="1:12" x14ac:dyDescent="0.3">
      <c r="A186" t="s">
        <v>1060</v>
      </c>
      <c r="B186" t="s">
        <v>953</v>
      </c>
      <c r="C186" t="s">
        <v>1065</v>
      </c>
      <c r="D186" t="s">
        <v>630</v>
      </c>
      <c r="E186" t="s">
        <v>947</v>
      </c>
      <c r="F186" s="121">
        <v>1</v>
      </c>
      <c r="G186" t="s">
        <v>632</v>
      </c>
      <c r="K186" t="s">
        <v>587</v>
      </c>
      <c r="L186" t="s">
        <v>347</v>
      </c>
    </row>
    <row r="187" spans="1:12" x14ac:dyDescent="0.3">
      <c r="A187" t="s">
        <v>1066</v>
      </c>
      <c r="B187" t="s">
        <v>1067</v>
      </c>
      <c r="C187" t="s">
        <v>1068</v>
      </c>
      <c r="D187" t="s">
        <v>630</v>
      </c>
      <c r="E187" t="s">
        <v>928</v>
      </c>
      <c r="K187" t="s">
        <v>587</v>
      </c>
      <c r="L187" t="s">
        <v>347</v>
      </c>
    </row>
    <row r="188" spans="1:12" x14ac:dyDescent="0.3">
      <c r="A188" t="s">
        <v>1066</v>
      </c>
      <c r="B188" t="s">
        <v>937</v>
      </c>
      <c r="C188" t="s">
        <v>1069</v>
      </c>
      <c r="D188" t="s">
        <v>630</v>
      </c>
      <c r="E188" t="s">
        <v>919</v>
      </c>
      <c r="F188" s="121">
        <v>0.86</v>
      </c>
      <c r="K188" t="s">
        <v>587</v>
      </c>
      <c r="L188" t="s">
        <v>347</v>
      </c>
    </row>
    <row r="189" spans="1:12" x14ac:dyDescent="0.3">
      <c r="A189" t="s">
        <v>1066</v>
      </c>
      <c r="B189" t="s">
        <v>1027</v>
      </c>
      <c r="C189" t="s">
        <v>968</v>
      </c>
      <c r="D189" t="s">
        <v>630</v>
      </c>
      <c r="E189" t="s">
        <v>939</v>
      </c>
      <c r="K189" t="s">
        <v>587</v>
      </c>
      <c r="L189" t="s">
        <v>347</v>
      </c>
    </row>
    <row r="190" spans="1:12" x14ac:dyDescent="0.3">
      <c r="A190" t="s">
        <v>1066</v>
      </c>
      <c r="B190" t="s">
        <v>1028</v>
      </c>
      <c r="C190" t="s">
        <v>1070</v>
      </c>
      <c r="D190" t="s">
        <v>630</v>
      </c>
      <c r="E190" t="s">
        <v>947</v>
      </c>
      <c r="F190" s="121">
        <v>1</v>
      </c>
      <c r="G190" t="s">
        <v>632</v>
      </c>
      <c r="K190" t="s">
        <v>587</v>
      </c>
      <c r="L190" t="s">
        <v>347</v>
      </c>
    </row>
    <row r="191" spans="1:12" x14ac:dyDescent="0.3">
      <c r="A191" t="s">
        <v>1071</v>
      </c>
      <c r="B191" t="s">
        <v>1072</v>
      </c>
      <c r="C191" t="s">
        <v>1073</v>
      </c>
      <c r="D191" t="s">
        <v>630</v>
      </c>
      <c r="E191" t="s">
        <v>1074</v>
      </c>
      <c r="K191" t="s">
        <v>587</v>
      </c>
      <c r="L191" t="s">
        <v>347</v>
      </c>
    </row>
    <row r="192" spans="1:12" x14ac:dyDescent="0.3">
      <c r="A192" t="s">
        <v>1071</v>
      </c>
      <c r="B192" t="s">
        <v>1075</v>
      </c>
      <c r="C192" t="s">
        <v>1076</v>
      </c>
      <c r="D192" t="s">
        <v>630</v>
      </c>
      <c r="E192" t="s">
        <v>939</v>
      </c>
      <c r="F192" s="121"/>
      <c r="K192" t="s">
        <v>587</v>
      </c>
      <c r="L192" t="s">
        <v>347</v>
      </c>
    </row>
    <row r="193" spans="1:12" x14ac:dyDescent="0.3">
      <c r="A193" t="s">
        <v>1071</v>
      </c>
      <c r="B193" t="s">
        <v>1077</v>
      </c>
      <c r="C193" t="s">
        <v>1078</v>
      </c>
      <c r="D193" t="s">
        <v>630</v>
      </c>
      <c r="K193" t="s">
        <v>587</v>
      </c>
      <c r="L193" t="s">
        <v>347</v>
      </c>
    </row>
    <row r="194" spans="1:12" x14ac:dyDescent="0.3">
      <c r="A194" t="s">
        <v>1071</v>
      </c>
      <c r="B194" t="s">
        <v>1079</v>
      </c>
      <c r="C194" t="s">
        <v>1080</v>
      </c>
      <c r="D194" t="s">
        <v>630</v>
      </c>
      <c r="K194" t="s">
        <v>587</v>
      </c>
      <c r="L194" t="s">
        <v>347</v>
      </c>
    </row>
    <row r="195" spans="1:12" x14ac:dyDescent="0.3">
      <c r="A195" t="s">
        <v>1071</v>
      </c>
      <c r="B195" t="s">
        <v>1081</v>
      </c>
      <c r="C195" t="s">
        <v>1082</v>
      </c>
      <c r="D195" t="s">
        <v>630</v>
      </c>
      <c r="K195" t="s">
        <v>587</v>
      </c>
      <c r="L195" t="s">
        <v>347</v>
      </c>
    </row>
    <row r="196" spans="1:12" x14ac:dyDescent="0.3">
      <c r="A196" t="s">
        <v>1071</v>
      </c>
      <c r="B196" t="s">
        <v>1083</v>
      </c>
      <c r="C196" t="s">
        <v>1084</v>
      </c>
      <c r="D196" t="s">
        <v>630</v>
      </c>
      <c r="E196" t="s">
        <v>1018</v>
      </c>
      <c r="K196" t="s">
        <v>587</v>
      </c>
      <c r="L196" t="s">
        <v>347</v>
      </c>
    </row>
    <row r="197" spans="1:12" x14ac:dyDescent="0.3">
      <c r="A197" t="s">
        <v>1071</v>
      </c>
      <c r="B197" t="s">
        <v>1085</v>
      </c>
      <c r="C197" t="s">
        <v>1086</v>
      </c>
      <c r="D197" t="s">
        <v>630</v>
      </c>
      <c r="K197" t="s">
        <v>587</v>
      </c>
      <c r="L197" t="s">
        <v>347</v>
      </c>
    </row>
    <row r="198" spans="1:12" x14ac:dyDescent="0.3">
      <c r="A198" t="s">
        <v>1071</v>
      </c>
      <c r="B198" t="s">
        <v>1087</v>
      </c>
      <c r="C198" t="s">
        <v>1088</v>
      </c>
      <c r="D198" t="s">
        <v>630</v>
      </c>
      <c r="E198" t="s">
        <v>1089</v>
      </c>
      <c r="K198" t="s">
        <v>587</v>
      </c>
      <c r="L198" t="s">
        <v>347</v>
      </c>
    </row>
    <row r="199" spans="1:12" x14ac:dyDescent="0.3">
      <c r="A199" t="s">
        <v>1071</v>
      </c>
      <c r="B199" t="s">
        <v>1090</v>
      </c>
      <c r="C199" t="s">
        <v>1088</v>
      </c>
      <c r="D199" t="s">
        <v>630</v>
      </c>
      <c r="E199" t="s">
        <v>1091</v>
      </c>
      <c r="K199" t="s">
        <v>587</v>
      </c>
      <c r="L199" t="s">
        <v>347</v>
      </c>
    </row>
    <row r="200" spans="1:12" x14ac:dyDescent="0.3">
      <c r="A200" t="s">
        <v>1071</v>
      </c>
      <c r="B200" t="s">
        <v>1092</v>
      </c>
      <c r="C200" t="s">
        <v>1078</v>
      </c>
      <c r="D200" t="s">
        <v>630</v>
      </c>
      <c r="K200" t="s">
        <v>587</v>
      </c>
      <c r="L200" t="s">
        <v>347</v>
      </c>
    </row>
    <row r="201" spans="1:12" x14ac:dyDescent="0.3">
      <c r="A201" t="s">
        <v>1071</v>
      </c>
      <c r="B201" t="s">
        <v>1093</v>
      </c>
      <c r="C201" t="s">
        <v>1094</v>
      </c>
      <c r="D201" t="s">
        <v>630</v>
      </c>
      <c r="E201" t="s">
        <v>1095</v>
      </c>
      <c r="K201" t="s">
        <v>587</v>
      </c>
      <c r="L201" t="s">
        <v>347</v>
      </c>
    </row>
    <row r="202" spans="1:12" x14ac:dyDescent="0.3">
      <c r="A202" t="s">
        <v>1071</v>
      </c>
      <c r="B202" t="s">
        <v>1096</v>
      </c>
      <c r="C202" t="s">
        <v>1097</v>
      </c>
      <c r="D202" t="s">
        <v>630</v>
      </c>
      <c r="E202" t="s">
        <v>919</v>
      </c>
      <c r="F202" s="121">
        <v>0.86</v>
      </c>
      <c r="K202" t="s">
        <v>587</v>
      </c>
      <c r="L202" t="s">
        <v>347</v>
      </c>
    </row>
    <row r="203" spans="1:12" x14ac:dyDescent="0.3">
      <c r="A203" t="s">
        <v>1071</v>
      </c>
      <c r="B203" t="s">
        <v>1098</v>
      </c>
      <c r="C203" t="s">
        <v>1099</v>
      </c>
      <c r="D203" t="s">
        <v>630</v>
      </c>
      <c r="K203" t="s">
        <v>587</v>
      </c>
      <c r="L203" t="s">
        <v>347</v>
      </c>
    </row>
    <row r="204" spans="1:12" x14ac:dyDescent="0.3">
      <c r="A204" t="s">
        <v>1071</v>
      </c>
      <c r="B204" t="s">
        <v>1100</v>
      </c>
      <c r="C204" t="s">
        <v>1101</v>
      </c>
      <c r="D204" t="s">
        <v>630</v>
      </c>
      <c r="E204" t="s">
        <v>947</v>
      </c>
      <c r="F204" s="121">
        <v>1</v>
      </c>
      <c r="G204" t="s">
        <v>632</v>
      </c>
      <c r="K204" t="s">
        <v>587</v>
      </c>
      <c r="L204" t="s">
        <v>347</v>
      </c>
    </row>
    <row r="205" spans="1:12" x14ac:dyDescent="0.3">
      <c r="A205" t="s">
        <v>1102</v>
      </c>
      <c r="B205" t="s">
        <v>1103</v>
      </c>
      <c r="C205" t="s">
        <v>1104</v>
      </c>
      <c r="D205" t="s">
        <v>630</v>
      </c>
      <c r="K205" t="s">
        <v>587</v>
      </c>
      <c r="L205" t="s">
        <v>347</v>
      </c>
    </row>
    <row r="206" spans="1:12" x14ac:dyDescent="0.3">
      <c r="A206" t="s">
        <v>1102</v>
      </c>
      <c r="B206" t="s">
        <v>960</v>
      </c>
      <c r="C206" t="s">
        <v>1105</v>
      </c>
      <c r="D206" t="s">
        <v>645</v>
      </c>
      <c r="K206" t="s">
        <v>587</v>
      </c>
      <c r="L206" t="s">
        <v>347</v>
      </c>
    </row>
    <row r="207" spans="1:12" x14ac:dyDescent="0.3">
      <c r="A207" t="s">
        <v>1106</v>
      </c>
      <c r="B207" t="s">
        <v>1107</v>
      </c>
      <c r="C207" t="s">
        <v>1108</v>
      </c>
      <c r="D207" t="s">
        <v>630</v>
      </c>
      <c r="K207" t="s">
        <v>587</v>
      </c>
      <c r="L207" t="s">
        <v>347</v>
      </c>
    </row>
    <row r="208" spans="1:12" x14ac:dyDescent="0.3">
      <c r="A208" t="s">
        <v>1106</v>
      </c>
      <c r="B208" t="s">
        <v>1109</v>
      </c>
      <c r="C208" t="s">
        <v>1110</v>
      </c>
      <c r="D208" t="s">
        <v>630</v>
      </c>
      <c r="K208" t="s">
        <v>587</v>
      </c>
      <c r="L208" t="s">
        <v>347</v>
      </c>
    </row>
    <row r="209" spans="1:12" x14ac:dyDescent="0.3">
      <c r="A209" t="s">
        <v>1106</v>
      </c>
      <c r="B209" t="s">
        <v>1111</v>
      </c>
      <c r="C209" t="s">
        <v>1112</v>
      </c>
      <c r="D209" t="s">
        <v>630</v>
      </c>
      <c r="K209" t="s">
        <v>587</v>
      </c>
      <c r="L209" t="s">
        <v>347</v>
      </c>
    </row>
    <row r="210" spans="1:12" x14ac:dyDescent="0.3">
      <c r="A210" t="s">
        <v>1106</v>
      </c>
      <c r="B210" t="s">
        <v>1113</v>
      </c>
      <c r="C210" t="s">
        <v>1114</v>
      </c>
      <c r="D210" t="s">
        <v>630</v>
      </c>
      <c r="K210" t="s">
        <v>587</v>
      </c>
      <c r="L210" t="s">
        <v>347</v>
      </c>
    </row>
    <row r="211" spans="1:12" x14ac:dyDescent="0.3">
      <c r="A211" t="s">
        <v>1106</v>
      </c>
      <c r="B211" t="s">
        <v>1115</v>
      </c>
      <c r="C211" t="s">
        <v>1116</v>
      </c>
      <c r="D211" t="s">
        <v>630</v>
      </c>
      <c r="K211" t="s">
        <v>587</v>
      </c>
      <c r="L211" t="s">
        <v>347</v>
      </c>
    </row>
    <row r="212" spans="1:12" x14ac:dyDescent="0.3">
      <c r="A212" t="s">
        <v>1106</v>
      </c>
      <c r="B212" t="s">
        <v>1117</v>
      </c>
      <c r="C212" t="s">
        <v>1118</v>
      </c>
      <c r="D212" t="s">
        <v>630</v>
      </c>
      <c r="K212" t="s">
        <v>587</v>
      </c>
      <c r="L212" t="s">
        <v>347</v>
      </c>
    </row>
    <row r="213" spans="1:12" x14ac:dyDescent="0.3">
      <c r="A213" t="s">
        <v>1106</v>
      </c>
      <c r="B213" t="s">
        <v>1119</v>
      </c>
      <c r="C213" t="s">
        <v>1119</v>
      </c>
      <c r="D213" t="s">
        <v>630</v>
      </c>
      <c r="K213" t="s">
        <v>587</v>
      </c>
      <c r="L213" t="s">
        <v>347</v>
      </c>
    </row>
    <row r="214" spans="1:12" x14ac:dyDescent="0.3">
      <c r="A214" t="s">
        <v>1106</v>
      </c>
      <c r="B214" t="s">
        <v>1120</v>
      </c>
      <c r="C214" t="s">
        <v>1003</v>
      </c>
      <c r="D214" t="s">
        <v>630</v>
      </c>
      <c r="K214" t="s">
        <v>587</v>
      </c>
      <c r="L214" t="s">
        <v>347</v>
      </c>
    </row>
    <row r="215" spans="1:12" x14ac:dyDescent="0.3">
      <c r="A215" t="s">
        <v>1106</v>
      </c>
      <c r="B215" t="s">
        <v>1121</v>
      </c>
      <c r="C215" t="s">
        <v>1122</v>
      </c>
      <c r="D215" t="s">
        <v>630</v>
      </c>
      <c r="K215" t="s">
        <v>587</v>
      </c>
      <c r="L215" t="s">
        <v>347</v>
      </c>
    </row>
    <row r="216" spans="1:12" x14ac:dyDescent="0.3">
      <c r="A216" t="s">
        <v>1123</v>
      </c>
      <c r="B216" t="s">
        <v>965</v>
      </c>
      <c r="C216" t="s">
        <v>1124</v>
      </c>
      <c r="D216" t="s">
        <v>645</v>
      </c>
      <c r="E216" t="s">
        <v>939</v>
      </c>
      <c r="K216" t="s">
        <v>587</v>
      </c>
      <c r="L216" t="s">
        <v>347</v>
      </c>
    </row>
    <row r="217" spans="1:12" x14ac:dyDescent="0.3">
      <c r="A217" t="s">
        <v>1123</v>
      </c>
      <c r="B217" t="s">
        <v>1125</v>
      </c>
      <c r="C217" t="s">
        <v>1126</v>
      </c>
      <c r="D217" t="s">
        <v>645</v>
      </c>
      <c r="E217" t="s">
        <v>928</v>
      </c>
      <c r="K217" t="s">
        <v>587</v>
      </c>
      <c r="L217" t="s">
        <v>347</v>
      </c>
    </row>
    <row r="218" spans="1:12" x14ac:dyDescent="0.3">
      <c r="A218" t="s">
        <v>1123</v>
      </c>
      <c r="B218" t="s">
        <v>1127</v>
      </c>
      <c r="C218" t="s">
        <v>1128</v>
      </c>
      <c r="D218" t="s">
        <v>645</v>
      </c>
      <c r="E218" t="s">
        <v>1129</v>
      </c>
      <c r="F218" s="121">
        <v>0.86</v>
      </c>
      <c r="G218" t="s">
        <v>632</v>
      </c>
      <c r="K218" t="s">
        <v>587</v>
      </c>
      <c r="L218" t="s">
        <v>347</v>
      </c>
    </row>
    <row r="219" spans="1:12" x14ac:dyDescent="0.3">
      <c r="A219" t="s">
        <v>1123</v>
      </c>
      <c r="B219" t="s">
        <v>1130</v>
      </c>
      <c r="C219" t="s">
        <v>946</v>
      </c>
      <c r="D219" t="s">
        <v>645</v>
      </c>
      <c r="E219" t="s">
        <v>947</v>
      </c>
      <c r="F219" s="121">
        <v>1</v>
      </c>
      <c r="G219" t="s">
        <v>632</v>
      </c>
      <c r="K219" t="s">
        <v>587</v>
      </c>
      <c r="L219" t="s">
        <v>347</v>
      </c>
    </row>
    <row r="220" spans="1:12" x14ac:dyDescent="0.3">
      <c r="A220" t="s">
        <v>1131</v>
      </c>
      <c r="B220" t="s">
        <v>993</v>
      </c>
      <c r="C220" t="s">
        <v>1132</v>
      </c>
      <c r="D220" t="s">
        <v>645</v>
      </c>
      <c r="E220" t="s">
        <v>939</v>
      </c>
      <c r="K220" t="s">
        <v>587</v>
      </c>
      <c r="L220" t="s">
        <v>347</v>
      </c>
    </row>
    <row r="221" spans="1:12" x14ac:dyDescent="0.3">
      <c r="A221" t="s">
        <v>1131</v>
      </c>
      <c r="B221" t="s">
        <v>940</v>
      </c>
      <c r="C221" t="s">
        <v>968</v>
      </c>
      <c r="D221" t="s">
        <v>645</v>
      </c>
      <c r="E221" t="s">
        <v>928</v>
      </c>
      <c r="K221" t="s">
        <v>587</v>
      </c>
      <c r="L221" t="s">
        <v>347</v>
      </c>
    </row>
    <row r="222" spans="1:12" x14ac:dyDescent="0.3">
      <c r="A222" t="s">
        <v>1131</v>
      </c>
      <c r="B222" t="s">
        <v>1133</v>
      </c>
      <c r="C222" t="s">
        <v>1070</v>
      </c>
      <c r="D222" t="s">
        <v>645</v>
      </c>
      <c r="E222" t="s">
        <v>1129</v>
      </c>
      <c r="F222" s="121">
        <v>0.86</v>
      </c>
      <c r="G222" t="s">
        <v>632</v>
      </c>
      <c r="K222" t="s">
        <v>587</v>
      </c>
      <c r="L222" t="s">
        <v>347</v>
      </c>
    </row>
    <row r="223" spans="1:12" x14ac:dyDescent="0.3">
      <c r="A223" t="s">
        <v>1131</v>
      </c>
      <c r="B223" t="s">
        <v>1134</v>
      </c>
      <c r="C223" t="s">
        <v>1135</v>
      </c>
      <c r="D223" t="s">
        <v>645</v>
      </c>
      <c r="E223" t="s">
        <v>1135</v>
      </c>
      <c r="K223" t="s">
        <v>587</v>
      </c>
      <c r="L223" t="s">
        <v>347</v>
      </c>
    </row>
    <row r="224" spans="1:12" x14ac:dyDescent="0.3">
      <c r="A224" t="s">
        <v>1131</v>
      </c>
      <c r="B224" t="s">
        <v>1136</v>
      </c>
      <c r="C224" t="s">
        <v>1137</v>
      </c>
      <c r="D224" t="s">
        <v>645</v>
      </c>
      <c r="E224" t="s">
        <v>947</v>
      </c>
      <c r="F224" s="121">
        <v>1</v>
      </c>
      <c r="G224" t="s">
        <v>632</v>
      </c>
      <c r="K224" t="s">
        <v>587</v>
      </c>
      <c r="L224" t="s">
        <v>347</v>
      </c>
    </row>
    <row r="225" spans="1:12" x14ac:dyDescent="0.3">
      <c r="A225" t="s">
        <v>1138</v>
      </c>
      <c r="B225" t="s">
        <v>937</v>
      </c>
      <c r="C225" t="s">
        <v>1139</v>
      </c>
      <c r="D225" t="s">
        <v>645</v>
      </c>
      <c r="K225" t="s">
        <v>587</v>
      </c>
      <c r="L225" t="s">
        <v>347</v>
      </c>
    </row>
    <row r="226" spans="1:12" x14ac:dyDescent="0.3">
      <c r="A226" t="s">
        <v>1138</v>
      </c>
      <c r="B226" t="s">
        <v>1027</v>
      </c>
      <c r="C226" t="s">
        <v>987</v>
      </c>
      <c r="D226" t="s">
        <v>630</v>
      </c>
      <c r="K226" t="s">
        <v>587</v>
      </c>
      <c r="L226" t="s">
        <v>347</v>
      </c>
    </row>
    <row r="227" spans="1:12" x14ac:dyDescent="0.3">
      <c r="A227" t="s">
        <v>1138</v>
      </c>
      <c r="B227" t="s">
        <v>942</v>
      </c>
      <c r="C227" t="s">
        <v>1140</v>
      </c>
      <c r="D227" t="s">
        <v>645</v>
      </c>
      <c r="K227" t="s">
        <v>587</v>
      </c>
      <c r="L227" t="s">
        <v>347</v>
      </c>
    </row>
    <row r="228" spans="1:12" x14ac:dyDescent="0.3">
      <c r="A228" t="s">
        <v>1138</v>
      </c>
      <c r="B228" t="s">
        <v>945</v>
      </c>
      <c r="C228" t="s">
        <v>1141</v>
      </c>
      <c r="D228" t="s">
        <v>645</v>
      </c>
      <c r="K228" t="s">
        <v>587</v>
      </c>
      <c r="L228" t="s">
        <v>347</v>
      </c>
    </row>
    <row r="229" spans="1:12" x14ac:dyDescent="0.3">
      <c r="A229" t="s">
        <v>1142</v>
      </c>
      <c r="B229" t="s">
        <v>1143</v>
      </c>
      <c r="C229" t="s">
        <v>943</v>
      </c>
      <c r="D229" t="s">
        <v>645</v>
      </c>
      <c r="K229" t="s">
        <v>587</v>
      </c>
      <c r="L229" t="s">
        <v>347</v>
      </c>
    </row>
    <row r="230" spans="1:12" x14ac:dyDescent="0.3">
      <c r="A230" t="s">
        <v>1144</v>
      </c>
      <c r="B230" t="s">
        <v>988</v>
      </c>
      <c r="C230" t="s">
        <v>943</v>
      </c>
      <c r="D230" t="s">
        <v>645</v>
      </c>
      <c r="K230" t="s">
        <v>587</v>
      </c>
      <c r="L230" t="s">
        <v>347</v>
      </c>
    </row>
    <row r="231" spans="1:12" x14ac:dyDescent="0.3">
      <c r="A231" t="s">
        <v>1145</v>
      </c>
      <c r="B231" t="s">
        <v>993</v>
      </c>
      <c r="C231" t="s">
        <v>938</v>
      </c>
      <c r="D231" t="s">
        <v>645</v>
      </c>
      <c r="K231" t="s">
        <v>587</v>
      </c>
      <c r="L231" t="s">
        <v>347</v>
      </c>
    </row>
    <row r="232" spans="1:12" x14ac:dyDescent="0.3">
      <c r="A232" t="s">
        <v>1145</v>
      </c>
      <c r="B232" t="s">
        <v>1027</v>
      </c>
      <c r="C232" t="s">
        <v>1146</v>
      </c>
      <c r="D232" t="s">
        <v>645</v>
      </c>
      <c r="K232" t="s">
        <v>587</v>
      </c>
      <c r="L232" t="s">
        <v>347</v>
      </c>
    </row>
    <row r="233" spans="1:12" x14ac:dyDescent="0.3">
      <c r="A233" t="s">
        <v>1145</v>
      </c>
      <c r="B233" t="s">
        <v>942</v>
      </c>
      <c r="C233" t="s">
        <v>943</v>
      </c>
      <c r="D233" t="s">
        <v>645</v>
      </c>
      <c r="K233" t="s">
        <v>587</v>
      </c>
      <c r="L233" t="s">
        <v>347</v>
      </c>
    </row>
    <row r="234" spans="1:12" x14ac:dyDescent="0.3">
      <c r="A234" t="s">
        <v>1145</v>
      </c>
      <c r="B234" t="s">
        <v>1147</v>
      </c>
      <c r="C234" t="s">
        <v>1148</v>
      </c>
      <c r="D234" t="s">
        <v>645</v>
      </c>
      <c r="K234" t="s">
        <v>587</v>
      </c>
      <c r="L234" t="s">
        <v>347</v>
      </c>
    </row>
    <row r="235" spans="1:12" x14ac:dyDescent="0.3">
      <c r="A235" t="s">
        <v>1149</v>
      </c>
      <c r="B235" t="s">
        <v>993</v>
      </c>
      <c r="C235" t="s">
        <v>1150</v>
      </c>
      <c r="D235" t="s">
        <v>645</v>
      </c>
      <c r="K235" t="s">
        <v>587</v>
      </c>
      <c r="L235" t="s">
        <v>347</v>
      </c>
    </row>
    <row r="236" spans="1:12" x14ac:dyDescent="0.3">
      <c r="A236" t="s">
        <v>1149</v>
      </c>
      <c r="B236" t="s">
        <v>940</v>
      </c>
      <c r="C236" t="s">
        <v>968</v>
      </c>
      <c r="D236" t="s">
        <v>645</v>
      </c>
      <c r="K236" t="s">
        <v>587</v>
      </c>
      <c r="L236" t="s">
        <v>347</v>
      </c>
    </row>
    <row r="237" spans="1:12" x14ac:dyDescent="0.3">
      <c r="A237" t="s">
        <v>1149</v>
      </c>
      <c r="B237" t="s">
        <v>942</v>
      </c>
      <c r="C237" t="s">
        <v>1070</v>
      </c>
      <c r="D237" t="s">
        <v>645</v>
      </c>
      <c r="K237" t="s">
        <v>587</v>
      </c>
      <c r="L237" t="s">
        <v>347</v>
      </c>
    </row>
    <row r="238" spans="1:12" x14ac:dyDescent="0.3">
      <c r="A238" t="s">
        <v>1149</v>
      </c>
      <c r="B238" t="s">
        <v>945</v>
      </c>
      <c r="C238" t="s">
        <v>1151</v>
      </c>
      <c r="D238" t="s">
        <v>645</v>
      </c>
      <c r="K238" t="s">
        <v>587</v>
      </c>
      <c r="L238" t="s">
        <v>347</v>
      </c>
    </row>
    <row r="239" spans="1:12" ht="28.8" x14ac:dyDescent="0.3">
      <c r="A239" t="s">
        <v>1152</v>
      </c>
      <c r="B239" t="s">
        <v>1153</v>
      </c>
      <c r="C239" t="s">
        <v>1154</v>
      </c>
      <c r="D239" t="s">
        <v>630</v>
      </c>
      <c r="E239" s="8" t="s">
        <v>1155</v>
      </c>
      <c r="F239" s="8" t="s">
        <v>1156</v>
      </c>
      <c r="G239" t="s">
        <v>839</v>
      </c>
      <c r="K239" t="s">
        <v>1236</v>
      </c>
      <c r="L239" t="s">
        <v>607</v>
      </c>
    </row>
    <row r="240" spans="1:12" x14ac:dyDescent="0.3">
      <c r="A240" t="s">
        <v>1157</v>
      </c>
      <c r="B240" t="s">
        <v>722</v>
      </c>
      <c r="C240" t="s">
        <v>723</v>
      </c>
      <c r="D240" t="s">
        <v>630</v>
      </c>
      <c r="E240" t="s">
        <v>1158</v>
      </c>
      <c r="G240" t="s">
        <v>632</v>
      </c>
      <c r="H240" t="s">
        <v>639</v>
      </c>
      <c r="K240" t="s">
        <v>1236</v>
      </c>
      <c r="L240" t="s">
        <v>613</v>
      </c>
    </row>
    <row r="241" spans="1:12" x14ac:dyDescent="0.3">
      <c r="A241" t="s">
        <v>1157</v>
      </c>
      <c r="B241" s="123" t="s">
        <v>724</v>
      </c>
      <c r="C241" t="s">
        <v>725</v>
      </c>
      <c r="D241" t="s">
        <v>630</v>
      </c>
      <c r="E241" t="s">
        <v>1159</v>
      </c>
      <c r="G241" t="s">
        <v>639</v>
      </c>
      <c r="H241" t="s">
        <v>639</v>
      </c>
      <c r="K241" s="6" t="s">
        <v>606</v>
      </c>
      <c r="L241" s="6" t="s">
        <v>614</v>
      </c>
    </row>
    <row r="242" spans="1:12" x14ac:dyDescent="0.3">
      <c r="A242" t="s">
        <v>1157</v>
      </c>
      <c r="B242" s="123" t="s">
        <v>726</v>
      </c>
      <c r="C242" t="s">
        <v>727</v>
      </c>
      <c r="D242" t="s">
        <v>630</v>
      </c>
      <c r="E242" t="s">
        <v>1160</v>
      </c>
      <c r="G242" t="s">
        <v>632</v>
      </c>
      <c r="H242" t="s">
        <v>639</v>
      </c>
      <c r="K242" s="6" t="s">
        <v>606</v>
      </c>
      <c r="L242" s="6" t="s">
        <v>614</v>
      </c>
    </row>
    <row r="243" spans="1:12" x14ac:dyDescent="0.3">
      <c r="A243" t="s">
        <v>1157</v>
      </c>
      <c r="B243" t="s">
        <v>795</v>
      </c>
      <c r="C243" t="s">
        <v>796</v>
      </c>
      <c r="D243" t="s">
        <v>630</v>
      </c>
      <c r="E243" t="s">
        <v>1161</v>
      </c>
      <c r="G243" t="s">
        <v>632</v>
      </c>
      <c r="H243" t="s">
        <v>639</v>
      </c>
      <c r="K243" t="s">
        <v>1236</v>
      </c>
      <c r="L243" t="s">
        <v>613</v>
      </c>
    </row>
    <row r="244" spans="1:12" x14ac:dyDescent="0.3">
      <c r="A244" t="s">
        <v>1157</v>
      </c>
      <c r="B244" t="s">
        <v>797</v>
      </c>
      <c r="C244" t="s">
        <v>798</v>
      </c>
      <c r="D244" t="s">
        <v>630</v>
      </c>
      <c r="E244" t="s">
        <v>1162</v>
      </c>
      <c r="F244" t="s">
        <v>1163</v>
      </c>
      <c r="G244" t="s">
        <v>632</v>
      </c>
      <c r="H244" t="s">
        <v>639</v>
      </c>
      <c r="K244" t="s">
        <v>1236</v>
      </c>
      <c r="L244" t="s">
        <v>613</v>
      </c>
    </row>
    <row r="245" spans="1:12" x14ac:dyDescent="0.3">
      <c r="A245" t="s">
        <v>1157</v>
      </c>
      <c r="B245" t="s">
        <v>1164</v>
      </c>
      <c r="C245" t="s">
        <v>1165</v>
      </c>
      <c r="D245" t="s">
        <v>630</v>
      </c>
      <c r="E245" t="s">
        <v>1166</v>
      </c>
      <c r="G245" t="s">
        <v>632</v>
      </c>
      <c r="H245" t="s">
        <v>639</v>
      </c>
      <c r="K245" t="s">
        <v>1236</v>
      </c>
      <c r="L245" t="s">
        <v>613</v>
      </c>
    </row>
    <row r="246" spans="1:12" x14ac:dyDescent="0.3">
      <c r="A246" t="s">
        <v>1157</v>
      </c>
      <c r="B246" t="s">
        <v>799</v>
      </c>
      <c r="C246" t="s">
        <v>800</v>
      </c>
      <c r="D246" t="s">
        <v>630</v>
      </c>
      <c r="E246" t="s">
        <v>1167</v>
      </c>
      <c r="G246" t="s">
        <v>632</v>
      </c>
      <c r="H246" t="s">
        <v>639</v>
      </c>
      <c r="K246" t="s">
        <v>1236</v>
      </c>
      <c r="L246" t="s">
        <v>613</v>
      </c>
    </row>
    <row r="247" spans="1:12" x14ac:dyDescent="0.3">
      <c r="A247" t="s">
        <v>1168</v>
      </c>
      <c r="B247" t="s">
        <v>1169</v>
      </c>
      <c r="C247" t="s">
        <v>803</v>
      </c>
      <c r="D247" t="s">
        <v>630</v>
      </c>
      <c r="E247" t="s">
        <v>804</v>
      </c>
      <c r="F247" s="121">
        <v>0.82</v>
      </c>
      <c r="G247" t="s">
        <v>639</v>
      </c>
      <c r="K247" t="s">
        <v>587</v>
      </c>
      <c r="L247" t="s">
        <v>603</v>
      </c>
    </row>
    <row r="248" spans="1:12" x14ac:dyDescent="0.3">
      <c r="A248" t="s">
        <v>1168</v>
      </c>
      <c r="B248" t="s">
        <v>1170</v>
      </c>
      <c r="C248" t="s">
        <v>1171</v>
      </c>
      <c r="D248" t="s">
        <v>630</v>
      </c>
      <c r="E248" t="s">
        <v>807</v>
      </c>
      <c r="F248" s="121">
        <v>1</v>
      </c>
      <c r="G248" t="s">
        <v>639</v>
      </c>
      <c r="K248" t="s">
        <v>587</v>
      </c>
      <c r="L248" t="s">
        <v>603</v>
      </c>
    </row>
    <row r="249" spans="1:12" s="123" customFormat="1" x14ac:dyDescent="0.3">
      <c r="A249" s="123" t="s">
        <v>1168</v>
      </c>
      <c r="B249" s="123" t="s">
        <v>881</v>
      </c>
      <c r="C249" s="123" t="s">
        <v>1172</v>
      </c>
      <c r="D249" s="123" t="s">
        <v>630</v>
      </c>
      <c r="E249" s="141" t="s">
        <v>883</v>
      </c>
      <c r="G249" t="s">
        <v>639</v>
      </c>
      <c r="K249" s="123" t="s">
        <v>595</v>
      </c>
      <c r="L249" s="6" t="s">
        <v>604</v>
      </c>
    </row>
    <row r="250" spans="1:12" x14ac:dyDescent="0.3">
      <c r="A250" t="s">
        <v>1168</v>
      </c>
      <c r="B250" t="s">
        <v>1173</v>
      </c>
      <c r="C250" t="s">
        <v>803</v>
      </c>
      <c r="D250" t="s">
        <v>630</v>
      </c>
      <c r="E250" t="s">
        <v>885</v>
      </c>
      <c r="G250" t="s">
        <v>632</v>
      </c>
      <c r="K250" t="s">
        <v>587</v>
      </c>
      <c r="L250" t="s">
        <v>603</v>
      </c>
    </row>
    <row r="251" spans="1:12" x14ac:dyDescent="0.3">
      <c r="A251" t="s">
        <v>1168</v>
      </c>
      <c r="B251" t="s">
        <v>886</v>
      </c>
      <c r="C251" t="s">
        <v>803</v>
      </c>
      <c r="D251" t="s">
        <v>630</v>
      </c>
      <c r="E251" t="s">
        <v>887</v>
      </c>
      <c r="G251" t="s">
        <v>639</v>
      </c>
      <c r="K251" t="s">
        <v>587</v>
      </c>
      <c r="L251" t="s">
        <v>603</v>
      </c>
    </row>
    <row r="252" spans="1:12" x14ac:dyDescent="0.3">
      <c r="A252" t="s">
        <v>1168</v>
      </c>
      <c r="B252" t="s">
        <v>808</v>
      </c>
      <c r="C252" t="s">
        <v>1174</v>
      </c>
      <c r="D252" t="s">
        <v>630</v>
      </c>
      <c r="E252" s="8" t="s">
        <v>1528</v>
      </c>
      <c r="G252" t="s">
        <v>632</v>
      </c>
      <c r="K252" t="s">
        <v>587</v>
      </c>
      <c r="L252" t="s">
        <v>603</v>
      </c>
    </row>
    <row r="253" spans="1:12" x14ac:dyDescent="0.3">
      <c r="A253" t="s">
        <v>1175</v>
      </c>
      <c r="B253" t="s">
        <v>1176</v>
      </c>
      <c r="C253" t="s">
        <v>654</v>
      </c>
      <c r="D253" t="s">
        <v>630</v>
      </c>
      <c r="K253" t="s">
        <v>550</v>
      </c>
      <c r="L253" t="s">
        <v>551</v>
      </c>
    </row>
    <row r="254" spans="1:12" x14ac:dyDescent="0.3">
      <c r="A254" t="s">
        <v>1177</v>
      </c>
      <c r="B254" t="s">
        <v>1178</v>
      </c>
      <c r="C254" t="s">
        <v>1179</v>
      </c>
      <c r="D254" t="s">
        <v>630</v>
      </c>
      <c r="K254" t="s">
        <v>572</v>
      </c>
      <c r="L254" t="s">
        <v>578</v>
      </c>
    </row>
    <row r="255" spans="1:12" x14ac:dyDescent="0.3">
      <c r="A255" t="s">
        <v>1177</v>
      </c>
      <c r="B255" t="s">
        <v>1180</v>
      </c>
      <c r="C255" t="s">
        <v>1181</v>
      </c>
      <c r="D255" t="s">
        <v>630</v>
      </c>
      <c r="K255" t="s">
        <v>572</v>
      </c>
      <c r="L255" t="s">
        <v>578</v>
      </c>
    </row>
    <row r="256" spans="1:12" x14ac:dyDescent="0.3">
      <c r="A256" t="s">
        <v>1177</v>
      </c>
      <c r="B256" t="s">
        <v>1182</v>
      </c>
      <c r="C256" t="s">
        <v>1183</v>
      </c>
      <c r="D256" t="s">
        <v>630</v>
      </c>
      <c r="K256" t="s">
        <v>572</v>
      </c>
      <c r="L256" t="s">
        <v>578</v>
      </c>
    </row>
    <row r="257" spans="1:12" x14ac:dyDescent="0.3">
      <c r="A257" t="s">
        <v>1184</v>
      </c>
      <c r="B257" t="s">
        <v>1185</v>
      </c>
      <c r="C257" t="s">
        <v>1186</v>
      </c>
      <c r="D257" t="s">
        <v>630</v>
      </c>
      <c r="K257" t="s">
        <v>570</v>
      </c>
      <c r="L257" t="s">
        <v>570</v>
      </c>
    </row>
    <row r="258" spans="1:12" x14ac:dyDescent="0.3">
      <c r="A258" t="s">
        <v>1184</v>
      </c>
      <c r="B258" t="s">
        <v>1187</v>
      </c>
      <c r="C258" t="s">
        <v>1186</v>
      </c>
      <c r="D258" t="s">
        <v>630</v>
      </c>
      <c r="K258" t="s">
        <v>570</v>
      </c>
      <c r="L258" t="s">
        <v>570</v>
      </c>
    </row>
    <row r="259" spans="1:12" x14ac:dyDescent="0.3">
      <c r="A259" t="s">
        <v>1188</v>
      </c>
      <c r="B259" t="s">
        <v>1189</v>
      </c>
      <c r="C259" t="s">
        <v>1190</v>
      </c>
      <c r="D259" t="s">
        <v>645</v>
      </c>
      <c r="K259" t="s">
        <v>556</v>
      </c>
      <c r="L259" t="s">
        <v>557</v>
      </c>
    </row>
    <row r="260" spans="1:12" x14ac:dyDescent="0.3">
      <c r="A260" t="s">
        <v>1188</v>
      </c>
      <c r="B260" t="s">
        <v>1191</v>
      </c>
      <c r="C260" t="s">
        <v>654</v>
      </c>
      <c r="D260" t="s">
        <v>630</v>
      </c>
      <c r="K260" t="s">
        <v>556</v>
      </c>
      <c r="L260" t="s">
        <v>557</v>
      </c>
    </row>
    <row r="261" spans="1:12" x14ac:dyDescent="0.3">
      <c r="A261" t="s">
        <v>1192</v>
      </c>
      <c r="B261" t="s">
        <v>1187</v>
      </c>
      <c r="C261" t="s">
        <v>1186</v>
      </c>
      <c r="D261" t="s">
        <v>630</v>
      </c>
      <c r="K261" t="s">
        <v>572</v>
      </c>
      <c r="L261" t="s">
        <v>578</v>
      </c>
    </row>
    <row r="262" spans="1:12" x14ac:dyDescent="0.3">
      <c r="A262" t="s">
        <v>1192</v>
      </c>
      <c r="B262" t="s">
        <v>746</v>
      </c>
      <c r="C262" t="s">
        <v>747</v>
      </c>
      <c r="D262" t="s">
        <v>630</v>
      </c>
      <c r="K262" t="s">
        <v>572</v>
      </c>
      <c r="L262" t="s">
        <v>578</v>
      </c>
    </row>
    <row r="263" spans="1:12" x14ac:dyDescent="0.3">
      <c r="A263" t="s">
        <v>1193</v>
      </c>
      <c r="B263" t="s">
        <v>841</v>
      </c>
      <c r="C263" t="s">
        <v>842</v>
      </c>
      <c r="D263" t="s">
        <v>630</v>
      </c>
      <c r="E263" t="s">
        <v>843</v>
      </c>
      <c r="G263" t="s">
        <v>632</v>
      </c>
      <c r="K263" t="s">
        <v>567</v>
      </c>
      <c r="L263" t="s">
        <v>574</v>
      </c>
    </row>
    <row r="264" spans="1:12" x14ac:dyDescent="0.3">
      <c r="A264" t="s">
        <v>1193</v>
      </c>
      <c r="B264" t="s">
        <v>1194</v>
      </c>
      <c r="C264" t="s">
        <v>818</v>
      </c>
      <c r="D264" t="s">
        <v>630</v>
      </c>
      <c r="E264" t="s">
        <v>818</v>
      </c>
      <c r="G264" t="s">
        <v>632</v>
      </c>
      <c r="K264" t="s">
        <v>567</v>
      </c>
      <c r="L264" t="s">
        <v>574</v>
      </c>
    </row>
    <row r="265" spans="1:12" x14ac:dyDescent="0.3">
      <c r="A265" t="s">
        <v>1193</v>
      </c>
      <c r="B265" t="s">
        <v>835</v>
      </c>
      <c r="C265" t="s">
        <v>1195</v>
      </c>
      <c r="D265" t="s">
        <v>630</v>
      </c>
      <c r="E265" t="s">
        <v>836</v>
      </c>
      <c r="G265" t="s">
        <v>632</v>
      </c>
      <c r="K265" t="s">
        <v>567</v>
      </c>
      <c r="L265" t="s">
        <v>580</v>
      </c>
    </row>
    <row r="266" spans="1:12" x14ac:dyDescent="0.3">
      <c r="A266" t="s">
        <v>1193</v>
      </c>
      <c r="B266" t="s">
        <v>844</v>
      </c>
      <c r="C266" t="s">
        <v>845</v>
      </c>
      <c r="D266" t="s">
        <v>630</v>
      </c>
      <c r="E266" t="s">
        <v>843</v>
      </c>
      <c r="G266" t="s">
        <v>632</v>
      </c>
      <c r="K266" t="s">
        <v>567</v>
      </c>
      <c r="L266" t="s">
        <v>574</v>
      </c>
    </row>
    <row r="267" spans="1:12" x14ac:dyDescent="0.3">
      <c r="A267" t="s">
        <v>1193</v>
      </c>
      <c r="B267" t="s">
        <v>837</v>
      </c>
      <c r="C267" t="s">
        <v>838</v>
      </c>
      <c r="D267" t="s">
        <v>630</v>
      </c>
      <c r="E267" t="s">
        <v>838</v>
      </c>
      <c r="G267" t="s">
        <v>839</v>
      </c>
      <c r="K267" t="s">
        <v>567</v>
      </c>
      <c r="L267" t="s">
        <v>580</v>
      </c>
    </row>
    <row r="268" spans="1:12" x14ac:dyDescent="0.3">
      <c r="A268" t="s">
        <v>1196</v>
      </c>
      <c r="B268" t="s">
        <v>1197</v>
      </c>
      <c r="C268" t="s">
        <v>1198</v>
      </c>
      <c r="D268" t="s">
        <v>630</v>
      </c>
      <c r="E268" t="s">
        <v>1199</v>
      </c>
      <c r="G268" t="s">
        <v>632</v>
      </c>
      <c r="K268" s="6" t="s">
        <v>606</v>
      </c>
      <c r="L268" s="6" t="s">
        <v>614</v>
      </c>
    </row>
    <row r="269" spans="1:12" x14ac:dyDescent="0.3">
      <c r="A269" t="s">
        <v>1200</v>
      </c>
      <c r="B269" t="s">
        <v>1201</v>
      </c>
      <c r="C269" t="s">
        <v>654</v>
      </c>
      <c r="D269" t="s">
        <v>645</v>
      </c>
      <c r="K269" t="s">
        <v>545</v>
      </c>
      <c r="L269" t="s">
        <v>545</v>
      </c>
    </row>
    <row r="270" spans="1:12" x14ac:dyDescent="0.3">
      <c r="A270" t="s">
        <v>1200</v>
      </c>
      <c r="B270" t="s">
        <v>1202</v>
      </c>
      <c r="C270" t="s">
        <v>1203</v>
      </c>
      <c r="D270" t="s">
        <v>630</v>
      </c>
      <c r="K270" t="s">
        <v>545</v>
      </c>
      <c r="L270" t="s">
        <v>545</v>
      </c>
    </row>
    <row r="271" spans="1:12" x14ac:dyDescent="0.3">
      <c r="A271" t="s">
        <v>1204</v>
      </c>
      <c r="B271" t="s">
        <v>729</v>
      </c>
      <c r="C271" t="s">
        <v>730</v>
      </c>
      <c r="D271" t="s">
        <v>630</v>
      </c>
      <c r="E271" t="s">
        <v>731</v>
      </c>
      <c r="F271" s="121">
        <v>0.9</v>
      </c>
      <c r="G271" t="s">
        <v>632</v>
      </c>
      <c r="K271" t="s">
        <v>548</v>
      </c>
      <c r="L271" t="s">
        <v>548</v>
      </c>
    </row>
    <row r="272" spans="1:12" x14ac:dyDescent="0.3">
      <c r="A272" t="s">
        <v>1204</v>
      </c>
      <c r="B272" t="s">
        <v>732</v>
      </c>
      <c r="C272" t="s">
        <v>733</v>
      </c>
      <c r="D272" t="b">
        <v>0</v>
      </c>
      <c r="E272" t="s">
        <v>734</v>
      </c>
      <c r="F272" s="121">
        <v>0.8</v>
      </c>
      <c r="G272" t="s">
        <v>632</v>
      </c>
      <c r="K272" t="s">
        <v>548</v>
      </c>
      <c r="L272" t="s">
        <v>548</v>
      </c>
    </row>
    <row r="273" spans="1:12" x14ac:dyDescent="0.3">
      <c r="A273" t="s">
        <v>1204</v>
      </c>
      <c r="B273" t="s">
        <v>735</v>
      </c>
      <c r="C273" t="s">
        <v>736</v>
      </c>
      <c r="D273" t="b">
        <v>1</v>
      </c>
      <c r="E273" t="s">
        <v>737</v>
      </c>
      <c r="F273" s="121">
        <v>0.1</v>
      </c>
      <c r="G273" t="s">
        <v>632</v>
      </c>
      <c r="K273" t="s">
        <v>548</v>
      </c>
      <c r="L273" t="s">
        <v>548</v>
      </c>
    </row>
    <row r="274" spans="1:12" x14ac:dyDescent="0.3">
      <c r="A274" t="s">
        <v>1204</v>
      </c>
      <c r="B274" t="s">
        <v>738</v>
      </c>
      <c r="C274" t="s">
        <v>654</v>
      </c>
      <c r="D274" t="b">
        <v>1</v>
      </c>
      <c r="E274" t="s">
        <v>201</v>
      </c>
      <c r="F274" t="s">
        <v>201</v>
      </c>
      <c r="G274" t="s">
        <v>632</v>
      </c>
      <c r="K274" t="s">
        <v>548</v>
      </c>
      <c r="L274" t="s">
        <v>548</v>
      </c>
    </row>
    <row r="275" spans="1:12" x14ac:dyDescent="0.3">
      <c r="A275" t="s">
        <v>1204</v>
      </c>
      <c r="B275" t="s">
        <v>740</v>
      </c>
      <c r="C275" t="s">
        <v>1205</v>
      </c>
      <c r="D275" t="b">
        <v>1</v>
      </c>
      <c r="E275" t="s">
        <v>742</v>
      </c>
      <c r="F275">
        <v>15</v>
      </c>
      <c r="G275" t="s">
        <v>632</v>
      </c>
      <c r="K275" t="s">
        <v>548</v>
      </c>
      <c r="L275" t="s">
        <v>548</v>
      </c>
    </row>
    <row r="276" spans="1:12" x14ac:dyDescent="0.3">
      <c r="A276" t="s">
        <v>1206</v>
      </c>
      <c r="B276" t="s">
        <v>738</v>
      </c>
      <c r="C276" t="s">
        <v>739</v>
      </c>
      <c r="D276" t="s">
        <v>630</v>
      </c>
      <c r="K276" t="s">
        <v>599</v>
      </c>
      <c r="L276" t="s">
        <v>599</v>
      </c>
    </row>
    <row r="277" spans="1:12" x14ac:dyDescent="0.3">
      <c r="A277" t="s">
        <v>1207</v>
      </c>
      <c r="B277" t="s">
        <v>1208</v>
      </c>
      <c r="C277" t="s">
        <v>1209</v>
      </c>
      <c r="D277" t="s">
        <v>630</v>
      </c>
      <c r="E277" t="s">
        <v>1210</v>
      </c>
      <c r="F277" s="121">
        <v>0.8</v>
      </c>
      <c r="K277" t="s">
        <v>595</v>
      </c>
      <c r="L277" t="s">
        <v>601</v>
      </c>
    </row>
    <row r="278" spans="1:12" x14ac:dyDescent="0.3">
      <c r="A278" t="s">
        <v>1211</v>
      </c>
      <c r="B278" t="s">
        <v>1212</v>
      </c>
      <c r="C278" t="s">
        <v>1213</v>
      </c>
      <c r="D278" t="s">
        <v>630</v>
      </c>
      <c r="E278" t="s">
        <v>1214</v>
      </c>
      <c r="K278" t="s">
        <v>553</v>
      </c>
      <c r="L278" t="s">
        <v>553</v>
      </c>
    </row>
    <row r="279" spans="1:12" x14ac:dyDescent="0.3">
      <c r="A279" t="s">
        <v>1215</v>
      </c>
      <c r="B279" t="s">
        <v>1216</v>
      </c>
      <c r="C279" t="s">
        <v>1217</v>
      </c>
      <c r="D279" t="s">
        <v>630</v>
      </c>
      <c r="K279" t="s">
        <v>567</v>
      </c>
      <c r="L279" t="s">
        <v>514</v>
      </c>
    </row>
    <row r="280" spans="1:12" x14ac:dyDescent="0.3">
      <c r="A280" t="s">
        <v>1215</v>
      </c>
      <c r="B280" t="s">
        <v>1218</v>
      </c>
      <c r="C280" t="s">
        <v>1219</v>
      </c>
      <c r="D280" t="s">
        <v>630</v>
      </c>
      <c r="K280" t="s">
        <v>567</v>
      </c>
      <c r="L280" t="s">
        <v>514</v>
      </c>
    </row>
    <row r="281" spans="1:12" x14ac:dyDescent="0.3">
      <c r="A281" t="s">
        <v>1215</v>
      </c>
      <c r="B281" t="s">
        <v>1220</v>
      </c>
      <c r="C281" t="s">
        <v>1221</v>
      </c>
      <c r="D281" t="s">
        <v>630</v>
      </c>
      <c r="K281" t="s">
        <v>567</v>
      </c>
      <c r="L281" t="s">
        <v>514</v>
      </c>
    </row>
    <row r="282" spans="1:12" x14ac:dyDescent="0.3">
      <c r="A282" t="s">
        <v>1222</v>
      </c>
      <c r="B282" t="s">
        <v>1223</v>
      </c>
      <c r="C282" t="s">
        <v>1224</v>
      </c>
      <c r="D282" t="s">
        <v>630</v>
      </c>
      <c r="E282" t="s">
        <v>403</v>
      </c>
      <c r="K282" t="s">
        <v>587</v>
      </c>
      <c r="L282" t="s">
        <v>588</v>
      </c>
    </row>
    <row r="283" spans="1:12" x14ac:dyDescent="0.3">
      <c r="A283" t="s">
        <v>1222</v>
      </c>
      <c r="B283" t="s">
        <v>1225</v>
      </c>
      <c r="C283" t="s">
        <v>1226</v>
      </c>
      <c r="D283" t="s">
        <v>630</v>
      </c>
      <c r="E283" t="s">
        <v>1227</v>
      </c>
      <c r="K283" t="s">
        <v>587</v>
      </c>
      <c r="L283" t="s">
        <v>588</v>
      </c>
    </row>
    <row r="284" spans="1:12" x14ac:dyDescent="0.3">
      <c r="A284" t="s">
        <v>1222</v>
      </c>
      <c r="B284" t="s">
        <v>1228</v>
      </c>
      <c r="C284" t="s">
        <v>1229</v>
      </c>
      <c r="D284" t="s">
        <v>645</v>
      </c>
      <c r="E284" t="s">
        <v>1229</v>
      </c>
      <c r="G284" t="s">
        <v>632</v>
      </c>
      <c r="K284" t="s">
        <v>587</v>
      </c>
      <c r="L284" t="s">
        <v>588</v>
      </c>
    </row>
    <row r="285" spans="1:12" x14ac:dyDescent="0.3">
      <c r="A285" t="s">
        <v>1230</v>
      </c>
      <c r="B285" t="s">
        <v>1231</v>
      </c>
      <c r="C285" t="s">
        <v>654</v>
      </c>
      <c r="D285" t="s">
        <v>630</v>
      </c>
      <c r="E285" t="s">
        <v>643</v>
      </c>
      <c r="K285" t="s">
        <v>582</v>
      </c>
      <c r="L285" t="s">
        <v>582</v>
      </c>
    </row>
    <row r="286" spans="1:12" x14ac:dyDescent="0.3">
      <c r="A286" t="s">
        <v>1230</v>
      </c>
      <c r="B286" t="s">
        <v>1232</v>
      </c>
      <c r="C286" t="s">
        <v>654</v>
      </c>
      <c r="D286" t="s">
        <v>630</v>
      </c>
      <c r="E286" t="s">
        <v>1525</v>
      </c>
      <c r="K286" t="s">
        <v>582</v>
      </c>
      <c r="L286" t="s">
        <v>582</v>
      </c>
    </row>
    <row r="287" spans="1:12" x14ac:dyDescent="0.3">
      <c r="A287" t="s">
        <v>1230</v>
      </c>
      <c r="B287" t="s">
        <v>1233</v>
      </c>
      <c r="C287" t="s">
        <v>654</v>
      </c>
      <c r="D287" t="s">
        <v>630</v>
      </c>
      <c r="E287" t="s">
        <v>643</v>
      </c>
      <c r="K287" t="s">
        <v>582</v>
      </c>
      <c r="L287" t="s">
        <v>582</v>
      </c>
    </row>
    <row r="288" spans="1:12" x14ac:dyDescent="0.3">
      <c r="A288" t="s">
        <v>1230</v>
      </c>
      <c r="B288" t="s">
        <v>1234</v>
      </c>
      <c r="C288" t="s">
        <v>654</v>
      </c>
      <c r="D288" t="s">
        <v>630</v>
      </c>
      <c r="E288" t="s">
        <v>1526</v>
      </c>
      <c r="K288" t="s">
        <v>582</v>
      </c>
      <c r="L288" t="s">
        <v>582</v>
      </c>
    </row>
    <row r="289" spans="1:12" x14ac:dyDescent="0.3">
      <c r="A289" t="s">
        <v>1230</v>
      </c>
      <c r="B289" t="s">
        <v>1235</v>
      </c>
      <c r="C289" t="s">
        <v>654</v>
      </c>
      <c r="D289" t="s">
        <v>630</v>
      </c>
      <c r="E289" t="s">
        <v>1527</v>
      </c>
      <c r="K289" t="s">
        <v>582</v>
      </c>
      <c r="L289" t="s">
        <v>582</v>
      </c>
    </row>
    <row r="290" spans="1:12" ht="28.8" x14ac:dyDescent="0.3">
      <c r="A290" t="s">
        <v>1168</v>
      </c>
      <c r="B290" t="s">
        <v>808</v>
      </c>
      <c r="C290" t="s">
        <v>1174</v>
      </c>
      <c r="D290" t="s">
        <v>630</v>
      </c>
      <c r="E290" s="8" t="s">
        <v>810</v>
      </c>
      <c r="G290" t="s">
        <v>639</v>
      </c>
      <c r="K290" t="s">
        <v>587</v>
      </c>
      <c r="L290" t="s">
        <v>603</v>
      </c>
    </row>
  </sheetData>
  <conditionalFormatting sqref="K16">
    <cfRule type="duplicateValues" dxfId="28" priority="7"/>
  </conditionalFormatting>
  <conditionalFormatting sqref="L2:L4">
    <cfRule type="duplicateValues" dxfId="27" priority="10"/>
  </conditionalFormatting>
  <conditionalFormatting sqref="L8:L12">
    <cfRule type="duplicateValues" dxfId="26" priority="13"/>
  </conditionalFormatting>
  <conditionalFormatting sqref="L16">
    <cfRule type="duplicateValues" dxfId="25" priority="8"/>
  </conditionalFormatting>
  <conditionalFormatting sqref="L64:L66">
    <cfRule type="duplicateValues" dxfId="24" priority="11"/>
  </conditionalFormatting>
  <conditionalFormatting sqref="L88">
    <cfRule type="duplicateValues" dxfId="23" priority="5"/>
  </conditionalFormatting>
  <conditionalFormatting sqref="L97:L101">
    <cfRule type="duplicateValues" dxfId="22" priority="6"/>
  </conditionalFormatting>
  <conditionalFormatting sqref="L106">
    <cfRule type="duplicateValues" dxfId="21" priority="9"/>
  </conditionalFormatting>
  <conditionalFormatting sqref="L163">
    <cfRule type="duplicateValues" dxfId="20" priority="12"/>
  </conditionalFormatting>
  <conditionalFormatting sqref="L241">
    <cfRule type="duplicateValues" dxfId="19" priority="4"/>
  </conditionalFormatting>
  <conditionalFormatting sqref="L242">
    <cfRule type="duplicateValues" dxfId="18" priority="3"/>
  </conditionalFormatting>
  <conditionalFormatting sqref="L249">
    <cfRule type="duplicateValues" dxfId="17" priority="1"/>
  </conditionalFormatting>
  <conditionalFormatting sqref="L268">
    <cfRule type="duplicateValues" dxfId="16" priority="2"/>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EE7F9-C83B-46E0-BD66-45A599C1C12A}">
  <sheetPr filterMode="1"/>
  <dimension ref="A1:I48"/>
  <sheetViews>
    <sheetView workbookViewId="0">
      <selection activeCell="A3" sqref="A3:XFD3"/>
    </sheetView>
  </sheetViews>
  <sheetFormatPr baseColWidth="10" defaultRowHeight="14.4" x14ac:dyDescent="0.3"/>
  <cols>
    <col min="1" max="2" width="31.77734375" style="8" customWidth="1"/>
    <col min="3" max="3" width="26.77734375" style="8" customWidth="1"/>
    <col min="4" max="4" width="15.44140625" style="8" customWidth="1"/>
    <col min="5" max="8" width="31.77734375" style="8" customWidth="1"/>
  </cols>
  <sheetData>
    <row r="1" spans="1:9" x14ac:dyDescent="0.3">
      <c r="A1" s="1" t="s">
        <v>0</v>
      </c>
      <c r="B1" s="1" t="s">
        <v>1</v>
      </c>
      <c r="C1" s="1" t="s">
        <v>2</v>
      </c>
      <c r="D1" s="1" t="s">
        <v>3</v>
      </c>
      <c r="E1" s="1" t="s">
        <v>4</v>
      </c>
      <c r="F1" s="1" t="s">
        <v>5</v>
      </c>
      <c r="G1" s="1" t="s">
        <v>172</v>
      </c>
      <c r="H1" s="1" t="s">
        <v>173</v>
      </c>
      <c r="I1" s="1" t="s">
        <v>1237</v>
      </c>
    </row>
    <row r="2" spans="1:9" ht="41.4" hidden="1" x14ac:dyDescent="0.3">
      <c r="A2" s="2" t="s">
        <v>6</v>
      </c>
      <c r="B2" s="2" t="s">
        <v>7</v>
      </c>
      <c r="C2" s="2" t="s">
        <v>8</v>
      </c>
      <c r="D2" s="2" t="s">
        <v>8</v>
      </c>
      <c r="E2" s="2" t="s">
        <v>9</v>
      </c>
      <c r="F2" s="2" t="s">
        <v>10</v>
      </c>
      <c r="G2" s="7" t="s">
        <v>584</v>
      </c>
      <c r="H2" s="7" t="s">
        <v>597</v>
      </c>
      <c r="I2" s="2" t="s">
        <v>1239</v>
      </c>
    </row>
    <row r="3" spans="1:9" ht="41.4" x14ac:dyDescent="0.3">
      <c r="A3" s="2" t="s">
        <v>11</v>
      </c>
      <c r="B3" s="2" t="s">
        <v>12</v>
      </c>
      <c r="C3" s="2" t="s">
        <v>13</v>
      </c>
      <c r="D3" s="2" t="s">
        <v>8</v>
      </c>
      <c r="E3" s="2" t="s">
        <v>14</v>
      </c>
      <c r="F3" s="2" t="s">
        <v>15</v>
      </c>
      <c r="G3" s="6" t="s">
        <v>582</v>
      </c>
      <c r="H3" s="6" t="s">
        <v>582</v>
      </c>
      <c r="I3" s="2" t="s">
        <v>1238</v>
      </c>
    </row>
    <row r="4" spans="1:9" ht="41.4" hidden="1" x14ac:dyDescent="0.3">
      <c r="A4" s="2" t="s">
        <v>16</v>
      </c>
      <c r="B4" s="3" t="s">
        <v>17</v>
      </c>
      <c r="C4" s="3" t="s">
        <v>18</v>
      </c>
      <c r="D4" s="2" t="s">
        <v>8</v>
      </c>
      <c r="E4" s="2" t="s">
        <v>19</v>
      </c>
      <c r="F4" s="2" t="s">
        <v>20</v>
      </c>
      <c r="G4" s="7" t="s">
        <v>545</v>
      </c>
      <c r="H4" s="7" t="s">
        <v>545</v>
      </c>
      <c r="I4" s="2" t="s">
        <v>1238</v>
      </c>
    </row>
    <row r="5" spans="1:9" ht="69" hidden="1" x14ac:dyDescent="0.3">
      <c r="A5" s="2" t="s">
        <v>16</v>
      </c>
      <c r="B5" s="3" t="s">
        <v>21</v>
      </c>
      <c r="C5" s="3" t="s">
        <v>22</v>
      </c>
      <c r="D5" s="2" t="s">
        <v>8</v>
      </c>
      <c r="E5" s="2" t="s">
        <v>23</v>
      </c>
      <c r="F5" s="2" t="s">
        <v>24</v>
      </c>
      <c r="G5" s="7" t="s">
        <v>545</v>
      </c>
      <c r="H5" s="7" t="s">
        <v>545</v>
      </c>
      <c r="I5" s="2" t="s">
        <v>1238</v>
      </c>
    </row>
    <row r="6" spans="1:9" ht="69" hidden="1" x14ac:dyDescent="0.3">
      <c r="A6" s="2" t="s">
        <v>16</v>
      </c>
      <c r="B6" s="3" t="s">
        <v>25</v>
      </c>
      <c r="C6" s="4" t="s">
        <v>26</v>
      </c>
      <c r="D6" s="2" t="s">
        <v>8</v>
      </c>
      <c r="E6" s="5" t="s">
        <v>27</v>
      </c>
      <c r="F6" s="2" t="s">
        <v>28</v>
      </c>
      <c r="G6" s="7" t="s">
        <v>545</v>
      </c>
      <c r="H6" s="7" t="s">
        <v>545</v>
      </c>
      <c r="I6" s="2" t="s">
        <v>1239</v>
      </c>
    </row>
    <row r="7" spans="1:9" ht="55.2" hidden="1" x14ac:dyDescent="0.3">
      <c r="A7" s="2" t="s">
        <v>16</v>
      </c>
      <c r="B7" s="2" t="s">
        <v>29</v>
      </c>
      <c r="C7" s="4" t="s">
        <v>26</v>
      </c>
      <c r="D7" s="2" t="s">
        <v>8</v>
      </c>
      <c r="E7" s="2" t="s">
        <v>30</v>
      </c>
      <c r="F7" s="2" t="s">
        <v>31</v>
      </c>
      <c r="G7" s="7" t="s">
        <v>545</v>
      </c>
      <c r="H7" s="7" t="s">
        <v>545</v>
      </c>
      <c r="I7" s="2" t="s">
        <v>1239</v>
      </c>
    </row>
    <row r="8" spans="1:9" ht="69" hidden="1" x14ac:dyDescent="0.3">
      <c r="A8" s="2" t="s">
        <v>32</v>
      </c>
      <c r="B8" s="2" t="s">
        <v>33</v>
      </c>
      <c r="C8" s="2" t="s">
        <v>34</v>
      </c>
      <c r="D8" s="2" t="s">
        <v>8</v>
      </c>
      <c r="E8" s="2" t="s">
        <v>35</v>
      </c>
      <c r="F8" s="2" t="s">
        <v>36</v>
      </c>
      <c r="G8" s="7" t="s">
        <v>1236</v>
      </c>
      <c r="H8" s="7" t="s">
        <v>607</v>
      </c>
      <c r="I8" s="2" t="s">
        <v>1238</v>
      </c>
    </row>
    <row r="9" spans="1:9" ht="55.2" hidden="1" x14ac:dyDescent="0.3">
      <c r="A9" s="2" t="s">
        <v>32</v>
      </c>
      <c r="B9" s="2" t="s">
        <v>37</v>
      </c>
      <c r="C9" s="2" t="s">
        <v>34</v>
      </c>
      <c r="D9" s="2" t="s">
        <v>8</v>
      </c>
      <c r="E9" s="2" t="s">
        <v>38</v>
      </c>
      <c r="F9" s="2" t="s">
        <v>39</v>
      </c>
      <c r="G9" s="7" t="s">
        <v>1236</v>
      </c>
      <c r="H9" s="7" t="s">
        <v>614</v>
      </c>
      <c r="I9" s="2" t="s">
        <v>1238</v>
      </c>
    </row>
    <row r="10" spans="1:9" ht="41.4" hidden="1" x14ac:dyDescent="0.3">
      <c r="A10" s="2" t="s">
        <v>32</v>
      </c>
      <c r="B10" s="2" t="s">
        <v>40</v>
      </c>
      <c r="C10" s="2" t="s">
        <v>41</v>
      </c>
      <c r="D10" s="2" t="s">
        <v>8</v>
      </c>
      <c r="E10" s="2" t="s">
        <v>42</v>
      </c>
      <c r="F10" s="2" t="s">
        <v>15</v>
      </c>
      <c r="G10" s="7" t="s">
        <v>568</v>
      </c>
      <c r="H10" s="7" t="s">
        <v>569</v>
      </c>
      <c r="I10" s="2" t="s">
        <v>1238</v>
      </c>
    </row>
    <row r="11" spans="1:9" ht="55.2" hidden="1" x14ac:dyDescent="0.3">
      <c r="A11" s="2" t="s">
        <v>32</v>
      </c>
      <c r="B11" s="2" t="s">
        <v>43</v>
      </c>
      <c r="C11" s="2" t="s">
        <v>41</v>
      </c>
      <c r="D11" s="2" t="s">
        <v>8</v>
      </c>
      <c r="E11" s="2" t="s">
        <v>44</v>
      </c>
      <c r="F11" s="2" t="s">
        <v>45</v>
      </c>
      <c r="G11" s="7" t="s">
        <v>568</v>
      </c>
      <c r="H11" s="7" t="s">
        <v>569</v>
      </c>
      <c r="I11" s="2" t="s">
        <v>1238</v>
      </c>
    </row>
    <row r="12" spans="1:9" ht="55.2" hidden="1" x14ac:dyDescent="0.3">
      <c r="A12" s="2" t="s">
        <v>46</v>
      </c>
      <c r="B12" s="2" t="s">
        <v>47</v>
      </c>
      <c r="C12" s="2" t="s">
        <v>26</v>
      </c>
      <c r="D12" s="2" t="s">
        <v>8</v>
      </c>
      <c r="E12" s="2" t="s">
        <v>48</v>
      </c>
      <c r="F12" s="2" t="s">
        <v>49</v>
      </c>
      <c r="G12" s="7" t="s">
        <v>561</v>
      </c>
      <c r="H12" s="7" t="s">
        <v>612</v>
      </c>
      <c r="I12" s="2" t="s">
        <v>1238</v>
      </c>
    </row>
    <row r="13" spans="1:9" ht="69" hidden="1" x14ac:dyDescent="0.3">
      <c r="A13" s="2" t="s">
        <v>46</v>
      </c>
      <c r="B13" s="2" t="s">
        <v>50</v>
      </c>
      <c r="C13" s="2" t="s">
        <v>51</v>
      </c>
      <c r="D13" s="2" t="s">
        <v>8</v>
      </c>
      <c r="E13" s="2" t="s">
        <v>52</v>
      </c>
      <c r="F13" s="2" t="s">
        <v>53</v>
      </c>
      <c r="G13" s="7" t="s">
        <v>561</v>
      </c>
      <c r="H13" s="7" t="s">
        <v>612</v>
      </c>
      <c r="I13" s="2" t="s">
        <v>51</v>
      </c>
    </row>
    <row r="14" spans="1:9" ht="69" hidden="1" x14ac:dyDescent="0.3">
      <c r="A14" s="2" t="s">
        <v>54</v>
      </c>
      <c r="B14" s="2" t="s">
        <v>55</v>
      </c>
      <c r="C14" s="2" t="s">
        <v>56</v>
      </c>
      <c r="D14" s="2" t="s">
        <v>8</v>
      </c>
      <c r="E14" s="2" t="s">
        <v>57</v>
      </c>
      <c r="F14" s="2" t="s">
        <v>58</v>
      </c>
      <c r="G14" s="7" t="s">
        <v>587</v>
      </c>
      <c r="H14" s="7" t="s">
        <v>588</v>
      </c>
      <c r="I14" s="2" t="s">
        <v>51</v>
      </c>
    </row>
    <row r="15" spans="1:9" ht="41.4" hidden="1" x14ac:dyDescent="0.3">
      <c r="A15" s="2" t="s">
        <v>59</v>
      </c>
      <c r="B15" s="2" t="s">
        <v>60</v>
      </c>
      <c r="C15" s="2" t="s">
        <v>13</v>
      </c>
      <c r="D15" s="2" t="s">
        <v>8</v>
      </c>
      <c r="E15" s="2" t="s">
        <v>61</v>
      </c>
      <c r="F15" s="2" t="s">
        <v>62</v>
      </c>
      <c r="G15" s="7" t="s">
        <v>599</v>
      </c>
      <c r="H15" s="7" t="s">
        <v>599</v>
      </c>
      <c r="I15" s="2" t="s">
        <v>1238</v>
      </c>
    </row>
    <row r="16" spans="1:9" ht="69" hidden="1" x14ac:dyDescent="0.3">
      <c r="A16" s="2" t="s">
        <v>63</v>
      </c>
      <c r="B16" s="5" t="s">
        <v>64</v>
      </c>
      <c r="C16" s="2" t="s">
        <v>8</v>
      </c>
      <c r="D16" s="2" t="s">
        <v>8</v>
      </c>
      <c r="E16" s="2" t="s">
        <v>65</v>
      </c>
      <c r="F16" s="2" t="s">
        <v>66</v>
      </c>
      <c r="G16" s="7" t="s">
        <v>595</v>
      </c>
      <c r="H16" s="7" t="s">
        <v>611</v>
      </c>
      <c r="I16" s="2" t="s">
        <v>1238</v>
      </c>
    </row>
    <row r="17" spans="1:9" ht="41.4" hidden="1" x14ac:dyDescent="0.3">
      <c r="A17" s="2" t="s">
        <v>63</v>
      </c>
      <c r="B17" s="2" t="s">
        <v>67</v>
      </c>
      <c r="C17" s="2" t="s">
        <v>8</v>
      </c>
      <c r="D17" s="2" t="s">
        <v>8</v>
      </c>
      <c r="E17" s="2" t="s">
        <v>68</v>
      </c>
      <c r="F17" s="2" t="s">
        <v>69</v>
      </c>
      <c r="G17" s="7" t="s">
        <v>595</v>
      </c>
      <c r="H17" s="7" t="s">
        <v>596</v>
      </c>
      <c r="I17" s="2" t="s">
        <v>1239</v>
      </c>
    </row>
    <row r="18" spans="1:9" ht="55.2" hidden="1" x14ac:dyDescent="0.3">
      <c r="A18" s="2" t="s">
        <v>70</v>
      </c>
      <c r="B18" s="2" t="s">
        <v>71</v>
      </c>
      <c r="C18" s="2" t="s">
        <v>13</v>
      </c>
      <c r="D18" s="2" t="s">
        <v>72</v>
      </c>
      <c r="E18" s="2" t="s">
        <v>73</v>
      </c>
      <c r="F18" s="2" t="s">
        <v>74</v>
      </c>
      <c r="G18" s="6" t="s">
        <v>563</v>
      </c>
      <c r="H18" s="6" t="s">
        <v>565</v>
      </c>
      <c r="I18" s="2" t="s">
        <v>72</v>
      </c>
    </row>
    <row r="19" spans="1:9" ht="41.4" hidden="1" x14ac:dyDescent="0.3">
      <c r="A19" s="2" t="s">
        <v>70</v>
      </c>
      <c r="B19" s="2" t="s">
        <v>75</v>
      </c>
      <c r="C19" s="2" t="s">
        <v>13</v>
      </c>
      <c r="D19" s="2" t="s">
        <v>8</v>
      </c>
      <c r="E19" s="2" t="s">
        <v>76</v>
      </c>
      <c r="F19" s="2" t="s">
        <v>77</v>
      </c>
      <c r="G19" s="6" t="s">
        <v>563</v>
      </c>
      <c r="H19" s="6" t="s">
        <v>564</v>
      </c>
      <c r="I19" s="2" t="s">
        <v>1238</v>
      </c>
    </row>
    <row r="20" spans="1:9" ht="55.2" hidden="1" x14ac:dyDescent="0.3">
      <c r="A20" s="2" t="s">
        <v>70</v>
      </c>
      <c r="B20" s="2" t="s">
        <v>78</v>
      </c>
      <c r="C20" s="2" t="s">
        <v>13</v>
      </c>
      <c r="D20" s="2" t="s">
        <v>8</v>
      </c>
      <c r="E20" s="2" t="s">
        <v>79</v>
      </c>
      <c r="F20" s="2" t="s">
        <v>80</v>
      </c>
      <c r="G20" s="6" t="s">
        <v>563</v>
      </c>
      <c r="H20" s="6" t="s">
        <v>564</v>
      </c>
      <c r="I20" s="2" t="s">
        <v>1238</v>
      </c>
    </row>
    <row r="21" spans="1:9" ht="41.4" hidden="1" x14ac:dyDescent="0.3">
      <c r="A21" s="2" t="s">
        <v>70</v>
      </c>
      <c r="B21" s="2" t="s">
        <v>81</v>
      </c>
      <c r="C21" s="2" t="s">
        <v>13</v>
      </c>
      <c r="D21" s="2" t="s">
        <v>8</v>
      </c>
      <c r="E21" s="2" t="s">
        <v>82</v>
      </c>
      <c r="F21" s="2" t="s">
        <v>83</v>
      </c>
      <c r="G21" s="6" t="s">
        <v>563</v>
      </c>
      <c r="H21" s="6" t="s">
        <v>564</v>
      </c>
      <c r="I21" s="2" t="s">
        <v>1238</v>
      </c>
    </row>
    <row r="22" spans="1:9" ht="55.2" hidden="1" x14ac:dyDescent="0.3">
      <c r="A22" s="2" t="s">
        <v>84</v>
      </c>
      <c r="B22" s="2" t="s">
        <v>85</v>
      </c>
      <c r="C22" s="2" t="s">
        <v>86</v>
      </c>
      <c r="D22" s="2" t="s">
        <v>8</v>
      </c>
      <c r="E22" s="2" t="s">
        <v>87</v>
      </c>
      <c r="F22" s="2" t="s">
        <v>31</v>
      </c>
      <c r="G22" s="7" t="s">
        <v>587</v>
      </c>
      <c r="H22" s="7" t="s">
        <v>588</v>
      </c>
      <c r="I22" s="2" t="s">
        <v>1238</v>
      </c>
    </row>
    <row r="23" spans="1:9" ht="27.6" hidden="1" x14ac:dyDescent="0.3">
      <c r="A23" s="2" t="s">
        <v>84</v>
      </c>
      <c r="B23" s="2" t="s">
        <v>88</v>
      </c>
      <c r="C23" s="2" t="s">
        <v>86</v>
      </c>
      <c r="D23" s="2" t="s">
        <v>72</v>
      </c>
      <c r="E23" s="2" t="s">
        <v>89</v>
      </c>
      <c r="F23" s="2" t="s">
        <v>90</v>
      </c>
      <c r="G23" s="7" t="s">
        <v>587</v>
      </c>
      <c r="H23" s="7" t="s">
        <v>588</v>
      </c>
      <c r="I23" s="2" t="s">
        <v>72</v>
      </c>
    </row>
    <row r="24" spans="1:9" ht="41.4" hidden="1" x14ac:dyDescent="0.3">
      <c r="A24" s="2" t="s">
        <v>91</v>
      </c>
      <c r="B24" s="2" t="s">
        <v>92</v>
      </c>
      <c r="C24" s="2" t="s">
        <v>86</v>
      </c>
      <c r="D24" s="2" t="s">
        <v>8</v>
      </c>
      <c r="E24" s="2" t="s">
        <v>93</v>
      </c>
      <c r="F24" s="2" t="s">
        <v>94</v>
      </c>
      <c r="G24" s="7" t="s">
        <v>599</v>
      </c>
      <c r="H24" s="7" t="s">
        <v>599</v>
      </c>
      <c r="I24" s="2" t="s">
        <v>1238</v>
      </c>
    </row>
    <row r="25" spans="1:9" ht="55.2" hidden="1" x14ac:dyDescent="0.3">
      <c r="A25" s="2" t="s">
        <v>95</v>
      </c>
      <c r="B25" s="2" t="s">
        <v>96</v>
      </c>
      <c r="C25" s="2" t="s">
        <v>13</v>
      </c>
      <c r="D25" s="2" t="s">
        <v>8</v>
      </c>
      <c r="E25" s="2" t="s">
        <v>97</v>
      </c>
      <c r="F25" s="2" t="s">
        <v>98</v>
      </c>
      <c r="G25" s="7" t="s">
        <v>576</v>
      </c>
      <c r="H25" s="7" t="s">
        <v>577</v>
      </c>
      <c r="I25" s="2" t="s">
        <v>1238</v>
      </c>
    </row>
    <row r="26" spans="1:9" ht="69" hidden="1" x14ac:dyDescent="0.3">
      <c r="A26" s="2" t="s">
        <v>99</v>
      </c>
      <c r="B26" s="2" t="s">
        <v>100</v>
      </c>
      <c r="C26" s="2" t="s">
        <v>13</v>
      </c>
      <c r="D26" s="2" t="s">
        <v>8</v>
      </c>
      <c r="E26" s="2" t="s">
        <v>101</v>
      </c>
      <c r="F26" s="2" t="s">
        <v>102</v>
      </c>
      <c r="G26" s="7" t="s">
        <v>554</v>
      </c>
      <c r="H26" s="7" t="s">
        <v>592</v>
      </c>
      <c r="I26" s="2" t="s">
        <v>1238</v>
      </c>
    </row>
    <row r="27" spans="1:9" ht="55.2" hidden="1" x14ac:dyDescent="0.3">
      <c r="A27" s="2" t="s">
        <v>99</v>
      </c>
      <c r="B27" s="2" t="s">
        <v>103</v>
      </c>
      <c r="C27" s="2" t="s">
        <v>104</v>
      </c>
      <c r="D27" s="2" t="s">
        <v>8</v>
      </c>
      <c r="E27" s="2" t="s">
        <v>105</v>
      </c>
      <c r="F27" s="2" t="s">
        <v>106</v>
      </c>
      <c r="G27" s="7" t="s">
        <v>570</v>
      </c>
      <c r="H27" s="7" t="s">
        <v>570</v>
      </c>
      <c r="I27" s="2" t="s">
        <v>51</v>
      </c>
    </row>
    <row r="28" spans="1:9" ht="41.4" hidden="1" x14ac:dyDescent="0.3">
      <c r="A28" s="2" t="s">
        <v>107</v>
      </c>
      <c r="B28" s="2" t="s">
        <v>108</v>
      </c>
      <c r="C28" s="2" t="s">
        <v>109</v>
      </c>
      <c r="D28" s="2" t="s">
        <v>8</v>
      </c>
      <c r="E28" s="2" t="s">
        <v>110</v>
      </c>
      <c r="F28" s="2" t="s">
        <v>111</v>
      </c>
      <c r="G28" s="6" t="s">
        <v>556</v>
      </c>
      <c r="H28" s="6" t="s">
        <v>557</v>
      </c>
      <c r="I28" s="2" t="s">
        <v>1238</v>
      </c>
    </row>
    <row r="29" spans="1:9" ht="41.4" hidden="1" x14ac:dyDescent="0.3">
      <c r="A29" s="2" t="s">
        <v>107</v>
      </c>
      <c r="B29" s="2" t="s">
        <v>112</v>
      </c>
      <c r="C29" s="2" t="s">
        <v>13</v>
      </c>
      <c r="D29" s="2" t="s">
        <v>8</v>
      </c>
      <c r="E29" s="2" t="s">
        <v>113</v>
      </c>
      <c r="F29" s="2" t="s">
        <v>114</v>
      </c>
      <c r="G29" s="6" t="s">
        <v>556</v>
      </c>
      <c r="H29" s="6" t="s">
        <v>557</v>
      </c>
      <c r="I29" s="2" t="s">
        <v>1238</v>
      </c>
    </row>
    <row r="30" spans="1:9" ht="41.4" hidden="1" x14ac:dyDescent="0.3">
      <c r="A30" s="2" t="s">
        <v>115</v>
      </c>
      <c r="B30" s="2" t="s">
        <v>116</v>
      </c>
      <c r="C30" s="2" t="s">
        <v>13</v>
      </c>
      <c r="D30" s="2" t="s">
        <v>8</v>
      </c>
      <c r="E30" s="2" t="s">
        <v>117</v>
      </c>
      <c r="F30" s="2" t="s">
        <v>118</v>
      </c>
      <c r="G30" s="7" t="s">
        <v>545</v>
      </c>
      <c r="H30" s="7" t="s">
        <v>545</v>
      </c>
      <c r="I30" s="2" t="s">
        <v>1238</v>
      </c>
    </row>
    <row r="31" spans="1:9" ht="28.8" hidden="1" x14ac:dyDescent="0.3">
      <c r="A31" s="2" t="s">
        <v>119</v>
      </c>
      <c r="B31" s="2" t="s">
        <v>120</v>
      </c>
      <c r="C31" s="2" t="s">
        <v>121</v>
      </c>
      <c r="D31" s="2" t="s">
        <v>8</v>
      </c>
      <c r="E31" s="2"/>
      <c r="F31" s="2"/>
      <c r="G31" s="7" t="s">
        <v>576</v>
      </c>
      <c r="H31" s="7" t="s">
        <v>577</v>
      </c>
      <c r="I31" s="2" t="s">
        <v>51</v>
      </c>
    </row>
    <row r="32" spans="1:9" ht="41.4" hidden="1" x14ac:dyDescent="0.3">
      <c r="A32" s="2" t="s">
        <v>122</v>
      </c>
      <c r="B32" s="2" t="s">
        <v>123</v>
      </c>
      <c r="C32" s="2" t="s">
        <v>13</v>
      </c>
      <c r="D32" s="2" t="s">
        <v>8</v>
      </c>
      <c r="E32" s="2" t="s">
        <v>124</v>
      </c>
      <c r="F32" s="2" t="s">
        <v>125</v>
      </c>
      <c r="G32" s="6" t="s">
        <v>608</v>
      </c>
      <c r="H32" s="115" t="s">
        <v>615</v>
      </c>
      <c r="I32" s="2" t="s">
        <v>1238</v>
      </c>
    </row>
    <row r="33" spans="1:9" ht="27.6" hidden="1" x14ac:dyDescent="0.3">
      <c r="A33" s="2" t="s">
        <v>126</v>
      </c>
      <c r="B33" s="2" t="s">
        <v>127</v>
      </c>
      <c r="C33" s="2" t="s">
        <v>51</v>
      </c>
      <c r="D33" s="2" t="s">
        <v>8</v>
      </c>
      <c r="E33" s="2"/>
      <c r="F33" s="2" t="s">
        <v>128</v>
      </c>
      <c r="G33" s="7" t="s">
        <v>567</v>
      </c>
      <c r="H33" s="7" t="s">
        <v>574</v>
      </c>
      <c r="I33" s="2" t="s">
        <v>51</v>
      </c>
    </row>
    <row r="34" spans="1:9" ht="27.6" hidden="1" x14ac:dyDescent="0.3">
      <c r="A34" s="2" t="s">
        <v>126</v>
      </c>
      <c r="B34" s="2" t="s">
        <v>129</v>
      </c>
      <c r="C34" s="2" t="s">
        <v>13</v>
      </c>
      <c r="D34" s="2" t="s">
        <v>72</v>
      </c>
      <c r="E34" s="2"/>
      <c r="F34" s="2"/>
      <c r="G34" s="7" t="s">
        <v>567</v>
      </c>
      <c r="H34" s="7" t="s">
        <v>574</v>
      </c>
      <c r="I34" s="2" t="s">
        <v>72</v>
      </c>
    </row>
    <row r="35" spans="1:9" ht="55.2" hidden="1" x14ac:dyDescent="0.3">
      <c r="A35" s="2" t="s">
        <v>130</v>
      </c>
      <c r="B35" s="2" t="s">
        <v>131</v>
      </c>
      <c r="C35" s="2" t="s">
        <v>132</v>
      </c>
      <c r="D35" s="2" t="s">
        <v>72</v>
      </c>
      <c r="E35" s="2" t="s">
        <v>133</v>
      </c>
      <c r="F35" s="2" t="s">
        <v>134</v>
      </c>
      <c r="G35" s="7" t="s">
        <v>567</v>
      </c>
      <c r="H35" s="7" t="s">
        <v>580</v>
      </c>
      <c r="I35" s="2" t="s">
        <v>72</v>
      </c>
    </row>
    <row r="36" spans="1:9" ht="82.8" hidden="1" x14ac:dyDescent="0.3">
      <c r="A36" s="2" t="s">
        <v>130</v>
      </c>
      <c r="B36" s="2" t="s">
        <v>135</v>
      </c>
      <c r="C36" s="2" t="s">
        <v>132</v>
      </c>
      <c r="D36" s="2" t="s">
        <v>8</v>
      </c>
      <c r="E36" s="2" t="s">
        <v>136</v>
      </c>
      <c r="F36" s="2" t="s">
        <v>137</v>
      </c>
      <c r="G36" s="7" t="s">
        <v>567</v>
      </c>
      <c r="H36" s="7" t="s">
        <v>580</v>
      </c>
      <c r="I36" s="2" t="s">
        <v>51</v>
      </c>
    </row>
    <row r="37" spans="1:9" ht="55.2" hidden="1" x14ac:dyDescent="0.3">
      <c r="A37" s="2" t="s">
        <v>138</v>
      </c>
      <c r="B37" s="2" t="s">
        <v>139</v>
      </c>
      <c r="C37" s="2" t="s">
        <v>86</v>
      </c>
      <c r="D37" s="2" t="s">
        <v>8</v>
      </c>
      <c r="E37" s="2" t="s">
        <v>140</v>
      </c>
      <c r="F37" s="2" t="s">
        <v>141</v>
      </c>
      <c r="G37" s="7" t="s">
        <v>595</v>
      </c>
      <c r="H37" s="7" t="s">
        <v>596</v>
      </c>
      <c r="I37" s="2" t="s">
        <v>1238</v>
      </c>
    </row>
    <row r="38" spans="1:9" ht="27.6" hidden="1" x14ac:dyDescent="0.3">
      <c r="A38" s="2" t="s">
        <v>138</v>
      </c>
      <c r="B38" s="2" t="s">
        <v>142</v>
      </c>
      <c r="C38" s="2" t="s">
        <v>86</v>
      </c>
      <c r="D38" s="2" t="s">
        <v>72</v>
      </c>
      <c r="E38" s="2" t="s">
        <v>143</v>
      </c>
      <c r="F38" s="2"/>
      <c r="G38" s="7" t="s">
        <v>595</v>
      </c>
      <c r="H38" s="7" t="s">
        <v>596</v>
      </c>
      <c r="I38" s="2" t="s">
        <v>72</v>
      </c>
    </row>
    <row r="39" spans="1:9" ht="55.2" hidden="1" x14ac:dyDescent="0.3">
      <c r="A39" s="2" t="s">
        <v>144</v>
      </c>
      <c r="B39" s="2" t="s">
        <v>145</v>
      </c>
      <c r="C39" s="2" t="s">
        <v>13</v>
      </c>
      <c r="D39" s="2" t="s">
        <v>8</v>
      </c>
      <c r="E39" s="2" t="s">
        <v>146</v>
      </c>
      <c r="F39" s="2" t="s">
        <v>147</v>
      </c>
      <c r="G39" s="7" t="s">
        <v>548</v>
      </c>
      <c r="H39" s="7" t="s">
        <v>548</v>
      </c>
      <c r="I39" s="2" t="s">
        <v>1238</v>
      </c>
    </row>
    <row r="40" spans="1:9" ht="69" hidden="1" x14ac:dyDescent="0.3">
      <c r="A40" s="2" t="s">
        <v>144</v>
      </c>
      <c r="B40" s="2" t="s">
        <v>148</v>
      </c>
      <c r="C40" s="2" t="s">
        <v>149</v>
      </c>
      <c r="D40" s="2" t="s">
        <v>8</v>
      </c>
      <c r="E40" s="2" t="s">
        <v>150</v>
      </c>
      <c r="F40" s="2" t="s">
        <v>151</v>
      </c>
      <c r="G40" s="7" t="s">
        <v>548</v>
      </c>
      <c r="H40" s="7" t="s">
        <v>548</v>
      </c>
      <c r="I40" s="2" t="s">
        <v>1238</v>
      </c>
    </row>
    <row r="41" spans="1:9" ht="28.8" hidden="1" x14ac:dyDescent="0.3">
      <c r="A41" s="2" t="s">
        <v>144</v>
      </c>
      <c r="B41" s="2" t="s">
        <v>152</v>
      </c>
      <c r="C41" s="2" t="s">
        <v>153</v>
      </c>
      <c r="D41" s="2" t="s">
        <v>8</v>
      </c>
      <c r="E41" s="2" t="s">
        <v>154</v>
      </c>
      <c r="F41" s="2" t="s">
        <v>155</v>
      </c>
      <c r="G41" s="7" t="s">
        <v>548</v>
      </c>
      <c r="H41" s="7" t="s">
        <v>548</v>
      </c>
      <c r="I41" s="2" t="s">
        <v>51</v>
      </c>
    </row>
    <row r="42" spans="1:9" ht="69" hidden="1" x14ac:dyDescent="0.3">
      <c r="A42" s="2" t="s">
        <v>156</v>
      </c>
      <c r="B42" s="2" t="s">
        <v>157</v>
      </c>
      <c r="C42" s="2" t="s">
        <v>158</v>
      </c>
      <c r="D42" s="2" t="s">
        <v>8</v>
      </c>
      <c r="E42" s="2" t="s">
        <v>159</v>
      </c>
      <c r="F42" s="2" t="s">
        <v>160</v>
      </c>
      <c r="G42" s="7" t="s">
        <v>587</v>
      </c>
      <c r="H42" s="7" t="s">
        <v>347</v>
      </c>
      <c r="I42" s="2" t="s">
        <v>51</v>
      </c>
    </row>
    <row r="43" spans="1:9" ht="69" hidden="1" x14ac:dyDescent="0.3">
      <c r="A43" s="2" t="s">
        <v>161</v>
      </c>
      <c r="B43" s="2" t="s">
        <v>1523</v>
      </c>
      <c r="C43" s="2" t="s">
        <v>162</v>
      </c>
      <c r="D43" s="2" t="s">
        <v>8</v>
      </c>
      <c r="E43" s="2" t="s">
        <v>163</v>
      </c>
      <c r="F43" s="2" t="s">
        <v>164</v>
      </c>
      <c r="G43" s="7" t="s">
        <v>587</v>
      </c>
      <c r="H43" s="7" t="s">
        <v>603</v>
      </c>
      <c r="I43" s="2" t="s">
        <v>1238</v>
      </c>
    </row>
    <row r="44" spans="1:9" ht="55.2" hidden="1" x14ac:dyDescent="0.3">
      <c r="A44" s="2" t="s">
        <v>46</v>
      </c>
      <c r="B44" s="2" t="s">
        <v>165</v>
      </c>
      <c r="C44" s="2" t="s">
        <v>26</v>
      </c>
      <c r="D44" s="2" t="s">
        <v>8</v>
      </c>
      <c r="E44" s="2" t="s">
        <v>48</v>
      </c>
      <c r="F44" s="2" t="s">
        <v>49</v>
      </c>
      <c r="G44" s="7" t="s">
        <v>561</v>
      </c>
      <c r="H44" s="7" t="s">
        <v>612</v>
      </c>
      <c r="I44" s="2" t="s">
        <v>1238</v>
      </c>
    </row>
    <row r="45" spans="1:9" ht="28.8" hidden="1" x14ac:dyDescent="0.3">
      <c r="A45" s="2" t="s">
        <v>119</v>
      </c>
      <c r="B45" s="2" t="s">
        <v>166</v>
      </c>
      <c r="C45" s="2" t="s">
        <v>121</v>
      </c>
      <c r="D45" s="2" t="s">
        <v>8</v>
      </c>
      <c r="E45" s="2"/>
      <c r="F45" s="2"/>
      <c r="G45" s="7" t="s">
        <v>576</v>
      </c>
      <c r="H45" s="7" t="s">
        <v>577</v>
      </c>
      <c r="I45" s="2" t="s">
        <v>51</v>
      </c>
    </row>
    <row r="46" spans="1:9" ht="110.4" hidden="1" x14ac:dyDescent="0.3">
      <c r="A46" s="2" t="s">
        <v>122</v>
      </c>
      <c r="B46" s="2" t="s">
        <v>167</v>
      </c>
      <c r="C46" s="2" t="s">
        <v>168</v>
      </c>
      <c r="D46" s="2" t="s">
        <v>8</v>
      </c>
      <c r="E46" s="2" t="s">
        <v>169</v>
      </c>
      <c r="F46" s="2"/>
      <c r="G46" s="6" t="s">
        <v>608</v>
      </c>
      <c r="H46" s="115" t="s">
        <v>615</v>
      </c>
      <c r="I46" s="2" t="s">
        <v>51</v>
      </c>
    </row>
    <row r="47" spans="1:9" ht="28.8" hidden="1" x14ac:dyDescent="0.3">
      <c r="A47" s="2" t="s">
        <v>144</v>
      </c>
      <c r="B47" s="2" t="s">
        <v>170</v>
      </c>
      <c r="C47" s="2" t="s">
        <v>149</v>
      </c>
      <c r="D47" s="2" t="s">
        <v>8</v>
      </c>
      <c r="E47" s="2"/>
      <c r="F47" s="2"/>
      <c r="G47" s="7" t="s">
        <v>548</v>
      </c>
      <c r="H47" s="7" t="s">
        <v>548</v>
      </c>
      <c r="I47" s="2" t="s">
        <v>1238</v>
      </c>
    </row>
    <row r="48" spans="1:9" ht="27.6" hidden="1" x14ac:dyDescent="0.3">
      <c r="A48" s="2" t="s">
        <v>156</v>
      </c>
      <c r="B48" s="2" t="s">
        <v>171</v>
      </c>
      <c r="C48" s="2" t="s">
        <v>8</v>
      </c>
      <c r="D48" s="2" t="s">
        <v>8</v>
      </c>
      <c r="E48" s="2"/>
      <c r="F48" s="2"/>
      <c r="G48" s="7" t="s">
        <v>587</v>
      </c>
      <c r="H48" s="7" t="s">
        <v>347</v>
      </c>
      <c r="I48" s="2" t="s">
        <v>1239</v>
      </c>
    </row>
  </sheetData>
  <autoFilter ref="A1:I48" xr:uid="{2E8EE7F9-C83B-46E0-BD66-45A599C1C12A}">
    <filterColumn colId="7">
      <filters>
        <filter val="GESTIÓN JURÍDICA Y NORMATIVA"/>
      </filters>
    </filterColumn>
  </autoFilter>
  <conditionalFormatting sqref="H3">
    <cfRule type="duplicateValues" dxfId="15" priority="12"/>
  </conditionalFormatting>
  <conditionalFormatting sqref="H18">
    <cfRule type="duplicateValues" dxfId="14" priority="8"/>
  </conditionalFormatting>
  <conditionalFormatting sqref="H19">
    <cfRule type="duplicateValues" dxfId="13" priority="7"/>
  </conditionalFormatting>
  <conditionalFormatting sqref="H20">
    <cfRule type="duplicateValues" dxfId="12" priority="6"/>
  </conditionalFormatting>
  <conditionalFormatting sqref="H21">
    <cfRule type="duplicateValues" dxfId="11" priority="5"/>
  </conditionalFormatting>
  <conditionalFormatting sqref="H28">
    <cfRule type="duplicateValues" dxfId="10" priority="4"/>
  </conditionalFormatting>
  <conditionalFormatting sqref="H29">
    <cfRule type="duplicateValues" dxfId="9" priority="3"/>
  </conditionalFormatting>
  <conditionalFormatting sqref="H32">
    <cfRule type="duplicateValues" dxfId="8" priority="2"/>
  </conditionalFormatting>
  <conditionalFormatting sqref="H46">
    <cfRule type="duplicateValues" dxfId="7"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3F4EE-2FD9-468D-B5E2-4C4E3F15541D}">
  <dimension ref="A1:X82"/>
  <sheetViews>
    <sheetView topLeftCell="K2" zoomScale="73" zoomScaleNormal="98" workbookViewId="0">
      <selection activeCell="X2" sqref="X2"/>
    </sheetView>
  </sheetViews>
  <sheetFormatPr baseColWidth="10" defaultColWidth="11.5546875" defaultRowHeight="14.4" x14ac:dyDescent="0.3"/>
  <cols>
    <col min="1" max="1" width="39.5546875" style="8" customWidth="1"/>
    <col min="2" max="2" width="30.88671875" style="8" customWidth="1"/>
    <col min="3" max="3" width="44.5546875" style="8" customWidth="1"/>
    <col min="4" max="4" width="63.33203125" style="8" customWidth="1"/>
    <col min="5" max="6" width="27.21875" style="8" customWidth="1"/>
    <col min="7" max="10" width="34.5546875" style="8" customWidth="1"/>
    <col min="11" max="11" width="23.109375" style="8" customWidth="1"/>
    <col min="12" max="13" width="26.44140625" style="8" customWidth="1"/>
    <col min="14" max="14" width="23.6640625" style="8" customWidth="1"/>
    <col min="15" max="15" width="26.44140625" style="8" customWidth="1"/>
    <col min="16" max="16" width="22.33203125" style="8" customWidth="1"/>
    <col min="17" max="17" width="26.6640625" style="8" customWidth="1"/>
    <col min="18" max="18" width="38.44140625" style="8" customWidth="1"/>
    <col min="19" max="16384" width="11.5546875" style="8"/>
  </cols>
  <sheetData>
    <row r="1" spans="1:24" ht="46.2" customHeight="1" x14ac:dyDescent="0.3">
      <c r="A1" s="9"/>
      <c r="B1" s="9"/>
      <c r="C1" s="9"/>
      <c r="D1" s="9"/>
      <c r="E1" s="9"/>
      <c r="F1" s="9"/>
      <c r="G1" s="9"/>
      <c r="H1" s="9"/>
      <c r="I1" s="9"/>
      <c r="J1" s="9"/>
      <c r="N1" s="9"/>
      <c r="O1" s="9"/>
      <c r="P1" s="9"/>
      <c r="Q1"/>
      <c r="R1" s="144" t="s">
        <v>174</v>
      </c>
      <c r="S1" s="145"/>
      <c r="T1" s="145"/>
      <c r="U1" s="145"/>
      <c r="V1" s="145"/>
      <c r="W1" s="145"/>
      <c r="X1" s="145"/>
    </row>
    <row r="2" spans="1:24" ht="36" x14ac:dyDescent="0.3">
      <c r="A2" s="10" t="s">
        <v>175</v>
      </c>
      <c r="B2" s="11" t="s">
        <v>176</v>
      </c>
      <c r="C2" s="12" t="s">
        <v>177</v>
      </c>
      <c r="D2" s="13" t="s">
        <v>178</v>
      </c>
      <c r="E2" s="13" t="s">
        <v>179</v>
      </c>
      <c r="F2" s="13" t="s">
        <v>180</v>
      </c>
      <c r="G2" s="14" t="s">
        <v>181</v>
      </c>
      <c r="H2" s="15" t="s">
        <v>182</v>
      </c>
      <c r="I2" s="14" t="s">
        <v>2</v>
      </c>
      <c r="J2" s="14" t="s">
        <v>183</v>
      </c>
      <c r="K2" s="14" t="s">
        <v>172</v>
      </c>
      <c r="L2" s="14" t="s">
        <v>173</v>
      </c>
      <c r="M2" s="14" t="s">
        <v>1240</v>
      </c>
      <c r="N2" s="14" t="s">
        <v>184</v>
      </c>
      <c r="O2" s="14" t="s">
        <v>185</v>
      </c>
      <c r="P2" s="16" t="s">
        <v>186</v>
      </c>
      <c r="Q2" s="14" t="s">
        <v>187</v>
      </c>
      <c r="R2" s="17">
        <v>2025</v>
      </c>
      <c r="S2" s="18" t="s">
        <v>188</v>
      </c>
      <c r="T2" s="17">
        <v>2026</v>
      </c>
      <c r="U2" s="17">
        <v>2027</v>
      </c>
      <c r="V2" s="17">
        <v>2028</v>
      </c>
      <c r="W2" s="17">
        <v>2029</v>
      </c>
      <c r="X2" s="17">
        <v>2030</v>
      </c>
    </row>
    <row r="3" spans="1:24" ht="202.8" x14ac:dyDescent="0.3">
      <c r="A3" s="19" t="s">
        <v>189</v>
      </c>
      <c r="B3" s="19" t="s">
        <v>190</v>
      </c>
      <c r="C3" s="19" t="s">
        <v>191</v>
      </c>
      <c r="D3" s="20" t="s">
        <v>192</v>
      </c>
      <c r="E3" s="20" t="s">
        <v>193</v>
      </c>
      <c r="F3" s="20" t="s">
        <v>194</v>
      </c>
      <c r="G3" s="21" t="s">
        <v>195</v>
      </c>
      <c r="H3" s="22" t="s">
        <v>196</v>
      </c>
      <c r="I3" s="22" t="s">
        <v>197</v>
      </c>
      <c r="J3" s="22" t="s">
        <v>198</v>
      </c>
      <c r="K3" s="8" t="s">
        <v>572</v>
      </c>
      <c r="L3" s="8" t="s">
        <v>578</v>
      </c>
      <c r="M3" s="8" t="s">
        <v>1238</v>
      </c>
      <c r="N3" s="22"/>
      <c r="O3" s="19" t="s">
        <v>199</v>
      </c>
      <c r="P3" s="19" t="s">
        <v>200</v>
      </c>
      <c r="Q3" s="23">
        <v>0.95</v>
      </c>
      <c r="R3" s="19" t="s">
        <v>201</v>
      </c>
      <c r="S3" s="19"/>
      <c r="T3" s="24">
        <v>0.95</v>
      </c>
      <c r="U3" s="19" t="s">
        <v>201</v>
      </c>
      <c r="V3" s="24">
        <v>0.95</v>
      </c>
      <c r="W3" s="19" t="s">
        <v>201</v>
      </c>
      <c r="X3" s="24">
        <v>0.95</v>
      </c>
    </row>
    <row r="4" spans="1:24" ht="171.6" x14ac:dyDescent="0.3">
      <c r="A4" s="19" t="s">
        <v>189</v>
      </c>
      <c r="B4" s="19" t="s">
        <v>202</v>
      </c>
      <c r="C4" s="19" t="s">
        <v>203</v>
      </c>
      <c r="D4" s="20" t="s">
        <v>204</v>
      </c>
      <c r="E4" s="20" t="s">
        <v>205</v>
      </c>
      <c r="F4" s="20"/>
      <c r="G4" s="21" t="s">
        <v>206</v>
      </c>
      <c r="H4" s="22" t="s">
        <v>196</v>
      </c>
      <c r="I4" s="22" t="s">
        <v>197</v>
      </c>
      <c r="J4" s="22" t="s">
        <v>198</v>
      </c>
      <c r="K4" s="8" t="s">
        <v>587</v>
      </c>
      <c r="L4" s="118" t="s">
        <v>347</v>
      </c>
      <c r="M4" s="118" t="s">
        <v>1238</v>
      </c>
      <c r="N4" s="22"/>
      <c r="O4" s="19" t="s">
        <v>199</v>
      </c>
      <c r="P4" s="19" t="s">
        <v>207</v>
      </c>
      <c r="Q4" s="24">
        <v>0.93</v>
      </c>
      <c r="R4" s="19" t="s">
        <v>201</v>
      </c>
      <c r="S4" s="19"/>
      <c r="T4" s="24">
        <v>0.93</v>
      </c>
      <c r="U4" s="19" t="s">
        <v>201</v>
      </c>
      <c r="V4" s="24">
        <v>0.94</v>
      </c>
      <c r="W4" s="19" t="s">
        <v>201</v>
      </c>
      <c r="X4" s="24">
        <v>0.95</v>
      </c>
    </row>
    <row r="5" spans="1:24" ht="62.4" x14ac:dyDescent="0.3">
      <c r="A5" s="19" t="s">
        <v>189</v>
      </c>
      <c r="B5" s="25" t="s">
        <v>208</v>
      </c>
      <c r="C5" s="25" t="s">
        <v>209</v>
      </c>
      <c r="D5" s="26" t="s">
        <v>210</v>
      </c>
      <c r="E5" s="26" t="s">
        <v>211</v>
      </c>
      <c r="F5" s="27" t="s">
        <v>212</v>
      </c>
      <c r="G5" s="28" t="s">
        <v>213</v>
      </c>
      <c r="H5" s="28" t="s">
        <v>214</v>
      </c>
      <c r="I5" s="28" t="s">
        <v>8</v>
      </c>
      <c r="J5" s="22" t="s">
        <v>198</v>
      </c>
      <c r="K5" s="8" t="s">
        <v>587</v>
      </c>
      <c r="L5" s="8" t="s">
        <v>347</v>
      </c>
      <c r="M5" s="8" t="s">
        <v>1238</v>
      </c>
      <c r="N5" s="28"/>
      <c r="O5" s="28" t="s">
        <v>215</v>
      </c>
      <c r="P5" s="25" t="s">
        <v>207</v>
      </c>
      <c r="Q5" s="25" t="s">
        <v>216</v>
      </c>
      <c r="R5" s="25"/>
      <c r="S5" s="25"/>
      <c r="T5" s="25"/>
      <c r="U5" s="25"/>
      <c r="V5" s="25"/>
      <c r="W5" s="25"/>
      <c r="X5" s="25"/>
    </row>
    <row r="6" spans="1:24" ht="69" customHeight="1" x14ac:dyDescent="0.3">
      <c r="A6" s="19" t="s">
        <v>189</v>
      </c>
      <c r="B6" s="25" t="s">
        <v>208</v>
      </c>
      <c r="C6" s="25" t="s">
        <v>209</v>
      </c>
      <c r="D6" s="26" t="s">
        <v>210</v>
      </c>
      <c r="E6" s="26" t="s">
        <v>211</v>
      </c>
      <c r="F6" s="27" t="s">
        <v>212</v>
      </c>
      <c r="G6" s="28" t="s">
        <v>217</v>
      </c>
      <c r="H6" s="28" t="s">
        <v>214</v>
      </c>
      <c r="I6" s="28" t="s">
        <v>8</v>
      </c>
      <c r="J6" s="22" t="s">
        <v>198</v>
      </c>
      <c r="K6" s="8" t="s">
        <v>589</v>
      </c>
      <c r="L6" s="8" t="s">
        <v>590</v>
      </c>
      <c r="M6" s="8" t="s">
        <v>1238</v>
      </c>
      <c r="N6" s="28"/>
      <c r="O6" s="28" t="s">
        <v>218</v>
      </c>
      <c r="P6" s="25" t="s">
        <v>219</v>
      </c>
      <c r="Q6" s="25" t="s">
        <v>216</v>
      </c>
      <c r="R6" s="25"/>
      <c r="S6" s="25"/>
      <c r="T6" s="25"/>
      <c r="U6" s="25"/>
      <c r="V6" s="25"/>
      <c r="W6" s="25"/>
      <c r="X6" s="25"/>
    </row>
    <row r="7" spans="1:24" ht="140.4" x14ac:dyDescent="0.3">
      <c r="A7" s="29" t="s">
        <v>220</v>
      </c>
      <c r="B7" s="29" t="s">
        <v>221</v>
      </c>
      <c r="C7" s="30" t="s">
        <v>222</v>
      </c>
      <c r="D7" s="31" t="s">
        <v>223</v>
      </c>
      <c r="E7" s="32" t="s">
        <v>224</v>
      </c>
      <c r="F7" s="32" t="s">
        <v>194</v>
      </c>
      <c r="G7" s="33" t="s">
        <v>225</v>
      </c>
      <c r="H7" s="34" t="s">
        <v>226</v>
      </c>
      <c r="I7" s="28" t="s">
        <v>8</v>
      </c>
      <c r="J7" s="28" t="s">
        <v>198</v>
      </c>
      <c r="K7" s="8" t="s">
        <v>608</v>
      </c>
      <c r="L7" s="8" t="s">
        <v>615</v>
      </c>
      <c r="M7" s="8" t="s">
        <v>1238</v>
      </c>
      <c r="N7" s="29" t="s">
        <v>227</v>
      </c>
      <c r="O7" s="35"/>
      <c r="P7" s="36" t="s">
        <v>228</v>
      </c>
      <c r="Q7" s="35" t="s">
        <v>201</v>
      </c>
      <c r="R7" s="37" t="s">
        <v>229</v>
      </c>
      <c r="S7" s="29"/>
      <c r="T7" s="36"/>
      <c r="U7" s="36"/>
      <c r="V7" s="36"/>
      <c r="W7" s="36"/>
      <c r="X7" s="36"/>
    </row>
    <row r="8" spans="1:24" ht="202.8" x14ac:dyDescent="0.3">
      <c r="A8" s="29" t="s">
        <v>220</v>
      </c>
      <c r="B8" s="29" t="s">
        <v>230</v>
      </c>
      <c r="C8" s="30" t="s">
        <v>231</v>
      </c>
      <c r="D8" s="32"/>
      <c r="E8" s="32"/>
      <c r="F8" s="32"/>
      <c r="G8" s="38" t="s">
        <v>232</v>
      </c>
      <c r="H8" s="39"/>
      <c r="I8" s="28" t="s">
        <v>8</v>
      </c>
      <c r="J8" s="28" t="s">
        <v>198</v>
      </c>
      <c r="K8" s="8" t="s">
        <v>572</v>
      </c>
      <c r="L8" s="8" t="s">
        <v>578</v>
      </c>
      <c r="M8" s="8" t="s">
        <v>1238</v>
      </c>
      <c r="N8" s="35" t="s">
        <v>233</v>
      </c>
      <c r="O8" s="35" t="s">
        <v>234</v>
      </c>
      <c r="P8" s="36" t="s">
        <v>235</v>
      </c>
      <c r="Q8" s="40"/>
      <c r="R8" s="36" t="s">
        <v>236</v>
      </c>
      <c r="S8" s="36"/>
      <c r="T8" s="36"/>
      <c r="U8" s="36"/>
      <c r="V8" s="36"/>
      <c r="W8" s="36"/>
      <c r="X8" s="36"/>
    </row>
    <row r="9" spans="1:24" ht="93.6" x14ac:dyDescent="0.3">
      <c r="A9" s="29" t="s">
        <v>220</v>
      </c>
      <c r="B9" s="29" t="s">
        <v>230</v>
      </c>
      <c r="C9" s="30" t="s">
        <v>231</v>
      </c>
      <c r="D9" s="32"/>
      <c r="E9" s="32"/>
      <c r="F9" s="32"/>
      <c r="G9" s="33" t="s">
        <v>237</v>
      </c>
      <c r="H9" s="34"/>
      <c r="I9" s="28" t="s">
        <v>8</v>
      </c>
      <c r="J9" s="28" t="s">
        <v>198</v>
      </c>
      <c r="K9" s="8" t="s">
        <v>572</v>
      </c>
      <c r="L9" s="8" t="s">
        <v>578</v>
      </c>
      <c r="M9" s="8" t="s">
        <v>1238</v>
      </c>
      <c r="N9" s="35"/>
      <c r="O9" s="35"/>
      <c r="P9" s="36"/>
      <c r="Q9" s="41"/>
      <c r="R9" s="42" t="s">
        <v>238</v>
      </c>
      <c r="S9" s="36"/>
      <c r="T9" s="36"/>
      <c r="U9" s="36"/>
      <c r="V9" s="36"/>
      <c r="W9" s="36"/>
      <c r="X9" s="36"/>
    </row>
    <row r="10" spans="1:24" ht="78" x14ac:dyDescent="0.3">
      <c r="A10" s="29" t="s">
        <v>220</v>
      </c>
      <c r="B10" s="43" t="s">
        <v>239</v>
      </c>
      <c r="C10" s="30" t="s">
        <v>240</v>
      </c>
      <c r="D10" s="31" t="s">
        <v>223</v>
      </c>
      <c r="E10" s="32" t="s">
        <v>224</v>
      </c>
      <c r="F10" s="32" t="s">
        <v>194</v>
      </c>
      <c r="G10" s="38" t="s">
        <v>241</v>
      </c>
      <c r="H10" s="34" t="s">
        <v>242</v>
      </c>
      <c r="I10" s="38" t="s">
        <v>72</v>
      </c>
      <c r="J10" s="28" t="s">
        <v>198</v>
      </c>
      <c r="K10" s="8" t="s">
        <v>572</v>
      </c>
      <c r="L10" s="8" t="s">
        <v>578</v>
      </c>
      <c r="M10" s="8" t="s">
        <v>1239</v>
      </c>
      <c r="N10" s="35" t="s">
        <v>243</v>
      </c>
      <c r="O10" s="35"/>
      <c r="P10" s="36" t="s">
        <v>235</v>
      </c>
      <c r="Q10" s="40">
        <f>947+106</f>
        <v>1053</v>
      </c>
      <c r="R10" s="40">
        <f>ROUNDDOWN(+Q10*1.1,0)</f>
        <v>1158</v>
      </c>
      <c r="S10" s="40">
        <f>1417+500</f>
        <v>1917</v>
      </c>
      <c r="T10" s="36"/>
      <c r="U10" s="36"/>
      <c r="V10" s="36"/>
      <c r="W10" s="36"/>
      <c r="X10" s="36"/>
    </row>
    <row r="11" spans="1:24" ht="46.8" x14ac:dyDescent="0.3">
      <c r="A11" s="29" t="s">
        <v>220</v>
      </c>
      <c r="B11" s="43" t="s">
        <v>239</v>
      </c>
      <c r="C11" s="30" t="s">
        <v>240</v>
      </c>
      <c r="D11" s="31" t="s">
        <v>223</v>
      </c>
      <c r="E11" s="32" t="s">
        <v>224</v>
      </c>
      <c r="F11" s="32" t="s">
        <v>194</v>
      </c>
      <c r="G11" s="38" t="s">
        <v>244</v>
      </c>
      <c r="H11" s="34" t="s">
        <v>242</v>
      </c>
      <c r="I11" s="38" t="s">
        <v>72</v>
      </c>
      <c r="J11" s="28" t="s">
        <v>198</v>
      </c>
      <c r="K11" s="8" t="s">
        <v>572</v>
      </c>
      <c r="L11" s="8" t="s">
        <v>578</v>
      </c>
      <c r="M11" s="8" t="s">
        <v>1239</v>
      </c>
      <c r="N11" s="35" t="s">
        <v>245</v>
      </c>
      <c r="O11" s="35"/>
      <c r="P11" s="36" t="s">
        <v>235</v>
      </c>
      <c r="Q11" s="44">
        <v>0.83</v>
      </c>
      <c r="R11" s="44">
        <v>0.85</v>
      </c>
      <c r="S11" s="45">
        <v>0.995</v>
      </c>
      <c r="T11" s="36"/>
      <c r="U11" s="36"/>
      <c r="V11" s="36"/>
      <c r="W11" s="36"/>
      <c r="X11" s="36"/>
    </row>
    <row r="12" spans="1:24" ht="46.8" x14ac:dyDescent="0.3">
      <c r="A12" s="29" t="s">
        <v>220</v>
      </c>
      <c r="B12" s="43" t="s">
        <v>239</v>
      </c>
      <c r="C12" s="30" t="s">
        <v>240</v>
      </c>
      <c r="D12" s="31" t="s">
        <v>223</v>
      </c>
      <c r="E12" s="32" t="s">
        <v>224</v>
      </c>
      <c r="F12" s="32" t="s">
        <v>194</v>
      </c>
      <c r="G12" s="46" t="s">
        <v>246</v>
      </c>
      <c r="H12" s="34" t="s">
        <v>242</v>
      </c>
      <c r="I12" s="28" t="s">
        <v>8</v>
      </c>
      <c r="J12" s="28" t="s">
        <v>198</v>
      </c>
      <c r="K12" s="8" t="s">
        <v>572</v>
      </c>
      <c r="L12" s="8" t="s">
        <v>578</v>
      </c>
      <c r="M12" s="8" t="s">
        <v>1238</v>
      </c>
      <c r="N12" s="35" t="s">
        <v>247</v>
      </c>
      <c r="O12" s="35" t="s">
        <v>234</v>
      </c>
      <c r="P12" s="36" t="s">
        <v>235</v>
      </c>
      <c r="Q12" s="47"/>
      <c r="R12" s="36"/>
      <c r="S12" s="36"/>
      <c r="T12" s="36"/>
      <c r="U12" s="36"/>
      <c r="V12" s="36"/>
      <c r="W12" s="36"/>
      <c r="X12" s="36"/>
    </row>
    <row r="13" spans="1:24" ht="50.55" customHeight="1" x14ac:dyDescent="0.3">
      <c r="A13" s="28" t="s">
        <v>248</v>
      </c>
      <c r="B13" s="28" t="s">
        <v>249</v>
      </c>
      <c r="C13" s="28" t="s">
        <v>250</v>
      </c>
      <c r="D13" s="26" t="s">
        <v>251</v>
      </c>
      <c r="E13" s="26"/>
      <c r="F13" s="26"/>
      <c r="G13" s="48" t="s">
        <v>252</v>
      </c>
      <c r="H13" s="48" t="s">
        <v>253</v>
      </c>
      <c r="I13" s="22" t="s">
        <v>197</v>
      </c>
      <c r="J13" s="28" t="s">
        <v>8</v>
      </c>
      <c r="K13" s="8" t="s">
        <v>584</v>
      </c>
      <c r="L13" s="8" t="s">
        <v>597</v>
      </c>
      <c r="M13" s="8" t="s">
        <v>1239</v>
      </c>
      <c r="N13" s="49"/>
      <c r="O13" s="28" t="s">
        <v>254</v>
      </c>
      <c r="P13" s="25"/>
      <c r="Q13" s="25"/>
      <c r="R13" s="49"/>
      <c r="S13" s="49"/>
      <c r="T13" s="25"/>
      <c r="U13" s="25"/>
      <c r="V13" s="25"/>
      <c r="W13" s="25"/>
      <c r="X13" s="25"/>
    </row>
    <row r="14" spans="1:24" ht="49.2" customHeight="1" x14ac:dyDescent="0.3">
      <c r="A14" s="28" t="s">
        <v>248</v>
      </c>
      <c r="B14" s="28" t="s">
        <v>255</v>
      </c>
      <c r="C14" s="28" t="s">
        <v>256</v>
      </c>
      <c r="D14" s="26" t="s">
        <v>251</v>
      </c>
      <c r="E14" s="26"/>
      <c r="F14" s="26"/>
      <c r="G14" s="50" t="s">
        <v>257</v>
      </c>
      <c r="H14" s="48" t="s">
        <v>253</v>
      </c>
      <c r="I14" s="22" t="s">
        <v>197</v>
      </c>
      <c r="J14" s="28" t="s">
        <v>8</v>
      </c>
      <c r="K14" s="8" t="s">
        <v>584</v>
      </c>
      <c r="L14" s="8" t="s">
        <v>597</v>
      </c>
      <c r="M14" s="8" t="s">
        <v>1239</v>
      </c>
      <c r="N14" s="49"/>
      <c r="O14" s="28" t="s">
        <v>254</v>
      </c>
      <c r="P14" s="25"/>
      <c r="Q14" s="25"/>
      <c r="R14" s="49"/>
      <c r="S14" s="49"/>
      <c r="T14" s="25"/>
      <c r="U14" s="25"/>
      <c r="V14" s="25"/>
      <c r="W14" s="25"/>
      <c r="X14" s="25"/>
    </row>
    <row r="15" spans="1:24" ht="46.8" x14ac:dyDescent="0.3">
      <c r="A15" s="28" t="s">
        <v>248</v>
      </c>
      <c r="B15" s="49" t="s">
        <v>255</v>
      </c>
      <c r="C15" s="51" t="s">
        <v>258</v>
      </c>
      <c r="D15" s="52" t="s">
        <v>259</v>
      </c>
      <c r="E15" s="52" t="s">
        <v>260</v>
      </c>
      <c r="F15" s="52" t="s">
        <v>212</v>
      </c>
      <c r="G15" s="53" t="s">
        <v>261</v>
      </c>
      <c r="H15" s="53" t="s">
        <v>262</v>
      </c>
      <c r="I15" s="54" t="s">
        <v>72</v>
      </c>
      <c r="J15" s="28" t="s">
        <v>8</v>
      </c>
      <c r="K15" s="8" t="s">
        <v>608</v>
      </c>
      <c r="L15" s="8" t="s">
        <v>615</v>
      </c>
      <c r="M15" s="8" t="s">
        <v>1239</v>
      </c>
      <c r="N15" s="146"/>
      <c r="O15" s="146"/>
      <c r="P15" s="142" t="s">
        <v>263</v>
      </c>
      <c r="Q15" s="142"/>
      <c r="R15" s="142"/>
      <c r="S15" s="142"/>
      <c r="T15" s="142"/>
      <c r="U15" s="142"/>
      <c r="V15" s="142"/>
      <c r="W15" s="142"/>
      <c r="X15" s="142"/>
    </row>
    <row r="16" spans="1:24" ht="62.4" x14ac:dyDescent="0.3">
      <c r="A16" s="28" t="s">
        <v>248</v>
      </c>
      <c r="B16" s="49" t="s">
        <v>255</v>
      </c>
      <c r="C16" s="51" t="s">
        <v>258</v>
      </c>
      <c r="D16" s="52" t="s">
        <v>259</v>
      </c>
      <c r="E16" s="52" t="s">
        <v>260</v>
      </c>
      <c r="F16" s="52" t="s">
        <v>212</v>
      </c>
      <c r="G16" s="50" t="s">
        <v>264</v>
      </c>
      <c r="H16" s="53" t="s">
        <v>262</v>
      </c>
      <c r="I16" s="54" t="s">
        <v>72</v>
      </c>
      <c r="J16" s="28" t="s">
        <v>8</v>
      </c>
      <c r="K16" s="8" t="s">
        <v>608</v>
      </c>
      <c r="L16" s="8" t="s">
        <v>615</v>
      </c>
      <c r="M16" s="8" t="s">
        <v>1239</v>
      </c>
      <c r="N16" s="147"/>
      <c r="O16" s="147"/>
      <c r="P16" s="143"/>
      <c r="Q16" s="143"/>
      <c r="R16" s="143"/>
      <c r="S16" s="143"/>
      <c r="T16" s="143"/>
      <c r="U16" s="143"/>
      <c r="V16" s="143"/>
      <c r="W16" s="143"/>
      <c r="X16" s="143"/>
    </row>
    <row r="17" spans="1:24" ht="62.4" x14ac:dyDescent="0.3">
      <c r="A17" s="28" t="s">
        <v>248</v>
      </c>
      <c r="B17" s="22" t="s">
        <v>265</v>
      </c>
      <c r="C17" s="22" t="s">
        <v>266</v>
      </c>
      <c r="D17" s="55" t="s">
        <v>267</v>
      </c>
      <c r="E17" s="56" t="s">
        <v>268</v>
      </c>
      <c r="F17" s="56" t="s">
        <v>212</v>
      </c>
      <c r="G17" s="57" t="s">
        <v>269</v>
      </c>
      <c r="H17" s="57" t="s">
        <v>242</v>
      </c>
      <c r="I17" s="58" t="s">
        <v>8</v>
      </c>
      <c r="J17" s="28" t="s">
        <v>8</v>
      </c>
      <c r="K17" s="8" t="s">
        <v>561</v>
      </c>
      <c r="L17" s="8" t="s">
        <v>612</v>
      </c>
      <c r="M17" s="8" t="s">
        <v>1238</v>
      </c>
      <c r="N17" s="22"/>
      <c r="O17" s="22"/>
      <c r="P17" s="19" t="s">
        <v>270</v>
      </c>
      <c r="Q17" s="19"/>
      <c r="R17" s="19"/>
      <c r="S17" s="19"/>
      <c r="T17" s="19"/>
      <c r="U17" s="19"/>
      <c r="V17" s="19"/>
      <c r="W17" s="19"/>
      <c r="X17" s="19"/>
    </row>
    <row r="18" spans="1:24" ht="42" customHeight="1" x14ac:dyDescent="0.3">
      <c r="A18" s="28" t="s">
        <v>248</v>
      </c>
      <c r="B18" s="28" t="s">
        <v>265</v>
      </c>
      <c r="C18" s="28" t="s">
        <v>256</v>
      </c>
      <c r="D18" s="26" t="s">
        <v>251</v>
      </c>
      <c r="E18" s="26"/>
      <c r="F18" s="26"/>
      <c r="G18" s="48" t="s">
        <v>271</v>
      </c>
      <c r="H18" s="48" t="s">
        <v>253</v>
      </c>
      <c r="I18" s="22" t="s">
        <v>197</v>
      </c>
      <c r="J18" s="28" t="s">
        <v>8</v>
      </c>
      <c r="K18" s="8" t="s">
        <v>584</v>
      </c>
      <c r="L18" s="8" t="s">
        <v>597</v>
      </c>
      <c r="M18" s="8" t="s">
        <v>1239</v>
      </c>
      <c r="N18" s="49"/>
      <c r="O18" s="28" t="s">
        <v>254</v>
      </c>
      <c r="P18" s="25"/>
      <c r="Q18" s="25"/>
      <c r="R18" s="49"/>
      <c r="S18" s="49"/>
      <c r="T18" s="25"/>
      <c r="U18" s="25"/>
      <c r="V18" s="25"/>
      <c r="W18" s="25"/>
      <c r="X18" s="25"/>
    </row>
    <row r="19" spans="1:24" ht="62.4" x14ac:dyDescent="0.3">
      <c r="A19" s="28" t="s">
        <v>248</v>
      </c>
      <c r="B19" s="22" t="s">
        <v>265</v>
      </c>
      <c r="C19" s="59" t="s">
        <v>256</v>
      </c>
      <c r="D19" s="26" t="s">
        <v>251</v>
      </c>
      <c r="E19" s="60"/>
      <c r="F19" s="60"/>
      <c r="G19" s="50" t="s">
        <v>272</v>
      </c>
      <c r="H19" s="50" t="s">
        <v>273</v>
      </c>
      <c r="I19" s="22" t="s">
        <v>72</v>
      </c>
      <c r="J19" s="28" t="s">
        <v>8</v>
      </c>
      <c r="K19" s="8" t="s">
        <v>608</v>
      </c>
      <c r="L19" s="8" t="s">
        <v>615</v>
      </c>
      <c r="M19" s="8" t="s">
        <v>1239</v>
      </c>
      <c r="N19" s="61"/>
      <c r="O19" s="22" t="s">
        <v>274</v>
      </c>
      <c r="P19" s="19"/>
      <c r="Q19" s="19"/>
      <c r="R19" s="61"/>
      <c r="S19" s="61"/>
      <c r="T19" s="19"/>
      <c r="U19" s="19"/>
      <c r="V19" s="19"/>
      <c r="W19" s="19"/>
      <c r="X19" s="19"/>
    </row>
    <row r="20" spans="1:24" ht="31.2" customHeight="1" x14ac:dyDescent="0.3">
      <c r="A20" s="28" t="s">
        <v>248</v>
      </c>
      <c r="B20" s="28" t="s">
        <v>275</v>
      </c>
      <c r="C20" s="28" t="s">
        <v>276</v>
      </c>
      <c r="D20" s="26" t="s">
        <v>251</v>
      </c>
      <c r="E20" s="26"/>
      <c r="F20" s="26"/>
      <c r="G20" s="48" t="s">
        <v>277</v>
      </c>
      <c r="H20" s="48" t="s">
        <v>253</v>
      </c>
      <c r="I20" s="22" t="s">
        <v>197</v>
      </c>
      <c r="J20" s="28" t="s">
        <v>8</v>
      </c>
      <c r="K20" s="8" t="s">
        <v>548</v>
      </c>
      <c r="L20" s="8" t="s">
        <v>548</v>
      </c>
      <c r="M20" s="8" t="s">
        <v>1239</v>
      </c>
      <c r="N20" s="49"/>
      <c r="O20" s="28"/>
      <c r="P20" s="25"/>
      <c r="Q20" s="25"/>
      <c r="R20" s="49"/>
      <c r="S20" s="49"/>
      <c r="T20" s="25"/>
      <c r="U20" s="25"/>
      <c r="V20" s="25"/>
      <c r="W20" s="25"/>
      <c r="X20" s="25"/>
    </row>
    <row r="21" spans="1:24" ht="62.4" x14ac:dyDescent="0.3">
      <c r="A21" s="28" t="s">
        <v>248</v>
      </c>
      <c r="B21" s="28" t="s">
        <v>275</v>
      </c>
      <c r="C21" s="28" t="s">
        <v>278</v>
      </c>
      <c r="D21" s="26" t="s">
        <v>251</v>
      </c>
      <c r="E21" s="26"/>
      <c r="F21" s="26"/>
      <c r="G21" s="48" t="s">
        <v>277</v>
      </c>
      <c r="H21" s="48" t="s">
        <v>253</v>
      </c>
      <c r="I21" s="22" t="s">
        <v>197</v>
      </c>
      <c r="J21" s="28" t="s">
        <v>8</v>
      </c>
      <c r="K21" s="8" t="s">
        <v>554</v>
      </c>
      <c r="L21" s="8" t="s">
        <v>555</v>
      </c>
      <c r="M21" s="8" t="s">
        <v>1239</v>
      </c>
      <c r="N21" s="28"/>
      <c r="O21" s="28"/>
      <c r="P21" s="25"/>
      <c r="Q21" s="28"/>
      <c r="R21" s="28"/>
      <c r="S21" s="28"/>
      <c r="T21" s="25"/>
      <c r="U21" s="25"/>
      <c r="V21" s="25"/>
      <c r="W21" s="25"/>
      <c r="X21" s="25"/>
    </row>
    <row r="22" spans="1:24" ht="93.6" x14ac:dyDescent="0.3">
      <c r="A22" s="28" t="s">
        <v>248</v>
      </c>
      <c r="B22" s="22" t="s">
        <v>279</v>
      </c>
      <c r="C22" s="22" t="s">
        <v>280</v>
      </c>
      <c r="D22" s="21" t="s">
        <v>281</v>
      </c>
      <c r="E22" s="60" t="s">
        <v>282</v>
      </c>
      <c r="F22" s="60" t="s">
        <v>194</v>
      </c>
      <c r="G22" s="62" t="s">
        <v>283</v>
      </c>
      <c r="H22" s="57"/>
      <c r="I22" s="58" t="s">
        <v>8</v>
      </c>
      <c r="J22" s="28" t="s">
        <v>8</v>
      </c>
      <c r="K22" s="8" t="s">
        <v>568</v>
      </c>
      <c r="L22" s="8" t="s">
        <v>569</v>
      </c>
      <c r="M22" s="8" t="s">
        <v>1238</v>
      </c>
      <c r="N22" s="22"/>
      <c r="O22" s="22"/>
      <c r="P22" s="19"/>
      <c r="Q22" s="19"/>
      <c r="R22" s="19"/>
      <c r="S22" s="19"/>
      <c r="T22" s="19"/>
      <c r="U22" s="19"/>
      <c r="V22" s="19"/>
      <c r="W22" s="19"/>
      <c r="X22" s="19"/>
    </row>
    <row r="23" spans="1:24" ht="140.4" x14ac:dyDescent="0.3">
      <c r="A23" s="28" t="s">
        <v>248</v>
      </c>
      <c r="B23" s="28" t="s">
        <v>279</v>
      </c>
      <c r="C23" s="28" t="s">
        <v>280</v>
      </c>
      <c r="D23" s="21" t="s">
        <v>284</v>
      </c>
      <c r="E23" s="60" t="s">
        <v>285</v>
      </c>
      <c r="F23" s="60" t="s">
        <v>194</v>
      </c>
      <c r="G23" s="63" t="s">
        <v>286</v>
      </c>
      <c r="H23" s="53" t="s">
        <v>287</v>
      </c>
      <c r="I23" s="58" t="s">
        <v>8</v>
      </c>
      <c r="J23" s="28" t="s">
        <v>8</v>
      </c>
      <c r="K23" s="8" t="s">
        <v>568</v>
      </c>
      <c r="L23" s="8" t="s">
        <v>569</v>
      </c>
      <c r="M23" s="8" t="s">
        <v>1238</v>
      </c>
      <c r="N23" s="28" t="s">
        <v>288</v>
      </c>
      <c r="O23" s="28"/>
      <c r="P23" s="25"/>
      <c r="Q23" s="25"/>
      <c r="R23" s="25"/>
      <c r="S23" s="25"/>
      <c r="T23" s="25"/>
      <c r="U23" s="25"/>
      <c r="V23" s="25"/>
      <c r="W23" s="25"/>
      <c r="X23" s="25"/>
    </row>
    <row r="24" spans="1:24" ht="109.2" x14ac:dyDescent="0.3">
      <c r="A24" s="61" t="s">
        <v>289</v>
      </c>
      <c r="B24" s="61" t="s">
        <v>290</v>
      </c>
      <c r="C24" s="64" t="s">
        <v>291</v>
      </c>
      <c r="D24" s="32"/>
      <c r="E24" s="32"/>
      <c r="F24" s="32"/>
      <c r="G24" s="22" t="s">
        <v>292</v>
      </c>
      <c r="H24" s="58" t="s">
        <v>242</v>
      </c>
      <c r="I24" s="58" t="s">
        <v>8</v>
      </c>
      <c r="J24" s="58" t="s">
        <v>198</v>
      </c>
      <c r="K24" s="8" t="s">
        <v>556</v>
      </c>
      <c r="L24" s="8" t="s">
        <v>557</v>
      </c>
      <c r="M24" s="8" t="s">
        <v>1238</v>
      </c>
      <c r="N24" s="61" t="s">
        <v>293</v>
      </c>
      <c r="O24" s="19" t="s">
        <v>294</v>
      </c>
      <c r="P24" s="19" t="s">
        <v>295</v>
      </c>
      <c r="Q24" s="19"/>
      <c r="R24" s="61"/>
      <c r="S24" s="61"/>
      <c r="T24" s="19"/>
      <c r="U24" s="19"/>
      <c r="V24" s="19"/>
      <c r="W24" s="19"/>
      <c r="X24" s="19"/>
    </row>
    <row r="25" spans="1:24" ht="78" x14ac:dyDescent="0.3">
      <c r="A25" s="61" t="s">
        <v>289</v>
      </c>
      <c r="B25" s="61" t="s">
        <v>296</v>
      </c>
      <c r="C25" s="64" t="s">
        <v>297</v>
      </c>
      <c r="D25" s="32"/>
      <c r="E25" s="32"/>
      <c r="F25" s="32"/>
      <c r="G25" s="22" t="s">
        <v>298</v>
      </c>
      <c r="H25" s="58" t="s">
        <v>242</v>
      </c>
      <c r="I25" s="58" t="s">
        <v>8</v>
      </c>
      <c r="J25" s="58" t="s">
        <v>198</v>
      </c>
      <c r="K25" s="8" t="s">
        <v>550</v>
      </c>
      <c r="L25" s="8" t="s">
        <v>551</v>
      </c>
      <c r="M25" s="8" t="s">
        <v>1238</v>
      </c>
      <c r="N25" s="61" t="s">
        <v>299</v>
      </c>
      <c r="O25" s="19" t="s">
        <v>300</v>
      </c>
      <c r="P25" s="19" t="s">
        <v>294</v>
      </c>
      <c r="Q25" s="19" t="s">
        <v>301</v>
      </c>
      <c r="R25" s="22" t="s">
        <v>302</v>
      </c>
      <c r="S25" s="61"/>
      <c r="T25" s="19"/>
      <c r="U25" s="19"/>
      <c r="V25" s="19"/>
      <c r="W25" s="19"/>
      <c r="X25" s="19"/>
    </row>
    <row r="26" spans="1:24" ht="62.4" x14ac:dyDescent="0.3">
      <c r="A26" s="61" t="s">
        <v>289</v>
      </c>
      <c r="B26" s="61" t="s">
        <v>303</v>
      </c>
      <c r="C26" s="65" t="s">
        <v>304</v>
      </c>
      <c r="D26" s="32"/>
      <c r="E26" s="32"/>
      <c r="F26" s="32"/>
      <c r="G26" s="22" t="s">
        <v>305</v>
      </c>
      <c r="H26" s="58" t="s">
        <v>242</v>
      </c>
      <c r="I26" s="58" t="s">
        <v>8</v>
      </c>
      <c r="J26" s="58" t="s">
        <v>198</v>
      </c>
      <c r="K26" s="8" t="s">
        <v>584</v>
      </c>
      <c r="L26" s="8" t="s">
        <v>597</v>
      </c>
      <c r="M26" s="8" t="s">
        <v>1238</v>
      </c>
      <c r="N26" s="66" t="s">
        <v>306</v>
      </c>
      <c r="O26" s="22" t="s">
        <v>307</v>
      </c>
      <c r="P26" s="19" t="s">
        <v>308</v>
      </c>
      <c r="Q26" s="67" t="s">
        <v>309</v>
      </c>
      <c r="R26" s="19"/>
      <c r="S26" s="19"/>
      <c r="T26" s="19"/>
      <c r="U26" s="19"/>
      <c r="V26" s="19"/>
      <c r="W26" s="19"/>
      <c r="X26" s="19"/>
    </row>
    <row r="27" spans="1:24" ht="62.4" x14ac:dyDescent="0.3">
      <c r="A27" s="61" t="s">
        <v>289</v>
      </c>
      <c r="B27" s="61" t="s">
        <v>303</v>
      </c>
      <c r="C27" s="64" t="s">
        <v>304</v>
      </c>
      <c r="D27" s="32"/>
      <c r="E27" s="32" t="s">
        <v>310</v>
      </c>
      <c r="F27" s="32" t="s">
        <v>212</v>
      </c>
      <c r="G27" s="66" t="s">
        <v>311</v>
      </c>
      <c r="H27" s="66" t="s">
        <v>273</v>
      </c>
      <c r="I27" s="66" t="s">
        <v>72</v>
      </c>
      <c r="J27" s="58" t="s">
        <v>198</v>
      </c>
      <c r="K27" s="8" t="s">
        <v>584</v>
      </c>
      <c r="L27" s="8" t="s">
        <v>585</v>
      </c>
      <c r="M27" s="8" t="s">
        <v>1239</v>
      </c>
      <c r="N27" s="22" t="s">
        <v>312</v>
      </c>
      <c r="O27" s="22" t="s">
        <v>313</v>
      </c>
      <c r="P27" s="19" t="s">
        <v>308</v>
      </c>
      <c r="Q27" s="68">
        <v>0.3</v>
      </c>
      <c r="R27" s="24">
        <v>0.33</v>
      </c>
      <c r="S27" s="19"/>
      <c r="T27" s="19"/>
      <c r="U27" s="19"/>
      <c r="V27" s="19"/>
      <c r="W27" s="19"/>
      <c r="X27" s="19"/>
    </row>
    <row r="28" spans="1:24" ht="62.4" x14ac:dyDescent="0.3">
      <c r="A28" s="61" t="s">
        <v>289</v>
      </c>
      <c r="B28" s="61" t="s">
        <v>303</v>
      </c>
      <c r="C28" s="65" t="s">
        <v>304</v>
      </c>
      <c r="D28" s="32" t="s">
        <v>314</v>
      </c>
      <c r="E28" s="32" t="s">
        <v>315</v>
      </c>
      <c r="F28" s="32" t="s">
        <v>194</v>
      </c>
      <c r="G28" s="69" t="s">
        <v>314</v>
      </c>
      <c r="H28" s="70" t="s">
        <v>196</v>
      </c>
      <c r="I28" s="58" t="s">
        <v>8</v>
      </c>
      <c r="J28" s="58" t="s">
        <v>198</v>
      </c>
      <c r="K28" s="8" t="s">
        <v>584</v>
      </c>
      <c r="L28" s="8" t="s">
        <v>597</v>
      </c>
      <c r="M28" s="8" t="s">
        <v>1238</v>
      </c>
      <c r="N28" s="66" t="s">
        <v>316</v>
      </c>
      <c r="O28" s="22" t="s">
        <v>313</v>
      </c>
      <c r="P28" s="19" t="s">
        <v>308</v>
      </c>
      <c r="Q28" s="22" t="s">
        <v>317</v>
      </c>
      <c r="R28" s="19"/>
      <c r="S28" s="19"/>
      <c r="T28" s="19"/>
      <c r="U28" s="19"/>
      <c r="V28" s="19"/>
      <c r="W28" s="19"/>
      <c r="X28" s="19"/>
    </row>
    <row r="29" spans="1:24" ht="62.4" x14ac:dyDescent="0.3">
      <c r="A29" s="61" t="s">
        <v>289</v>
      </c>
      <c r="B29" s="61" t="s">
        <v>303</v>
      </c>
      <c r="C29" s="64" t="s">
        <v>304</v>
      </c>
      <c r="D29" s="32" t="s">
        <v>318</v>
      </c>
      <c r="E29" s="32" t="s">
        <v>315</v>
      </c>
      <c r="F29" s="32"/>
      <c r="G29" s="69" t="s">
        <v>319</v>
      </c>
      <c r="H29" s="66" t="s">
        <v>320</v>
      </c>
      <c r="I29" s="22" t="s">
        <v>197</v>
      </c>
      <c r="J29" s="58" t="s">
        <v>198</v>
      </c>
      <c r="K29" s="8" t="s">
        <v>584</v>
      </c>
      <c r="L29" s="8" t="s">
        <v>597</v>
      </c>
      <c r="M29" s="8" t="s">
        <v>1239</v>
      </c>
      <c r="N29" s="66" t="s">
        <v>321</v>
      </c>
      <c r="O29" s="22" t="s">
        <v>313</v>
      </c>
      <c r="P29" s="19" t="s">
        <v>308</v>
      </c>
      <c r="Q29" s="22" t="s">
        <v>322</v>
      </c>
      <c r="R29" s="19"/>
      <c r="S29" s="19"/>
      <c r="T29" s="19"/>
      <c r="U29" s="19"/>
      <c r="V29" s="19"/>
      <c r="W29" s="19"/>
      <c r="X29" s="19"/>
    </row>
    <row r="30" spans="1:24" ht="62.4" x14ac:dyDescent="0.3">
      <c r="A30" s="61" t="s">
        <v>289</v>
      </c>
      <c r="B30" s="64" t="s">
        <v>323</v>
      </c>
      <c r="C30" s="64" t="s">
        <v>324</v>
      </c>
      <c r="D30" s="32" t="s">
        <v>325</v>
      </c>
      <c r="E30" s="32" t="s">
        <v>326</v>
      </c>
      <c r="F30" s="32" t="s">
        <v>194</v>
      </c>
      <c r="G30" s="69" t="s">
        <v>327</v>
      </c>
      <c r="H30" s="70" t="s">
        <v>320</v>
      </c>
      <c r="I30" s="58" t="s">
        <v>328</v>
      </c>
      <c r="J30" s="58" t="s">
        <v>198</v>
      </c>
      <c r="K30" s="8" t="s">
        <v>545</v>
      </c>
      <c r="L30" s="8" t="s">
        <v>545</v>
      </c>
      <c r="M30" s="8" t="s">
        <v>1238</v>
      </c>
      <c r="N30" s="22" t="s">
        <v>329</v>
      </c>
      <c r="O30" s="22"/>
      <c r="P30" s="19"/>
      <c r="Q30" s="71">
        <v>0.91</v>
      </c>
      <c r="R30" s="22"/>
      <c r="S30" s="22"/>
      <c r="T30" s="19"/>
      <c r="U30" s="19"/>
      <c r="V30" s="19"/>
      <c r="W30" s="19"/>
      <c r="X30" s="19"/>
    </row>
    <row r="31" spans="1:24" ht="46.8" x14ac:dyDescent="0.3">
      <c r="A31" s="61" t="s">
        <v>289</v>
      </c>
      <c r="B31" s="64" t="s">
        <v>323</v>
      </c>
      <c r="C31" s="64" t="s">
        <v>330</v>
      </c>
      <c r="D31" s="32" t="s">
        <v>331</v>
      </c>
      <c r="E31" s="32" t="s">
        <v>332</v>
      </c>
      <c r="F31" s="32" t="s">
        <v>212</v>
      </c>
      <c r="G31" s="66" t="s">
        <v>333</v>
      </c>
      <c r="H31" s="70" t="s">
        <v>320</v>
      </c>
      <c r="I31" s="66" t="s">
        <v>253</v>
      </c>
      <c r="J31" s="58" t="s">
        <v>198</v>
      </c>
      <c r="K31" s="8" t="s">
        <v>587</v>
      </c>
      <c r="L31" s="8" t="s">
        <v>588</v>
      </c>
      <c r="M31" s="8" t="s">
        <v>1239</v>
      </c>
      <c r="N31" s="22" t="s">
        <v>334</v>
      </c>
      <c r="O31" s="22" t="s">
        <v>335</v>
      </c>
      <c r="P31" s="19" t="s">
        <v>308</v>
      </c>
      <c r="Q31" s="71">
        <v>0.97</v>
      </c>
      <c r="R31" s="19"/>
      <c r="S31" s="19"/>
      <c r="T31" s="19"/>
      <c r="U31" s="19"/>
      <c r="V31" s="19"/>
      <c r="W31" s="19"/>
      <c r="X31" s="19"/>
    </row>
    <row r="32" spans="1:24" ht="46.8" x14ac:dyDescent="0.3">
      <c r="A32" s="61" t="s">
        <v>289</v>
      </c>
      <c r="B32" s="64" t="s">
        <v>323</v>
      </c>
      <c r="C32" s="64" t="s">
        <v>330</v>
      </c>
      <c r="D32" s="32" t="s">
        <v>331</v>
      </c>
      <c r="E32" s="32" t="s">
        <v>332</v>
      </c>
      <c r="F32" s="32"/>
      <c r="G32" s="66" t="s">
        <v>336</v>
      </c>
      <c r="H32" s="70" t="s">
        <v>320</v>
      </c>
      <c r="I32" s="66" t="s">
        <v>72</v>
      </c>
      <c r="J32" s="58" t="s">
        <v>198</v>
      </c>
      <c r="K32" s="8" t="s">
        <v>587</v>
      </c>
      <c r="L32" s="8" t="s">
        <v>588</v>
      </c>
      <c r="M32" s="8" t="s">
        <v>1239</v>
      </c>
      <c r="N32" s="22" t="s">
        <v>337</v>
      </c>
      <c r="O32" s="22" t="s">
        <v>335</v>
      </c>
      <c r="P32" s="19" t="s">
        <v>308</v>
      </c>
      <c r="Q32" s="22">
        <v>4.6399999999999997</v>
      </c>
      <c r="R32" s="19"/>
      <c r="S32" s="19"/>
      <c r="T32" s="19"/>
      <c r="U32" s="19"/>
      <c r="V32" s="19"/>
      <c r="W32" s="19"/>
      <c r="X32" s="19"/>
    </row>
    <row r="33" spans="1:24" ht="31.2" customHeight="1" x14ac:dyDescent="0.3">
      <c r="A33" s="61" t="s">
        <v>289</v>
      </c>
      <c r="B33" s="49"/>
      <c r="C33" s="72"/>
      <c r="D33" s="73"/>
      <c r="E33" s="73"/>
      <c r="F33" s="73"/>
      <c r="G33" s="28" t="s">
        <v>338</v>
      </c>
      <c r="H33" s="28"/>
      <c r="I33" s="22" t="s">
        <v>253</v>
      </c>
      <c r="J33" s="58" t="s">
        <v>198</v>
      </c>
      <c r="K33" s="8" t="s">
        <v>584</v>
      </c>
      <c r="L33" s="8" t="s">
        <v>597</v>
      </c>
      <c r="M33" s="8" t="s">
        <v>1239</v>
      </c>
      <c r="N33" s="49" t="s">
        <v>339</v>
      </c>
      <c r="O33" s="25" t="s">
        <v>340</v>
      </c>
      <c r="P33" s="25"/>
      <c r="Q33" s="25"/>
      <c r="R33" s="49"/>
      <c r="S33" s="49"/>
      <c r="T33" s="25"/>
      <c r="U33" s="25"/>
      <c r="V33" s="25"/>
      <c r="W33" s="25"/>
      <c r="X33" s="25"/>
    </row>
    <row r="34" spans="1:24" ht="49.95" customHeight="1" x14ac:dyDescent="0.3">
      <c r="A34" s="49" t="s">
        <v>341</v>
      </c>
      <c r="B34" s="49" t="s">
        <v>342</v>
      </c>
      <c r="C34" s="72" t="s">
        <v>343</v>
      </c>
      <c r="D34" s="26" t="s">
        <v>251</v>
      </c>
      <c r="E34" s="73"/>
      <c r="F34" s="73"/>
      <c r="G34" s="28" t="s">
        <v>344</v>
      </c>
      <c r="H34" s="28" t="s">
        <v>253</v>
      </c>
      <c r="I34" s="22" t="s">
        <v>197</v>
      </c>
      <c r="J34" s="28" t="s">
        <v>8</v>
      </c>
      <c r="K34" s="8" t="s">
        <v>584</v>
      </c>
      <c r="L34" s="8" t="s">
        <v>597</v>
      </c>
      <c r="M34" s="8" t="s">
        <v>1239</v>
      </c>
      <c r="N34" s="49" t="s">
        <v>339</v>
      </c>
      <c r="O34" s="25"/>
      <c r="P34" s="25" t="s">
        <v>295</v>
      </c>
      <c r="Q34" s="25"/>
      <c r="R34" s="49"/>
      <c r="S34" s="49"/>
      <c r="T34" s="25"/>
      <c r="U34" s="25"/>
      <c r="V34" s="25"/>
      <c r="W34" s="25"/>
      <c r="X34" s="25"/>
    </row>
    <row r="35" spans="1:24" ht="78" x14ac:dyDescent="0.3">
      <c r="A35" s="49" t="s">
        <v>341</v>
      </c>
      <c r="B35" s="49" t="s">
        <v>342</v>
      </c>
      <c r="C35" s="72" t="s">
        <v>343</v>
      </c>
      <c r="D35" s="73"/>
      <c r="E35" s="73"/>
      <c r="F35" s="73"/>
      <c r="G35" s="74" t="s">
        <v>345</v>
      </c>
      <c r="H35" s="75" t="s">
        <v>346</v>
      </c>
      <c r="I35" s="58" t="s">
        <v>8</v>
      </c>
      <c r="J35" s="28" t="s">
        <v>8</v>
      </c>
      <c r="K35" s="8" t="s">
        <v>576</v>
      </c>
      <c r="L35" s="8" t="s">
        <v>577</v>
      </c>
      <c r="M35" s="8" t="s">
        <v>8</v>
      </c>
      <c r="N35" s="49"/>
      <c r="O35" s="25"/>
      <c r="P35" s="25" t="s">
        <v>347</v>
      </c>
      <c r="Q35" s="25"/>
      <c r="R35" s="49"/>
      <c r="S35" s="49"/>
      <c r="T35" s="25"/>
      <c r="U35" s="25"/>
      <c r="V35" s="25"/>
      <c r="W35" s="25"/>
      <c r="X35" s="25"/>
    </row>
    <row r="36" spans="1:24" ht="93.6" x14ac:dyDescent="0.3">
      <c r="A36" s="61" t="s">
        <v>341</v>
      </c>
      <c r="B36" s="61" t="s">
        <v>342</v>
      </c>
      <c r="C36" s="64" t="s">
        <v>348</v>
      </c>
      <c r="D36" s="31" t="s">
        <v>349</v>
      </c>
      <c r="E36" s="32" t="s">
        <v>350</v>
      </c>
      <c r="F36" s="32" t="s">
        <v>194</v>
      </c>
      <c r="G36" s="59" t="s">
        <v>351</v>
      </c>
      <c r="H36" s="76" t="s">
        <v>352</v>
      </c>
      <c r="I36" s="58" t="s">
        <v>8</v>
      </c>
      <c r="J36" s="28" t="s">
        <v>8</v>
      </c>
      <c r="K36" s="8" t="s">
        <v>587</v>
      </c>
      <c r="L36" s="8" t="s">
        <v>347</v>
      </c>
      <c r="M36" s="8" t="s">
        <v>1238</v>
      </c>
      <c r="N36" s="22" t="s">
        <v>353</v>
      </c>
      <c r="O36" s="19" t="s">
        <v>354</v>
      </c>
      <c r="P36" s="19" t="s">
        <v>355</v>
      </c>
      <c r="Q36" s="19"/>
      <c r="R36" s="61"/>
      <c r="S36" s="61"/>
      <c r="T36" s="19"/>
      <c r="U36" s="19"/>
      <c r="V36" s="19"/>
      <c r="W36" s="19"/>
      <c r="X36" s="19"/>
    </row>
    <row r="37" spans="1:24" ht="62.4" x14ac:dyDescent="0.3">
      <c r="A37" s="49" t="s">
        <v>341</v>
      </c>
      <c r="B37" s="49" t="s">
        <v>356</v>
      </c>
      <c r="C37" s="72" t="s">
        <v>357</v>
      </c>
      <c r="D37" s="73"/>
      <c r="E37" s="73"/>
      <c r="F37" s="73"/>
      <c r="G37" s="26" t="s">
        <v>358</v>
      </c>
      <c r="H37" s="26" t="s">
        <v>253</v>
      </c>
      <c r="I37" s="22" t="s">
        <v>197</v>
      </c>
      <c r="J37" s="28" t="s">
        <v>8</v>
      </c>
      <c r="K37" s="8" t="s">
        <v>584</v>
      </c>
      <c r="L37" s="8" t="s">
        <v>597</v>
      </c>
      <c r="M37" s="8" t="s">
        <v>1239</v>
      </c>
      <c r="N37" s="49" t="s">
        <v>339</v>
      </c>
      <c r="O37" s="25"/>
      <c r="P37" s="25"/>
      <c r="Q37" s="25"/>
      <c r="R37" s="49"/>
      <c r="S37" s="49"/>
      <c r="T37" s="25"/>
      <c r="U37" s="25"/>
      <c r="V37" s="25"/>
      <c r="W37" s="25"/>
      <c r="X37" s="25"/>
    </row>
    <row r="38" spans="1:24" ht="78" x14ac:dyDescent="0.3">
      <c r="A38" s="61" t="s">
        <v>341</v>
      </c>
      <c r="B38" s="61" t="s">
        <v>359</v>
      </c>
      <c r="C38" s="64" t="s">
        <v>360</v>
      </c>
      <c r="D38" s="32"/>
      <c r="E38" s="32"/>
      <c r="F38" s="32"/>
      <c r="G38" s="22" t="s">
        <v>361</v>
      </c>
      <c r="H38" s="58" t="s">
        <v>242</v>
      </c>
      <c r="I38" s="58" t="s">
        <v>8</v>
      </c>
      <c r="J38" s="28" t="s">
        <v>8</v>
      </c>
      <c r="K38" s="8" t="s">
        <v>576</v>
      </c>
      <c r="L38" s="8" t="s">
        <v>594</v>
      </c>
      <c r="M38" s="8" t="s">
        <v>1238</v>
      </c>
      <c r="N38" s="22" t="s">
        <v>361</v>
      </c>
      <c r="O38" s="22" t="s">
        <v>362</v>
      </c>
      <c r="P38" s="19" t="s">
        <v>363</v>
      </c>
      <c r="Q38" s="19"/>
      <c r="R38" s="19"/>
      <c r="S38" s="19"/>
      <c r="T38" s="19"/>
      <c r="U38" s="19"/>
      <c r="V38" s="19"/>
      <c r="W38" s="19"/>
      <c r="X38" s="19"/>
    </row>
    <row r="39" spans="1:24" ht="62.4" x14ac:dyDescent="0.3">
      <c r="A39" s="61" t="s">
        <v>341</v>
      </c>
      <c r="B39" s="77" t="s">
        <v>364</v>
      </c>
      <c r="C39" s="64" t="s">
        <v>365</v>
      </c>
      <c r="D39" s="32"/>
      <c r="E39" s="32"/>
      <c r="F39" s="32"/>
      <c r="G39" s="59" t="s">
        <v>366</v>
      </c>
      <c r="H39" s="59" t="s">
        <v>273</v>
      </c>
      <c r="I39" s="22" t="s">
        <v>72</v>
      </c>
      <c r="J39" s="28" t="s">
        <v>8</v>
      </c>
      <c r="K39" s="8" t="s">
        <v>576</v>
      </c>
      <c r="L39" s="8" t="s">
        <v>594</v>
      </c>
      <c r="M39" s="8" t="s">
        <v>1239</v>
      </c>
      <c r="N39" s="22"/>
      <c r="O39" s="22"/>
      <c r="P39" s="19" t="s">
        <v>367</v>
      </c>
      <c r="Q39" s="19"/>
      <c r="R39" s="19"/>
      <c r="S39" s="19"/>
      <c r="T39" s="19"/>
      <c r="U39" s="19"/>
      <c r="V39" s="19"/>
      <c r="W39" s="19"/>
      <c r="X39" s="19"/>
    </row>
    <row r="40" spans="1:24" ht="62.4" x14ac:dyDescent="0.3">
      <c r="A40" s="61" t="s">
        <v>341</v>
      </c>
      <c r="B40" s="77" t="s">
        <v>364</v>
      </c>
      <c r="C40" s="64" t="s">
        <v>365</v>
      </c>
      <c r="D40" s="32"/>
      <c r="E40" s="32"/>
      <c r="F40" s="32"/>
      <c r="G40" s="59" t="s">
        <v>368</v>
      </c>
      <c r="H40" s="59" t="s">
        <v>273</v>
      </c>
      <c r="I40" s="22" t="s">
        <v>72</v>
      </c>
      <c r="J40" s="28" t="s">
        <v>8</v>
      </c>
      <c r="K40" s="8" t="s">
        <v>576</v>
      </c>
      <c r="L40" s="8" t="s">
        <v>594</v>
      </c>
      <c r="M40" s="8" t="s">
        <v>1239</v>
      </c>
      <c r="N40" s="22"/>
      <c r="O40" s="22" t="s">
        <v>362</v>
      </c>
      <c r="P40" s="19" t="s">
        <v>363</v>
      </c>
      <c r="Q40" s="78"/>
      <c r="R40" s="78"/>
      <c r="S40" s="78"/>
      <c r="T40" s="78"/>
      <c r="U40" s="78"/>
      <c r="V40" s="78"/>
      <c r="W40" s="78"/>
      <c r="X40" s="78"/>
    </row>
    <row r="41" spans="1:24" ht="78" x14ac:dyDescent="0.3">
      <c r="A41" s="30" t="s">
        <v>369</v>
      </c>
      <c r="B41" s="43" t="s">
        <v>370</v>
      </c>
      <c r="C41" s="79" t="s">
        <v>371</v>
      </c>
      <c r="D41" s="80" t="s">
        <v>372</v>
      </c>
      <c r="E41" s="81" t="s">
        <v>373</v>
      </c>
      <c r="F41" s="81" t="s">
        <v>212</v>
      </c>
      <c r="G41" s="35" t="s">
        <v>374</v>
      </c>
      <c r="H41" s="35" t="s">
        <v>375</v>
      </c>
      <c r="I41" s="35" t="s">
        <v>72</v>
      </c>
      <c r="J41" s="35" t="s">
        <v>8</v>
      </c>
      <c r="K41" s="8" t="s">
        <v>563</v>
      </c>
      <c r="L41" s="8" t="s">
        <v>565</v>
      </c>
      <c r="M41" s="8" t="s">
        <v>1239</v>
      </c>
      <c r="N41" s="29" t="s">
        <v>376</v>
      </c>
      <c r="O41" s="36" t="s">
        <v>377</v>
      </c>
      <c r="P41" s="36" t="s">
        <v>377</v>
      </c>
      <c r="Q41" s="36"/>
      <c r="R41" s="82">
        <v>0.05</v>
      </c>
      <c r="S41" s="29"/>
      <c r="T41" s="36"/>
      <c r="U41" s="36"/>
      <c r="V41" s="36"/>
      <c r="W41" s="36"/>
      <c r="X41" s="36"/>
    </row>
    <row r="42" spans="1:24" ht="78" x14ac:dyDescent="0.3">
      <c r="A42" s="30" t="s">
        <v>369</v>
      </c>
      <c r="B42" s="43" t="s">
        <v>378</v>
      </c>
      <c r="C42" s="79" t="s">
        <v>371</v>
      </c>
      <c r="D42" s="81" t="s">
        <v>379</v>
      </c>
      <c r="E42" s="81" t="s">
        <v>380</v>
      </c>
      <c r="F42" s="81"/>
      <c r="G42" s="80" t="s">
        <v>379</v>
      </c>
      <c r="H42" s="83" t="s">
        <v>381</v>
      </c>
      <c r="I42" s="58" t="s">
        <v>8</v>
      </c>
      <c r="J42" s="35" t="s">
        <v>8</v>
      </c>
      <c r="K42" s="8" t="s">
        <v>563</v>
      </c>
      <c r="L42" s="8" t="s">
        <v>564</v>
      </c>
      <c r="M42" s="8" t="s">
        <v>1238</v>
      </c>
      <c r="N42" s="29"/>
      <c r="O42" s="36" t="s">
        <v>377</v>
      </c>
      <c r="P42" s="36" t="s">
        <v>377</v>
      </c>
      <c r="Q42" s="36"/>
      <c r="R42" s="29"/>
      <c r="S42" s="29"/>
      <c r="T42" s="36"/>
      <c r="U42" s="36"/>
      <c r="V42" s="36"/>
      <c r="W42" s="36"/>
      <c r="X42" s="36"/>
    </row>
    <row r="43" spans="1:24" ht="78" x14ac:dyDescent="0.3">
      <c r="A43" s="30" t="s">
        <v>369</v>
      </c>
      <c r="B43" s="43" t="s">
        <v>378</v>
      </c>
      <c r="C43" s="79" t="s">
        <v>371</v>
      </c>
      <c r="D43" s="81" t="s">
        <v>379</v>
      </c>
      <c r="E43" s="81" t="s">
        <v>380</v>
      </c>
      <c r="F43" s="81" t="s">
        <v>18</v>
      </c>
      <c r="G43" s="38" t="s">
        <v>382</v>
      </c>
      <c r="H43" s="84"/>
      <c r="I43" s="58" t="s">
        <v>8</v>
      </c>
      <c r="J43" s="35" t="s">
        <v>8</v>
      </c>
      <c r="K43" s="8" t="s">
        <v>563</v>
      </c>
      <c r="L43" s="8" t="s">
        <v>564</v>
      </c>
      <c r="M43" s="8" t="s">
        <v>1238</v>
      </c>
      <c r="N43" s="35"/>
      <c r="O43" s="36" t="s">
        <v>377</v>
      </c>
      <c r="P43" s="36" t="s">
        <v>377</v>
      </c>
      <c r="Q43" s="36"/>
      <c r="R43" s="29"/>
      <c r="S43" s="29"/>
      <c r="T43" s="36"/>
      <c r="U43" s="36"/>
      <c r="V43" s="36"/>
      <c r="W43" s="36"/>
      <c r="X43" s="36"/>
    </row>
    <row r="44" spans="1:24" ht="46.8" x14ac:dyDescent="0.3">
      <c r="A44" s="30" t="s">
        <v>369</v>
      </c>
      <c r="B44" s="43" t="s">
        <v>378</v>
      </c>
      <c r="C44" s="79" t="s">
        <v>371</v>
      </c>
      <c r="D44" s="81"/>
      <c r="E44" s="81"/>
      <c r="F44" s="81"/>
      <c r="G44" s="38" t="s">
        <v>383</v>
      </c>
      <c r="H44" s="84"/>
      <c r="I44" s="58" t="s">
        <v>8</v>
      </c>
      <c r="J44" s="35" t="s">
        <v>8</v>
      </c>
      <c r="K44" s="8" t="s">
        <v>563</v>
      </c>
      <c r="L44" s="8" t="s">
        <v>564</v>
      </c>
      <c r="M44" s="8" t="s">
        <v>1238</v>
      </c>
      <c r="N44" s="35"/>
      <c r="O44" s="36" t="s">
        <v>377</v>
      </c>
      <c r="P44" s="36" t="s">
        <v>377</v>
      </c>
      <c r="Q44" s="36"/>
      <c r="R44" s="29"/>
      <c r="S44" s="29"/>
      <c r="T44" s="36"/>
      <c r="U44" s="36"/>
      <c r="V44" s="36"/>
      <c r="W44" s="36"/>
      <c r="X44" s="36"/>
    </row>
    <row r="45" spans="1:24" ht="46.8" x14ac:dyDescent="0.3">
      <c r="A45" s="30" t="s">
        <v>369</v>
      </c>
      <c r="B45" s="43" t="s">
        <v>378</v>
      </c>
      <c r="C45" s="79" t="s">
        <v>371</v>
      </c>
      <c r="D45" s="81" t="s">
        <v>384</v>
      </c>
      <c r="E45" s="81" t="s">
        <v>385</v>
      </c>
      <c r="F45" s="81" t="s">
        <v>18</v>
      </c>
      <c r="G45" s="81" t="s">
        <v>384</v>
      </c>
      <c r="H45" s="83" t="s">
        <v>242</v>
      </c>
      <c r="I45" s="58" t="s">
        <v>8</v>
      </c>
      <c r="J45" s="35" t="s">
        <v>8</v>
      </c>
      <c r="K45" s="8" t="s">
        <v>563</v>
      </c>
      <c r="L45" s="8" t="s">
        <v>564</v>
      </c>
      <c r="M45" s="8" t="s">
        <v>1238</v>
      </c>
      <c r="N45" s="29"/>
      <c r="O45" s="36" t="s">
        <v>377</v>
      </c>
      <c r="P45" s="36" t="s">
        <v>377</v>
      </c>
      <c r="Q45" s="36"/>
      <c r="R45" s="29"/>
      <c r="S45" s="29"/>
      <c r="T45" s="36"/>
      <c r="U45" s="36"/>
      <c r="V45" s="36"/>
      <c r="W45" s="36"/>
      <c r="X45" s="36"/>
    </row>
    <row r="46" spans="1:24" ht="46.8" x14ac:dyDescent="0.3">
      <c r="A46" s="30" t="s">
        <v>369</v>
      </c>
      <c r="B46" s="43" t="s">
        <v>378</v>
      </c>
      <c r="C46" s="79" t="s">
        <v>371</v>
      </c>
      <c r="D46" s="85"/>
      <c r="E46" s="81"/>
      <c r="F46" s="81" t="s">
        <v>18</v>
      </c>
      <c r="G46" s="35" t="s">
        <v>386</v>
      </c>
      <c r="H46" s="83" t="s">
        <v>242</v>
      </c>
      <c r="I46" s="58" t="s">
        <v>8</v>
      </c>
      <c r="J46" s="35" t="s">
        <v>8</v>
      </c>
      <c r="K46" s="8" t="s">
        <v>563</v>
      </c>
      <c r="L46" s="8" t="s">
        <v>564</v>
      </c>
      <c r="M46" s="8" t="s">
        <v>1238</v>
      </c>
      <c r="N46" s="35"/>
      <c r="O46" s="36" t="s">
        <v>377</v>
      </c>
      <c r="P46" s="36" t="s">
        <v>377</v>
      </c>
      <c r="Q46" s="86"/>
      <c r="R46" s="36"/>
      <c r="S46" s="36"/>
      <c r="T46" s="36"/>
      <c r="U46" s="36"/>
      <c r="V46" s="36"/>
      <c r="W46" s="36"/>
      <c r="X46" s="36"/>
    </row>
    <row r="47" spans="1:24" ht="31.2" customHeight="1" x14ac:dyDescent="0.3">
      <c r="A47" s="72" t="s">
        <v>387</v>
      </c>
      <c r="B47" s="87" t="s">
        <v>388</v>
      </c>
      <c r="C47" s="72" t="s">
        <v>389</v>
      </c>
      <c r="D47" s="73"/>
      <c r="E47" s="73"/>
      <c r="F47" s="73"/>
      <c r="G47" s="28" t="s">
        <v>390</v>
      </c>
      <c r="H47" s="28" t="s">
        <v>253</v>
      </c>
      <c r="I47" s="22" t="s">
        <v>197</v>
      </c>
      <c r="J47" s="28" t="s">
        <v>198</v>
      </c>
      <c r="K47" s="8" t="s">
        <v>584</v>
      </c>
      <c r="L47" s="8" t="s">
        <v>597</v>
      </c>
      <c r="M47" s="8" t="s">
        <v>1239</v>
      </c>
      <c r="N47" s="49"/>
      <c r="O47" s="25"/>
      <c r="P47" s="25" t="s">
        <v>391</v>
      </c>
      <c r="Q47" s="25"/>
      <c r="R47" s="49"/>
      <c r="S47" s="49"/>
      <c r="T47" s="25"/>
      <c r="U47" s="25"/>
      <c r="V47" s="25"/>
      <c r="W47" s="25"/>
      <c r="X47" s="25"/>
    </row>
    <row r="48" spans="1:24" ht="93.6" x14ac:dyDescent="0.3">
      <c r="A48" s="64" t="s">
        <v>387</v>
      </c>
      <c r="B48" s="77" t="s">
        <v>392</v>
      </c>
      <c r="C48" s="88" t="s">
        <v>393</v>
      </c>
      <c r="D48" s="32" t="s">
        <v>394</v>
      </c>
      <c r="E48" s="32"/>
      <c r="F48" s="32"/>
      <c r="G48" s="59" t="s">
        <v>395</v>
      </c>
      <c r="H48" s="76" t="s">
        <v>396</v>
      </c>
      <c r="I48" s="58" t="s">
        <v>8</v>
      </c>
      <c r="J48" s="28" t="s">
        <v>198</v>
      </c>
      <c r="K48" s="8" t="s">
        <v>595</v>
      </c>
      <c r="L48" s="8" t="s">
        <v>602</v>
      </c>
      <c r="M48" s="8" t="s">
        <v>1238</v>
      </c>
      <c r="N48" s="61" t="s">
        <v>397</v>
      </c>
      <c r="O48" s="19"/>
      <c r="P48" s="19"/>
      <c r="Q48" s="19"/>
      <c r="R48" s="61"/>
      <c r="S48" s="61"/>
      <c r="T48" s="19"/>
      <c r="U48" s="19"/>
      <c r="V48" s="19"/>
      <c r="W48" s="19"/>
      <c r="X48" s="19"/>
    </row>
    <row r="49" spans="1:24" ht="62.4" x14ac:dyDescent="0.3">
      <c r="A49" s="64" t="s">
        <v>387</v>
      </c>
      <c r="B49" s="77" t="s">
        <v>392</v>
      </c>
      <c r="C49" s="64" t="s">
        <v>393</v>
      </c>
      <c r="D49" s="32" t="s">
        <v>398</v>
      </c>
      <c r="E49" s="32"/>
      <c r="F49" s="32"/>
      <c r="G49" s="22" t="s">
        <v>399</v>
      </c>
      <c r="H49" s="76" t="s">
        <v>400</v>
      </c>
      <c r="I49" s="58" t="s">
        <v>8</v>
      </c>
      <c r="J49" s="28" t="s">
        <v>198</v>
      </c>
      <c r="K49" s="8" t="s">
        <v>589</v>
      </c>
      <c r="L49" s="8" t="s">
        <v>590</v>
      </c>
      <c r="M49" s="8" t="s">
        <v>8</v>
      </c>
      <c r="N49" s="61" t="s">
        <v>401</v>
      </c>
      <c r="O49" s="19"/>
      <c r="P49" s="19"/>
      <c r="Q49" s="19"/>
      <c r="R49" s="61"/>
      <c r="S49" s="61"/>
      <c r="T49" s="19"/>
      <c r="U49" s="19"/>
      <c r="V49" s="19"/>
      <c r="W49" s="19"/>
      <c r="X49" s="19"/>
    </row>
    <row r="50" spans="1:24" ht="46.8" x14ac:dyDescent="0.3">
      <c r="A50" s="64" t="s">
        <v>387</v>
      </c>
      <c r="B50" s="77" t="s">
        <v>392</v>
      </c>
      <c r="C50" s="64" t="s">
        <v>393</v>
      </c>
      <c r="D50" s="32"/>
      <c r="E50" s="32"/>
      <c r="F50" s="32"/>
      <c r="G50" s="59" t="s">
        <v>402</v>
      </c>
      <c r="H50" s="58" t="s">
        <v>403</v>
      </c>
      <c r="I50" s="58" t="s">
        <v>8</v>
      </c>
      <c r="J50" s="28" t="s">
        <v>198</v>
      </c>
      <c r="K50" s="8" t="s">
        <v>595</v>
      </c>
      <c r="L50" s="8" t="s">
        <v>596</v>
      </c>
      <c r="M50" s="8" t="s">
        <v>8</v>
      </c>
      <c r="N50" s="61"/>
      <c r="O50" s="19"/>
      <c r="P50" s="19"/>
      <c r="Q50" s="19"/>
      <c r="R50" s="61"/>
      <c r="S50" s="61"/>
      <c r="T50" s="19"/>
      <c r="U50" s="19"/>
      <c r="V50" s="19"/>
      <c r="W50" s="19"/>
      <c r="X50" s="19"/>
    </row>
    <row r="51" spans="1:24" ht="93.6" x14ac:dyDescent="0.3">
      <c r="A51" s="64" t="s">
        <v>387</v>
      </c>
      <c r="B51" s="77" t="s">
        <v>392</v>
      </c>
      <c r="C51" s="64" t="s">
        <v>393</v>
      </c>
      <c r="D51" s="31" t="s">
        <v>404</v>
      </c>
      <c r="E51" s="32" t="s">
        <v>405</v>
      </c>
      <c r="F51" s="32" t="s">
        <v>194</v>
      </c>
      <c r="G51" s="89" t="s">
        <v>406</v>
      </c>
      <c r="H51" s="58" t="s">
        <v>407</v>
      </c>
      <c r="I51" s="58" t="s">
        <v>8</v>
      </c>
      <c r="J51" s="28" t="s">
        <v>198</v>
      </c>
      <c r="K51" s="8" t="s">
        <v>568</v>
      </c>
      <c r="L51" s="8" t="s">
        <v>569</v>
      </c>
      <c r="M51" s="8" t="s">
        <v>1238</v>
      </c>
      <c r="N51" s="22"/>
      <c r="O51" s="22"/>
      <c r="P51" s="19"/>
      <c r="Q51" s="19"/>
      <c r="R51" s="19"/>
      <c r="S51" s="19"/>
      <c r="T51" s="19"/>
      <c r="U51" s="19"/>
      <c r="V51" s="19"/>
      <c r="W51" s="19"/>
      <c r="X51" s="19"/>
    </row>
    <row r="52" spans="1:24" ht="46.95" customHeight="1" x14ac:dyDescent="0.3">
      <c r="A52" s="72" t="s">
        <v>408</v>
      </c>
      <c r="B52" s="87" t="s">
        <v>409</v>
      </c>
      <c r="C52" s="72" t="s">
        <v>410</v>
      </c>
      <c r="D52" s="90" t="s">
        <v>411</v>
      </c>
      <c r="E52" s="73" t="s">
        <v>412</v>
      </c>
      <c r="F52" s="73" t="s">
        <v>194</v>
      </c>
      <c r="G52" s="90" t="s">
        <v>411</v>
      </c>
      <c r="H52" s="28" t="s">
        <v>242</v>
      </c>
      <c r="I52" s="22" t="s">
        <v>197</v>
      </c>
      <c r="J52" s="28" t="s">
        <v>198</v>
      </c>
      <c r="K52" s="8" t="s">
        <v>584</v>
      </c>
      <c r="L52" s="8" t="s">
        <v>597</v>
      </c>
      <c r="M52" s="8" t="s">
        <v>1238</v>
      </c>
      <c r="N52" s="49"/>
      <c r="O52" s="25"/>
      <c r="P52" s="25" t="s">
        <v>391</v>
      </c>
      <c r="Q52" s="25"/>
      <c r="R52" s="49"/>
      <c r="S52" s="49"/>
      <c r="T52" s="25"/>
      <c r="U52" s="25"/>
      <c r="V52" s="25"/>
      <c r="W52" s="25"/>
      <c r="X52" s="25"/>
    </row>
    <row r="53" spans="1:24" ht="62.4" x14ac:dyDescent="0.3">
      <c r="A53" s="72" t="s">
        <v>408</v>
      </c>
      <c r="B53" s="91" t="s">
        <v>409</v>
      </c>
      <c r="C53" s="88" t="s">
        <v>413</v>
      </c>
      <c r="D53" s="31"/>
      <c r="E53" s="31"/>
      <c r="F53" s="31"/>
      <c r="G53" s="59" t="s">
        <v>414</v>
      </c>
      <c r="H53" s="59"/>
      <c r="I53" s="59" t="s">
        <v>72</v>
      </c>
      <c r="J53" s="28" t="s">
        <v>198</v>
      </c>
      <c r="K53" s="8" t="s">
        <v>559</v>
      </c>
      <c r="L53" s="8" t="s">
        <v>559</v>
      </c>
      <c r="M53" s="8" t="s">
        <v>1239</v>
      </c>
      <c r="N53" s="92" t="s">
        <v>415</v>
      </c>
      <c r="O53" s="19" t="s">
        <v>416</v>
      </c>
      <c r="P53" s="19" t="s">
        <v>416</v>
      </c>
      <c r="Q53" s="19"/>
      <c r="R53" s="61"/>
      <c r="S53" s="61"/>
      <c r="T53" s="19"/>
      <c r="U53" s="19"/>
      <c r="V53" s="19"/>
      <c r="W53" s="19"/>
      <c r="X53" s="19"/>
    </row>
    <row r="54" spans="1:24" ht="93.6" x14ac:dyDescent="0.3">
      <c r="A54" s="72" t="s">
        <v>408</v>
      </c>
      <c r="B54" s="77" t="s">
        <v>417</v>
      </c>
      <c r="C54" s="64" t="s">
        <v>413</v>
      </c>
      <c r="D54" s="31" t="s">
        <v>418</v>
      </c>
      <c r="E54" s="32" t="s">
        <v>419</v>
      </c>
      <c r="F54" s="32"/>
      <c r="G54" s="59" t="s">
        <v>420</v>
      </c>
      <c r="H54" s="59" t="s">
        <v>421</v>
      </c>
      <c r="I54" s="59" t="s">
        <v>72</v>
      </c>
      <c r="J54" s="28" t="s">
        <v>198</v>
      </c>
      <c r="K54" s="8" t="s">
        <v>559</v>
      </c>
      <c r="L54" s="8" t="s">
        <v>559</v>
      </c>
      <c r="M54" s="8" t="s">
        <v>1239</v>
      </c>
      <c r="N54" s="61" t="s">
        <v>422</v>
      </c>
      <c r="O54" s="19" t="s">
        <v>416</v>
      </c>
      <c r="P54" s="19" t="s">
        <v>416</v>
      </c>
      <c r="Q54" s="19"/>
      <c r="R54" s="61"/>
      <c r="S54" s="61"/>
      <c r="T54" s="19"/>
      <c r="U54" s="19"/>
      <c r="V54" s="19"/>
      <c r="W54" s="19"/>
      <c r="X54" s="19"/>
    </row>
    <row r="55" spans="1:24" ht="78" x14ac:dyDescent="0.3">
      <c r="A55" s="72" t="s">
        <v>408</v>
      </c>
      <c r="B55" s="77" t="s">
        <v>417</v>
      </c>
      <c r="C55" s="64" t="s">
        <v>413</v>
      </c>
      <c r="D55" s="31" t="s">
        <v>418</v>
      </c>
      <c r="E55" s="32" t="s">
        <v>419</v>
      </c>
      <c r="F55" s="32" t="s">
        <v>212</v>
      </c>
      <c r="G55" s="59" t="s">
        <v>423</v>
      </c>
      <c r="H55" s="59" t="s">
        <v>421</v>
      </c>
      <c r="I55" s="59" t="s">
        <v>72</v>
      </c>
      <c r="J55" s="28" t="s">
        <v>198</v>
      </c>
      <c r="K55" s="8" t="s">
        <v>559</v>
      </c>
      <c r="L55" s="8" t="s">
        <v>559</v>
      </c>
      <c r="M55" s="8" t="s">
        <v>1239</v>
      </c>
      <c r="N55" s="22" t="s">
        <v>424</v>
      </c>
      <c r="O55" s="19" t="s">
        <v>416</v>
      </c>
      <c r="P55" s="19" t="s">
        <v>416</v>
      </c>
      <c r="Q55" s="19"/>
      <c r="R55" s="61"/>
      <c r="S55" s="61"/>
      <c r="T55" s="19"/>
      <c r="U55" s="19"/>
      <c r="V55" s="19"/>
      <c r="W55" s="19"/>
      <c r="X55" s="19"/>
    </row>
    <row r="56" spans="1:24" ht="78" x14ac:dyDescent="0.3">
      <c r="A56" s="72" t="s">
        <v>408</v>
      </c>
      <c r="B56" s="77" t="s">
        <v>417</v>
      </c>
      <c r="C56" s="64" t="s">
        <v>413</v>
      </c>
      <c r="D56" s="31" t="s">
        <v>425</v>
      </c>
      <c r="E56" s="32" t="s">
        <v>426</v>
      </c>
      <c r="F56" s="32" t="s">
        <v>212</v>
      </c>
      <c r="G56" s="59" t="s">
        <v>427</v>
      </c>
      <c r="H56" s="59" t="s">
        <v>421</v>
      </c>
      <c r="I56" s="59" t="s">
        <v>72</v>
      </c>
      <c r="J56" s="28" t="s">
        <v>198</v>
      </c>
      <c r="K56" s="8" t="s">
        <v>559</v>
      </c>
      <c r="L56" s="8" t="s">
        <v>559</v>
      </c>
      <c r="M56" s="8" t="s">
        <v>1239</v>
      </c>
      <c r="N56" s="22" t="s">
        <v>428</v>
      </c>
      <c r="O56" s="19" t="s">
        <v>416</v>
      </c>
      <c r="P56" s="19" t="s">
        <v>416</v>
      </c>
      <c r="Q56" s="19"/>
      <c r="R56" s="61"/>
      <c r="S56" s="61"/>
      <c r="T56" s="19"/>
      <c r="U56" s="19"/>
      <c r="V56" s="19"/>
      <c r="W56" s="19"/>
      <c r="X56" s="19"/>
    </row>
    <row r="57" spans="1:24" ht="93.6" x14ac:dyDescent="0.3">
      <c r="A57" s="72" t="s">
        <v>408</v>
      </c>
      <c r="B57" s="77" t="s">
        <v>417</v>
      </c>
      <c r="C57" s="64" t="s">
        <v>413</v>
      </c>
      <c r="D57" s="31" t="s">
        <v>429</v>
      </c>
      <c r="E57" s="32" t="s">
        <v>430</v>
      </c>
      <c r="F57" s="32" t="s">
        <v>212</v>
      </c>
      <c r="G57" s="59" t="s">
        <v>431</v>
      </c>
      <c r="H57" s="59" t="s">
        <v>273</v>
      </c>
      <c r="I57" s="59" t="s">
        <v>72</v>
      </c>
      <c r="J57" s="28" t="s">
        <v>198</v>
      </c>
      <c r="K57" s="8" t="s">
        <v>559</v>
      </c>
      <c r="L57" s="8" t="s">
        <v>559</v>
      </c>
      <c r="M57" s="8" t="s">
        <v>1239</v>
      </c>
      <c r="N57" s="22" t="s">
        <v>432</v>
      </c>
      <c r="O57" s="19" t="s">
        <v>416</v>
      </c>
      <c r="P57" s="19" t="s">
        <v>416</v>
      </c>
      <c r="Q57" s="19"/>
      <c r="R57" s="61"/>
      <c r="S57" s="61"/>
      <c r="T57" s="19"/>
      <c r="U57" s="19"/>
      <c r="V57" s="19"/>
      <c r="W57" s="19"/>
      <c r="X57" s="19"/>
    </row>
    <row r="58" spans="1:24" ht="88.8" customHeight="1" x14ac:dyDescent="0.3">
      <c r="A58" s="72" t="s">
        <v>433</v>
      </c>
      <c r="B58" s="87" t="s">
        <v>434</v>
      </c>
      <c r="C58" s="72" t="s">
        <v>435</v>
      </c>
      <c r="D58" s="73" t="s">
        <v>436</v>
      </c>
      <c r="E58" s="73" t="s">
        <v>437</v>
      </c>
      <c r="F58" s="73"/>
      <c r="G58" s="93" t="s">
        <v>438</v>
      </c>
      <c r="H58" s="94" t="s">
        <v>242</v>
      </c>
      <c r="I58" s="58" t="s">
        <v>8</v>
      </c>
      <c r="J58" s="54" t="s">
        <v>198</v>
      </c>
      <c r="K58" s="8" t="s">
        <v>589</v>
      </c>
      <c r="L58" s="8" t="s">
        <v>590</v>
      </c>
      <c r="M58" s="8" t="s">
        <v>1238</v>
      </c>
      <c r="N58" s="49" t="s">
        <v>439</v>
      </c>
      <c r="O58" s="25"/>
      <c r="P58" s="25" t="s">
        <v>440</v>
      </c>
      <c r="Q58" s="25"/>
      <c r="R58" s="49"/>
      <c r="S58" s="49"/>
      <c r="T58" s="25"/>
      <c r="U58" s="25"/>
      <c r="V58" s="25"/>
      <c r="W58" s="25"/>
      <c r="X58" s="25"/>
    </row>
    <row r="59" spans="1:24" ht="76.95" customHeight="1" x14ac:dyDescent="0.3">
      <c r="A59" s="64" t="s">
        <v>433</v>
      </c>
      <c r="B59" s="77" t="s">
        <v>434</v>
      </c>
      <c r="C59" s="64" t="s">
        <v>435</v>
      </c>
      <c r="D59" s="20"/>
      <c r="E59" s="32"/>
      <c r="F59" s="32"/>
      <c r="G59" s="22" t="s">
        <v>441</v>
      </c>
      <c r="H59" s="76" t="s">
        <v>242</v>
      </c>
      <c r="I59" s="58" t="s">
        <v>8</v>
      </c>
      <c r="J59" s="54" t="s">
        <v>198</v>
      </c>
      <c r="K59" s="8" t="s">
        <v>589</v>
      </c>
      <c r="L59" s="8" t="s">
        <v>590</v>
      </c>
      <c r="M59" s="8" t="s">
        <v>1238</v>
      </c>
      <c r="N59" s="61" t="s">
        <v>442</v>
      </c>
      <c r="O59" s="19"/>
      <c r="P59" s="19" t="s">
        <v>440</v>
      </c>
      <c r="Q59" s="19"/>
      <c r="R59" s="61"/>
      <c r="S59" s="61"/>
      <c r="T59" s="19"/>
      <c r="U59" s="19"/>
      <c r="V59" s="19"/>
      <c r="W59" s="19"/>
      <c r="X59" s="19"/>
    </row>
    <row r="60" spans="1:24" ht="67.95" customHeight="1" x14ac:dyDescent="0.3">
      <c r="A60" s="72" t="s">
        <v>433</v>
      </c>
      <c r="B60" s="87" t="s">
        <v>434</v>
      </c>
      <c r="C60" s="72" t="s">
        <v>443</v>
      </c>
      <c r="D60" s="20"/>
      <c r="E60" s="73"/>
      <c r="F60" s="73"/>
      <c r="G60" s="22" t="s">
        <v>444</v>
      </c>
      <c r="H60" s="76" t="s">
        <v>445</v>
      </c>
      <c r="I60" s="22" t="s">
        <v>197</v>
      </c>
      <c r="J60" s="54" t="s">
        <v>198</v>
      </c>
      <c r="K60" s="8" t="s">
        <v>589</v>
      </c>
      <c r="L60" s="8" t="s">
        <v>590</v>
      </c>
      <c r="M60" s="8" t="s">
        <v>1238</v>
      </c>
      <c r="N60" s="49"/>
      <c r="O60" s="25"/>
      <c r="P60" s="25"/>
      <c r="Q60" s="25"/>
      <c r="R60" s="49"/>
      <c r="S60" s="49"/>
      <c r="T60" s="25"/>
      <c r="U60" s="25"/>
      <c r="V60" s="25"/>
      <c r="W60" s="25"/>
      <c r="X60" s="25"/>
    </row>
    <row r="61" spans="1:24" ht="93.6" x14ac:dyDescent="0.3">
      <c r="A61" s="64" t="s">
        <v>433</v>
      </c>
      <c r="B61" s="77" t="s">
        <v>434</v>
      </c>
      <c r="C61" s="64" t="s">
        <v>443</v>
      </c>
      <c r="D61" s="20"/>
      <c r="E61" s="32"/>
      <c r="F61" s="32"/>
      <c r="G61" s="59" t="s">
        <v>446</v>
      </c>
      <c r="H61" s="76" t="s">
        <v>242</v>
      </c>
      <c r="I61" s="58" t="s">
        <v>8</v>
      </c>
      <c r="J61" s="54" t="s">
        <v>198</v>
      </c>
      <c r="K61" s="8" t="s">
        <v>589</v>
      </c>
      <c r="L61" s="8" t="s">
        <v>590</v>
      </c>
      <c r="M61" s="8" t="s">
        <v>1238</v>
      </c>
      <c r="N61" s="92" t="s">
        <v>447</v>
      </c>
      <c r="O61" s="19"/>
      <c r="P61" s="19" t="s">
        <v>440</v>
      </c>
      <c r="Q61" s="19"/>
      <c r="R61" s="61"/>
      <c r="S61" s="61"/>
      <c r="T61" s="19"/>
      <c r="U61" s="19"/>
      <c r="V61" s="19"/>
      <c r="W61" s="19"/>
      <c r="X61" s="19"/>
    </row>
    <row r="62" spans="1:24" ht="46.8" x14ac:dyDescent="0.3">
      <c r="A62" s="64" t="s">
        <v>448</v>
      </c>
      <c r="B62" s="95" t="s">
        <v>449</v>
      </c>
      <c r="C62" s="96" t="s">
        <v>450</v>
      </c>
      <c r="D62" s="97"/>
      <c r="E62" s="97"/>
      <c r="F62" s="97"/>
      <c r="G62" s="22" t="s">
        <v>451</v>
      </c>
      <c r="H62" s="58" t="s">
        <v>242</v>
      </c>
      <c r="I62" s="58" t="s">
        <v>8</v>
      </c>
      <c r="J62" s="58" t="s">
        <v>198</v>
      </c>
      <c r="K62" s="8" t="s">
        <v>587</v>
      </c>
      <c r="L62" s="8" t="s">
        <v>588</v>
      </c>
      <c r="M62" s="8" t="s">
        <v>1238</v>
      </c>
      <c r="N62" s="61" t="s">
        <v>452</v>
      </c>
      <c r="O62" s="19" t="s">
        <v>335</v>
      </c>
      <c r="P62" s="19" t="s">
        <v>335</v>
      </c>
      <c r="Q62" s="19"/>
      <c r="R62" s="61" t="s">
        <v>229</v>
      </c>
      <c r="S62" s="61"/>
      <c r="T62" s="19"/>
      <c r="U62" s="19"/>
      <c r="V62" s="19"/>
      <c r="W62" s="19"/>
      <c r="X62" s="19"/>
    </row>
    <row r="63" spans="1:24" ht="93.6" x14ac:dyDescent="0.3">
      <c r="A63" s="64" t="s">
        <v>448</v>
      </c>
      <c r="B63" s="95" t="s">
        <v>449</v>
      </c>
      <c r="C63" s="96" t="s">
        <v>450</v>
      </c>
      <c r="D63" s="97"/>
      <c r="E63" s="97"/>
      <c r="F63" s="97"/>
      <c r="G63" s="22" t="s">
        <v>453</v>
      </c>
      <c r="H63" s="58" t="s">
        <v>242</v>
      </c>
      <c r="I63" s="58" t="s">
        <v>8</v>
      </c>
      <c r="J63" s="58" t="s">
        <v>198</v>
      </c>
      <c r="K63" s="8" t="s">
        <v>587</v>
      </c>
      <c r="L63" s="8" t="s">
        <v>588</v>
      </c>
      <c r="M63" s="8" t="s">
        <v>1238</v>
      </c>
      <c r="N63" s="61" t="s">
        <v>454</v>
      </c>
      <c r="O63" s="19" t="s">
        <v>335</v>
      </c>
      <c r="P63" s="19" t="s">
        <v>335</v>
      </c>
      <c r="Q63" s="19"/>
      <c r="R63" s="61" t="s">
        <v>229</v>
      </c>
      <c r="S63" s="61"/>
      <c r="T63" s="19"/>
      <c r="U63" s="19"/>
      <c r="V63" s="19"/>
      <c r="W63" s="19"/>
      <c r="X63" s="19"/>
    </row>
    <row r="64" spans="1:24" ht="15.6" customHeight="1" x14ac:dyDescent="0.3">
      <c r="A64" s="72" t="s">
        <v>448</v>
      </c>
      <c r="B64" s="98" t="s">
        <v>449</v>
      </c>
      <c r="C64" s="99" t="s">
        <v>450</v>
      </c>
      <c r="D64" s="100"/>
      <c r="E64" s="100"/>
      <c r="F64" s="100"/>
      <c r="G64" s="28" t="s">
        <v>455</v>
      </c>
      <c r="H64" s="28" t="s">
        <v>253</v>
      </c>
      <c r="I64" s="22" t="s">
        <v>197</v>
      </c>
      <c r="J64" s="58" t="s">
        <v>198</v>
      </c>
      <c r="K64" s="8" t="s">
        <v>584</v>
      </c>
      <c r="L64" s="8" t="s">
        <v>597</v>
      </c>
      <c r="M64" s="8" t="s">
        <v>1239</v>
      </c>
      <c r="N64" s="49"/>
      <c r="O64" s="25"/>
      <c r="P64" s="25"/>
      <c r="Q64" s="25"/>
      <c r="R64" s="49"/>
      <c r="S64" s="49"/>
      <c r="T64" s="25"/>
      <c r="U64" s="25"/>
      <c r="V64" s="25"/>
      <c r="W64" s="25"/>
      <c r="X64" s="25"/>
    </row>
    <row r="65" spans="1:24" ht="78" customHeight="1" x14ac:dyDescent="0.3">
      <c r="A65" s="72" t="s">
        <v>448</v>
      </c>
      <c r="B65" s="72" t="s">
        <v>456</v>
      </c>
      <c r="C65" s="99" t="s">
        <v>457</v>
      </c>
      <c r="D65" s="100" t="s">
        <v>458</v>
      </c>
      <c r="E65" s="100" t="s">
        <v>459</v>
      </c>
      <c r="F65" s="100"/>
      <c r="G65" s="93" t="s">
        <v>460</v>
      </c>
      <c r="H65" s="94" t="s">
        <v>242</v>
      </c>
      <c r="I65" s="58" t="s">
        <v>8</v>
      </c>
      <c r="J65" s="58" t="s">
        <v>198</v>
      </c>
      <c r="K65" s="8" t="s">
        <v>587</v>
      </c>
      <c r="L65" s="8" t="s">
        <v>588</v>
      </c>
      <c r="M65" s="8" t="s">
        <v>1238</v>
      </c>
      <c r="N65" s="49" t="s">
        <v>461</v>
      </c>
      <c r="O65" s="25" t="s">
        <v>335</v>
      </c>
      <c r="P65" s="25" t="s">
        <v>335</v>
      </c>
      <c r="Q65" s="25"/>
      <c r="R65" s="49"/>
      <c r="S65" s="49"/>
      <c r="T65" s="25"/>
      <c r="U65" s="25"/>
      <c r="V65" s="25"/>
      <c r="W65" s="25"/>
      <c r="X65" s="25"/>
    </row>
    <row r="66" spans="1:24" ht="78" x14ac:dyDescent="0.3">
      <c r="A66" s="64" t="s">
        <v>448</v>
      </c>
      <c r="B66" s="64" t="s">
        <v>456</v>
      </c>
      <c r="C66" s="96" t="s">
        <v>457</v>
      </c>
      <c r="D66" s="97" t="s">
        <v>462</v>
      </c>
      <c r="E66" s="97" t="s">
        <v>463</v>
      </c>
      <c r="F66" s="97"/>
      <c r="G66" s="69" t="s">
        <v>464</v>
      </c>
      <c r="H66" s="70" t="s">
        <v>242</v>
      </c>
      <c r="I66" s="58" t="s">
        <v>8</v>
      </c>
      <c r="J66" s="58" t="s">
        <v>198</v>
      </c>
      <c r="K66" s="8" t="s">
        <v>587</v>
      </c>
      <c r="L66" s="8" t="s">
        <v>588</v>
      </c>
      <c r="M66" s="8" t="s">
        <v>1238</v>
      </c>
      <c r="N66" s="61" t="s">
        <v>465</v>
      </c>
      <c r="O66" s="19" t="s">
        <v>335</v>
      </c>
      <c r="P66" s="19" t="s">
        <v>335</v>
      </c>
      <c r="Q66" s="19">
        <v>629</v>
      </c>
      <c r="R66" s="61" t="s">
        <v>466</v>
      </c>
      <c r="S66" s="61"/>
      <c r="T66" s="19"/>
      <c r="U66" s="19"/>
      <c r="V66" s="19"/>
      <c r="W66" s="19"/>
      <c r="X66" s="19"/>
    </row>
    <row r="67" spans="1:24" ht="62.4" x14ac:dyDescent="0.3">
      <c r="A67" s="64" t="s">
        <v>448</v>
      </c>
      <c r="B67" s="64" t="s">
        <v>456</v>
      </c>
      <c r="C67" s="96" t="s">
        <v>457</v>
      </c>
      <c r="D67" s="97" t="s">
        <v>467</v>
      </c>
      <c r="E67" s="97" t="s">
        <v>468</v>
      </c>
      <c r="F67" s="97"/>
      <c r="G67" s="66" t="s">
        <v>469</v>
      </c>
      <c r="H67" s="70" t="s">
        <v>242</v>
      </c>
      <c r="I67" s="58" t="s">
        <v>8</v>
      </c>
      <c r="J67" s="58" t="s">
        <v>198</v>
      </c>
      <c r="K67" s="8" t="s">
        <v>587</v>
      </c>
      <c r="L67" s="8" t="s">
        <v>588</v>
      </c>
      <c r="M67" s="8" t="s">
        <v>1238</v>
      </c>
      <c r="N67" s="61" t="s">
        <v>470</v>
      </c>
      <c r="O67" s="19" t="s">
        <v>335</v>
      </c>
      <c r="P67" s="19" t="s">
        <v>335</v>
      </c>
      <c r="Q67" s="101">
        <v>0.83</v>
      </c>
      <c r="R67" s="102">
        <v>0.8</v>
      </c>
      <c r="S67" s="102"/>
      <c r="T67" s="102">
        <v>0.8</v>
      </c>
      <c r="U67" s="102">
        <v>0.8</v>
      </c>
      <c r="V67" s="102">
        <v>0.8</v>
      </c>
      <c r="W67" s="102">
        <v>0.8</v>
      </c>
      <c r="X67" s="102">
        <v>0.8</v>
      </c>
    </row>
    <row r="68" spans="1:24" ht="62.4" x14ac:dyDescent="0.3">
      <c r="A68" s="64" t="s">
        <v>448</v>
      </c>
      <c r="B68" s="77" t="s">
        <v>471</v>
      </c>
      <c r="C68" s="64" t="s">
        <v>472</v>
      </c>
      <c r="D68" s="103"/>
      <c r="E68" s="32"/>
      <c r="F68" s="32"/>
      <c r="G68" s="22" t="s">
        <v>473</v>
      </c>
      <c r="H68" s="58" t="s">
        <v>474</v>
      </c>
      <c r="I68" s="58" t="s">
        <v>8</v>
      </c>
      <c r="J68" s="58" t="s">
        <v>198</v>
      </c>
      <c r="K68" s="8" t="s">
        <v>587</v>
      </c>
      <c r="L68" s="8" t="s">
        <v>588</v>
      </c>
      <c r="M68" s="8" t="s">
        <v>1239</v>
      </c>
      <c r="N68" s="61" t="s">
        <v>475</v>
      </c>
      <c r="O68" s="19"/>
      <c r="P68" s="19" t="s">
        <v>335</v>
      </c>
      <c r="Q68" s="19">
        <v>26</v>
      </c>
      <c r="R68" s="102">
        <v>1</v>
      </c>
      <c r="S68" s="102"/>
      <c r="T68" s="102">
        <v>1</v>
      </c>
      <c r="U68" s="102">
        <v>1</v>
      </c>
      <c r="V68" s="102">
        <v>1</v>
      </c>
      <c r="W68" s="102">
        <v>1</v>
      </c>
      <c r="X68" s="102">
        <v>1</v>
      </c>
    </row>
    <row r="69" spans="1:24" ht="93.6" x14ac:dyDescent="0.3">
      <c r="A69" s="64" t="s">
        <v>448</v>
      </c>
      <c r="B69" s="77" t="s">
        <v>476</v>
      </c>
      <c r="C69" s="64" t="s">
        <v>477</v>
      </c>
      <c r="D69" s="32"/>
      <c r="E69" s="32"/>
      <c r="F69" s="32"/>
      <c r="G69" s="22" t="s">
        <v>478</v>
      </c>
      <c r="H69" s="58" t="s">
        <v>273</v>
      </c>
      <c r="I69" s="58" t="s">
        <v>72</v>
      </c>
      <c r="J69" s="58" t="s">
        <v>198</v>
      </c>
      <c r="K69" s="8" t="s">
        <v>587</v>
      </c>
      <c r="L69" s="8" t="s">
        <v>588</v>
      </c>
      <c r="M69" s="8" t="s">
        <v>1239</v>
      </c>
      <c r="N69" s="22" t="s">
        <v>479</v>
      </c>
      <c r="O69" s="19" t="s">
        <v>480</v>
      </c>
      <c r="P69" s="19" t="s">
        <v>480</v>
      </c>
      <c r="Q69" s="23">
        <v>0.91439999999999999</v>
      </c>
      <c r="R69" s="61"/>
      <c r="S69" s="61"/>
      <c r="T69" s="19"/>
      <c r="U69" s="19"/>
      <c r="V69" s="19"/>
      <c r="W69" s="19"/>
      <c r="X69" s="19"/>
    </row>
    <row r="70" spans="1:24" ht="109.2" x14ac:dyDescent="0.3">
      <c r="A70" s="64" t="s">
        <v>448</v>
      </c>
      <c r="B70" s="77" t="s">
        <v>481</v>
      </c>
      <c r="C70" s="64" t="s">
        <v>482</v>
      </c>
      <c r="D70" s="32" t="s">
        <v>483</v>
      </c>
      <c r="E70" s="32" t="s">
        <v>484</v>
      </c>
      <c r="F70" s="32" t="s">
        <v>194</v>
      </c>
      <c r="G70" s="58" t="s">
        <v>483</v>
      </c>
      <c r="H70" s="58" t="s">
        <v>242</v>
      </c>
      <c r="I70" s="58" t="s">
        <v>8</v>
      </c>
      <c r="J70" s="58" t="s">
        <v>198</v>
      </c>
      <c r="K70" s="8" t="s">
        <v>587</v>
      </c>
      <c r="L70" s="8" t="s">
        <v>588</v>
      </c>
      <c r="M70" s="8" t="s">
        <v>1238</v>
      </c>
      <c r="N70" s="22" t="s">
        <v>485</v>
      </c>
      <c r="O70" s="19"/>
      <c r="P70" s="19"/>
      <c r="Q70" s="19"/>
      <c r="R70" s="61"/>
      <c r="S70" s="61"/>
      <c r="T70" s="19"/>
      <c r="U70" s="19"/>
      <c r="V70" s="19"/>
      <c r="W70" s="19"/>
      <c r="X70" s="19"/>
    </row>
    <row r="71" spans="1:24" ht="78" x14ac:dyDescent="0.3">
      <c r="A71" s="64" t="s">
        <v>486</v>
      </c>
      <c r="B71" s="77" t="s">
        <v>487</v>
      </c>
      <c r="C71" s="64" t="s">
        <v>488</v>
      </c>
      <c r="D71" s="32"/>
      <c r="E71" s="32"/>
      <c r="F71" s="32"/>
      <c r="G71" s="61" t="s">
        <v>489</v>
      </c>
      <c r="H71" s="104" t="s">
        <v>242</v>
      </c>
      <c r="I71" s="58" t="s">
        <v>8</v>
      </c>
      <c r="J71" s="58" t="s">
        <v>198</v>
      </c>
      <c r="K71" s="8" t="s">
        <v>608</v>
      </c>
      <c r="L71" s="8" t="s">
        <v>615</v>
      </c>
      <c r="M71" s="8" t="s">
        <v>1238</v>
      </c>
      <c r="N71" s="61" t="s">
        <v>489</v>
      </c>
      <c r="O71" s="19"/>
      <c r="P71" s="19"/>
      <c r="Q71" s="105" t="s">
        <v>490</v>
      </c>
      <c r="R71" s="61"/>
      <c r="S71" s="61"/>
      <c r="T71" s="19"/>
      <c r="U71" s="19"/>
      <c r="V71" s="19"/>
      <c r="W71" s="19"/>
      <c r="X71" s="19"/>
    </row>
    <row r="72" spans="1:24" ht="78" x14ac:dyDescent="0.3">
      <c r="A72" s="64" t="s">
        <v>486</v>
      </c>
      <c r="B72" s="77" t="s">
        <v>487</v>
      </c>
      <c r="C72" s="64" t="s">
        <v>488</v>
      </c>
      <c r="D72" s="32"/>
      <c r="E72" s="32"/>
      <c r="F72" s="32"/>
      <c r="G72" s="22" t="s">
        <v>491</v>
      </c>
      <c r="H72" s="22" t="s">
        <v>253</v>
      </c>
      <c r="I72" s="22" t="s">
        <v>197</v>
      </c>
      <c r="J72" s="58" t="s">
        <v>198</v>
      </c>
      <c r="K72" s="8" t="s">
        <v>584</v>
      </c>
      <c r="L72" s="8" t="s">
        <v>597</v>
      </c>
      <c r="M72" s="8" t="s">
        <v>1239</v>
      </c>
      <c r="N72" s="22" t="s">
        <v>491</v>
      </c>
      <c r="O72" s="19"/>
      <c r="P72" s="19"/>
      <c r="Q72" s="19"/>
      <c r="R72" s="61"/>
      <c r="S72" s="61"/>
      <c r="T72" s="19"/>
      <c r="U72" s="19"/>
      <c r="V72" s="19"/>
      <c r="W72" s="19"/>
      <c r="X72" s="19"/>
    </row>
    <row r="73" spans="1:24" ht="46.8" x14ac:dyDescent="0.3">
      <c r="A73" s="64" t="s">
        <v>486</v>
      </c>
      <c r="B73" s="64" t="s">
        <v>492</v>
      </c>
      <c r="C73" s="64" t="s">
        <v>493</v>
      </c>
      <c r="D73" s="32"/>
      <c r="E73" s="32"/>
      <c r="F73" s="32"/>
      <c r="G73" s="22" t="s">
        <v>494</v>
      </c>
      <c r="H73" s="76" t="s">
        <v>242</v>
      </c>
      <c r="I73" s="58" t="s">
        <v>8</v>
      </c>
      <c r="J73" s="58" t="s">
        <v>198</v>
      </c>
      <c r="K73" s="8" t="s">
        <v>1236</v>
      </c>
      <c r="L73" s="8" t="s">
        <v>607</v>
      </c>
      <c r="M73" s="8" t="s">
        <v>1238</v>
      </c>
      <c r="N73" s="61" t="s">
        <v>495</v>
      </c>
      <c r="O73" s="19" t="s">
        <v>496</v>
      </c>
      <c r="P73" s="19" t="s">
        <v>497</v>
      </c>
      <c r="Q73" s="19"/>
      <c r="R73" s="61"/>
      <c r="S73" s="61"/>
      <c r="T73" s="19"/>
      <c r="U73" s="19"/>
      <c r="V73" s="19"/>
      <c r="W73" s="19"/>
      <c r="X73" s="19"/>
    </row>
    <row r="74" spans="1:24" ht="156" x14ac:dyDescent="0.3">
      <c r="A74" s="64" t="s">
        <v>486</v>
      </c>
      <c r="B74" s="64" t="s">
        <v>492</v>
      </c>
      <c r="C74" s="106" t="s">
        <v>498</v>
      </c>
      <c r="D74" s="107"/>
      <c r="E74" s="107" t="s">
        <v>499</v>
      </c>
      <c r="F74" s="107" t="s">
        <v>500</v>
      </c>
      <c r="G74" s="22" t="s">
        <v>501</v>
      </c>
      <c r="H74" s="76" t="s">
        <v>242</v>
      </c>
      <c r="I74" s="22" t="s">
        <v>72</v>
      </c>
      <c r="J74" s="58" t="s">
        <v>198</v>
      </c>
      <c r="K74" s="8" t="s">
        <v>567</v>
      </c>
      <c r="L74" s="8" t="s">
        <v>574</v>
      </c>
      <c r="M74" s="8" t="s">
        <v>1239</v>
      </c>
      <c r="N74" s="61" t="s">
        <v>502</v>
      </c>
      <c r="O74" s="19" t="s">
        <v>503</v>
      </c>
      <c r="P74" s="19" t="s">
        <v>503</v>
      </c>
      <c r="Q74" s="23">
        <v>0.85199999999999998</v>
      </c>
      <c r="R74" s="61"/>
      <c r="S74" s="61"/>
      <c r="T74" s="19"/>
      <c r="U74" s="19"/>
      <c r="V74" s="19"/>
      <c r="W74" s="19"/>
      <c r="X74" s="19"/>
    </row>
    <row r="75" spans="1:24" ht="156" x14ac:dyDescent="0.3">
      <c r="A75" s="64" t="s">
        <v>486</v>
      </c>
      <c r="B75" s="64" t="s">
        <v>492</v>
      </c>
      <c r="C75" s="106" t="s">
        <v>498</v>
      </c>
      <c r="D75" s="107"/>
      <c r="E75" s="107" t="s">
        <v>499</v>
      </c>
      <c r="F75" s="107" t="s">
        <v>500</v>
      </c>
      <c r="G75" s="22" t="s">
        <v>504</v>
      </c>
      <c r="H75" s="76" t="s">
        <v>242</v>
      </c>
      <c r="I75" s="22" t="s">
        <v>72</v>
      </c>
      <c r="J75" s="58" t="s">
        <v>198</v>
      </c>
      <c r="K75" s="8" t="s">
        <v>567</v>
      </c>
      <c r="L75" s="8" t="s">
        <v>574</v>
      </c>
      <c r="M75" s="8" t="s">
        <v>1239</v>
      </c>
      <c r="N75" s="61" t="s">
        <v>502</v>
      </c>
      <c r="O75" s="19" t="s">
        <v>503</v>
      </c>
      <c r="P75" s="19" t="s">
        <v>503</v>
      </c>
      <c r="Q75" s="23">
        <v>0.85199999999999998</v>
      </c>
      <c r="R75" s="61"/>
      <c r="S75" s="61"/>
      <c r="T75" s="19"/>
      <c r="U75" s="19"/>
      <c r="V75" s="19"/>
      <c r="W75" s="19"/>
      <c r="X75" s="19"/>
    </row>
    <row r="76" spans="1:24" ht="124.95" customHeight="1" x14ac:dyDescent="0.3">
      <c r="A76" s="72" t="s">
        <v>486</v>
      </c>
      <c r="B76" s="72" t="s">
        <v>492</v>
      </c>
      <c r="C76" s="108" t="s">
        <v>498</v>
      </c>
      <c r="D76" s="109"/>
      <c r="E76" s="107" t="s">
        <v>499</v>
      </c>
      <c r="F76" s="107" t="s">
        <v>500</v>
      </c>
      <c r="G76" s="93" t="s">
        <v>505</v>
      </c>
      <c r="H76" s="28" t="s">
        <v>242</v>
      </c>
      <c r="I76" s="28" t="s">
        <v>8</v>
      </c>
      <c r="J76" s="58" t="s">
        <v>198</v>
      </c>
      <c r="K76" s="8" t="s">
        <v>567</v>
      </c>
      <c r="L76" s="8" t="s">
        <v>574</v>
      </c>
      <c r="M76" s="8" t="s">
        <v>1238</v>
      </c>
      <c r="N76" s="49"/>
      <c r="O76" s="25" t="s">
        <v>503</v>
      </c>
      <c r="P76" s="25" t="s">
        <v>503</v>
      </c>
      <c r="Q76" s="110">
        <v>0.85199999999999998</v>
      </c>
      <c r="R76" s="49"/>
      <c r="S76" s="49"/>
      <c r="T76" s="25"/>
      <c r="U76" s="25"/>
      <c r="V76" s="25"/>
      <c r="W76" s="25"/>
      <c r="X76" s="25"/>
    </row>
    <row r="77" spans="1:24" ht="156" x14ac:dyDescent="0.3">
      <c r="A77" s="64" t="s">
        <v>486</v>
      </c>
      <c r="B77" s="64" t="s">
        <v>492</v>
      </c>
      <c r="C77" s="106" t="s">
        <v>498</v>
      </c>
      <c r="D77" s="107"/>
      <c r="E77" s="107"/>
      <c r="F77" s="107"/>
      <c r="G77" s="22" t="s">
        <v>506</v>
      </c>
      <c r="H77" s="22" t="s">
        <v>273</v>
      </c>
      <c r="I77" s="22" t="s">
        <v>72</v>
      </c>
      <c r="J77" s="58" t="s">
        <v>198</v>
      </c>
      <c r="K77" s="8" t="s">
        <v>567</v>
      </c>
      <c r="L77" s="8" t="s">
        <v>574</v>
      </c>
      <c r="M77" s="8" t="s">
        <v>1239</v>
      </c>
      <c r="N77" s="61" t="s">
        <v>507</v>
      </c>
      <c r="O77" s="19" t="s">
        <v>503</v>
      </c>
      <c r="P77" s="19" t="s">
        <v>503</v>
      </c>
      <c r="Q77" s="23">
        <v>0.72529999999999994</v>
      </c>
      <c r="R77" s="61"/>
      <c r="S77" s="61"/>
      <c r="T77" s="19"/>
      <c r="U77" s="19"/>
      <c r="V77" s="19"/>
      <c r="W77" s="19"/>
      <c r="X77" s="19"/>
    </row>
    <row r="78" spans="1:24" ht="78" x14ac:dyDescent="0.3">
      <c r="A78" s="64" t="s">
        <v>486</v>
      </c>
      <c r="B78" s="77" t="s">
        <v>508</v>
      </c>
      <c r="C78" s="96" t="s">
        <v>509</v>
      </c>
      <c r="D78" s="97" t="s">
        <v>510</v>
      </c>
      <c r="E78" s="97" t="s">
        <v>511</v>
      </c>
      <c r="F78" s="97" t="s">
        <v>51</v>
      </c>
      <c r="G78" s="59" t="s">
        <v>512</v>
      </c>
      <c r="H78" s="28" t="s">
        <v>242</v>
      </c>
      <c r="I78" s="58" t="s">
        <v>8</v>
      </c>
      <c r="J78" s="58" t="s">
        <v>198</v>
      </c>
      <c r="K78" s="8" t="s">
        <v>567</v>
      </c>
      <c r="L78" s="8" t="s">
        <v>514</v>
      </c>
      <c r="M78" s="8" t="s">
        <v>1238</v>
      </c>
      <c r="N78" s="61" t="s">
        <v>513</v>
      </c>
      <c r="O78" s="19"/>
      <c r="P78" s="19" t="s">
        <v>514</v>
      </c>
      <c r="Q78" s="111" t="s">
        <v>515</v>
      </c>
      <c r="R78" s="61"/>
      <c r="S78" s="61"/>
      <c r="T78" s="19"/>
      <c r="U78" s="19"/>
      <c r="V78" s="19"/>
      <c r="W78" s="19"/>
      <c r="X78" s="19"/>
    </row>
    <row r="79" spans="1:24" ht="124.8" x14ac:dyDescent="0.3">
      <c r="A79" s="72" t="s">
        <v>516</v>
      </c>
      <c r="B79" s="87" t="s">
        <v>517</v>
      </c>
      <c r="C79" s="72" t="s">
        <v>518</v>
      </c>
      <c r="D79" s="73"/>
      <c r="E79" s="73"/>
      <c r="F79" s="73"/>
      <c r="G79" s="28" t="s">
        <v>519</v>
      </c>
      <c r="H79" s="28" t="s">
        <v>273</v>
      </c>
      <c r="I79" s="28" t="s">
        <v>72</v>
      </c>
      <c r="J79" s="28" t="s">
        <v>198</v>
      </c>
      <c r="K79" s="8" t="s">
        <v>595</v>
      </c>
      <c r="L79" s="8" t="s">
        <v>596</v>
      </c>
      <c r="M79" s="8" t="s">
        <v>1239</v>
      </c>
      <c r="N79" s="28" t="s">
        <v>520</v>
      </c>
      <c r="O79" s="25" t="s">
        <v>521</v>
      </c>
      <c r="P79" s="25" t="s">
        <v>521</v>
      </c>
      <c r="Q79" s="112" t="s">
        <v>522</v>
      </c>
      <c r="R79" s="112" t="s">
        <v>523</v>
      </c>
      <c r="S79" s="49"/>
      <c r="T79" s="25"/>
      <c r="U79" s="25"/>
      <c r="V79" s="25"/>
      <c r="W79" s="25"/>
      <c r="X79" s="25"/>
    </row>
    <row r="80" spans="1:24" ht="70.95" customHeight="1" x14ac:dyDescent="0.3">
      <c r="A80" s="72" t="s">
        <v>516</v>
      </c>
      <c r="B80" s="87" t="s">
        <v>524</v>
      </c>
      <c r="C80" s="72" t="s">
        <v>525</v>
      </c>
      <c r="D80" s="90" t="s">
        <v>526</v>
      </c>
      <c r="E80" s="73" t="s">
        <v>527</v>
      </c>
      <c r="F80" s="73" t="s">
        <v>194</v>
      </c>
      <c r="G80" s="28" t="s">
        <v>526</v>
      </c>
      <c r="H80" s="28"/>
      <c r="I80" s="28" t="s">
        <v>242</v>
      </c>
      <c r="J80" s="28" t="s">
        <v>198</v>
      </c>
      <c r="K80" s="8" t="s">
        <v>595</v>
      </c>
      <c r="L80" s="8" t="s">
        <v>596</v>
      </c>
      <c r="M80" s="8" t="s">
        <v>1238</v>
      </c>
      <c r="N80" s="28" t="s">
        <v>528</v>
      </c>
      <c r="O80" s="25"/>
      <c r="P80" s="25"/>
      <c r="Q80" s="113">
        <v>0.82</v>
      </c>
      <c r="R80" s="49"/>
      <c r="S80" s="49"/>
      <c r="T80" s="25"/>
      <c r="U80" s="25"/>
      <c r="V80" s="25"/>
      <c r="W80" s="25"/>
      <c r="X80" s="25"/>
    </row>
    <row r="81" spans="1:24" ht="140.4" x14ac:dyDescent="0.3">
      <c r="A81" s="72" t="s">
        <v>516</v>
      </c>
      <c r="B81" s="87" t="s">
        <v>524</v>
      </c>
      <c r="C81" s="72" t="s">
        <v>529</v>
      </c>
      <c r="D81" s="73"/>
      <c r="E81" s="73"/>
      <c r="F81" s="73"/>
      <c r="G81" s="93" t="s">
        <v>530</v>
      </c>
      <c r="H81" s="54" t="s">
        <v>531</v>
      </c>
      <c r="I81" s="58" t="s">
        <v>72</v>
      </c>
      <c r="J81" s="28" t="s">
        <v>198</v>
      </c>
      <c r="K81" s="8" t="s">
        <v>595</v>
      </c>
      <c r="L81" s="8" t="s">
        <v>596</v>
      </c>
      <c r="M81" s="8" t="s">
        <v>1239</v>
      </c>
      <c r="N81" s="49" t="s">
        <v>532</v>
      </c>
      <c r="O81" s="25" t="s">
        <v>521</v>
      </c>
      <c r="P81" s="25" t="s">
        <v>521</v>
      </c>
      <c r="Q81" s="25"/>
      <c r="R81" s="49"/>
      <c r="S81" s="49"/>
      <c r="T81" s="25"/>
      <c r="U81" s="25"/>
      <c r="V81" s="25"/>
      <c r="W81" s="25"/>
      <c r="X81" s="25"/>
    </row>
    <row r="82" spans="1:24" ht="78" x14ac:dyDescent="0.3">
      <c r="A82" s="64" t="s">
        <v>516</v>
      </c>
      <c r="B82" s="77" t="s">
        <v>533</v>
      </c>
      <c r="C82" s="64" t="s">
        <v>534</v>
      </c>
      <c r="D82" s="32" t="s">
        <v>535</v>
      </c>
      <c r="E82" s="32" t="s">
        <v>536</v>
      </c>
      <c r="F82" s="32" t="s">
        <v>194</v>
      </c>
      <c r="G82" s="22" t="s">
        <v>537</v>
      </c>
      <c r="H82" s="58"/>
      <c r="I82" s="58" t="s">
        <v>72</v>
      </c>
      <c r="J82" s="28" t="s">
        <v>198</v>
      </c>
      <c r="K82" s="8" t="s">
        <v>595</v>
      </c>
      <c r="L82" s="8" t="s">
        <v>596</v>
      </c>
      <c r="M82" s="8" t="s">
        <v>1238</v>
      </c>
      <c r="N82" s="61" t="s">
        <v>538</v>
      </c>
      <c r="O82" s="19" t="s">
        <v>521</v>
      </c>
      <c r="P82" s="19" t="s">
        <v>521</v>
      </c>
      <c r="Q82" s="24">
        <v>0.96</v>
      </c>
      <c r="R82" s="61"/>
      <c r="S82" s="61"/>
      <c r="T82" s="19"/>
      <c r="U82" s="19"/>
      <c r="V82" s="19"/>
      <c r="W82" s="19"/>
      <c r="X82" s="19"/>
    </row>
  </sheetData>
  <autoFilter ref="A2:X82" xr:uid="{FE13F4EE-2FD9-468D-B5E2-4C4E3F15541D}"/>
  <mergeCells count="12">
    <mergeCell ref="N15:N16"/>
    <mergeCell ref="O15:O16"/>
    <mergeCell ref="P15:P16"/>
    <mergeCell ref="Q15:Q16"/>
    <mergeCell ref="R15:R16"/>
    <mergeCell ref="V15:V16"/>
    <mergeCell ref="W15:W16"/>
    <mergeCell ref="X15:X16"/>
    <mergeCell ref="R1:X1"/>
    <mergeCell ref="S15:S16"/>
    <mergeCell ref="T15:T16"/>
    <mergeCell ref="U15:U1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A29CF-D105-47BF-A299-22EED3F87C99}">
  <dimension ref="A1:Q28"/>
  <sheetViews>
    <sheetView workbookViewId="0"/>
  </sheetViews>
  <sheetFormatPr baseColWidth="10" defaultRowHeight="14.4" x14ac:dyDescent="0.3"/>
  <cols>
    <col min="15" max="15" width="20" customWidth="1"/>
  </cols>
  <sheetData>
    <row r="1" spans="1:17" ht="72" x14ac:dyDescent="0.3">
      <c r="A1" s="125" t="s">
        <v>172</v>
      </c>
      <c r="B1" s="125" t="s">
        <v>1521</v>
      </c>
      <c r="C1" s="125" t="s">
        <v>1241</v>
      </c>
      <c r="D1" s="125" t="s">
        <v>1242</v>
      </c>
      <c r="E1" s="125" t="s">
        <v>1243</v>
      </c>
      <c r="F1" s="125" t="s">
        <v>1244</v>
      </c>
      <c r="G1" s="125" t="s">
        <v>1245</v>
      </c>
      <c r="H1" s="127" t="s">
        <v>1246</v>
      </c>
      <c r="I1" s="127" t="s">
        <v>1247</v>
      </c>
      <c r="J1" s="127" t="s">
        <v>1248</v>
      </c>
      <c r="K1" s="128" t="s">
        <v>1249</v>
      </c>
      <c r="L1" s="128" t="s">
        <v>1250</v>
      </c>
      <c r="M1" s="128" t="s">
        <v>1251</v>
      </c>
      <c r="N1" s="128" t="s">
        <v>1252</v>
      </c>
      <c r="O1" s="128" t="s">
        <v>1253</v>
      </c>
      <c r="P1" s="124" t="s">
        <v>1254</v>
      </c>
      <c r="Q1" s="124" t="s">
        <v>1255</v>
      </c>
    </row>
    <row r="2" spans="1:17" ht="409.6" x14ac:dyDescent="0.3">
      <c r="A2" s="129" t="s">
        <v>587</v>
      </c>
      <c r="B2" s="129" t="s">
        <v>588</v>
      </c>
      <c r="C2" s="130" t="s">
        <v>1256</v>
      </c>
      <c r="D2" s="126" t="s">
        <v>1257</v>
      </c>
      <c r="E2" s="126" t="s">
        <v>1258</v>
      </c>
      <c r="F2" s="126" t="s">
        <v>1259</v>
      </c>
      <c r="G2" s="126" t="s">
        <v>560</v>
      </c>
      <c r="H2" s="126" t="s">
        <v>1260</v>
      </c>
      <c r="I2" s="126" t="s">
        <v>1261</v>
      </c>
      <c r="J2" s="126"/>
      <c r="K2" s="126" t="s">
        <v>1262</v>
      </c>
      <c r="L2" s="126" t="s">
        <v>1263</v>
      </c>
      <c r="M2" s="126" t="s">
        <v>1264</v>
      </c>
      <c r="N2" s="126" t="s">
        <v>1265</v>
      </c>
      <c r="O2" s="126" t="s">
        <v>1266</v>
      </c>
      <c r="P2" s="124" t="s">
        <v>8</v>
      </c>
      <c r="Q2" s="124" t="s">
        <v>8</v>
      </c>
    </row>
    <row r="3" spans="1:17" ht="409.6" x14ac:dyDescent="0.3">
      <c r="A3" s="129" t="s">
        <v>595</v>
      </c>
      <c r="B3" s="126" t="s">
        <v>1267</v>
      </c>
      <c r="C3" s="129" t="s">
        <v>1268</v>
      </c>
      <c r="D3" s="126" t="s">
        <v>1269</v>
      </c>
      <c r="E3" s="126" t="s">
        <v>1270</v>
      </c>
      <c r="F3" s="126" t="s">
        <v>1271</v>
      </c>
      <c r="G3" s="126" t="s">
        <v>560</v>
      </c>
      <c r="H3" s="126" t="s">
        <v>1272</v>
      </c>
      <c r="I3" s="126" t="s">
        <v>1272</v>
      </c>
      <c r="J3" s="126" t="s">
        <v>1273</v>
      </c>
      <c r="K3" s="126" t="s">
        <v>1274</v>
      </c>
      <c r="L3" s="126" t="s">
        <v>1275</v>
      </c>
      <c r="M3" s="126"/>
      <c r="N3" s="126" t="s">
        <v>1276</v>
      </c>
      <c r="O3" s="126" t="s">
        <v>403</v>
      </c>
      <c r="P3" s="124" t="s">
        <v>8</v>
      </c>
      <c r="Q3" s="124" t="s">
        <v>1277</v>
      </c>
    </row>
    <row r="4" spans="1:17" ht="409.6" x14ac:dyDescent="0.3">
      <c r="A4" s="129" t="s">
        <v>595</v>
      </c>
      <c r="B4" s="126" t="s">
        <v>1278</v>
      </c>
      <c r="C4" s="126" t="s">
        <v>1279</v>
      </c>
      <c r="D4" s="126" t="s">
        <v>1280</v>
      </c>
      <c r="E4" s="126" t="s">
        <v>1281</v>
      </c>
      <c r="F4" s="126" t="s">
        <v>1282</v>
      </c>
      <c r="G4" s="126" t="s">
        <v>560</v>
      </c>
      <c r="H4" s="126" t="s">
        <v>1283</v>
      </c>
      <c r="I4" s="126"/>
      <c r="J4" s="126"/>
      <c r="K4" s="133" t="s">
        <v>1284</v>
      </c>
      <c r="L4" s="134" t="s">
        <v>1285</v>
      </c>
      <c r="M4" s="134" t="s">
        <v>1286</v>
      </c>
      <c r="N4" s="135" t="s">
        <v>1287</v>
      </c>
      <c r="O4" s="134" t="s">
        <v>1288</v>
      </c>
      <c r="P4" s="124" t="s">
        <v>8</v>
      </c>
      <c r="Q4" s="124" t="s">
        <v>8</v>
      </c>
    </row>
    <row r="5" spans="1:17" ht="409.6" x14ac:dyDescent="0.3">
      <c r="A5" s="129" t="s">
        <v>563</v>
      </c>
      <c r="B5" s="126" t="s">
        <v>564</v>
      </c>
      <c r="C5" s="126" t="s">
        <v>1289</v>
      </c>
      <c r="D5" s="126" t="s">
        <v>1290</v>
      </c>
      <c r="E5" s="126" t="s">
        <v>1291</v>
      </c>
      <c r="F5" s="126" t="s">
        <v>1292</v>
      </c>
      <c r="G5" s="126" t="s">
        <v>560</v>
      </c>
      <c r="H5" s="126" t="s">
        <v>1293</v>
      </c>
      <c r="I5" s="126"/>
      <c r="J5" s="126"/>
      <c r="K5" s="126" t="s">
        <v>1294</v>
      </c>
      <c r="L5" s="126" t="s">
        <v>1295</v>
      </c>
      <c r="M5" s="126" t="s">
        <v>403</v>
      </c>
      <c r="N5" s="137" t="s">
        <v>1296</v>
      </c>
      <c r="O5" s="126" t="s">
        <v>1297</v>
      </c>
      <c r="P5" s="124" t="s">
        <v>1277</v>
      </c>
      <c r="Q5" s="124" t="s">
        <v>8</v>
      </c>
    </row>
    <row r="6" spans="1:17" ht="403.2" x14ac:dyDescent="0.3">
      <c r="A6" s="129" t="s">
        <v>563</v>
      </c>
      <c r="B6" s="126" t="s">
        <v>1298</v>
      </c>
      <c r="C6" s="126" t="s">
        <v>1299</v>
      </c>
      <c r="D6" s="126" t="s">
        <v>1300</v>
      </c>
      <c r="E6" s="126" t="s">
        <v>1301</v>
      </c>
      <c r="F6" s="126" t="s">
        <v>1302</v>
      </c>
      <c r="G6" s="126" t="s">
        <v>560</v>
      </c>
      <c r="H6" s="126" t="s">
        <v>1303</v>
      </c>
      <c r="I6" s="126"/>
      <c r="J6" s="126"/>
      <c r="K6" s="126" t="s">
        <v>1304</v>
      </c>
      <c r="L6" s="126" t="s">
        <v>1305</v>
      </c>
      <c r="M6" s="126" t="s">
        <v>1306</v>
      </c>
      <c r="N6" s="136" t="s">
        <v>403</v>
      </c>
      <c r="O6" s="126" t="s">
        <v>1307</v>
      </c>
      <c r="P6" s="124" t="s">
        <v>403</v>
      </c>
    </row>
    <row r="7" spans="1:17" ht="409.6" x14ac:dyDescent="0.3">
      <c r="A7" s="6" t="s">
        <v>576</v>
      </c>
      <c r="B7" s="6" t="s">
        <v>577</v>
      </c>
      <c r="C7" s="126" t="s">
        <v>1308</v>
      </c>
      <c r="D7" s="126" t="s">
        <v>1309</v>
      </c>
      <c r="E7" s="126" t="s">
        <v>1310</v>
      </c>
      <c r="F7" s="126" t="s">
        <v>1311</v>
      </c>
      <c r="G7" s="126" t="s">
        <v>560</v>
      </c>
      <c r="H7" s="126" t="s">
        <v>1312</v>
      </c>
      <c r="I7" s="126" t="s">
        <v>1313</v>
      </c>
      <c r="J7" s="126"/>
      <c r="K7" s="126" t="s">
        <v>1314</v>
      </c>
      <c r="L7" s="126" t="s">
        <v>1315</v>
      </c>
      <c r="M7" s="126" t="s">
        <v>1316</v>
      </c>
      <c r="N7" s="126" t="s">
        <v>1317</v>
      </c>
      <c r="O7" s="126" t="s">
        <v>1318</v>
      </c>
      <c r="P7" s="124" t="s">
        <v>8</v>
      </c>
    </row>
    <row r="8" spans="1:17" ht="409.6" x14ac:dyDescent="0.3">
      <c r="A8" s="129" t="s">
        <v>559</v>
      </c>
      <c r="B8" s="138" t="s">
        <v>559</v>
      </c>
      <c r="C8" s="138" t="s">
        <v>1319</v>
      </c>
      <c r="D8" s="126" t="s">
        <v>1320</v>
      </c>
      <c r="E8" s="126" t="s">
        <v>1321</v>
      </c>
      <c r="F8" s="126" t="s">
        <v>1322</v>
      </c>
      <c r="G8" s="126" t="s">
        <v>560</v>
      </c>
      <c r="H8" s="126" t="s">
        <v>1323</v>
      </c>
      <c r="I8" s="126" t="s">
        <v>1324</v>
      </c>
      <c r="J8" s="126" t="s">
        <v>1325</v>
      </c>
      <c r="K8" s="126" t="s">
        <v>1326</v>
      </c>
      <c r="L8" s="126" t="s">
        <v>403</v>
      </c>
      <c r="M8" s="126" t="s">
        <v>1327</v>
      </c>
      <c r="N8" s="126" t="s">
        <v>1328</v>
      </c>
      <c r="O8" s="126" t="s">
        <v>1329</v>
      </c>
    </row>
    <row r="9" spans="1:17" ht="409.6" x14ac:dyDescent="0.3">
      <c r="A9" s="129" t="s">
        <v>606</v>
      </c>
      <c r="B9" s="131" t="s">
        <v>1330</v>
      </c>
      <c r="C9" s="131" t="s">
        <v>1331</v>
      </c>
      <c r="D9" s="131" t="s">
        <v>1332</v>
      </c>
      <c r="E9" s="131" t="s">
        <v>1333</v>
      </c>
      <c r="F9" s="131" t="s">
        <v>1334</v>
      </c>
      <c r="G9" s="126" t="s">
        <v>560</v>
      </c>
      <c r="H9" s="126" t="s">
        <v>1335</v>
      </c>
      <c r="I9" s="126"/>
      <c r="J9" s="126"/>
      <c r="K9" s="126" t="s">
        <v>1336</v>
      </c>
      <c r="L9" s="126" t="s">
        <v>1337</v>
      </c>
      <c r="M9" s="126" t="s">
        <v>403</v>
      </c>
      <c r="N9" s="126" t="s">
        <v>403</v>
      </c>
      <c r="O9" s="126" t="s">
        <v>1338</v>
      </c>
    </row>
    <row r="10" spans="1:17" ht="409.6" x14ac:dyDescent="0.3">
      <c r="A10" s="6" t="s">
        <v>606</v>
      </c>
      <c r="B10" s="6" t="s">
        <v>614</v>
      </c>
      <c r="C10" s="130" t="s">
        <v>1339</v>
      </c>
      <c r="D10" s="131" t="s">
        <v>1340</v>
      </c>
      <c r="E10" s="131" t="s">
        <v>1341</v>
      </c>
      <c r="F10" s="131" t="s">
        <v>1342</v>
      </c>
      <c r="G10" s="126" t="s">
        <v>560</v>
      </c>
      <c r="H10" s="126" t="s">
        <v>1343</v>
      </c>
      <c r="I10" s="126"/>
      <c r="J10" s="126" t="s">
        <v>1344</v>
      </c>
      <c r="K10" s="126" t="s">
        <v>1345</v>
      </c>
      <c r="L10" s="126" t="s">
        <v>1346</v>
      </c>
      <c r="M10" s="126" t="s">
        <v>1347</v>
      </c>
      <c r="N10" s="126" t="s">
        <v>1348</v>
      </c>
      <c r="O10" s="126" t="s">
        <v>1349</v>
      </c>
    </row>
    <row r="11" spans="1:17" ht="409.6" x14ac:dyDescent="0.3">
      <c r="A11" s="129" t="s">
        <v>561</v>
      </c>
      <c r="B11" s="136" t="s">
        <v>1350</v>
      </c>
      <c r="C11" s="136" t="s">
        <v>1351</v>
      </c>
      <c r="D11" s="136" t="s">
        <v>1352</v>
      </c>
      <c r="E11" s="136" t="s">
        <v>1353</v>
      </c>
      <c r="F11" s="136" t="s">
        <v>1354</v>
      </c>
      <c r="G11" s="136" t="s">
        <v>560</v>
      </c>
      <c r="H11" s="139" t="s">
        <v>1355</v>
      </c>
      <c r="I11" s="136" t="s">
        <v>1356</v>
      </c>
      <c r="J11" s="136" t="s">
        <v>1357</v>
      </c>
      <c r="K11" s="136" t="s">
        <v>1358</v>
      </c>
      <c r="L11" s="139" t="s">
        <v>1359</v>
      </c>
      <c r="M11" s="136" t="s">
        <v>403</v>
      </c>
      <c r="N11" s="139" t="s">
        <v>1360</v>
      </c>
      <c r="O11" s="136" t="s">
        <v>1361</v>
      </c>
    </row>
    <row r="12" spans="1:17" ht="409.6" x14ac:dyDescent="0.3">
      <c r="A12" s="129" t="s">
        <v>561</v>
      </c>
      <c r="B12" s="126" t="s">
        <v>1362</v>
      </c>
      <c r="C12" s="126" t="s">
        <v>1363</v>
      </c>
      <c r="D12" s="126" t="s">
        <v>1364</v>
      </c>
      <c r="E12" s="126" t="s">
        <v>1365</v>
      </c>
      <c r="F12" s="126" t="s">
        <v>1366</v>
      </c>
      <c r="G12" s="126" t="s">
        <v>560</v>
      </c>
      <c r="H12" s="129" t="s">
        <v>1367</v>
      </c>
      <c r="I12" s="126"/>
      <c r="J12" s="126" t="s">
        <v>1368</v>
      </c>
      <c r="K12" s="129" t="s">
        <v>1369</v>
      </c>
      <c r="L12" s="126" t="s">
        <v>1370</v>
      </c>
      <c r="M12" s="126" t="s">
        <v>403</v>
      </c>
      <c r="N12" s="126" t="s">
        <v>1371</v>
      </c>
      <c r="O12" s="126" t="s">
        <v>1372</v>
      </c>
    </row>
    <row r="13" spans="1:17" ht="409.6" x14ac:dyDescent="0.3">
      <c r="A13" s="6" t="s">
        <v>561</v>
      </c>
      <c r="B13" s="6" t="s">
        <v>612</v>
      </c>
      <c r="C13" s="126" t="s">
        <v>1373</v>
      </c>
      <c r="D13" s="126" t="s">
        <v>1374</v>
      </c>
      <c r="E13" s="126" t="s">
        <v>1375</v>
      </c>
      <c r="F13" s="126" t="s">
        <v>1376</v>
      </c>
      <c r="G13" s="126" t="s">
        <v>560</v>
      </c>
      <c r="H13" s="126" t="s">
        <v>1377</v>
      </c>
      <c r="I13" s="126" t="s">
        <v>1378</v>
      </c>
      <c r="J13" s="126" t="s">
        <v>1379</v>
      </c>
      <c r="K13" s="126" t="s">
        <v>1380</v>
      </c>
      <c r="L13" s="126" t="s">
        <v>1381</v>
      </c>
      <c r="M13" s="126" t="s">
        <v>403</v>
      </c>
      <c r="N13" s="126" t="s">
        <v>1382</v>
      </c>
      <c r="O13" s="126" t="s">
        <v>403</v>
      </c>
    </row>
    <row r="14" spans="1:17" ht="409.6" x14ac:dyDescent="0.3">
      <c r="A14" s="129" t="s">
        <v>587</v>
      </c>
      <c r="B14" s="126" t="s">
        <v>603</v>
      </c>
      <c r="C14" s="126" t="s">
        <v>1383</v>
      </c>
      <c r="D14" s="126" t="s">
        <v>1384</v>
      </c>
      <c r="E14" s="126" t="s">
        <v>1385</v>
      </c>
      <c r="F14" s="126" t="s">
        <v>1386</v>
      </c>
      <c r="G14" s="126" t="s">
        <v>560</v>
      </c>
      <c r="H14" s="126" t="s">
        <v>1387</v>
      </c>
      <c r="I14" s="126" t="s">
        <v>1388</v>
      </c>
      <c r="J14" s="126"/>
      <c r="K14" s="126" t="s">
        <v>1389</v>
      </c>
      <c r="L14" s="126" t="s">
        <v>403</v>
      </c>
      <c r="M14" s="126" t="s">
        <v>403</v>
      </c>
      <c r="N14" s="126" t="s">
        <v>1390</v>
      </c>
      <c r="O14" s="126" t="s">
        <v>403</v>
      </c>
    </row>
    <row r="15" spans="1:17" ht="409.6" x14ac:dyDescent="0.3">
      <c r="A15" s="129" t="s">
        <v>595</v>
      </c>
      <c r="B15" s="126" t="s">
        <v>1522</v>
      </c>
      <c r="C15" s="126" t="s">
        <v>1391</v>
      </c>
      <c r="D15" s="126" t="s">
        <v>1392</v>
      </c>
      <c r="E15" s="126" t="s">
        <v>1393</v>
      </c>
      <c r="F15" s="126" t="s">
        <v>1394</v>
      </c>
      <c r="G15" s="126" t="s">
        <v>560</v>
      </c>
      <c r="H15" s="126" t="s">
        <v>1395</v>
      </c>
      <c r="I15" s="126"/>
      <c r="J15" s="126"/>
      <c r="K15" s="126" t="s">
        <v>1396</v>
      </c>
      <c r="L15" s="126" t="s">
        <v>1397</v>
      </c>
      <c r="M15" s="126" t="s">
        <v>403</v>
      </c>
      <c r="N15" s="126" t="s">
        <v>1398</v>
      </c>
      <c r="O15" s="126" t="s">
        <v>1399</v>
      </c>
    </row>
    <row r="16" spans="1:17" ht="409.6" x14ac:dyDescent="0.3">
      <c r="A16" s="129" t="s">
        <v>561</v>
      </c>
      <c r="B16" s="126" t="s">
        <v>1400</v>
      </c>
      <c r="C16" s="126" t="s">
        <v>1401</v>
      </c>
      <c r="D16" s="126" t="s">
        <v>1402</v>
      </c>
      <c r="E16" s="126" t="s">
        <v>1403</v>
      </c>
      <c r="F16" s="126" t="s">
        <v>1404</v>
      </c>
      <c r="G16" s="126" t="s">
        <v>560</v>
      </c>
      <c r="H16" s="126" t="s">
        <v>1405</v>
      </c>
      <c r="I16" s="126"/>
      <c r="J16" s="126"/>
      <c r="K16" s="126" t="s">
        <v>1406</v>
      </c>
      <c r="L16" s="126" t="s">
        <v>1407</v>
      </c>
      <c r="M16" s="126" t="s">
        <v>403</v>
      </c>
      <c r="N16" s="126" t="s">
        <v>1408</v>
      </c>
      <c r="O16" s="126" t="s">
        <v>403</v>
      </c>
    </row>
    <row r="17" spans="1:15" ht="409.6" x14ac:dyDescent="0.3">
      <c r="A17" s="129" t="s">
        <v>576</v>
      </c>
      <c r="B17" s="126" t="s">
        <v>1409</v>
      </c>
      <c r="C17" s="126" t="s">
        <v>1410</v>
      </c>
      <c r="D17" s="126" t="s">
        <v>1411</v>
      </c>
      <c r="E17" s="126" t="s">
        <v>1412</v>
      </c>
      <c r="F17" s="132" t="s">
        <v>1413</v>
      </c>
      <c r="G17" s="126" t="s">
        <v>560</v>
      </c>
      <c r="H17" s="126" t="s">
        <v>1414</v>
      </c>
      <c r="I17" s="126" t="s">
        <v>1415</v>
      </c>
      <c r="J17" s="126"/>
      <c r="K17" s="126" t="s">
        <v>1416</v>
      </c>
      <c r="L17" s="126" t="s">
        <v>1417</v>
      </c>
      <c r="M17" s="126" t="s">
        <v>1418</v>
      </c>
      <c r="N17" s="126" t="s">
        <v>1419</v>
      </c>
      <c r="O17" s="126" t="s">
        <v>1420</v>
      </c>
    </row>
    <row r="18" spans="1:15" ht="409.6" x14ac:dyDescent="0.3">
      <c r="A18" s="129" t="s">
        <v>595</v>
      </c>
      <c r="B18" s="126" t="s">
        <v>1421</v>
      </c>
      <c r="C18" s="126"/>
      <c r="D18" s="126"/>
      <c r="E18" s="126"/>
      <c r="F18" s="132"/>
      <c r="G18" s="126" t="s">
        <v>560</v>
      </c>
      <c r="H18" s="126" t="s">
        <v>1422</v>
      </c>
      <c r="I18" s="126" t="s">
        <v>1423</v>
      </c>
      <c r="J18" s="126"/>
      <c r="K18" s="126"/>
      <c r="L18" s="126"/>
      <c r="M18" s="126"/>
      <c r="N18" s="126"/>
      <c r="O18" s="126"/>
    </row>
    <row r="19" spans="1:15" ht="409.6" x14ac:dyDescent="0.3">
      <c r="A19" s="129" t="s">
        <v>595</v>
      </c>
      <c r="B19" s="126" t="s">
        <v>1424</v>
      </c>
      <c r="C19" s="126" t="s">
        <v>1425</v>
      </c>
      <c r="D19" s="126" t="s">
        <v>1426</v>
      </c>
      <c r="E19" s="126" t="s">
        <v>1427</v>
      </c>
      <c r="F19" s="126" t="s">
        <v>1428</v>
      </c>
      <c r="G19" s="126" t="s">
        <v>560</v>
      </c>
      <c r="H19" s="126" t="s">
        <v>1429</v>
      </c>
      <c r="I19" s="126" t="s">
        <v>1430</v>
      </c>
      <c r="J19" s="126"/>
      <c r="K19" s="126" t="s">
        <v>1431</v>
      </c>
      <c r="L19" s="126" t="s">
        <v>403</v>
      </c>
      <c r="M19" s="126" t="s">
        <v>1432</v>
      </c>
      <c r="N19" s="126" t="s">
        <v>1433</v>
      </c>
      <c r="O19" s="126" t="s">
        <v>1434</v>
      </c>
    </row>
    <row r="20" spans="1:15" ht="409.6" x14ac:dyDescent="0.3">
      <c r="A20" s="129" t="s">
        <v>576</v>
      </c>
      <c r="B20" s="126" t="s">
        <v>1435</v>
      </c>
      <c r="C20" s="126" t="s">
        <v>1436</v>
      </c>
      <c r="D20" s="126" t="s">
        <v>1437</v>
      </c>
      <c r="E20" s="126" t="s">
        <v>1438</v>
      </c>
      <c r="F20" s="126" t="s">
        <v>1439</v>
      </c>
      <c r="G20" s="126" t="s">
        <v>560</v>
      </c>
      <c r="H20" s="126" t="s">
        <v>1440</v>
      </c>
      <c r="I20" s="126"/>
      <c r="J20" s="126" t="s">
        <v>1441</v>
      </c>
      <c r="K20" s="126" t="s">
        <v>1442</v>
      </c>
      <c r="L20" s="126" t="s">
        <v>1443</v>
      </c>
      <c r="M20" s="126" t="s">
        <v>1444</v>
      </c>
      <c r="N20" s="126" t="s">
        <v>1445</v>
      </c>
      <c r="O20" s="126" t="s">
        <v>1446</v>
      </c>
    </row>
    <row r="21" spans="1:15" ht="409.6" x14ac:dyDescent="0.3">
      <c r="A21" s="129" t="s">
        <v>587</v>
      </c>
      <c r="B21" s="126" t="s">
        <v>347</v>
      </c>
      <c r="C21" s="126" t="s">
        <v>1447</v>
      </c>
      <c r="D21" s="126" t="s">
        <v>1448</v>
      </c>
      <c r="E21" s="126" t="s">
        <v>1449</v>
      </c>
      <c r="F21" s="126" t="s">
        <v>1450</v>
      </c>
      <c r="G21" s="126" t="s">
        <v>560</v>
      </c>
      <c r="H21" s="126"/>
      <c r="I21" s="126"/>
      <c r="J21" s="126"/>
      <c r="K21" s="126"/>
      <c r="L21" s="126"/>
      <c r="M21" s="126"/>
      <c r="N21" s="126"/>
      <c r="O21" s="126"/>
    </row>
    <row r="22" spans="1:15" ht="409.6" x14ac:dyDescent="0.3">
      <c r="A22" s="6" t="s">
        <v>606</v>
      </c>
      <c r="B22" s="6" t="s">
        <v>607</v>
      </c>
      <c r="C22" s="126" t="s">
        <v>1451</v>
      </c>
      <c r="D22" s="126" t="s">
        <v>1452</v>
      </c>
      <c r="E22" s="126" t="s">
        <v>1453</v>
      </c>
      <c r="F22" s="126" t="s">
        <v>1454</v>
      </c>
      <c r="G22" s="126" t="s">
        <v>560</v>
      </c>
      <c r="H22" s="126" t="s">
        <v>1455</v>
      </c>
      <c r="I22" s="126" t="s">
        <v>1456</v>
      </c>
      <c r="J22" s="126"/>
      <c r="K22" s="126" t="s">
        <v>1457</v>
      </c>
      <c r="L22" s="126" t="s">
        <v>1458</v>
      </c>
      <c r="M22" s="126" t="s">
        <v>1459</v>
      </c>
      <c r="N22" s="126" t="s">
        <v>1460</v>
      </c>
      <c r="O22" s="126" t="s">
        <v>1461</v>
      </c>
    </row>
    <row r="23" spans="1:15" ht="409.6" x14ac:dyDescent="0.3">
      <c r="A23" s="129" t="s">
        <v>567</v>
      </c>
      <c r="B23" s="126" t="s">
        <v>1462</v>
      </c>
      <c r="C23" s="126" t="s">
        <v>1463</v>
      </c>
      <c r="D23" s="126" t="s">
        <v>1464</v>
      </c>
      <c r="E23" s="126" t="s">
        <v>1465</v>
      </c>
      <c r="F23" s="126" t="s">
        <v>1466</v>
      </c>
      <c r="G23" s="126" t="s">
        <v>560</v>
      </c>
      <c r="H23" s="126" t="s">
        <v>1467</v>
      </c>
      <c r="I23" s="126" t="s">
        <v>1468</v>
      </c>
      <c r="J23" s="126"/>
      <c r="K23" s="126" t="s">
        <v>1469</v>
      </c>
      <c r="L23" s="126" t="s">
        <v>1470</v>
      </c>
      <c r="M23" s="126" t="s">
        <v>1277</v>
      </c>
      <c r="N23" s="126" t="s">
        <v>1471</v>
      </c>
      <c r="O23" s="126" t="s">
        <v>1472</v>
      </c>
    </row>
    <row r="24" spans="1:15" ht="409.6" x14ac:dyDescent="0.3">
      <c r="A24" s="129" t="s">
        <v>567</v>
      </c>
      <c r="B24" s="126" t="s">
        <v>1473</v>
      </c>
      <c r="C24" s="126" t="s">
        <v>1474</v>
      </c>
      <c r="D24" s="126" t="s">
        <v>1475</v>
      </c>
      <c r="E24" s="126" t="s">
        <v>1476</v>
      </c>
      <c r="F24" s="126" t="s">
        <v>1477</v>
      </c>
      <c r="G24" s="126" t="s">
        <v>560</v>
      </c>
      <c r="H24" s="126" t="s">
        <v>1478</v>
      </c>
      <c r="I24" s="126" t="s">
        <v>1479</v>
      </c>
      <c r="J24" s="126"/>
      <c r="K24" s="126" t="s">
        <v>1480</v>
      </c>
      <c r="L24" s="126" t="s">
        <v>1481</v>
      </c>
      <c r="M24" s="126" t="s">
        <v>1277</v>
      </c>
      <c r="N24" s="126" t="s">
        <v>1482</v>
      </c>
      <c r="O24" s="126" t="s">
        <v>1483</v>
      </c>
    </row>
    <row r="25" spans="1:15" ht="409.6" x14ac:dyDescent="0.3">
      <c r="A25" s="129" t="s">
        <v>567</v>
      </c>
      <c r="B25" s="126" t="s">
        <v>960</v>
      </c>
      <c r="C25" s="126" t="s">
        <v>1484</v>
      </c>
      <c r="D25" s="126" t="s">
        <v>1485</v>
      </c>
      <c r="E25" s="126" t="s">
        <v>1486</v>
      </c>
      <c r="F25" s="126" t="s">
        <v>1487</v>
      </c>
      <c r="G25" s="126" t="s">
        <v>560</v>
      </c>
      <c r="H25" s="126" t="s">
        <v>1488</v>
      </c>
      <c r="I25" s="126"/>
      <c r="J25" s="126"/>
      <c r="K25" s="126" t="s">
        <v>1489</v>
      </c>
      <c r="L25" s="126" t="s">
        <v>1490</v>
      </c>
      <c r="M25" s="126" t="s">
        <v>403</v>
      </c>
      <c r="N25" s="126" t="s">
        <v>1491</v>
      </c>
      <c r="O25" s="126" t="s">
        <v>1492</v>
      </c>
    </row>
    <row r="26" spans="1:15" ht="409.6" x14ac:dyDescent="0.3">
      <c r="A26" s="6" t="s">
        <v>567</v>
      </c>
      <c r="B26" s="6" t="s">
        <v>580</v>
      </c>
      <c r="C26" s="126" t="s">
        <v>1493</v>
      </c>
      <c r="D26" s="126" t="s">
        <v>1494</v>
      </c>
      <c r="E26" s="126" t="s">
        <v>1495</v>
      </c>
      <c r="F26" s="126" t="s">
        <v>1496</v>
      </c>
      <c r="G26" s="126" t="s">
        <v>560</v>
      </c>
      <c r="H26" s="126" t="s">
        <v>1497</v>
      </c>
      <c r="I26" s="126"/>
      <c r="J26" s="126"/>
      <c r="K26" s="126" t="s">
        <v>1498</v>
      </c>
      <c r="L26" s="126" t="s">
        <v>1499</v>
      </c>
      <c r="M26" s="126" t="s">
        <v>403</v>
      </c>
      <c r="N26" s="126" t="s">
        <v>1500</v>
      </c>
      <c r="O26" s="126" t="s">
        <v>1501</v>
      </c>
    </row>
    <row r="27" spans="1:15" ht="409.6" x14ac:dyDescent="0.3">
      <c r="A27" s="129" t="s">
        <v>589</v>
      </c>
      <c r="B27" s="126" t="s">
        <v>1502</v>
      </c>
      <c r="C27" s="126" t="s">
        <v>1503</v>
      </c>
      <c r="D27" s="126" t="s">
        <v>1504</v>
      </c>
      <c r="E27" s="126" t="s">
        <v>1505</v>
      </c>
      <c r="F27" s="126" t="s">
        <v>1506</v>
      </c>
      <c r="G27" s="126" t="s">
        <v>560</v>
      </c>
      <c r="H27" s="126" t="s">
        <v>1507</v>
      </c>
      <c r="I27" s="126" t="s">
        <v>1508</v>
      </c>
      <c r="J27" s="126" t="s">
        <v>1509</v>
      </c>
      <c r="K27" s="126" t="s">
        <v>403</v>
      </c>
      <c r="L27" s="126" t="s">
        <v>403</v>
      </c>
      <c r="M27" s="126" t="s">
        <v>403</v>
      </c>
      <c r="N27" s="126" t="s">
        <v>1510</v>
      </c>
      <c r="O27" s="126" t="s">
        <v>403</v>
      </c>
    </row>
    <row r="28" spans="1:15" ht="409.6" x14ac:dyDescent="0.3">
      <c r="A28" s="129" t="s">
        <v>589</v>
      </c>
      <c r="B28" s="126" t="s">
        <v>1511</v>
      </c>
      <c r="C28" s="126" t="s">
        <v>1512</v>
      </c>
      <c r="D28" s="126" t="s">
        <v>1513</v>
      </c>
      <c r="E28" s="126" t="s">
        <v>1514</v>
      </c>
      <c r="F28" s="126" t="s">
        <v>1515</v>
      </c>
      <c r="G28" s="126" t="s">
        <v>560</v>
      </c>
      <c r="H28" s="126" t="s">
        <v>1516</v>
      </c>
      <c r="I28" s="126"/>
      <c r="J28" s="126" t="s">
        <v>1517</v>
      </c>
      <c r="K28" s="126" t="s">
        <v>1518</v>
      </c>
      <c r="L28" s="126" t="s">
        <v>1519</v>
      </c>
      <c r="M28" s="126" t="s">
        <v>403</v>
      </c>
      <c r="N28" s="126" t="s">
        <v>1520</v>
      </c>
      <c r="O28" s="126" t="s">
        <v>403</v>
      </c>
    </row>
  </sheetData>
  <autoFilter ref="A1:Q28" xr:uid="{980A29CF-D105-47BF-A299-22EED3F87C99}"/>
  <conditionalFormatting sqref="B7">
    <cfRule type="duplicateValues" dxfId="6" priority="5"/>
  </conditionalFormatting>
  <conditionalFormatting sqref="B10">
    <cfRule type="duplicateValues" dxfId="5" priority="2"/>
  </conditionalFormatting>
  <conditionalFormatting sqref="B13">
    <cfRule type="duplicateValues" dxfId="4" priority="3"/>
  </conditionalFormatting>
  <conditionalFormatting sqref="B22">
    <cfRule type="duplicateValues" dxfId="3" priority="4"/>
  </conditionalFormatting>
  <conditionalFormatting sqref="B26">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92D3F-0B6E-46E3-A044-1C46EB00664B}">
  <dimension ref="A1:D53"/>
  <sheetViews>
    <sheetView workbookViewId="0">
      <pane ySplit="1" topLeftCell="A29" activePane="bottomLeft" state="frozen"/>
      <selection pane="bottomLeft" activeCell="C43" sqref="C43"/>
    </sheetView>
  </sheetViews>
  <sheetFormatPr baseColWidth="10" defaultColWidth="11.44140625" defaultRowHeight="14.4" x14ac:dyDescent="0.3"/>
  <cols>
    <col min="1" max="1" width="40.21875" bestFit="1" customWidth="1"/>
    <col min="2" max="2" width="45.44140625" bestFit="1" customWidth="1"/>
    <col min="3" max="3" width="50.44140625" bestFit="1" customWidth="1"/>
    <col min="4" max="4" width="20.77734375" bestFit="1" customWidth="1"/>
  </cols>
  <sheetData>
    <row r="1" spans="1:4" x14ac:dyDescent="0.3">
      <c r="A1" s="114" t="s">
        <v>539</v>
      </c>
      <c r="B1" s="114" t="s">
        <v>172</v>
      </c>
      <c r="C1" s="114" t="s">
        <v>173</v>
      </c>
      <c r="D1" s="114" t="s">
        <v>540</v>
      </c>
    </row>
    <row r="2" spans="1:4" x14ac:dyDescent="0.3">
      <c r="A2" s="6" t="s">
        <v>541</v>
      </c>
      <c r="B2" s="6" t="s">
        <v>542</v>
      </c>
      <c r="C2" s="6" t="s">
        <v>542</v>
      </c>
      <c r="D2" s="6" t="s">
        <v>543</v>
      </c>
    </row>
    <row r="3" spans="1:4" x14ac:dyDescent="0.3">
      <c r="A3" s="115" t="s">
        <v>544</v>
      </c>
      <c r="B3" s="6" t="s">
        <v>545</v>
      </c>
      <c r="C3" s="6" t="s">
        <v>545</v>
      </c>
      <c r="D3" s="6" t="s">
        <v>546</v>
      </c>
    </row>
    <row r="4" spans="1:4" x14ac:dyDescent="0.3">
      <c r="A4" s="6" t="s">
        <v>547</v>
      </c>
      <c r="B4" s="6" t="s">
        <v>548</v>
      </c>
      <c r="C4" s="6" t="s">
        <v>548</v>
      </c>
      <c r="D4" s="6" t="s">
        <v>543</v>
      </c>
    </row>
    <row r="5" spans="1:4" x14ac:dyDescent="0.3">
      <c r="A5" s="6" t="s">
        <v>549</v>
      </c>
      <c r="B5" s="6" t="s">
        <v>550</v>
      </c>
      <c r="C5" s="6" t="s">
        <v>551</v>
      </c>
      <c r="D5" s="6" t="s">
        <v>552</v>
      </c>
    </row>
    <row r="6" spans="1:4" x14ac:dyDescent="0.3">
      <c r="A6" s="6" t="s">
        <v>544</v>
      </c>
      <c r="B6" s="6" t="s">
        <v>553</v>
      </c>
      <c r="C6" s="6" t="s">
        <v>553</v>
      </c>
      <c r="D6" s="6" t="s">
        <v>543</v>
      </c>
    </row>
    <row r="7" spans="1:4" x14ac:dyDescent="0.3">
      <c r="A7" s="6" t="s">
        <v>541</v>
      </c>
      <c r="B7" s="6" t="s">
        <v>554</v>
      </c>
      <c r="C7" s="6" t="s">
        <v>555</v>
      </c>
      <c r="D7" s="6" t="s">
        <v>543</v>
      </c>
    </row>
    <row r="8" spans="1:4" x14ac:dyDescent="0.3">
      <c r="A8" s="6" t="s">
        <v>549</v>
      </c>
      <c r="B8" s="6" t="s">
        <v>556</v>
      </c>
      <c r="C8" s="6" t="s">
        <v>557</v>
      </c>
      <c r="D8" s="6" t="s">
        <v>552</v>
      </c>
    </row>
    <row r="9" spans="1:4" x14ac:dyDescent="0.3">
      <c r="A9" s="6" t="s">
        <v>558</v>
      </c>
      <c r="B9" s="6" t="s">
        <v>559</v>
      </c>
      <c r="C9" s="6" t="s">
        <v>559</v>
      </c>
      <c r="D9" s="6" t="s">
        <v>560</v>
      </c>
    </row>
    <row r="10" spans="1:4" x14ac:dyDescent="0.3">
      <c r="A10" s="6" t="s">
        <v>558</v>
      </c>
      <c r="B10" s="6" t="s">
        <v>561</v>
      </c>
      <c r="C10" s="6" t="s">
        <v>562</v>
      </c>
      <c r="D10" s="6" t="s">
        <v>560</v>
      </c>
    </row>
    <row r="11" spans="1:4" x14ac:dyDescent="0.3">
      <c r="A11" s="6" t="s">
        <v>558</v>
      </c>
      <c r="B11" s="6" t="s">
        <v>563</v>
      </c>
      <c r="C11" s="6" t="s">
        <v>564</v>
      </c>
      <c r="D11" s="6" t="s">
        <v>560</v>
      </c>
    </row>
    <row r="12" spans="1:4" x14ac:dyDescent="0.3">
      <c r="A12" s="6" t="s">
        <v>558</v>
      </c>
      <c r="B12" s="6" t="s">
        <v>563</v>
      </c>
      <c r="C12" s="6" t="s">
        <v>565</v>
      </c>
      <c r="D12" s="6" t="s">
        <v>560</v>
      </c>
    </row>
    <row r="13" spans="1:4" x14ac:dyDescent="0.3">
      <c r="A13" s="6" t="s">
        <v>558</v>
      </c>
      <c r="B13" s="6" t="s">
        <v>561</v>
      </c>
      <c r="C13" s="6" t="s">
        <v>566</v>
      </c>
      <c r="D13" s="6" t="s">
        <v>560</v>
      </c>
    </row>
    <row r="14" spans="1:4" x14ac:dyDescent="0.3">
      <c r="A14" s="115" t="s">
        <v>547</v>
      </c>
      <c r="B14" s="6" t="s">
        <v>567</v>
      </c>
      <c r="C14" s="6" t="s">
        <v>514</v>
      </c>
      <c r="D14" s="6" t="s">
        <v>560</v>
      </c>
    </row>
    <row r="15" spans="1:4" x14ac:dyDescent="0.3">
      <c r="A15" s="6" t="s">
        <v>541</v>
      </c>
      <c r="B15" s="6" t="s">
        <v>568</v>
      </c>
      <c r="C15" s="6" t="s">
        <v>569</v>
      </c>
      <c r="D15" s="6" t="s">
        <v>543</v>
      </c>
    </row>
    <row r="16" spans="1:4" x14ac:dyDescent="0.3">
      <c r="A16" s="6" t="s">
        <v>549</v>
      </c>
      <c r="B16" s="6" t="s">
        <v>570</v>
      </c>
      <c r="C16" s="6" t="s">
        <v>570</v>
      </c>
      <c r="D16" s="6" t="s">
        <v>543</v>
      </c>
    </row>
    <row r="17" spans="1:4" x14ac:dyDescent="0.3">
      <c r="A17" s="6" t="s">
        <v>549</v>
      </c>
      <c r="B17" s="6" t="s">
        <v>556</v>
      </c>
      <c r="C17" s="6" t="s">
        <v>571</v>
      </c>
      <c r="D17" s="6" t="s">
        <v>552</v>
      </c>
    </row>
    <row r="18" spans="1:4" x14ac:dyDescent="0.3">
      <c r="A18" s="6" t="s">
        <v>549</v>
      </c>
      <c r="B18" s="6" t="s">
        <v>572</v>
      </c>
      <c r="C18" s="6" t="s">
        <v>573</v>
      </c>
      <c r="D18" s="6" t="s">
        <v>546</v>
      </c>
    </row>
    <row r="19" spans="1:4" x14ac:dyDescent="0.3">
      <c r="A19" s="115" t="s">
        <v>547</v>
      </c>
      <c r="B19" s="6" t="s">
        <v>567</v>
      </c>
      <c r="C19" s="6" t="s">
        <v>574</v>
      </c>
      <c r="D19" s="6" t="s">
        <v>560</v>
      </c>
    </row>
    <row r="20" spans="1:4" x14ac:dyDescent="0.3">
      <c r="A20" s="115" t="s">
        <v>547</v>
      </c>
      <c r="B20" s="6" t="s">
        <v>567</v>
      </c>
      <c r="C20" s="6" t="s">
        <v>575</v>
      </c>
      <c r="D20" s="6" t="s">
        <v>560</v>
      </c>
    </row>
    <row r="21" spans="1:4" x14ac:dyDescent="0.3">
      <c r="A21" s="6" t="s">
        <v>558</v>
      </c>
      <c r="B21" s="6" t="s">
        <v>576</v>
      </c>
      <c r="C21" s="6" t="s">
        <v>577</v>
      </c>
      <c r="D21" s="6" t="s">
        <v>560</v>
      </c>
    </row>
    <row r="22" spans="1:4" x14ac:dyDescent="0.3">
      <c r="A22" s="6" t="s">
        <v>549</v>
      </c>
      <c r="B22" s="6" t="s">
        <v>572</v>
      </c>
      <c r="C22" s="6" t="s">
        <v>578</v>
      </c>
      <c r="D22" s="6" t="s">
        <v>546</v>
      </c>
    </row>
    <row r="23" spans="1:4" x14ac:dyDescent="0.3">
      <c r="A23" s="6" t="s">
        <v>549</v>
      </c>
      <c r="B23" s="6" t="s">
        <v>572</v>
      </c>
      <c r="C23" s="6" t="s">
        <v>579</v>
      </c>
      <c r="D23" s="6" t="s">
        <v>546</v>
      </c>
    </row>
    <row r="24" spans="1:4" x14ac:dyDescent="0.3">
      <c r="A24" s="115" t="s">
        <v>547</v>
      </c>
      <c r="B24" s="6" t="s">
        <v>567</v>
      </c>
      <c r="C24" s="6" t="s">
        <v>580</v>
      </c>
      <c r="D24" s="6" t="s">
        <v>560</v>
      </c>
    </row>
    <row r="25" spans="1:4" x14ac:dyDescent="0.3">
      <c r="A25" s="115" t="s">
        <v>581</v>
      </c>
      <c r="B25" s="6" t="s">
        <v>582</v>
      </c>
      <c r="C25" s="6" t="s">
        <v>582</v>
      </c>
      <c r="D25" s="6" t="s">
        <v>543</v>
      </c>
    </row>
    <row r="26" spans="1:4" x14ac:dyDescent="0.3">
      <c r="A26" s="6" t="s">
        <v>558</v>
      </c>
      <c r="B26" s="6" t="s">
        <v>561</v>
      </c>
      <c r="C26" s="6" t="s">
        <v>583</v>
      </c>
      <c r="D26" s="6" t="s">
        <v>560</v>
      </c>
    </row>
    <row r="27" spans="1:4" x14ac:dyDescent="0.3">
      <c r="A27" s="6" t="s">
        <v>558</v>
      </c>
      <c r="B27" s="6" t="s">
        <v>584</v>
      </c>
      <c r="C27" s="6" t="s">
        <v>585</v>
      </c>
      <c r="D27" s="6" t="s">
        <v>552</v>
      </c>
    </row>
    <row r="28" spans="1:4" x14ac:dyDescent="0.3">
      <c r="A28" s="6" t="s">
        <v>547</v>
      </c>
      <c r="B28" s="6" t="s">
        <v>586</v>
      </c>
      <c r="C28" s="6" t="s">
        <v>586</v>
      </c>
      <c r="D28" s="6" t="s">
        <v>552</v>
      </c>
    </row>
    <row r="29" spans="1:4" x14ac:dyDescent="0.3">
      <c r="A29" s="6" t="s">
        <v>558</v>
      </c>
      <c r="B29" s="6" t="s">
        <v>587</v>
      </c>
      <c r="C29" s="6" t="s">
        <v>588</v>
      </c>
      <c r="D29" s="6" t="s">
        <v>560</v>
      </c>
    </row>
    <row r="30" spans="1:4" x14ac:dyDescent="0.3">
      <c r="A30" s="6" t="s">
        <v>547</v>
      </c>
      <c r="B30" s="6" t="s">
        <v>589</v>
      </c>
      <c r="C30" s="6" t="s">
        <v>590</v>
      </c>
      <c r="D30" s="6" t="s">
        <v>560</v>
      </c>
    </row>
    <row r="31" spans="1:4" x14ac:dyDescent="0.3">
      <c r="A31" s="6" t="s">
        <v>549</v>
      </c>
      <c r="B31" s="6" t="s">
        <v>591</v>
      </c>
      <c r="C31" s="6" t="s">
        <v>591</v>
      </c>
      <c r="D31" s="6" t="s">
        <v>552</v>
      </c>
    </row>
    <row r="32" spans="1:4" x14ac:dyDescent="0.3">
      <c r="A32" s="6" t="s">
        <v>541</v>
      </c>
      <c r="B32" s="6" t="s">
        <v>554</v>
      </c>
      <c r="C32" s="6" t="s">
        <v>592</v>
      </c>
      <c r="D32" s="6" t="s">
        <v>543</v>
      </c>
    </row>
    <row r="33" spans="1:4" x14ac:dyDescent="0.3">
      <c r="A33" s="6" t="s">
        <v>547</v>
      </c>
      <c r="B33" s="6" t="s">
        <v>589</v>
      </c>
      <c r="C33" s="6" t="s">
        <v>593</v>
      </c>
      <c r="D33" s="6" t="s">
        <v>560</v>
      </c>
    </row>
    <row r="34" spans="1:4" x14ac:dyDescent="0.3">
      <c r="A34" s="6" t="s">
        <v>558</v>
      </c>
      <c r="B34" s="6" t="s">
        <v>576</v>
      </c>
      <c r="C34" s="6" t="s">
        <v>594</v>
      </c>
      <c r="D34" s="6" t="s">
        <v>560</v>
      </c>
    </row>
    <row r="35" spans="1:4" x14ac:dyDescent="0.3">
      <c r="A35" s="6" t="s">
        <v>558</v>
      </c>
      <c r="B35" s="6" t="s">
        <v>595</v>
      </c>
      <c r="C35" s="6" t="s">
        <v>596</v>
      </c>
      <c r="D35" s="6" t="s">
        <v>560</v>
      </c>
    </row>
    <row r="36" spans="1:4" x14ac:dyDescent="0.3">
      <c r="A36" s="6" t="s">
        <v>558</v>
      </c>
      <c r="B36" s="6" t="s">
        <v>584</v>
      </c>
      <c r="C36" s="6" t="s">
        <v>597</v>
      </c>
      <c r="D36" s="6" t="s">
        <v>552</v>
      </c>
    </row>
    <row r="37" spans="1:4" x14ac:dyDescent="0.3">
      <c r="A37" s="6" t="s">
        <v>541</v>
      </c>
      <c r="B37" s="6" t="s">
        <v>568</v>
      </c>
      <c r="C37" s="6" t="s">
        <v>598</v>
      </c>
      <c r="D37" s="6" t="s">
        <v>543</v>
      </c>
    </row>
    <row r="38" spans="1:4" x14ac:dyDescent="0.3">
      <c r="A38" s="115" t="s">
        <v>547</v>
      </c>
      <c r="B38" s="6" t="s">
        <v>599</v>
      </c>
      <c r="C38" s="6" t="s">
        <v>599</v>
      </c>
      <c r="D38" s="6" t="s">
        <v>552</v>
      </c>
    </row>
    <row r="39" spans="1:4" x14ac:dyDescent="0.3">
      <c r="A39" s="6" t="s">
        <v>541</v>
      </c>
      <c r="B39" s="6" t="s">
        <v>568</v>
      </c>
      <c r="C39" s="6" t="s">
        <v>600</v>
      </c>
      <c r="D39" s="6" t="s">
        <v>543</v>
      </c>
    </row>
    <row r="40" spans="1:4" x14ac:dyDescent="0.3">
      <c r="A40" s="6" t="s">
        <v>558</v>
      </c>
      <c r="B40" s="6" t="s">
        <v>595</v>
      </c>
      <c r="C40" s="6" t="s">
        <v>601</v>
      </c>
      <c r="D40" s="6" t="s">
        <v>560</v>
      </c>
    </row>
    <row r="41" spans="1:4" x14ac:dyDescent="0.3">
      <c r="A41" s="6" t="s">
        <v>547</v>
      </c>
      <c r="B41" s="6" t="s">
        <v>595</v>
      </c>
      <c r="C41" s="116" t="s">
        <v>602</v>
      </c>
      <c r="D41" s="6" t="s">
        <v>560</v>
      </c>
    </row>
    <row r="42" spans="1:4" x14ac:dyDescent="0.3">
      <c r="A42" s="6" t="s">
        <v>547</v>
      </c>
      <c r="B42" s="115" t="s">
        <v>587</v>
      </c>
      <c r="C42" s="6" t="s">
        <v>603</v>
      </c>
      <c r="D42" s="6" t="s">
        <v>560</v>
      </c>
    </row>
    <row r="43" spans="1:4" x14ac:dyDescent="0.3">
      <c r="A43" s="6" t="s">
        <v>547</v>
      </c>
      <c r="B43" s="6" t="s">
        <v>587</v>
      </c>
      <c r="C43" s="6" t="s">
        <v>604</v>
      </c>
      <c r="D43" s="6" t="s">
        <v>560</v>
      </c>
    </row>
    <row r="44" spans="1:4" x14ac:dyDescent="0.3">
      <c r="A44" s="115" t="s">
        <v>605</v>
      </c>
      <c r="B44" s="6" t="s">
        <v>606</v>
      </c>
      <c r="C44" s="6" t="s">
        <v>607</v>
      </c>
      <c r="D44" s="6" t="s">
        <v>560</v>
      </c>
    </row>
    <row r="45" spans="1:4" x14ac:dyDescent="0.3">
      <c r="A45" s="6" t="s">
        <v>558</v>
      </c>
      <c r="B45" s="6" t="s">
        <v>608</v>
      </c>
      <c r="C45" s="6" t="s">
        <v>609</v>
      </c>
      <c r="D45" s="6" t="s">
        <v>546</v>
      </c>
    </row>
    <row r="46" spans="1:4" x14ac:dyDescent="0.3">
      <c r="A46" s="115" t="s">
        <v>544</v>
      </c>
      <c r="B46" s="6" t="s">
        <v>608</v>
      </c>
      <c r="C46" s="6" t="s">
        <v>610</v>
      </c>
      <c r="D46" s="6" t="s">
        <v>546</v>
      </c>
    </row>
    <row r="47" spans="1:4" x14ac:dyDescent="0.3">
      <c r="A47" s="6" t="s">
        <v>558</v>
      </c>
      <c r="B47" s="6" t="s">
        <v>595</v>
      </c>
      <c r="C47" s="6" t="s">
        <v>611</v>
      </c>
      <c r="D47" s="6" t="s">
        <v>560</v>
      </c>
    </row>
    <row r="48" spans="1:4" x14ac:dyDescent="0.3">
      <c r="A48" s="6" t="s">
        <v>558</v>
      </c>
      <c r="B48" s="6" t="s">
        <v>561</v>
      </c>
      <c r="C48" s="6" t="s">
        <v>612</v>
      </c>
      <c r="D48" s="6" t="s">
        <v>560</v>
      </c>
    </row>
    <row r="49" spans="1:4" x14ac:dyDescent="0.3">
      <c r="A49" s="115" t="s">
        <v>605</v>
      </c>
      <c r="B49" s="6" t="s">
        <v>606</v>
      </c>
      <c r="C49" s="6" t="s">
        <v>613</v>
      </c>
      <c r="D49" s="6" t="s">
        <v>560</v>
      </c>
    </row>
    <row r="50" spans="1:4" x14ac:dyDescent="0.3">
      <c r="A50" s="115" t="s">
        <v>605</v>
      </c>
      <c r="B50" s="6" t="s">
        <v>606</v>
      </c>
      <c r="C50" s="6" t="s">
        <v>614</v>
      </c>
      <c r="D50" s="6" t="s">
        <v>560</v>
      </c>
    </row>
    <row r="51" spans="1:4" x14ac:dyDescent="0.3">
      <c r="A51" s="115" t="s">
        <v>544</v>
      </c>
      <c r="B51" s="6" t="s">
        <v>608</v>
      </c>
      <c r="C51" s="117" t="s">
        <v>615</v>
      </c>
      <c r="D51" s="6" t="s">
        <v>546</v>
      </c>
    </row>
    <row r="52" spans="1:4" x14ac:dyDescent="0.3">
      <c r="A52" s="115" t="s">
        <v>558</v>
      </c>
      <c r="B52" s="118" t="s">
        <v>587</v>
      </c>
      <c r="C52" s="118" t="s">
        <v>347</v>
      </c>
      <c r="D52" s="6" t="s">
        <v>560</v>
      </c>
    </row>
    <row r="53" spans="1:4" x14ac:dyDescent="0.3">
      <c r="A53" s="115" t="s">
        <v>581</v>
      </c>
      <c r="B53" s="6" t="s">
        <v>576</v>
      </c>
      <c r="C53" s="119" t="s">
        <v>616</v>
      </c>
      <c r="D53" s="6" t="s">
        <v>560</v>
      </c>
    </row>
  </sheetData>
  <autoFilter ref="A1:D53" xr:uid="{D5292D3F-0B6E-46E3-A044-1C46EB00664B}"/>
  <conditionalFormatting sqref="B3">
    <cfRule type="duplicateValues" dxfId="1" priority="1"/>
  </conditionalFormatting>
  <conditionalFormatting sqref="C2:C51">
    <cfRule type="duplicateValues" dxfId="0" priority="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Retos</vt:lpstr>
      <vt:lpstr>Proyectos</vt:lpstr>
      <vt:lpstr>Plan de mejoramiento</vt:lpstr>
      <vt:lpstr>Calidad</vt:lpstr>
      <vt:lpstr>Proceso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Licec Ximena Silva Goyeneche</dc:creator>
  <cp:lastModifiedBy>Ximena Silva</cp:lastModifiedBy>
  <dcterms:created xsi:type="dcterms:W3CDTF">2026-04-20T03:03:15Z</dcterms:created>
  <dcterms:modified xsi:type="dcterms:W3CDTF">2026-05-20T15:12:41Z</dcterms:modified>
</cp:coreProperties>
</file>